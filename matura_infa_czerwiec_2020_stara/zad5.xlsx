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domja\Desktop\matura_infa_czerwiec_2020_stara\"/>
    </mc:Choice>
  </mc:AlternateContent>
  <xr:revisionPtr revIDLastSave="0" documentId="13_ncr:1_{218225DC-6290-4E03-A521-9C6E1E865E7D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a" sheetId="5" r:id="rId5"/>
    <sheet name="4b" sheetId="6" r:id="rId6"/>
  </sheets>
  <definedNames>
    <definedName name="statek" localSheetId="1">'1'!$A$1:$F$203</definedName>
    <definedName name="statek" localSheetId="2">'2'!$A$1:$F$203</definedName>
    <definedName name="statek" localSheetId="3">'3'!$A$1:$E$203</definedName>
    <definedName name="statek" localSheetId="4">'4a'!$A$1:$G$203</definedName>
    <definedName name="statek" localSheetId="5">'4b'!$A$1:$G$203</definedName>
    <definedName name="statek" localSheetId="0">Dane!$A$1:$F$203</definedName>
  </definedNames>
  <calcPr calcId="191029"/>
  <pivotCaches>
    <pivotCache cacheId="5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I2" i="6"/>
  <c r="C3" i="6" s="1"/>
  <c r="I3" i="6" s="1"/>
  <c r="C4" i="6" s="1"/>
  <c r="I4" i="6" s="1"/>
  <c r="C5" i="6" s="1"/>
  <c r="I5" i="6" s="1"/>
  <c r="C6" i="6" s="1"/>
  <c r="I6" i="6" s="1"/>
  <c r="H2" i="6"/>
  <c r="N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" i="5"/>
  <c r="I3" i="5"/>
  <c r="C4" i="5"/>
  <c r="I4" i="5" s="1"/>
  <c r="C5" i="5" s="1"/>
  <c r="I5" i="5" s="1"/>
  <c r="C6" i="5" s="1"/>
  <c r="I6" i="5" s="1"/>
  <c r="C7" i="5" s="1"/>
  <c r="I7" i="5" s="1"/>
  <c r="C8" i="5" s="1"/>
  <c r="I8" i="5" s="1"/>
  <c r="C9" i="5" s="1"/>
  <c r="I9" i="5" s="1"/>
  <c r="C10" i="5" s="1"/>
  <c r="I10" i="5" s="1"/>
  <c r="C11" i="5" s="1"/>
  <c r="I11" i="5" s="1"/>
  <c r="C12" i="5" s="1"/>
  <c r="I12" i="5" s="1"/>
  <c r="C13" i="5" s="1"/>
  <c r="I13" i="5" s="1"/>
  <c r="C14" i="5" s="1"/>
  <c r="I14" i="5" s="1"/>
  <c r="C15" i="5" s="1"/>
  <c r="I15" i="5" s="1"/>
  <c r="C16" i="5" s="1"/>
  <c r="I16" i="5" s="1"/>
  <c r="C17" i="5" s="1"/>
  <c r="I17" i="5" s="1"/>
  <c r="C18" i="5" s="1"/>
  <c r="I18" i="5" s="1"/>
  <c r="C19" i="5" s="1"/>
  <c r="I19" i="5" s="1"/>
  <c r="C20" i="5" s="1"/>
  <c r="I20" i="5" s="1"/>
  <c r="C21" i="5" s="1"/>
  <c r="I21" i="5" s="1"/>
  <c r="C22" i="5" s="1"/>
  <c r="I22" i="5" s="1"/>
  <c r="C23" i="5" s="1"/>
  <c r="I23" i="5" s="1"/>
  <c r="C24" i="5" s="1"/>
  <c r="I24" i="5" s="1"/>
  <c r="C25" i="5" s="1"/>
  <c r="I25" i="5" s="1"/>
  <c r="C26" i="5" s="1"/>
  <c r="I26" i="5" s="1"/>
  <c r="C27" i="5" s="1"/>
  <c r="I27" i="5" s="1"/>
  <c r="C28" i="5" s="1"/>
  <c r="I28" i="5" s="1"/>
  <c r="C29" i="5" s="1"/>
  <c r="I29" i="5" s="1"/>
  <c r="C30" i="5" s="1"/>
  <c r="I30" i="5" s="1"/>
  <c r="C31" i="5" s="1"/>
  <c r="I31" i="5" s="1"/>
  <c r="C32" i="5" s="1"/>
  <c r="I32" i="5" s="1"/>
  <c r="C33" i="5" s="1"/>
  <c r="I33" i="5" s="1"/>
  <c r="C34" i="5" s="1"/>
  <c r="I34" i="5" s="1"/>
  <c r="C35" i="5" s="1"/>
  <c r="I35" i="5" s="1"/>
  <c r="C36" i="5" s="1"/>
  <c r="I36" i="5" s="1"/>
  <c r="C37" i="5" s="1"/>
  <c r="I37" i="5" s="1"/>
  <c r="C38" i="5" s="1"/>
  <c r="I38" i="5" s="1"/>
  <c r="C39" i="5" s="1"/>
  <c r="I39" i="5" s="1"/>
  <c r="C40" i="5" s="1"/>
  <c r="I40" i="5" s="1"/>
  <c r="C41" i="5" s="1"/>
  <c r="I41" i="5" s="1"/>
  <c r="C42" i="5" s="1"/>
  <c r="I42" i="5" s="1"/>
  <c r="C43" i="5" s="1"/>
  <c r="I43" i="5" s="1"/>
  <c r="C44" i="5" s="1"/>
  <c r="I44" i="5" s="1"/>
  <c r="C45" i="5" s="1"/>
  <c r="I45" i="5" s="1"/>
  <c r="C46" i="5" s="1"/>
  <c r="I46" i="5" s="1"/>
  <c r="C47" i="5" s="1"/>
  <c r="I47" i="5" s="1"/>
  <c r="C48" i="5" s="1"/>
  <c r="I48" i="5" s="1"/>
  <c r="C49" i="5" s="1"/>
  <c r="I49" i="5" s="1"/>
  <c r="C50" i="5" s="1"/>
  <c r="I50" i="5" s="1"/>
  <c r="C51" i="5" s="1"/>
  <c r="I51" i="5" s="1"/>
  <c r="C52" i="5" s="1"/>
  <c r="I52" i="5" s="1"/>
  <c r="C53" i="5" s="1"/>
  <c r="I53" i="5" s="1"/>
  <c r="C54" i="5" s="1"/>
  <c r="I54" i="5" s="1"/>
  <c r="C55" i="5" s="1"/>
  <c r="I55" i="5" s="1"/>
  <c r="C56" i="5" s="1"/>
  <c r="I56" i="5" s="1"/>
  <c r="C57" i="5" s="1"/>
  <c r="I57" i="5" s="1"/>
  <c r="C58" i="5" s="1"/>
  <c r="I58" i="5" s="1"/>
  <c r="C59" i="5" s="1"/>
  <c r="I59" i="5" s="1"/>
  <c r="C60" i="5" s="1"/>
  <c r="I60" i="5" s="1"/>
  <c r="C61" i="5" s="1"/>
  <c r="I61" i="5" s="1"/>
  <c r="C62" i="5" s="1"/>
  <c r="I62" i="5" s="1"/>
  <c r="C63" i="5" s="1"/>
  <c r="I63" i="5" s="1"/>
  <c r="C64" i="5" s="1"/>
  <c r="I64" i="5" s="1"/>
  <c r="C65" i="5" s="1"/>
  <c r="I65" i="5" s="1"/>
  <c r="C66" i="5" s="1"/>
  <c r="I66" i="5" s="1"/>
  <c r="C67" i="5" s="1"/>
  <c r="I67" i="5" s="1"/>
  <c r="C68" i="5" s="1"/>
  <c r="I68" i="5" s="1"/>
  <c r="C69" i="5" s="1"/>
  <c r="I69" i="5" s="1"/>
  <c r="C70" i="5" s="1"/>
  <c r="I70" i="5" s="1"/>
  <c r="C71" i="5" s="1"/>
  <c r="I71" i="5" s="1"/>
  <c r="C72" i="5" s="1"/>
  <c r="I72" i="5" s="1"/>
  <c r="C73" i="5" s="1"/>
  <c r="I73" i="5" s="1"/>
  <c r="C74" i="5" s="1"/>
  <c r="I74" i="5" s="1"/>
  <c r="C75" i="5" s="1"/>
  <c r="I75" i="5" s="1"/>
  <c r="C76" i="5" s="1"/>
  <c r="I76" i="5" s="1"/>
  <c r="C77" i="5" s="1"/>
  <c r="I77" i="5" s="1"/>
  <c r="C78" i="5" s="1"/>
  <c r="I78" i="5" s="1"/>
  <c r="C79" i="5" s="1"/>
  <c r="I79" i="5" s="1"/>
  <c r="C80" i="5" s="1"/>
  <c r="I80" i="5" s="1"/>
  <c r="C81" i="5" s="1"/>
  <c r="I81" i="5" s="1"/>
  <c r="C82" i="5" s="1"/>
  <c r="I82" i="5" s="1"/>
  <c r="C83" i="5" s="1"/>
  <c r="I83" i="5" s="1"/>
  <c r="C84" i="5" s="1"/>
  <c r="I84" i="5" s="1"/>
  <c r="C85" i="5" s="1"/>
  <c r="I85" i="5" s="1"/>
  <c r="C86" i="5" s="1"/>
  <c r="I86" i="5" s="1"/>
  <c r="C87" i="5" s="1"/>
  <c r="I87" i="5" s="1"/>
  <c r="C88" i="5" s="1"/>
  <c r="I88" i="5" s="1"/>
  <c r="C89" i="5" s="1"/>
  <c r="I89" i="5" s="1"/>
  <c r="C90" i="5" s="1"/>
  <c r="I90" i="5" s="1"/>
  <c r="C91" i="5" s="1"/>
  <c r="I91" i="5" s="1"/>
  <c r="C92" i="5" s="1"/>
  <c r="I92" i="5" s="1"/>
  <c r="C93" i="5" s="1"/>
  <c r="I93" i="5" s="1"/>
  <c r="C94" i="5" s="1"/>
  <c r="I94" i="5" s="1"/>
  <c r="C95" i="5" s="1"/>
  <c r="I95" i="5" s="1"/>
  <c r="C96" i="5" s="1"/>
  <c r="I96" i="5" s="1"/>
  <c r="C97" i="5" s="1"/>
  <c r="I97" i="5" s="1"/>
  <c r="C98" i="5" s="1"/>
  <c r="I98" i="5" s="1"/>
  <c r="C99" i="5" s="1"/>
  <c r="I99" i="5" s="1"/>
  <c r="C100" i="5" s="1"/>
  <c r="I100" i="5" s="1"/>
  <c r="C101" i="5" s="1"/>
  <c r="I101" i="5" s="1"/>
  <c r="C102" i="5" s="1"/>
  <c r="I102" i="5" s="1"/>
  <c r="C103" i="5" s="1"/>
  <c r="I103" i="5" s="1"/>
  <c r="C104" i="5" s="1"/>
  <c r="I104" i="5" s="1"/>
  <c r="C105" i="5" s="1"/>
  <c r="I105" i="5" s="1"/>
  <c r="C106" i="5" s="1"/>
  <c r="I106" i="5" s="1"/>
  <c r="C107" i="5" s="1"/>
  <c r="I107" i="5" s="1"/>
  <c r="C108" i="5" s="1"/>
  <c r="I108" i="5" s="1"/>
  <c r="C109" i="5" s="1"/>
  <c r="I109" i="5" s="1"/>
  <c r="C110" i="5" s="1"/>
  <c r="I110" i="5" s="1"/>
  <c r="C111" i="5" s="1"/>
  <c r="I111" i="5" s="1"/>
  <c r="C112" i="5" s="1"/>
  <c r="I112" i="5" s="1"/>
  <c r="C113" i="5" s="1"/>
  <c r="I113" i="5" s="1"/>
  <c r="C114" i="5" s="1"/>
  <c r="I114" i="5" s="1"/>
  <c r="C115" i="5" s="1"/>
  <c r="I115" i="5" s="1"/>
  <c r="C116" i="5" s="1"/>
  <c r="I116" i="5" s="1"/>
  <c r="C117" i="5" s="1"/>
  <c r="I117" i="5" s="1"/>
  <c r="C118" i="5" s="1"/>
  <c r="I118" i="5" s="1"/>
  <c r="C119" i="5" s="1"/>
  <c r="I119" i="5" s="1"/>
  <c r="C120" i="5" s="1"/>
  <c r="I120" i="5" s="1"/>
  <c r="C121" i="5" s="1"/>
  <c r="I121" i="5" s="1"/>
  <c r="C122" i="5" s="1"/>
  <c r="I122" i="5" s="1"/>
  <c r="C123" i="5" s="1"/>
  <c r="I123" i="5" s="1"/>
  <c r="C124" i="5" s="1"/>
  <c r="I124" i="5" s="1"/>
  <c r="C125" i="5" s="1"/>
  <c r="I125" i="5" s="1"/>
  <c r="C126" i="5" s="1"/>
  <c r="I126" i="5" s="1"/>
  <c r="C127" i="5" s="1"/>
  <c r="I127" i="5" s="1"/>
  <c r="C128" i="5" s="1"/>
  <c r="I128" i="5" s="1"/>
  <c r="C129" i="5" s="1"/>
  <c r="I129" i="5" s="1"/>
  <c r="C130" i="5" s="1"/>
  <c r="I130" i="5" s="1"/>
  <c r="C131" i="5" s="1"/>
  <c r="I131" i="5" s="1"/>
  <c r="C132" i="5" s="1"/>
  <c r="I132" i="5" s="1"/>
  <c r="C133" i="5" s="1"/>
  <c r="I133" i="5" s="1"/>
  <c r="C134" i="5" s="1"/>
  <c r="I134" i="5" s="1"/>
  <c r="C135" i="5" s="1"/>
  <c r="I135" i="5" s="1"/>
  <c r="C136" i="5" s="1"/>
  <c r="I136" i="5" s="1"/>
  <c r="C137" i="5" s="1"/>
  <c r="I137" i="5" s="1"/>
  <c r="C138" i="5" s="1"/>
  <c r="I138" i="5" s="1"/>
  <c r="C139" i="5" s="1"/>
  <c r="I139" i="5" s="1"/>
  <c r="C140" i="5" s="1"/>
  <c r="I140" i="5" s="1"/>
  <c r="C141" i="5" s="1"/>
  <c r="I141" i="5" s="1"/>
  <c r="C142" i="5" s="1"/>
  <c r="I142" i="5" s="1"/>
  <c r="C143" i="5" s="1"/>
  <c r="I143" i="5" s="1"/>
  <c r="C144" i="5" s="1"/>
  <c r="I144" i="5" s="1"/>
  <c r="C145" i="5" s="1"/>
  <c r="I145" i="5" s="1"/>
  <c r="C146" i="5" s="1"/>
  <c r="I146" i="5" s="1"/>
  <c r="C147" i="5" s="1"/>
  <c r="I147" i="5" s="1"/>
  <c r="C148" i="5" s="1"/>
  <c r="I148" i="5" s="1"/>
  <c r="C149" i="5" s="1"/>
  <c r="I149" i="5" s="1"/>
  <c r="C150" i="5" s="1"/>
  <c r="I150" i="5" s="1"/>
  <c r="C151" i="5" s="1"/>
  <c r="I151" i="5" s="1"/>
  <c r="C152" i="5" s="1"/>
  <c r="I152" i="5" s="1"/>
  <c r="C153" i="5" s="1"/>
  <c r="I153" i="5" s="1"/>
  <c r="C154" i="5" s="1"/>
  <c r="I154" i="5" s="1"/>
  <c r="C155" i="5" s="1"/>
  <c r="I155" i="5" s="1"/>
  <c r="C156" i="5" s="1"/>
  <c r="I156" i="5" s="1"/>
  <c r="C157" i="5" s="1"/>
  <c r="I157" i="5" s="1"/>
  <c r="C158" i="5" s="1"/>
  <c r="I158" i="5" s="1"/>
  <c r="C159" i="5" s="1"/>
  <c r="I159" i="5" s="1"/>
  <c r="C160" i="5" s="1"/>
  <c r="I160" i="5" s="1"/>
  <c r="C161" i="5" s="1"/>
  <c r="I161" i="5" s="1"/>
  <c r="C162" i="5" s="1"/>
  <c r="I162" i="5" s="1"/>
  <c r="C163" i="5" s="1"/>
  <c r="I163" i="5" s="1"/>
  <c r="C164" i="5" s="1"/>
  <c r="I164" i="5" s="1"/>
  <c r="C165" i="5" s="1"/>
  <c r="I165" i="5" s="1"/>
  <c r="C166" i="5" s="1"/>
  <c r="I166" i="5" s="1"/>
  <c r="C167" i="5" s="1"/>
  <c r="I167" i="5" s="1"/>
  <c r="C168" i="5" s="1"/>
  <c r="I168" i="5" s="1"/>
  <c r="C169" i="5" s="1"/>
  <c r="I169" i="5" s="1"/>
  <c r="C170" i="5" s="1"/>
  <c r="I170" i="5" s="1"/>
  <c r="C171" i="5" s="1"/>
  <c r="I171" i="5" s="1"/>
  <c r="C172" i="5" s="1"/>
  <c r="I172" i="5" s="1"/>
  <c r="C173" i="5" s="1"/>
  <c r="I173" i="5" s="1"/>
  <c r="C174" i="5" s="1"/>
  <c r="I174" i="5" s="1"/>
  <c r="C175" i="5" s="1"/>
  <c r="I175" i="5" s="1"/>
  <c r="C176" i="5" s="1"/>
  <c r="I176" i="5" s="1"/>
  <c r="C177" i="5" s="1"/>
  <c r="I177" i="5" s="1"/>
  <c r="C178" i="5" s="1"/>
  <c r="I178" i="5" s="1"/>
  <c r="C179" i="5" s="1"/>
  <c r="I179" i="5" s="1"/>
  <c r="C180" i="5" s="1"/>
  <c r="I180" i="5" s="1"/>
  <c r="C181" i="5" s="1"/>
  <c r="I181" i="5" s="1"/>
  <c r="C182" i="5" s="1"/>
  <c r="I182" i="5" s="1"/>
  <c r="C183" i="5" s="1"/>
  <c r="I183" i="5" s="1"/>
  <c r="C184" i="5" s="1"/>
  <c r="I184" i="5" s="1"/>
  <c r="C185" i="5" s="1"/>
  <c r="I185" i="5" s="1"/>
  <c r="C186" i="5" s="1"/>
  <c r="I186" i="5" s="1"/>
  <c r="C187" i="5" s="1"/>
  <c r="I187" i="5" s="1"/>
  <c r="C188" i="5" s="1"/>
  <c r="I188" i="5" s="1"/>
  <c r="C189" i="5" s="1"/>
  <c r="I189" i="5" s="1"/>
  <c r="C190" i="5" s="1"/>
  <c r="I190" i="5" s="1"/>
  <c r="C191" i="5" s="1"/>
  <c r="I191" i="5" s="1"/>
  <c r="C192" i="5" s="1"/>
  <c r="I192" i="5" s="1"/>
  <c r="C193" i="5" s="1"/>
  <c r="I193" i="5" s="1"/>
  <c r="C194" i="5" s="1"/>
  <c r="I194" i="5" s="1"/>
  <c r="C195" i="5" s="1"/>
  <c r="I195" i="5" s="1"/>
  <c r="C196" i="5" s="1"/>
  <c r="I196" i="5" s="1"/>
  <c r="C197" i="5" s="1"/>
  <c r="I197" i="5" s="1"/>
  <c r="C198" i="5" s="1"/>
  <c r="I198" i="5" s="1"/>
  <c r="C199" i="5" s="1"/>
  <c r="I199" i="5" s="1"/>
  <c r="C200" i="5" s="1"/>
  <c r="I200" i="5" s="1"/>
  <c r="C201" i="5" s="1"/>
  <c r="I201" i="5" s="1"/>
  <c r="C202" i="5" s="1"/>
  <c r="I202" i="5" s="1"/>
  <c r="C203" i="5" s="1"/>
  <c r="I203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C3" i="5"/>
  <c r="I2" i="5"/>
  <c r="H2" i="5"/>
  <c r="J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3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3" i="3"/>
  <c r="C7" i="6" l="1"/>
  <c r="I7" i="6" s="1"/>
  <c r="C8" i="6" s="1"/>
  <c r="I8" i="6" s="1"/>
  <c r="C9" i="6" l="1"/>
  <c r="I9" i="6" s="1"/>
  <c r="C10" i="6" s="1"/>
  <c r="I10" i="6" s="1"/>
  <c r="C11" i="6" s="1"/>
  <c r="I11" i="6" s="1"/>
  <c r="C12" i="6" l="1"/>
  <c r="I12" i="6" s="1"/>
  <c r="C13" i="6" s="1"/>
  <c r="I13" i="6" s="1"/>
  <c r="C14" i="6" s="1"/>
  <c r="I14" i="6" s="1"/>
  <c r="C15" i="6" s="1"/>
  <c r="I15" i="6" s="1"/>
  <c r="C16" i="6" l="1"/>
  <c r="I16" i="6" s="1"/>
  <c r="C17" i="6" s="1"/>
  <c r="I17" i="6" s="1"/>
  <c r="C18" i="6" s="1"/>
  <c r="I18" i="6" s="1"/>
  <c r="C19" i="6" s="1"/>
  <c r="I19" i="6" s="1"/>
  <c r="C20" i="6" l="1"/>
  <c r="I20" i="6" s="1"/>
  <c r="C21" i="6" s="1"/>
  <c r="I21" i="6" s="1"/>
  <c r="C22" i="6" s="1"/>
  <c r="I22" i="6" s="1"/>
  <c r="C23" i="6" l="1"/>
  <c r="I23" i="6" s="1"/>
  <c r="C24" i="6" s="1"/>
  <c r="I24" i="6" s="1"/>
  <c r="C25" i="6" s="1"/>
  <c r="I25" i="6" s="1"/>
  <c r="C26" i="6" l="1"/>
  <c r="I26" i="6" s="1"/>
  <c r="C27" i="6" s="1"/>
  <c r="I27" i="6" s="1"/>
  <c r="C28" i="6" l="1"/>
  <c r="I28" i="6" s="1"/>
  <c r="C29" i="6" s="1"/>
  <c r="I29" i="6" s="1"/>
  <c r="C30" i="6" s="1"/>
  <c r="I30" i="6" s="1"/>
  <c r="C31" i="6" s="1"/>
  <c r="I31" i="6" s="1"/>
  <c r="C32" i="6" l="1"/>
  <c r="I32" i="6" s="1"/>
  <c r="C33" i="6" s="1"/>
  <c r="I33" i="6" s="1"/>
  <c r="C34" i="6" s="1"/>
  <c r="I34" i="6" s="1"/>
  <c r="C35" i="6" s="1"/>
  <c r="I35" i="6" s="1"/>
  <c r="C36" i="6" s="1"/>
  <c r="I36" i="6" s="1"/>
  <c r="C37" i="6" l="1"/>
  <c r="I37" i="6" s="1"/>
  <c r="C38" i="6" s="1"/>
  <c r="I38" i="6" s="1"/>
  <c r="C39" i="6" s="1"/>
  <c r="I39" i="6" s="1"/>
  <c r="C40" i="6" s="1"/>
  <c r="I40" i="6" s="1"/>
  <c r="C41" i="6" l="1"/>
  <c r="I41" i="6" s="1"/>
  <c r="C42" i="6" s="1"/>
  <c r="I42" i="6" s="1"/>
  <c r="C43" i="6" l="1"/>
  <c r="I43" i="6" s="1"/>
  <c r="C44" i="6" s="1"/>
  <c r="I44" i="6" s="1"/>
  <c r="C45" i="6" s="1"/>
  <c r="I45" i="6" s="1"/>
  <c r="C46" i="6" l="1"/>
  <c r="I46" i="6" s="1"/>
  <c r="C47" i="6" s="1"/>
  <c r="I47" i="6" s="1"/>
  <c r="C48" i="6" s="1"/>
  <c r="I48" i="6" s="1"/>
  <c r="C49" i="6" s="1"/>
  <c r="I49" i="6" s="1"/>
  <c r="C50" i="6" s="1"/>
  <c r="I50" i="6" s="1"/>
  <c r="C51" i="6" l="1"/>
  <c r="I51" i="6" s="1"/>
  <c r="C52" i="6" s="1"/>
  <c r="I52" i="6" s="1"/>
  <c r="C53" i="6" s="1"/>
  <c r="I53" i="6" s="1"/>
  <c r="C54" i="6" s="1"/>
  <c r="I54" i="6" s="1"/>
  <c r="C55" i="6" s="1"/>
  <c r="I55" i="6" s="1"/>
  <c r="C56" i="6" l="1"/>
  <c r="I56" i="6" s="1"/>
  <c r="C57" i="6" s="1"/>
  <c r="I57" i="6" s="1"/>
  <c r="C58" i="6" s="1"/>
  <c r="I58" i="6" s="1"/>
  <c r="C59" i="6" l="1"/>
  <c r="I59" i="6" s="1"/>
  <c r="C60" i="6" s="1"/>
  <c r="I60" i="6" s="1"/>
  <c r="C61" i="6" s="1"/>
  <c r="I61" i="6" s="1"/>
  <c r="C62" i="6" l="1"/>
  <c r="I62" i="6" s="1"/>
  <c r="C63" i="6" s="1"/>
  <c r="I63" i="6" s="1"/>
  <c r="C64" i="6" s="1"/>
  <c r="I64" i="6" s="1"/>
  <c r="C65" i="6" s="1"/>
  <c r="I65" i="6" s="1"/>
  <c r="C66" i="6" l="1"/>
  <c r="I66" i="6" s="1"/>
  <c r="C67" i="6" s="1"/>
  <c r="I67" i="6" s="1"/>
  <c r="C68" i="6" s="1"/>
  <c r="I68" i="6" s="1"/>
  <c r="C69" i="6" l="1"/>
  <c r="I69" i="6" s="1"/>
  <c r="C70" i="6" s="1"/>
  <c r="I70" i="6" s="1"/>
  <c r="C71" i="6" s="1"/>
  <c r="I71" i="6" s="1"/>
  <c r="C72" i="6" s="1"/>
  <c r="I72" i="6" s="1"/>
  <c r="C73" i="6" s="1"/>
  <c r="I73" i="6" s="1"/>
  <c r="C74" i="6" l="1"/>
  <c r="I74" i="6" s="1"/>
  <c r="C75" i="6" s="1"/>
  <c r="I75" i="6" s="1"/>
  <c r="C76" i="6" s="1"/>
  <c r="I76" i="6" s="1"/>
  <c r="C77" i="6" l="1"/>
  <c r="I77" i="6" s="1"/>
  <c r="C78" i="6" s="1"/>
  <c r="I78" i="6" s="1"/>
  <c r="C79" i="6" l="1"/>
  <c r="I79" i="6" s="1"/>
  <c r="C80" i="6" s="1"/>
  <c r="I80" i="6" s="1"/>
  <c r="C81" i="6" s="1"/>
  <c r="I81" i="6" s="1"/>
  <c r="C82" i="6" s="1"/>
  <c r="I82" i="6" s="1"/>
  <c r="C83" i="6" l="1"/>
  <c r="I83" i="6" s="1"/>
  <c r="C84" i="6" s="1"/>
  <c r="I84" i="6" s="1"/>
  <c r="C85" i="6" s="1"/>
  <c r="I85" i="6" s="1"/>
  <c r="C86" i="6" l="1"/>
  <c r="I86" i="6" s="1"/>
  <c r="C87" i="6" s="1"/>
  <c r="I87" i="6" s="1"/>
  <c r="C88" i="6" s="1"/>
  <c r="I88" i="6" s="1"/>
  <c r="C89" i="6" s="1"/>
  <c r="I89" i="6" s="1"/>
  <c r="C90" i="6" s="1"/>
  <c r="I90" i="6" s="1"/>
  <c r="C91" i="6" l="1"/>
  <c r="I91" i="6" s="1"/>
  <c r="C92" i="6" s="1"/>
  <c r="I92" i="6" s="1"/>
  <c r="C93" i="6" s="1"/>
  <c r="I93" i="6" s="1"/>
  <c r="C94" i="6" s="1"/>
  <c r="I94" i="6" s="1"/>
  <c r="C95" i="6" s="1"/>
  <c r="I95" i="6" s="1"/>
  <c r="C96" i="6" l="1"/>
  <c r="I96" i="6" s="1"/>
  <c r="C97" i="6" s="1"/>
  <c r="I97" i="6" s="1"/>
  <c r="C98" i="6" s="1"/>
  <c r="I98" i="6" s="1"/>
  <c r="C99" i="6" s="1"/>
  <c r="I99" i="6" s="1"/>
  <c r="C100" i="6" s="1"/>
  <c r="I100" i="6" s="1"/>
  <c r="C101" i="6" l="1"/>
  <c r="I101" i="6" s="1"/>
  <c r="C102" i="6" s="1"/>
  <c r="I102" i="6" s="1"/>
  <c r="C103" i="6" s="1"/>
  <c r="I103" i="6" s="1"/>
  <c r="C104" i="6" s="1"/>
  <c r="I104" i="6" s="1"/>
  <c r="C105" i="6" s="1"/>
  <c r="I105" i="6" s="1"/>
  <c r="C106" i="6" l="1"/>
  <c r="I106" i="6" s="1"/>
  <c r="C107" i="6" s="1"/>
  <c r="I107" i="6" s="1"/>
  <c r="C108" i="6" l="1"/>
  <c r="I108" i="6" s="1"/>
  <c r="C109" i="6" s="1"/>
  <c r="I109" i="6" s="1"/>
  <c r="C110" i="6" s="1"/>
  <c r="I110" i="6" s="1"/>
  <c r="C111" i="6" s="1"/>
  <c r="I111" i="6" s="1"/>
  <c r="C112" i="6" s="1"/>
  <c r="I112" i="6" s="1"/>
  <c r="C113" i="6" l="1"/>
  <c r="I113" i="6" s="1"/>
  <c r="C114" i="6" s="1"/>
  <c r="I114" i="6" s="1"/>
  <c r="C115" i="6" s="1"/>
  <c r="I115" i="6" s="1"/>
  <c r="C116" i="6" s="1"/>
  <c r="I116" i="6" s="1"/>
  <c r="C117" i="6" l="1"/>
  <c r="I117" i="6" s="1"/>
  <c r="C118" i="6" s="1"/>
  <c r="I118" i="6" s="1"/>
  <c r="C119" i="6" s="1"/>
  <c r="I119" i="6" s="1"/>
  <c r="C120" i="6" s="1"/>
  <c r="I120" i="6" s="1"/>
  <c r="C121" i="6" l="1"/>
  <c r="I121" i="6" s="1"/>
  <c r="C122" i="6" s="1"/>
  <c r="I122" i="6" s="1"/>
  <c r="C123" i="6" l="1"/>
  <c r="I123" i="6" s="1"/>
  <c r="C124" i="6" s="1"/>
  <c r="I124" i="6" s="1"/>
  <c r="C125" i="6" l="1"/>
  <c r="I125" i="6" s="1"/>
  <c r="C126" i="6" s="1"/>
  <c r="I126" i="6" s="1"/>
  <c r="C127" i="6" s="1"/>
  <c r="I127" i="6" s="1"/>
  <c r="C128" i="6" s="1"/>
  <c r="I128" i="6" s="1"/>
  <c r="C129" i="6" s="1"/>
  <c r="I129" i="6" s="1"/>
  <c r="C130" i="6" l="1"/>
  <c r="I130" i="6" s="1"/>
  <c r="C131" i="6" s="1"/>
  <c r="I131" i="6" s="1"/>
  <c r="C132" i="6" l="1"/>
  <c r="I132" i="6" s="1"/>
  <c r="C133" i="6" s="1"/>
  <c r="I133" i="6" s="1"/>
  <c r="C134" i="6" s="1"/>
  <c r="I134" i="6" s="1"/>
  <c r="C135" i="6" l="1"/>
  <c r="I135" i="6" s="1"/>
  <c r="C136" i="6" s="1"/>
  <c r="I136" i="6" s="1"/>
  <c r="C137" i="6" s="1"/>
  <c r="I137" i="6" s="1"/>
  <c r="C138" i="6" s="1"/>
  <c r="I138" i="6" s="1"/>
  <c r="C139" i="6" l="1"/>
  <c r="I139" i="6" s="1"/>
  <c r="C140" i="6" s="1"/>
  <c r="I140" i="6" s="1"/>
  <c r="C141" i="6" s="1"/>
  <c r="I141" i="6" s="1"/>
  <c r="C142" i="6" s="1"/>
  <c r="I142" i="6" s="1"/>
  <c r="C143" i="6" s="1"/>
  <c r="I143" i="6" s="1"/>
  <c r="C144" i="6" l="1"/>
  <c r="I144" i="6" s="1"/>
  <c r="C145" i="6" s="1"/>
  <c r="I145" i="6" s="1"/>
  <c r="C146" i="6" l="1"/>
  <c r="I146" i="6" s="1"/>
  <c r="C147" i="6" s="1"/>
  <c r="I147" i="6" s="1"/>
  <c r="C148" i="6" s="1"/>
  <c r="I148" i="6" s="1"/>
  <c r="C149" i="6" s="1"/>
  <c r="I149" i="6" s="1"/>
  <c r="C150" i="6" s="1"/>
  <c r="I150" i="6" s="1"/>
  <c r="C151" i="6" l="1"/>
  <c r="I151" i="6" s="1"/>
  <c r="C152" i="6" s="1"/>
  <c r="I152" i="6" s="1"/>
  <c r="C153" i="6" l="1"/>
  <c r="I153" i="6" s="1"/>
  <c r="C154" i="6" s="1"/>
  <c r="I154" i="6" s="1"/>
  <c r="C155" i="6" s="1"/>
  <c r="I155" i="6" s="1"/>
  <c r="C156" i="6" l="1"/>
  <c r="I156" i="6" s="1"/>
  <c r="C157" i="6" s="1"/>
  <c r="I157" i="6" s="1"/>
  <c r="C158" i="6" s="1"/>
  <c r="I158" i="6" s="1"/>
  <c r="C159" i="6" s="1"/>
  <c r="I159" i="6" s="1"/>
  <c r="C160" i="6" l="1"/>
  <c r="I160" i="6" s="1"/>
  <c r="C161" i="6" s="1"/>
  <c r="I161" i="6" s="1"/>
  <c r="C162" i="6" s="1"/>
  <c r="I162" i="6" s="1"/>
  <c r="C163" i="6" l="1"/>
  <c r="I163" i="6" s="1"/>
  <c r="C164" i="6" s="1"/>
  <c r="I164" i="6" s="1"/>
  <c r="C165" i="6" s="1"/>
  <c r="I165" i="6" s="1"/>
  <c r="C166" i="6" l="1"/>
  <c r="I166" i="6" s="1"/>
  <c r="C167" i="6" s="1"/>
  <c r="I167" i="6" s="1"/>
  <c r="C168" i="6" s="1"/>
  <c r="I168" i="6" s="1"/>
  <c r="C169" i="6" l="1"/>
  <c r="I169" i="6" s="1"/>
  <c r="C170" i="6" s="1"/>
  <c r="I170" i="6" s="1"/>
  <c r="C171" i="6" s="1"/>
  <c r="I171" i="6" s="1"/>
  <c r="C172" i="6" s="1"/>
  <c r="I172" i="6" s="1"/>
  <c r="C173" i="6" s="1"/>
  <c r="I173" i="6" s="1"/>
  <c r="C174" i="6" l="1"/>
  <c r="I174" i="6" s="1"/>
  <c r="C175" i="6" s="1"/>
  <c r="I175" i="6" s="1"/>
  <c r="C176" i="6" s="1"/>
  <c r="I176" i="6" s="1"/>
  <c r="C177" i="6" s="1"/>
  <c r="I177" i="6" s="1"/>
  <c r="C178" i="6" l="1"/>
  <c r="I178" i="6" s="1"/>
  <c r="C179" i="6" s="1"/>
  <c r="I179" i="6" s="1"/>
  <c r="C180" i="6" s="1"/>
  <c r="I180" i="6" s="1"/>
  <c r="C181" i="6" s="1"/>
  <c r="I181" i="6" s="1"/>
  <c r="C182" i="6" l="1"/>
  <c r="I182" i="6" s="1"/>
  <c r="C183" i="6" s="1"/>
  <c r="I183" i="6" s="1"/>
  <c r="C184" i="6" s="1"/>
  <c r="I184" i="6" s="1"/>
  <c r="C185" i="6" s="1"/>
  <c r="I185" i="6" s="1"/>
  <c r="C186" i="6" l="1"/>
  <c r="I186" i="6" s="1"/>
  <c r="C187" i="6" s="1"/>
  <c r="I187" i="6" s="1"/>
  <c r="C188" i="6" s="1"/>
  <c r="I188" i="6" s="1"/>
  <c r="C189" i="6" s="1"/>
  <c r="I189" i="6" s="1"/>
  <c r="C190" i="6" s="1"/>
  <c r="I190" i="6" s="1"/>
  <c r="C191" i="6" l="1"/>
  <c r="I191" i="6" s="1"/>
  <c r="C192" i="6" s="1"/>
  <c r="I192" i="6" s="1"/>
  <c r="C193" i="6" s="1"/>
  <c r="I193" i="6" s="1"/>
  <c r="C194" i="6" l="1"/>
  <c r="I194" i="6" s="1"/>
  <c r="C195" i="6" s="1"/>
  <c r="I195" i="6" s="1"/>
  <c r="C196" i="6" l="1"/>
  <c r="I196" i="6" s="1"/>
  <c r="C197" i="6" s="1"/>
  <c r="I197" i="6" s="1"/>
  <c r="C198" i="6" s="1"/>
  <c r="I198" i="6" s="1"/>
  <c r="C199" i="6" l="1"/>
  <c r="I199" i="6" s="1"/>
  <c r="C200" i="6" s="1"/>
  <c r="I200" i="6" s="1"/>
  <c r="C201" i="6" s="1"/>
  <c r="I201" i="6" s="1"/>
  <c r="C202" i="6" s="1"/>
  <c r="I202" i="6" s="1"/>
  <c r="C203" i="6" s="1"/>
  <c r="I203" i="6" s="1"/>
  <c r="K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485DFA-43C9-4452-B590-7A17BD8BAC8C}" name="statek" type="6" refreshedVersion="8" background="1" saveData="1">
    <textPr codePage="852" sourceFile="C:\Users\domja\Desktop\PR2s\statek.txt" decimal="," thousands=" ">
      <textFields count="6">
        <textField type="YMD"/>
        <textField/>
        <textField/>
        <textField/>
        <textField/>
        <textField/>
      </textFields>
    </textPr>
  </connection>
  <connection id="2" xr16:uid="{90F38C55-29F4-4197-89CF-20B6337B8B2A}" name="statek1" type="6" refreshedVersion="8" background="1" saveData="1">
    <textPr codePage="852" sourceFile="C:\Users\domja\Desktop\PR2s\statek.txt" decimal="," thousands=" ">
      <textFields count="6">
        <textField type="YMD"/>
        <textField/>
        <textField/>
        <textField/>
        <textField/>
        <textField/>
      </textFields>
    </textPr>
  </connection>
  <connection id="3" xr16:uid="{E5B0BD02-7D5A-42E5-AC69-6D3EE53C83AB}" name="statek2" type="6" refreshedVersion="8" background="1" saveData="1">
    <textPr codePage="852" sourceFile="C:\Users\domja\Desktop\PR2s\statek.txt" decimal="," thousands=" ">
      <textFields count="6">
        <textField type="YMD"/>
        <textField/>
        <textField/>
        <textField/>
        <textField/>
        <textField/>
      </textFields>
    </textPr>
  </connection>
  <connection id="4" xr16:uid="{55A1BB36-7464-4D91-AA7C-8A8508270A75}" name="statek3" type="6" refreshedVersion="8" background="1" saveData="1">
    <textPr codePage="852" sourceFile="C:\Users\domja\Desktop\PR2s\statek.txt" decimal="," thousands=" ">
      <textFields count="6">
        <textField type="YMD"/>
        <textField/>
        <textField/>
        <textField/>
        <textField/>
        <textField/>
      </textFields>
    </textPr>
  </connection>
  <connection id="5" xr16:uid="{2AC7E186-1312-46A0-AA85-740235936A7B}" name="statek4" type="6" refreshedVersion="8" background="1" saveData="1">
    <textPr codePage="852" sourceFile="C:\Users\domja\Desktop\PR2s\statek.txt" decimal="," thousands=" ">
      <textFields count="6">
        <textField type="YMD"/>
        <textField/>
        <textField/>
        <textField/>
        <textField/>
        <textField/>
      </textFields>
    </textPr>
  </connection>
  <connection id="6" xr16:uid="{8E15E077-9028-4F02-99EF-AABBBFD49FA4}" name="statek41" type="6" refreshedVersion="8" background="1" saveData="1">
    <textPr codePage="852" sourceFile="C:\Users\domja\Desktop\PR2s\statek.txt" decimal="," thousands=" ">
      <textFields count="6">
        <textField type="YMD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<sst xmlns="http://schemas.openxmlformats.org/spreadsheetml/2006/main" count="3574" uniqueCount="88">
  <si>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</si>
  <si>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</si>
  <si>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</si>
  <si>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</si>
  <si>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</si>
  <si>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</si>
  <si>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</si>
  <si>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</si>
  <si>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</si>
  <si>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</si>
  <si>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</si>
  <si>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</si>
  <si>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</si>
  <si>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</si>
  <si>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</si>
  <si>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</si>
  <si>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</si>
  <si>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</si>
  <si>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</si>
  <si>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</si>
  <si>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</si>
  <si>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</si>
  <si>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</si>
  <si>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Etykiety wierszy</t>
  </si>
  <si>
    <t>Suma końcowa</t>
  </si>
  <si>
    <t>Etykiety kolumn</t>
  </si>
  <si>
    <t>Suma z ile ton</t>
  </si>
  <si>
    <t>2016</t>
  </si>
  <si>
    <t>2017</t>
  </si>
  <si>
    <t>2018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</si>
  <si>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</si>
  <si>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</si>
  <si>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</si>
  <si>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</si>
  <si>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</si>
  <si>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</si>
  <si>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</si>
  <si>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</si>
  <si>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</si>
  <si>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</si>
  <si>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</si>
  <si>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</si>
  <si>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</si>
  <si>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</si>
  <si>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</si>
  <si>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</si>
  <si>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</si>
  <si>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</si>
  <si>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</si>
  <si>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</si>
  <si>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</si>
  <si>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</si>
  <si>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</si>
  <si>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</si>
  <si>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</si>
  <si>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</si>
  <si>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</si>
  <si>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</si>
  <si>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</si>
  <si>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</si>
  <si>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</si>
  <si>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</si>
  <si>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</si>
  <si>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</si>
  <si>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</si>
  <si>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</si>
  <si>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</si>
  <si>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</si>
  <si>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</si>
  <si>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</si>
  <si>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</si>
  <si>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</si>
  <si>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</si>
  <si>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</si>
  <si>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</si>
  <si>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</si>
  <si>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</si>
  <si>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</si>
  <si>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miesiąc</t>
  </si>
  <si>
    <t>Wyładunek</t>
  </si>
  <si>
    <t>Załadunek</t>
  </si>
  <si>
    <t>talary</t>
  </si>
  <si>
    <t>talary po</t>
  </si>
  <si>
    <t>zaplata</t>
  </si>
  <si>
    <t>a)</t>
  </si>
  <si>
    <t>poczatek</t>
  </si>
  <si>
    <t>min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</si>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</sst>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NumberFormat="1" applyFont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Załadunek</a:t>
            </a:r>
            <a:r>
              <a:rPr lang="pl-PL" baseline="0"/>
              <a:t> i wyładunek dla towaru T5 każdego miesiąca od 2016 do 2018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'3'!$N$5</c:f>
              <c:strCache>
                <c:ptCount val="1"/>
                <c:pt idx="0">
                  <c:v>Wyładunek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'3'!$M$6:$M$41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'3'!$N$6:$N$41</c:f>
              <c:numCache>
                <c:formatCode>General</c:formatCode>
                <c:ptCount val="36"/>
                <c:pt idx="0">
                  <c:v>32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22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121</c:v>
                </c:pt>
                <c:pt idx="32">
                  <c:v>26</c:v>
                </c:pt>
                <c:pt idx="33">
                  <c:v>0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C-488C-B425-17ED0B44E309}"/>
            </c:ext>
          </c:extLst>
        </c:ser>
        <c:ser>
          <c:idx val="1"/>
          <c:order val="1"/>
          <c:tx>
            <c:strRef>
              <c:f>'3'!$O$5</c:f>
              <c:strCache>
                <c:ptCount val="1"/>
                <c:pt idx="0">
                  <c:v>Załadunek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'3'!$M$6:$M$41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'3'!$O$6:$O$41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42</c:v>
                </c:pt>
                <c:pt idx="6">
                  <c:v>83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10</c:v>
                </c:pt>
                <c:pt idx="25">
                  <c:v>34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2">
                  <c:v>0</c:v>
                </c:pt>
                <c:pt idx="33">
                  <c:v>20</c:v>
                </c:pt>
                <c:pt idx="34">
                  <c:v>48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C-488C-B425-17ED0B44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592975"/>
        <c:axId val="1494594415"/>
      </c:barChart>
      <c:catAx>
        <c:axId val="1494592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594415"/>
        <c:crosses val="autoZero"/>
        <c:auto val="1"/>
        <c:lblAlgn val="ctr"/>
        <c:lblOffset val="100"/>
        <c:noMultiLvlLbl val="0"/>
      </c:catAx>
      <c:valAx>
        <c:axId val="14945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 tonach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59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145254</xdr:colOff>
      <xdr:row>18</xdr:row>
      <xdr:rowOff>90488</xdr:rowOff>
    </xdr:from>
    <xdr:to>
      <xdr:col>26</xdr:col>
      <xdr:colOff>461961</xdr:colOff>
      <xdr:row>39</xdr:row>
      <xdr:rowOff>71438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2C243E4-5C3F-9192-7B3C-3F2EB5258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4.67945462963" createdVersion="8" refreshedVersion="8" minRefreshableVersion="3" recordCount="202" xr:uid="{20A9BD3D-E555-4DEB-8885-711D2003D17E}">
  <cacheSource type="worksheet">
    <worksheetSource ref="C1:E203" sheet="1"/>
  </cacheSource>
  <cacheFields count="3"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 count="67">
        <n v="3"/>
        <n v="32"/>
        <n v="38"/>
        <n v="33"/>
        <n v="43"/>
        <n v="14"/>
        <n v="44"/>
        <n v="1"/>
        <n v="21"/>
        <n v="9"/>
        <n v="8"/>
        <n v="50"/>
        <n v="7"/>
        <n v="10"/>
        <n v="25"/>
        <n v="36"/>
        <n v="5"/>
        <n v="35"/>
        <n v="4"/>
        <n v="42"/>
        <n v="28"/>
        <n v="19"/>
        <n v="72"/>
        <n v="37"/>
        <n v="48"/>
        <n v="191"/>
        <n v="47"/>
        <n v="41"/>
        <n v="45"/>
        <n v="40"/>
        <n v="17"/>
        <n v="2"/>
        <n v="23"/>
        <n v="11"/>
        <n v="30"/>
        <n v="97"/>
        <n v="79"/>
        <n v="26"/>
        <n v="39"/>
        <n v="112"/>
        <n v="34"/>
        <n v="74"/>
        <n v="12"/>
        <n v="15"/>
        <n v="86"/>
        <n v="110"/>
        <n v="13"/>
        <n v="68"/>
        <n v="22"/>
        <n v="116"/>
        <n v="29"/>
        <n v="20"/>
        <n v="24"/>
        <n v="6"/>
        <n v="147"/>
        <n v="134"/>
        <n v="49"/>
        <n v="46"/>
        <n v="16"/>
        <n v="27"/>
        <n v="184"/>
        <n v="192"/>
        <n v="18"/>
        <n v="121"/>
        <n v="61"/>
        <n v="82"/>
        <n v="6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4.683889351851" createdVersion="8" refreshedVersion="8" minRefreshableVersion="3" recordCount="202" xr:uid="{19C67C05-E0A7-49A8-BD6F-8437227DE47D}">
  <cacheSource type="worksheet">
    <worksheetSource ref="A1:D203" sheet="3"/>
  </cacheSource>
  <cacheFields count="7">
    <cacheField name="data" numFmtId="14">
      <sharedItems containsSemiMixedTypes="0" containsNonDate="0" containsDate="1" containsString="0" minDate="2016-01-01T00:00:00" maxDate="2018-12-19T00:00:00" count="56">
        <d v="2016-01-01T00:00:00"/>
        <d v="2016-01-16T00:00:00"/>
        <d v="2016-01-24T00:00:00"/>
        <d v="2016-02-19T00:00:00"/>
        <d v="2016-03-11T00:00:00"/>
        <d v="2016-04-04T00:00:00"/>
        <d v="2016-04-22T00:00:00"/>
        <d v="2016-05-14T00:00:00"/>
        <d v="2016-06-08T00:00:00"/>
        <d v="2016-06-21T00:00:00"/>
        <d v="2016-07-08T00:00:00"/>
        <d v="2016-07-23T00:00:00"/>
        <d v="2016-08-11T00:00:00"/>
        <d v="2016-09-06T00:00:00"/>
        <d v="2016-09-27T00:00:00"/>
        <d v="2016-10-21T00:00:00"/>
        <d v="2016-11-08T00:00:00"/>
        <d v="2016-11-30T00:00:00"/>
        <d v="2016-12-25T00:00:00"/>
        <d v="2017-01-07T00:00:00"/>
        <d v="2017-01-24T00:00:00"/>
        <d v="2017-02-08T00:00:00"/>
        <d v="2017-02-27T00:00:00"/>
        <d v="2017-03-25T00:00:00"/>
        <d v="2017-04-15T00:00:00"/>
        <d v="2017-05-09T00:00:00"/>
        <d v="2017-05-27T00:00:00"/>
        <d v="2017-06-18T00:00:00"/>
        <d v="2017-07-13T00:00:00"/>
        <d v="2017-07-26T00:00:00"/>
        <d v="2017-08-12T00:00:00"/>
        <d v="2017-08-27T00:00:00"/>
        <d v="2017-09-15T00:00:00"/>
        <d v="2017-10-11T00:00:00"/>
        <d v="2017-11-01T00:00:00"/>
        <d v="2017-11-25T00:00:00"/>
        <d v="2017-12-13T00:00:00"/>
        <d v="2018-01-04T00:00:00"/>
        <d v="2018-01-29T00:00:00"/>
        <d v="2018-01-30T00:00:00"/>
        <d v="2018-02-16T00:00:00"/>
        <d v="2018-03-03T00:00:00"/>
        <d v="2018-03-22T00:00:00"/>
        <d v="2018-04-17T00:00:00"/>
        <d v="2018-05-08T00:00:00"/>
        <d v="2018-06-01T00:00:00"/>
        <d v="2018-06-19T00:00:00"/>
        <d v="2018-07-11T00:00:00"/>
        <d v="2018-08-05T00:00:00"/>
        <d v="2018-08-18T00:00:00"/>
        <d v="2018-09-04T00:00:00"/>
        <d v="2018-09-19T00:00:00"/>
        <d v="2018-10-08T00:00:00"/>
        <d v="2018-11-03T00:00:00"/>
        <d v="2018-11-24T00:00:00"/>
        <d v="2018-12-18T00:00:00"/>
      </sharedItems>
      <fieldGroup par="6"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Miesiące (data)" numFmtId="0" databaseField="0">
      <fieldGroup base="0">
        <rangePr groupBy="months" startDate="2016-01-01T00:00:00" endDate="2018-12-19T00:00:00"/>
        <groupItems count="14">
          <s v="&lt;01.01.201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9.12.2018"/>
        </groupItems>
      </fieldGroup>
    </cacheField>
    <cacheField name="Kwartały (data)" numFmtId="0" databaseField="0">
      <fieldGroup base="0">
        <rangePr groupBy="quarters" startDate="2016-01-01T00:00:00" endDate="2018-12-19T00:00:00"/>
        <groupItems count="6">
          <s v="&lt;01.01.2016"/>
          <s v="Kwartał1"/>
          <s v="Kwartał2"/>
          <s v="Kwartał3"/>
          <s v="Kwartał4"/>
          <s v="&gt;19.12.2018"/>
        </groupItems>
      </fieldGroup>
    </cacheField>
    <cacheField name="Lata (data)" numFmtId="0" databaseField="0">
      <fieldGroup base="0">
        <rangePr groupBy="years" startDate="2016-01-01T00:00:00" endDate="2018-12-19T00:00:00"/>
        <groupItems count="5">
          <s v="&lt;01.01.2016"/>
          <s v="2016"/>
          <s v="2017"/>
          <s v="2018"/>
          <s v="&gt;19.12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</r>
  <r>
    <x v="1"/>
    <x v="0"/>
    <x v="1"/>
  </r>
  <r>
    <x v="2"/>
    <x v="0"/>
    <x v="2"/>
  </r>
  <r>
    <x v="3"/>
    <x v="0"/>
    <x v="3"/>
  </r>
  <r>
    <x v="4"/>
    <x v="0"/>
    <x v="4"/>
  </r>
  <r>
    <x v="1"/>
    <x v="1"/>
    <x v="1"/>
  </r>
  <r>
    <x v="3"/>
    <x v="0"/>
    <x v="5"/>
  </r>
  <r>
    <x v="1"/>
    <x v="0"/>
    <x v="6"/>
  </r>
  <r>
    <x v="3"/>
    <x v="0"/>
    <x v="7"/>
  </r>
  <r>
    <x v="0"/>
    <x v="0"/>
    <x v="8"/>
  </r>
  <r>
    <x v="4"/>
    <x v="1"/>
    <x v="4"/>
  </r>
  <r>
    <x v="2"/>
    <x v="1"/>
    <x v="2"/>
  </r>
  <r>
    <x v="0"/>
    <x v="0"/>
    <x v="9"/>
  </r>
  <r>
    <x v="1"/>
    <x v="0"/>
    <x v="10"/>
  </r>
  <r>
    <x v="1"/>
    <x v="1"/>
    <x v="11"/>
  </r>
  <r>
    <x v="4"/>
    <x v="0"/>
    <x v="1"/>
  </r>
  <r>
    <x v="2"/>
    <x v="0"/>
    <x v="12"/>
  </r>
  <r>
    <x v="3"/>
    <x v="0"/>
    <x v="13"/>
  </r>
  <r>
    <x v="2"/>
    <x v="1"/>
    <x v="12"/>
  </r>
  <r>
    <x v="4"/>
    <x v="0"/>
    <x v="14"/>
  </r>
  <r>
    <x v="1"/>
    <x v="0"/>
    <x v="3"/>
  </r>
  <r>
    <x v="3"/>
    <x v="1"/>
    <x v="15"/>
  </r>
  <r>
    <x v="0"/>
    <x v="0"/>
    <x v="16"/>
  </r>
  <r>
    <x v="1"/>
    <x v="0"/>
    <x v="17"/>
  </r>
  <r>
    <x v="0"/>
    <x v="1"/>
    <x v="2"/>
  </r>
  <r>
    <x v="3"/>
    <x v="0"/>
    <x v="13"/>
  </r>
  <r>
    <x v="3"/>
    <x v="1"/>
    <x v="18"/>
  </r>
  <r>
    <x v="0"/>
    <x v="0"/>
    <x v="19"/>
  </r>
  <r>
    <x v="2"/>
    <x v="0"/>
    <x v="20"/>
  </r>
  <r>
    <x v="4"/>
    <x v="0"/>
    <x v="21"/>
  </r>
  <r>
    <x v="4"/>
    <x v="1"/>
    <x v="22"/>
  </r>
  <r>
    <x v="0"/>
    <x v="1"/>
    <x v="19"/>
  </r>
  <r>
    <x v="1"/>
    <x v="0"/>
    <x v="19"/>
  </r>
  <r>
    <x v="3"/>
    <x v="0"/>
    <x v="3"/>
  </r>
  <r>
    <x v="2"/>
    <x v="0"/>
    <x v="9"/>
  </r>
  <r>
    <x v="4"/>
    <x v="1"/>
    <x v="18"/>
  </r>
  <r>
    <x v="2"/>
    <x v="1"/>
    <x v="23"/>
  </r>
  <r>
    <x v="1"/>
    <x v="0"/>
    <x v="17"/>
  </r>
  <r>
    <x v="0"/>
    <x v="0"/>
    <x v="1"/>
  </r>
  <r>
    <x v="0"/>
    <x v="1"/>
    <x v="1"/>
  </r>
  <r>
    <x v="1"/>
    <x v="0"/>
    <x v="24"/>
  </r>
  <r>
    <x v="1"/>
    <x v="1"/>
    <x v="25"/>
  </r>
  <r>
    <x v="3"/>
    <x v="0"/>
    <x v="9"/>
  </r>
  <r>
    <x v="0"/>
    <x v="0"/>
    <x v="15"/>
  </r>
  <r>
    <x v="2"/>
    <x v="0"/>
    <x v="26"/>
  </r>
  <r>
    <x v="1"/>
    <x v="1"/>
    <x v="18"/>
  </r>
  <r>
    <x v="4"/>
    <x v="0"/>
    <x v="10"/>
  </r>
  <r>
    <x v="3"/>
    <x v="0"/>
    <x v="0"/>
  </r>
  <r>
    <x v="0"/>
    <x v="0"/>
    <x v="27"/>
  </r>
  <r>
    <x v="1"/>
    <x v="0"/>
    <x v="6"/>
  </r>
  <r>
    <x v="2"/>
    <x v="1"/>
    <x v="28"/>
  </r>
  <r>
    <x v="4"/>
    <x v="0"/>
    <x v="29"/>
  </r>
  <r>
    <x v="0"/>
    <x v="0"/>
    <x v="0"/>
  </r>
  <r>
    <x v="3"/>
    <x v="0"/>
    <x v="30"/>
  </r>
  <r>
    <x v="2"/>
    <x v="1"/>
    <x v="31"/>
  </r>
  <r>
    <x v="4"/>
    <x v="0"/>
    <x v="5"/>
  </r>
  <r>
    <x v="3"/>
    <x v="0"/>
    <x v="32"/>
  </r>
  <r>
    <x v="2"/>
    <x v="0"/>
    <x v="33"/>
  </r>
  <r>
    <x v="0"/>
    <x v="0"/>
    <x v="30"/>
  </r>
  <r>
    <x v="1"/>
    <x v="0"/>
    <x v="34"/>
  </r>
  <r>
    <x v="0"/>
    <x v="1"/>
    <x v="35"/>
  </r>
  <r>
    <x v="2"/>
    <x v="1"/>
    <x v="33"/>
  </r>
  <r>
    <x v="4"/>
    <x v="0"/>
    <x v="30"/>
  </r>
  <r>
    <x v="3"/>
    <x v="0"/>
    <x v="18"/>
  </r>
  <r>
    <x v="4"/>
    <x v="1"/>
    <x v="36"/>
  </r>
  <r>
    <x v="0"/>
    <x v="0"/>
    <x v="3"/>
  </r>
  <r>
    <x v="3"/>
    <x v="0"/>
    <x v="37"/>
  </r>
  <r>
    <x v="4"/>
    <x v="0"/>
    <x v="29"/>
  </r>
  <r>
    <x v="2"/>
    <x v="0"/>
    <x v="19"/>
  </r>
  <r>
    <x v="3"/>
    <x v="0"/>
    <x v="19"/>
  </r>
  <r>
    <x v="0"/>
    <x v="0"/>
    <x v="9"/>
  </r>
  <r>
    <x v="1"/>
    <x v="0"/>
    <x v="38"/>
  </r>
  <r>
    <x v="1"/>
    <x v="1"/>
    <x v="39"/>
  </r>
  <r>
    <x v="0"/>
    <x v="0"/>
    <x v="40"/>
  </r>
  <r>
    <x v="4"/>
    <x v="0"/>
    <x v="16"/>
  </r>
  <r>
    <x v="0"/>
    <x v="1"/>
    <x v="41"/>
  </r>
  <r>
    <x v="3"/>
    <x v="0"/>
    <x v="5"/>
  </r>
  <r>
    <x v="1"/>
    <x v="1"/>
    <x v="7"/>
  </r>
  <r>
    <x v="3"/>
    <x v="1"/>
    <x v="4"/>
  </r>
  <r>
    <x v="2"/>
    <x v="0"/>
    <x v="34"/>
  </r>
  <r>
    <x v="4"/>
    <x v="0"/>
    <x v="5"/>
  </r>
  <r>
    <x v="3"/>
    <x v="1"/>
    <x v="3"/>
  </r>
  <r>
    <x v="1"/>
    <x v="0"/>
    <x v="17"/>
  </r>
  <r>
    <x v="4"/>
    <x v="0"/>
    <x v="29"/>
  </r>
  <r>
    <x v="3"/>
    <x v="1"/>
    <x v="8"/>
  </r>
  <r>
    <x v="0"/>
    <x v="1"/>
    <x v="31"/>
  </r>
  <r>
    <x v="4"/>
    <x v="0"/>
    <x v="42"/>
  </r>
  <r>
    <x v="2"/>
    <x v="0"/>
    <x v="43"/>
  </r>
  <r>
    <x v="1"/>
    <x v="0"/>
    <x v="7"/>
  </r>
  <r>
    <x v="2"/>
    <x v="1"/>
    <x v="44"/>
  </r>
  <r>
    <x v="4"/>
    <x v="1"/>
    <x v="45"/>
  </r>
  <r>
    <x v="1"/>
    <x v="0"/>
    <x v="3"/>
  </r>
  <r>
    <x v="3"/>
    <x v="0"/>
    <x v="46"/>
  </r>
  <r>
    <x v="0"/>
    <x v="0"/>
    <x v="23"/>
  </r>
  <r>
    <x v="2"/>
    <x v="1"/>
    <x v="7"/>
  </r>
  <r>
    <x v="1"/>
    <x v="1"/>
    <x v="47"/>
  </r>
  <r>
    <x v="0"/>
    <x v="0"/>
    <x v="17"/>
  </r>
  <r>
    <x v="4"/>
    <x v="0"/>
    <x v="14"/>
  </r>
  <r>
    <x v="3"/>
    <x v="0"/>
    <x v="13"/>
  </r>
  <r>
    <x v="3"/>
    <x v="1"/>
    <x v="2"/>
  </r>
  <r>
    <x v="2"/>
    <x v="0"/>
    <x v="48"/>
  </r>
  <r>
    <x v="4"/>
    <x v="0"/>
    <x v="14"/>
  </r>
  <r>
    <x v="1"/>
    <x v="0"/>
    <x v="10"/>
  </r>
  <r>
    <x v="0"/>
    <x v="0"/>
    <x v="28"/>
  </r>
  <r>
    <x v="0"/>
    <x v="1"/>
    <x v="49"/>
  </r>
  <r>
    <x v="4"/>
    <x v="0"/>
    <x v="50"/>
  </r>
  <r>
    <x v="3"/>
    <x v="1"/>
    <x v="16"/>
  </r>
  <r>
    <x v="2"/>
    <x v="1"/>
    <x v="48"/>
  </r>
  <r>
    <x v="4"/>
    <x v="0"/>
    <x v="23"/>
  </r>
  <r>
    <x v="0"/>
    <x v="0"/>
    <x v="13"/>
  </r>
  <r>
    <x v="1"/>
    <x v="0"/>
    <x v="19"/>
  </r>
  <r>
    <x v="0"/>
    <x v="1"/>
    <x v="33"/>
  </r>
  <r>
    <x v="1"/>
    <x v="1"/>
    <x v="24"/>
  </r>
  <r>
    <x v="4"/>
    <x v="0"/>
    <x v="51"/>
  </r>
  <r>
    <x v="3"/>
    <x v="0"/>
    <x v="37"/>
  </r>
  <r>
    <x v="2"/>
    <x v="0"/>
    <x v="52"/>
  </r>
  <r>
    <x v="0"/>
    <x v="0"/>
    <x v="2"/>
  </r>
  <r>
    <x v="4"/>
    <x v="0"/>
    <x v="5"/>
  </r>
  <r>
    <x v="1"/>
    <x v="0"/>
    <x v="18"/>
  </r>
  <r>
    <x v="3"/>
    <x v="1"/>
    <x v="21"/>
  </r>
  <r>
    <x v="0"/>
    <x v="0"/>
    <x v="34"/>
  </r>
  <r>
    <x v="1"/>
    <x v="1"/>
    <x v="53"/>
  </r>
  <r>
    <x v="0"/>
    <x v="0"/>
    <x v="4"/>
  </r>
  <r>
    <x v="1"/>
    <x v="1"/>
    <x v="7"/>
  </r>
  <r>
    <x v="4"/>
    <x v="1"/>
    <x v="54"/>
  </r>
  <r>
    <x v="2"/>
    <x v="0"/>
    <x v="43"/>
  </r>
  <r>
    <x v="0"/>
    <x v="0"/>
    <x v="52"/>
  </r>
  <r>
    <x v="3"/>
    <x v="0"/>
    <x v="21"/>
  </r>
  <r>
    <x v="0"/>
    <x v="1"/>
    <x v="55"/>
  </r>
  <r>
    <x v="1"/>
    <x v="0"/>
    <x v="42"/>
  </r>
  <r>
    <x v="4"/>
    <x v="1"/>
    <x v="18"/>
  </r>
  <r>
    <x v="2"/>
    <x v="0"/>
    <x v="37"/>
  </r>
  <r>
    <x v="0"/>
    <x v="0"/>
    <x v="2"/>
  </r>
  <r>
    <x v="0"/>
    <x v="1"/>
    <x v="2"/>
  </r>
  <r>
    <x v="3"/>
    <x v="1"/>
    <x v="6"/>
  </r>
  <r>
    <x v="2"/>
    <x v="0"/>
    <x v="8"/>
  </r>
  <r>
    <x v="1"/>
    <x v="0"/>
    <x v="13"/>
  </r>
  <r>
    <x v="3"/>
    <x v="1"/>
    <x v="43"/>
  </r>
  <r>
    <x v="1"/>
    <x v="1"/>
    <x v="48"/>
  </r>
  <r>
    <x v="0"/>
    <x v="0"/>
    <x v="9"/>
  </r>
  <r>
    <x v="4"/>
    <x v="0"/>
    <x v="53"/>
  </r>
  <r>
    <x v="2"/>
    <x v="0"/>
    <x v="18"/>
  </r>
  <r>
    <x v="4"/>
    <x v="1"/>
    <x v="53"/>
  </r>
  <r>
    <x v="0"/>
    <x v="0"/>
    <x v="24"/>
  </r>
  <r>
    <x v="1"/>
    <x v="0"/>
    <x v="40"/>
  </r>
  <r>
    <x v="3"/>
    <x v="1"/>
    <x v="56"/>
  </r>
  <r>
    <x v="2"/>
    <x v="0"/>
    <x v="13"/>
  </r>
  <r>
    <x v="4"/>
    <x v="0"/>
    <x v="26"/>
  </r>
  <r>
    <x v="0"/>
    <x v="0"/>
    <x v="24"/>
  </r>
  <r>
    <x v="1"/>
    <x v="1"/>
    <x v="40"/>
  </r>
  <r>
    <x v="2"/>
    <x v="0"/>
    <x v="16"/>
  </r>
  <r>
    <x v="4"/>
    <x v="1"/>
    <x v="57"/>
  </r>
  <r>
    <x v="0"/>
    <x v="0"/>
    <x v="56"/>
  </r>
  <r>
    <x v="2"/>
    <x v="0"/>
    <x v="58"/>
  </r>
  <r>
    <x v="1"/>
    <x v="0"/>
    <x v="16"/>
  </r>
  <r>
    <x v="4"/>
    <x v="1"/>
    <x v="7"/>
  </r>
  <r>
    <x v="2"/>
    <x v="0"/>
    <x v="40"/>
  </r>
  <r>
    <x v="0"/>
    <x v="0"/>
    <x v="50"/>
  </r>
  <r>
    <x v="3"/>
    <x v="0"/>
    <x v="40"/>
  </r>
  <r>
    <x v="4"/>
    <x v="0"/>
    <x v="59"/>
  </r>
  <r>
    <x v="2"/>
    <x v="0"/>
    <x v="29"/>
  </r>
  <r>
    <x v="0"/>
    <x v="1"/>
    <x v="60"/>
  </r>
  <r>
    <x v="1"/>
    <x v="0"/>
    <x v="24"/>
  </r>
  <r>
    <x v="3"/>
    <x v="0"/>
    <x v="8"/>
  </r>
  <r>
    <x v="0"/>
    <x v="0"/>
    <x v="26"/>
  </r>
  <r>
    <x v="3"/>
    <x v="0"/>
    <x v="53"/>
  </r>
  <r>
    <x v="1"/>
    <x v="0"/>
    <x v="26"/>
  </r>
  <r>
    <x v="2"/>
    <x v="1"/>
    <x v="61"/>
  </r>
  <r>
    <x v="3"/>
    <x v="1"/>
    <x v="24"/>
  </r>
  <r>
    <x v="0"/>
    <x v="0"/>
    <x v="62"/>
  </r>
  <r>
    <x v="1"/>
    <x v="0"/>
    <x v="14"/>
  </r>
  <r>
    <x v="4"/>
    <x v="0"/>
    <x v="31"/>
  </r>
  <r>
    <x v="3"/>
    <x v="1"/>
    <x v="46"/>
  </r>
  <r>
    <x v="1"/>
    <x v="1"/>
    <x v="63"/>
  </r>
  <r>
    <x v="4"/>
    <x v="0"/>
    <x v="34"/>
  </r>
  <r>
    <x v="2"/>
    <x v="0"/>
    <x v="57"/>
  </r>
  <r>
    <x v="2"/>
    <x v="1"/>
    <x v="56"/>
  </r>
  <r>
    <x v="0"/>
    <x v="1"/>
    <x v="64"/>
  </r>
  <r>
    <x v="4"/>
    <x v="0"/>
    <x v="21"/>
  </r>
  <r>
    <x v="1"/>
    <x v="0"/>
    <x v="48"/>
  </r>
  <r>
    <x v="3"/>
    <x v="0"/>
    <x v="9"/>
  </r>
  <r>
    <x v="0"/>
    <x v="1"/>
    <x v="18"/>
  </r>
  <r>
    <x v="4"/>
    <x v="0"/>
    <x v="10"/>
  </r>
  <r>
    <x v="2"/>
    <x v="0"/>
    <x v="26"/>
  </r>
  <r>
    <x v="4"/>
    <x v="1"/>
    <x v="65"/>
  </r>
  <r>
    <x v="1"/>
    <x v="1"/>
    <x v="37"/>
  </r>
  <r>
    <x v="2"/>
    <x v="0"/>
    <x v="52"/>
  </r>
  <r>
    <x v="3"/>
    <x v="0"/>
    <x v="15"/>
  </r>
  <r>
    <x v="0"/>
    <x v="0"/>
    <x v="53"/>
  </r>
  <r>
    <x v="3"/>
    <x v="1"/>
    <x v="28"/>
  </r>
  <r>
    <x v="2"/>
    <x v="0"/>
    <x v="62"/>
  </r>
  <r>
    <x v="1"/>
    <x v="0"/>
    <x v="51"/>
  </r>
  <r>
    <x v="4"/>
    <x v="1"/>
    <x v="18"/>
  </r>
  <r>
    <x v="1"/>
    <x v="0"/>
    <x v="24"/>
  </r>
  <r>
    <x v="1"/>
    <x v="1"/>
    <x v="66"/>
  </r>
  <r>
    <x v="0"/>
    <x v="0"/>
    <x v="4"/>
  </r>
  <r>
    <x v="3"/>
    <x v="0"/>
    <x v="52"/>
  </r>
  <r>
    <x v="1"/>
    <x v="1"/>
    <x v="18"/>
  </r>
  <r>
    <x v="4"/>
    <x v="0"/>
    <x v="17"/>
  </r>
  <r>
    <x v="2"/>
    <x v="0"/>
    <x v="27"/>
  </r>
  <r>
    <x v="0"/>
    <x v="0"/>
    <x v="32"/>
  </r>
  <r>
    <x v="3"/>
    <x v="0"/>
    <x v="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n v="3"/>
  </r>
  <r>
    <x v="0"/>
    <x v="1"/>
    <x v="0"/>
    <n v="32"/>
  </r>
  <r>
    <x v="0"/>
    <x v="2"/>
    <x v="0"/>
    <n v="38"/>
  </r>
  <r>
    <x v="0"/>
    <x v="3"/>
    <x v="0"/>
    <n v="33"/>
  </r>
  <r>
    <x v="0"/>
    <x v="4"/>
    <x v="0"/>
    <n v="43"/>
  </r>
  <r>
    <x v="1"/>
    <x v="1"/>
    <x v="1"/>
    <n v="32"/>
  </r>
  <r>
    <x v="1"/>
    <x v="3"/>
    <x v="0"/>
    <n v="14"/>
  </r>
  <r>
    <x v="2"/>
    <x v="1"/>
    <x v="0"/>
    <n v="44"/>
  </r>
  <r>
    <x v="2"/>
    <x v="3"/>
    <x v="0"/>
    <n v="1"/>
  </r>
  <r>
    <x v="2"/>
    <x v="0"/>
    <x v="0"/>
    <n v="21"/>
  </r>
  <r>
    <x v="3"/>
    <x v="4"/>
    <x v="1"/>
    <n v="43"/>
  </r>
  <r>
    <x v="3"/>
    <x v="2"/>
    <x v="1"/>
    <n v="38"/>
  </r>
  <r>
    <x v="3"/>
    <x v="0"/>
    <x v="0"/>
    <n v="9"/>
  </r>
  <r>
    <x v="3"/>
    <x v="1"/>
    <x v="0"/>
    <n v="8"/>
  </r>
  <r>
    <x v="4"/>
    <x v="1"/>
    <x v="1"/>
    <n v="50"/>
  </r>
  <r>
    <x v="4"/>
    <x v="4"/>
    <x v="0"/>
    <n v="32"/>
  </r>
  <r>
    <x v="4"/>
    <x v="2"/>
    <x v="0"/>
    <n v="7"/>
  </r>
  <r>
    <x v="4"/>
    <x v="3"/>
    <x v="0"/>
    <n v="10"/>
  </r>
  <r>
    <x v="5"/>
    <x v="2"/>
    <x v="1"/>
    <n v="7"/>
  </r>
  <r>
    <x v="5"/>
    <x v="4"/>
    <x v="0"/>
    <n v="25"/>
  </r>
  <r>
    <x v="5"/>
    <x v="1"/>
    <x v="0"/>
    <n v="33"/>
  </r>
  <r>
    <x v="6"/>
    <x v="3"/>
    <x v="1"/>
    <n v="36"/>
  </r>
  <r>
    <x v="6"/>
    <x v="0"/>
    <x v="0"/>
    <n v="5"/>
  </r>
  <r>
    <x v="6"/>
    <x v="1"/>
    <x v="0"/>
    <n v="35"/>
  </r>
  <r>
    <x v="7"/>
    <x v="0"/>
    <x v="1"/>
    <n v="38"/>
  </r>
  <r>
    <x v="7"/>
    <x v="3"/>
    <x v="0"/>
    <n v="10"/>
  </r>
  <r>
    <x v="8"/>
    <x v="3"/>
    <x v="1"/>
    <n v="4"/>
  </r>
  <r>
    <x v="8"/>
    <x v="0"/>
    <x v="0"/>
    <n v="42"/>
  </r>
  <r>
    <x v="8"/>
    <x v="2"/>
    <x v="0"/>
    <n v="28"/>
  </r>
  <r>
    <x v="8"/>
    <x v="4"/>
    <x v="0"/>
    <n v="19"/>
  </r>
  <r>
    <x v="9"/>
    <x v="4"/>
    <x v="1"/>
    <n v="72"/>
  </r>
  <r>
    <x v="9"/>
    <x v="0"/>
    <x v="1"/>
    <n v="42"/>
  </r>
  <r>
    <x v="9"/>
    <x v="1"/>
    <x v="0"/>
    <n v="42"/>
  </r>
  <r>
    <x v="9"/>
    <x v="3"/>
    <x v="0"/>
    <n v="33"/>
  </r>
  <r>
    <x v="9"/>
    <x v="2"/>
    <x v="0"/>
    <n v="9"/>
  </r>
  <r>
    <x v="10"/>
    <x v="4"/>
    <x v="1"/>
    <n v="4"/>
  </r>
  <r>
    <x v="10"/>
    <x v="2"/>
    <x v="1"/>
    <n v="37"/>
  </r>
  <r>
    <x v="10"/>
    <x v="1"/>
    <x v="0"/>
    <n v="35"/>
  </r>
  <r>
    <x v="10"/>
    <x v="0"/>
    <x v="0"/>
    <n v="32"/>
  </r>
  <r>
    <x v="11"/>
    <x v="0"/>
    <x v="1"/>
    <n v="32"/>
  </r>
  <r>
    <x v="11"/>
    <x v="1"/>
    <x v="0"/>
    <n v="48"/>
  </r>
  <r>
    <x v="12"/>
    <x v="1"/>
    <x v="1"/>
    <n v="191"/>
  </r>
  <r>
    <x v="12"/>
    <x v="3"/>
    <x v="0"/>
    <n v="9"/>
  </r>
  <r>
    <x v="12"/>
    <x v="0"/>
    <x v="0"/>
    <n v="36"/>
  </r>
  <r>
    <x v="13"/>
    <x v="2"/>
    <x v="0"/>
    <n v="47"/>
  </r>
  <r>
    <x v="13"/>
    <x v="1"/>
    <x v="1"/>
    <n v="4"/>
  </r>
  <r>
    <x v="13"/>
    <x v="4"/>
    <x v="0"/>
    <n v="8"/>
  </r>
  <r>
    <x v="13"/>
    <x v="3"/>
    <x v="0"/>
    <n v="3"/>
  </r>
  <r>
    <x v="13"/>
    <x v="0"/>
    <x v="0"/>
    <n v="41"/>
  </r>
  <r>
    <x v="14"/>
    <x v="1"/>
    <x v="0"/>
    <n v="44"/>
  </r>
  <r>
    <x v="14"/>
    <x v="2"/>
    <x v="1"/>
    <n v="45"/>
  </r>
  <r>
    <x v="14"/>
    <x v="4"/>
    <x v="0"/>
    <n v="40"/>
  </r>
  <r>
    <x v="14"/>
    <x v="0"/>
    <x v="0"/>
    <n v="3"/>
  </r>
  <r>
    <x v="14"/>
    <x v="3"/>
    <x v="0"/>
    <n v="17"/>
  </r>
  <r>
    <x v="15"/>
    <x v="2"/>
    <x v="1"/>
    <n v="2"/>
  </r>
  <r>
    <x v="15"/>
    <x v="4"/>
    <x v="0"/>
    <n v="14"/>
  </r>
  <r>
    <x v="15"/>
    <x v="3"/>
    <x v="0"/>
    <n v="23"/>
  </r>
  <r>
    <x v="16"/>
    <x v="2"/>
    <x v="0"/>
    <n v="11"/>
  </r>
  <r>
    <x v="16"/>
    <x v="0"/>
    <x v="0"/>
    <n v="17"/>
  </r>
  <r>
    <x v="16"/>
    <x v="1"/>
    <x v="0"/>
    <n v="30"/>
  </r>
  <r>
    <x v="17"/>
    <x v="0"/>
    <x v="1"/>
    <n v="97"/>
  </r>
  <r>
    <x v="17"/>
    <x v="2"/>
    <x v="1"/>
    <n v="11"/>
  </r>
  <r>
    <x v="17"/>
    <x v="4"/>
    <x v="0"/>
    <n v="17"/>
  </r>
  <r>
    <x v="17"/>
    <x v="3"/>
    <x v="0"/>
    <n v="4"/>
  </r>
  <r>
    <x v="18"/>
    <x v="4"/>
    <x v="1"/>
    <n v="79"/>
  </r>
  <r>
    <x v="18"/>
    <x v="0"/>
    <x v="0"/>
    <n v="33"/>
  </r>
  <r>
    <x v="18"/>
    <x v="3"/>
    <x v="0"/>
    <n v="26"/>
  </r>
  <r>
    <x v="19"/>
    <x v="4"/>
    <x v="0"/>
    <n v="40"/>
  </r>
  <r>
    <x v="19"/>
    <x v="2"/>
    <x v="0"/>
    <n v="42"/>
  </r>
  <r>
    <x v="19"/>
    <x v="3"/>
    <x v="0"/>
    <n v="42"/>
  </r>
  <r>
    <x v="19"/>
    <x v="0"/>
    <x v="0"/>
    <n v="9"/>
  </r>
  <r>
    <x v="19"/>
    <x v="1"/>
    <x v="0"/>
    <n v="39"/>
  </r>
  <r>
    <x v="20"/>
    <x v="1"/>
    <x v="1"/>
    <n v="112"/>
  </r>
  <r>
    <x v="20"/>
    <x v="0"/>
    <x v="0"/>
    <n v="34"/>
  </r>
  <r>
    <x v="20"/>
    <x v="4"/>
    <x v="0"/>
    <n v="5"/>
  </r>
  <r>
    <x v="21"/>
    <x v="0"/>
    <x v="1"/>
    <n v="74"/>
  </r>
  <r>
    <x v="21"/>
    <x v="3"/>
    <x v="0"/>
    <n v="14"/>
  </r>
  <r>
    <x v="22"/>
    <x v="1"/>
    <x v="1"/>
    <n v="1"/>
  </r>
  <r>
    <x v="22"/>
    <x v="3"/>
    <x v="1"/>
    <n v="43"/>
  </r>
  <r>
    <x v="22"/>
    <x v="2"/>
    <x v="0"/>
    <n v="30"/>
  </r>
  <r>
    <x v="22"/>
    <x v="4"/>
    <x v="0"/>
    <n v="14"/>
  </r>
  <r>
    <x v="23"/>
    <x v="3"/>
    <x v="1"/>
    <n v="33"/>
  </r>
  <r>
    <x v="23"/>
    <x v="1"/>
    <x v="0"/>
    <n v="35"/>
  </r>
  <r>
    <x v="23"/>
    <x v="4"/>
    <x v="0"/>
    <n v="40"/>
  </r>
  <r>
    <x v="24"/>
    <x v="3"/>
    <x v="1"/>
    <n v="21"/>
  </r>
  <r>
    <x v="24"/>
    <x v="0"/>
    <x v="1"/>
    <n v="2"/>
  </r>
  <r>
    <x v="24"/>
    <x v="4"/>
    <x v="0"/>
    <n v="12"/>
  </r>
  <r>
    <x v="24"/>
    <x v="2"/>
    <x v="0"/>
    <n v="15"/>
  </r>
  <r>
    <x v="24"/>
    <x v="1"/>
    <x v="0"/>
    <n v="1"/>
  </r>
  <r>
    <x v="25"/>
    <x v="2"/>
    <x v="1"/>
    <n v="86"/>
  </r>
  <r>
    <x v="25"/>
    <x v="4"/>
    <x v="1"/>
    <n v="110"/>
  </r>
  <r>
    <x v="25"/>
    <x v="1"/>
    <x v="0"/>
    <n v="33"/>
  </r>
  <r>
    <x v="25"/>
    <x v="3"/>
    <x v="0"/>
    <n v="13"/>
  </r>
  <r>
    <x v="25"/>
    <x v="0"/>
    <x v="0"/>
    <n v="37"/>
  </r>
  <r>
    <x v="26"/>
    <x v="2"/>
    <x v="1"/>
    <n v="1"/>
  </r>
  <r>
    <x v="26"/>
    <x v="1"/>
    <x v="1"/>
    <n v="68"/>
  </r>
  <r>
    <x v="26"/>
    <x v="0"/>
    <x v="0"/>
    <n v="35"/>
  </r>
  <r>
    <x v="26"/>
    <x v="4"/>
    <x v="0"/>
    <n v="25"/>
  </r>
  <r>
    <x v="26"/>
    <x v="3"/>
    <x v="0"/>
    <n v="10"/>
  </r>
  <r>
    <x v="27"/>
    <x v="3"/>
    <x v="1"/>
    <n v="38"/>
  </r>
  <r>
    <x v="27"/>
    <x v="2"/>
    <x v="0"/>
    <n v="22"/>
  </r>
  <r>
    <x v="27"/>
    <x v="4"/>
    <x v="0"/>
    <n v="25"/>
  </r>
  <r>
    <x v="27"/>
    <x v="1"/>
    <x v="0"/>
    <n v="8"/>
  </r>
  <r>
    <x v="27"/>
    <x v="0"/>
    <x v="0"/>
    <n v="45"/>
  </r>
  <r>
    <x v="28"/>
    <x v="0"/>
    <x v="1"/>
    <n v="116"/>
  </r>
  <r>
    <x v="28"/>
    <x v="4"/>
    <x v="0"/>
    <n v="29"/>
  </r>
  <r>
    <x v="29"/>
    <x v="3"/>
    <x v="1"/>
    <n v="5"/>
  </r>
  <r>
    <x v="29"/>
    <x v="2"/>
    <x v="1"/>
    <n v="22"/>
  </r>
  <r>
    <x v="29"/>
    <x v="4"/>
    <x v="0"/>
    <n v="37"/>
  </r>
  <r>
    <x v="29"/>
    <x v="0"/>
    <x v="0"/>
    <n v="10"/>
  </r>
  <r>
    <x v="29"/>
    <x v="1"/>
    <x v="0"/>
    <n v="42"/>
  </r>
  <r>
    <x v="30"/>
    <x v="0"/>
    <x v="1"/>
    <n v="11"/>
  </r>
  <r>
    <x v="30"/>
    <x v="1"/>
    <x v="1"/>
    <n v="48"/>
  </r>
  <r>
    <x v="30"/>
    <x v="4"/>
    <x v="0"/>
    <n v="20"/>
  </r>
  <r>
    <x v="30"/>
    <x v="3"/>
    <x v="0"/>
    <n v="26"/>
  </r>
  <r>
    <x v="31"/>
    <x v="2"/>
    <x v="0"/>
    <n v="24"/>
  </r>
  <r>
    <x v="31"/>
    <x v="0"/>
    <x v="0"/>
    <n v="38"/>
  </r>
  <r>
    <x v="31"/>
    <x v="4"/>
    <x v="0"/>
    <n v="14"/>
  </r>
  <r>
    <x v="31"/>
    <x v="1"/>
    <x v="0"/>
    <n v="4"/>
  </r>
  <r>
    <x v="32"/>
    <x v="3"/>
    <x v="1"/>
    <n v="19"/>
  </r>
  <r>
    <x v="32"/>
    <x v="0"/>
    <x v="0"/>
    <n v="30"/>
  </r>
  <r>
    <x v="33"/>
    <x v="1"/>
    <x v="1"/>
    <n v="6"/>
  </r>
  <r>
    <x v="33"/>
    <x v="0"/>
    <x v="0"/>
    <n v="43"/>
  </r>
  <r>
    <x v="34"/>
    <x v="1"/>
    <x v="1"/>
    <n v="1"/>
  </r>
  <r>
    <x v="34"/>
    <x v="4"/>
    <x v="1"/>
    <n v="147"/>
  </r>
  <r>
    <x v="34"/>
    <x v="2"/>
    <x v="0"/>
    <n v="15"/>
  </r>
  <r>
    <x v="34"/>
    <x v="0"/>
    <x v="0"/>
    <n v="24"/>
  </r>
  <r>
    <x v="34"/>
    <x v="3"/>
    <x v="0"/>
    <n v="19"/>
  </r>
  <r>
    <x v="35"/>
    <x v="0"/>
    <x v="1"/>
    <n v="134"/>
  </r>
  <r>
    <x v="35"/>
    <x v="1"/>
    <x v="0"/>
    <n v="12"/>
  </r>
  <r>
    <x v="36"/>
    <x v="4"/>
    <x v="1"/>
    <n v="4"/>
  </r>
  <r>
    <x v="36"/>
    <x v="2"/>
    <x v="0"/>
    <n v="26"/>
  </r>
  <r>
    <x v="36"/>
    <x v="0"/>
    <x v="0"/>
    <n v="38"/>
  </r>
  <r>
    <x v="37"/>
    <x v="0"/>
    <x v="1"/>
    <n v="38"/>
  </r>
  <r>
    <x v="37"/>
    <x v="3"/>
    <x v="1"/>
    <n v="44"/>
  </r>
  <r>
    <x v="37"/>
    <x v="2"/>
    <x v="0"/>
    <n v="21"/>
  </r>
  <r>
    <x v="37"/>
    <x v="1"/>
    <x v="0"/>
    <n v="10"/>
  </r>
  <r>
    <x v="38"/>
    <x v="3"/>
    <x v="1"/>
    <n v="15"/>
  </r>
  <r>
    <x v="38"/>
    <x v="1"/>
    <x v="1"/>
    <n v="22"/>
  </r>
  <r>
    <x v="38"/>
    <x v="0"/>
    <x v="0"/>
    <n v="9"/>
  </r>
  <r>
    <x v="38"/>
    <x v="4"/>
    <x v="0"/>
    <n v="6"/>
  </r>
  <r>
    <x v="38"/>
    <x v="2"/>
    <x v="0"/>
    <n v="4"/>
  </r>
  <r>
    <x v="39"/>
    <x v="4"/>
    <x v="1"/>
    <n v="6"/>
  </r>
  <r>
    <x v="39"/>
    <x v="0"/>
    <x v="0"/>
    <n v="48"/>
  </r>
  <r>
    <x v="40"/>
    <x v="1"/>
    <x v="0"/>
    <n v="34"/>
  </r>
  <r>
    <x v="40"/>
    <x v="3"/>
    <x v="1"/>
    <n v="49"/>
  </r>
  <r>
    <x v="40"/>
    <x v="2"/>
    <x v="0"/>
    <n v="10"/>
  </r>
  <r>
    <x v="40"/>
    <x v="4"/>
    <x v="0"/>
    <n v="47"/>
  </r>
  <r>
    <x v="40"/>
    <x v="0"/>
    <x v="0"/>
    <n v="48"/>
  </r>
  <r>
    <x v="41"/>
    <x v="1"/>
    <x v="1"/>
    <n v="34"/>
  </r>
  <r>
    <x v="41"/>
    <x v="2"/>
    <x v="0"/>
    <n v="5"/>
  </r>
  <r>
    <x v="42"/>
    <x v="4"/>
    <x v="1"/>
    <n v="46"/>
  </r>
  <r>
    <x v="42"/>
    <x v="0"/>
    <x v="0"/>
    <n v="49"/>
  </r>
  <r>
    <x v="42"/>
    <x v="2"/>
    <x v="0"/>
    <n v="16"/>
  </r>
  <r>
    <x v="43"/>
    <x v="1"/>
    <x v="0"/>
    <n v="5"/>
  </r>
  <r>
    <x v="43"/>
    <x v="4"/>
    <x v="1"/>
    <n v="1"/>
  </r>
  <r>
    <x v="43"/>
    <x v="2"/>
    <x v="0"/>
    <n v="34"/>
  </r>
  <r>
    <x v="43"/>
    <x v="0"/>
    <x v="0"/>
    <n v="29"/>
  </r>
  <r>
    <x v="44"/>
    <x v="3"/>
    <x v="0"/>
    <n v="34"/>
  </r>
  <r>
    <x v="44"/>
    <x v="4"/>
    <x v="0"/>
    <n v="27"/>
  </r>
  <r>
    <x v="44"/>
    <x v="2"/>
    <x v="0"/>
    <n v="40"/>
  </r>
  <r>
    <x v="45"/>
    <x v="0"/>
    <x v="1"/>
    <n v="184"/>
  </r>
  <r>
    <x v="45"/>
    <x v="1"/>
    <x v="0"/>
    <n v="48"/>
  </r>
  <r>
    <x v="45"/>
    <x v="3"/>
    <x v="0"/>
    <n v="21"/>
  </r>
  <r>
    <x v="46"/>
    <x v="0"/>
    <x v="0"/>
    <n v="47"/>
  </r>
  <r>
    <x v="46"/>
    <x v="3"/>
    <x v="0"/>
    <n v="6"/>
  </r>
  <r>
    <x v="46"/>
    <x v="1"/>
    <x v="0"/>
    <n v="47"/>
  </r>
  <r>
    <x v="47"/>
    <x v="2"/>
    <x v="1"/>
    <n v="192"/>
  </r>
  <r>
    <x v="47"/>
    <x v="3"/>
    <x v="1"/>
    <n v="48"/>
  </r>
  <r>
    <x v="47"/>
    <x v="0"/>
    <x v="0"/>
    <n v="18"/>
  </r>
  <r>
    <x v="47"/>
    <x v="1"/>
    <x v="0"/>
    <n v="25"/>
  </r>
  <r>
    <x v="47"/>
    <x v="4"/>
    <x v="0"/>
    <n v="2"/>
  </r>
  <r>
    <x v="48"/>
    <x v="3"/>
    <x v="1"/>
    <n v="13"/>
  </r>
  <r>
    <x v="48"/>
    <x v="1"/>
    <x v="1"/>
    <n v="121"/>
  </r>
  <r>
    <x v="48"/>
    <x v="4"/>
    <x v="0"/>
    <n v="30"/>
  </r>
  <r>
    <x v="48"/>
    <x v="2"/>
    <x v="0"/>
    <n v="46"/>
  </r>
  <r>
    <x v="49"/>
    <x v="2"/>
    <x v="1"/>
    <n v="49"/>
  </r>
  <r>
    <x v="49"/>
    <x v="0"/>
    <x v="1"/>
    <n v="61"/>
  </r>
  <r>
    <x v="49"/>
    <x v="4"/>
    <x v="0"/>
    <n v="19"/>
  </r>
  <r>
    <x v="49"/>
    <x v="1"/>
    <x v="0"/>
    <n v="22"/>
  </r>
  <r>
    <x v="50"/>
    <x v="3"/>
    <x v="0"/>
    <n v="9"/>
  </r>
  <r>
    <x v="50"/>
    <x v="0"/>
    <x v="1"/>
    <n v="4"/>
  </r>
  <r>
    <x v="50"/>
    <x v="4"/>
    <x v="0"/>
    <n v="8"/>
  </r>
  <r>
    <x v="50"/>
    <x v="2"/>
    <x v="0"/>
    <n v="47"/>
  </r>
  <r>
    <x v="51"/>
    <x v="4"/>
    <x v="1"/>
    <n v="82"/>
  </r>
  <r>
    <x v="51"/>
    <x v="1"/>
    <x v="1"/>
    <n v="26"/>
  </r>
  <r>
    <x v="51"/>
    <x v="2"/>
    <x v="0"/>
    <n v="24"/>
  </r>
  <r>
    <x v="51"/>
    <x v="3"/>
    <x v="0"/>
    <n v="36"/>
  </r>
  <r>
    <x v="51"/>
    <x v="0"/>
    <x v="0"/>
    <n v="6"/>
  </r>
  <r>
    <x v="52"/>
    <x v="3"/>
    <x v="1"/>
    <n v="45"/>
  </r>
  <r>
    <x v="52"/>
    <x v="2"/>
    <x v="0"/>
    <n v="18"/>
  </r>
  <r>
    <x v="52"/>
    <x v="1"/>
    <x v="0"/>
    <n v="20"/>
  </r>
  <r>
    <x v="53"/>
    <x v="4"/>
    <x v="1"/>
    <n v="4"/>
  </r>
  <r>
    <x v="53"/>
    <x v="1"/>
    <x v="0"/>
    <n v="48"/>
  </r>
  <r>
    <x v="54"/>
    <x v="1"/>
    <x v="1"/>
    <n v="64"/>
  </r>
  <r>
    <x v="54"/>
    <x v="0"/>
    <x v="0"/>
    <n v="43"/>
  </r>
  <r>
    <x v="54"/>
    <x v="3"/>
    <x v="0"/>
    <n v="24"/>
  </r>
  <r>
    <x v="55"/>
    <x v="1"/>
    <x v="1"/>
    <n v="4"/>
  </r>
  <r>
    <x v="55"/>
    <x v="4"/>
    <x v="0"/>
    <n v="35"/>
  </r>
  <r>
    <x v="55"/>
    <x v="2"/>
    <x v="0"/>
    <n v="41"/>
  </r>
  <r>
    <x v="55"/>
    <x v="0"/>
    <x v="0"/>
    <n v="23"/>
  </r>
  <r>
    <x v="55"/>
    <x v="3"/>
    <x v="0"/>
    <n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4EDFC-6012-4836-8B7A-EB411D32865B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3:L10" firstHeaderRow="1" firstDataRow="2" firstDataCol="1"/>
  <pivotFields count="3">
    <pivotField axis="axisRow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>
      <items count="68">
        <item x="7"/>
        <item x="31"/>
        <item x="0"/>
        <item x="18"/>
        <item x="16"/>
        <item x="53"/>
        <item x="12"/>
        <item x="10"/>
        <item x="9"/>
        <item x="13"/>
        <item x="33"/>
        <item x="42"/>
        <item x="46"/>
        <item x="5"/>
        <item x="43"/>
        <item x="58"/>
        <item x="30"/>
        <item x="62"/>
        <item x="21"/>
        <item x="51"/>
        <item x="8"/>
        <item x="48"/>
        <item x="32"/>
        <item x="52"/>
        <item x="14"/>
        <item x="37"/>
        <item x="59"/>
        <item x="20"/>
        <item x="50"/>
        <item x="34"/>
        <item x="1"/>
        <item x="3"/>
        <item x="40"/>
        <item x="17"/>
        <item x="15"/>
        <item x="23"/>
        <item x="2"/>
        <item x="38"/>
        <item x="29"/>
        <item x="27"/>
        <item x="19"/>
        <item x="4"/>
        <item x="6"/>
        <item x="28"/>
        <item x="57"/>
        <item x="26"/>
        <item x="24"/>
        <item x="56"/>
        <item x="11"/>
        <item x="64"/>
        <item x="66"/>
        <item x="47"/>
        <item x="22"/>
        <item x="41"/>
        <item x="36"/>
        <item x="65"/>
        <item x="44"/>
        <item x="35"/>
        <item x="45"/>
        <item x="39"/>
        <item x="49"/>
        <item x="63"/>
        <item x="55"/>
        <item x="54"/>
        <item x="60"/>
        <item x="25"/>
        <item x="6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z ile t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546BB-DA59-4A26-8487-F5FB6DF94386}" name="Tabela przestawna2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J38" firstHeaderRow="1" firstDataRow="2" firstDataCol="1" rowPageCount="1" colPageCount="1"/>
  <pivotFields count="7">
    <pivotField axis="axisRow" numFmtId="14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axis="axisPage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6"/>
    <field x="4"/>
    <field x="0"/>
  </rowFields>
  <rowItems count="34"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3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item="4" hier="-1"/>
  </pageFields>
  <dataFields count="1">
    <dataField name="Suma z ile t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1" xr16:uid="{6A5D4D26-9571-40A0-88EC-99535317423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2" xr16:uid="{FE260F63-46E0-4783-BACE-3ACB3DFFD87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3" xr16:uid="{54FD97A1-AB04-4F2E-95AB-5A049F5DC6BD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4" xr16:uid="{4E8884F3-067E-47DE-837C-247B9AD516BD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5" xr16:uid="{E8460192-C042-47BD-830A-991FF9352FB9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6" xr16:uid="{73E5A2B4-5B3F-4D52-803A-5EE38BAB352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workbookViewId="0">
      <selection activeCell="I14" sqref="I14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6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</row>
    <row r="4" spans="1:6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</row>
    <row r="5" spans="1:6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</row>
    <row r="6" spans="1:6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</row>
    <row r="7" spans="1:6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</row>
    <row r="8" spans="1:6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</row>
    <row r="9" spans="1:6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</row>
    <row r="10" spans="1:6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6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</row>
    <row r="12" spans="1:6" x14ac:dyDescent="0.4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</row>
    <row r="13" spans="1:6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6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6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6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6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</row>
    <row r="18" spans="1:6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6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6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6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6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6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6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6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6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6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6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6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6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6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6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4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E03C-66E0-4E0D-AFD3-A7629363BDD6}">
  <dimension ref="A1:L203"/>
  <sheetViews>
    <sheetView workbookViewId="0">
      <selection activeCell="I17" sqref="I17:K17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  <col min="9" max="9" width="16.1328125" bestFit="1" customWidth="1"/>
    <col min="10" max="10" width="16.19921875" bestFit="1" customWidth="1"/>
    <col min="11" max="11" width="4.73046875" bestFit="1" customWidth="1"/>
    <col min="12" max="12" width="13.1328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12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I3" s="2" t="s">
        <v>26</v>
      </c>
      <c r="J3" s="2" t="s">
        <v>25</v>
      </c>
    </row>
    <row r="4" spans="1:12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I4" s="2" t="s">
        <v>23</v>
      </c>
      <c r="J4" t="s">
        <v>14</v>
      </c>
      <c r="K4" t="s">
        <v>8</v>
      </c>
      <c r="L4" t="s">
        <v>24</v>
      </c>
    </row>
    <row r="5" spans="1:12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I5" s="3" t="s">
        <v>10</v>
      </c>
      <c r="J5" s="4">
        <v>490</v>
      </c>
      <c r="K5" s="4">
        <v>620</v>
      </c>
      <c r="L5" s="4">
        <v>1110</v>
      </c>
    </row>
    <row r="6" spans="1:12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I6" s="3" t="s">
        <v>11</v>
      </c>
      <c r="J6" s="4">
        <v>413</v>
      </c>
      <c r="K6" s="4">
        <v>483</v>
      </c>
      <c r="L6" s="4">
        <v>896</v>
      </c>
    </row>
    <row r="7" spans="1:12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I7" s="3" t="s">
        <v>12</v>
      </c>
      <c r="J7" s="4">
        <v>598</v>
      </c>
      <c r="K7" s="4">
        <v>633</v>
      </c>
      <c r="L7" s="4">
        <v>1231</v>
      </c>
    </row>
    <row r="8" spans="1:12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I8" s="3" t="s">
        <v>7</v>
      </c>
      <c r="J8" s="4">
        <v>833</v>
      </c>
      <c r="K8" s="4">
        <v>905</v>
      </c>
      <c r="L8" s="4">
        <v>1738</v>
      </c>
    </row>
    <row r="9" spans="1:12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I9" s="3" t="s">
        <v>9</v>
      </c>
      <c r="J9" s="4">
        <v>784</v>
      </c>
      <c r="K9" s="4">
        <v>784</v>
      </c>
      <c r="L9" s="4">
        <v>1568</v>
      </c>
    </row>
    <row r="10" spans="1:12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I10" s="3" t="s">
        <v>24</v>
      </c>
      <c r="J10" s="4">
        <v>3118</v>
      </c>
      <c r="K10" s="4">
        <v>3425</v>
      </c>
      <c r="L10" s="4">
        <v>6543</v>
      </c>
    </row>
    <row r="11" spans="1:12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</row>
    <row r="12" spans="1:12" x14ac:dyDescent="0.4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K12" t="s">
        <v>8</v>
      </c>
    </row>
    <row r="13" spans="1:12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I13" s="3" t="s">
        <v>7</v>
      </c>
      <c r="J13" s="4">
        <v>13</v>
      </c>
      <c r="K13" s="4">
        <v>32</v>
      </c>
      <c r="L13" s="4">
        <v>45</v>
      </c>
    </row>
    <row r="14" spans="1:12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12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12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11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I17" s="3" t="s">
        <v>7</v>
      </c>
      <c r="J17" s="4">
        <v>45</v>
      </c>
      <c r="K17" s="4">
        <v>905</v>
      </c>
    </row>
    <row r="18" spans="1:11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11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11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11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11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11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11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11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11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11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11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11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11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11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11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4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961D-62C6-4BF9-8437-C04E74735CF9}">
  <dimension ref="A1:J203"/>
  <sheetViews>
    <sheetView workbookViewId="0">
      <selection activeCell="I3" sqref="I3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5.3984375" bestFit="1" customWidth="1"/>
    <col min="4" max="4" width="4.1328125" bestFit="1" customWidth="1"/>
    <col min="5" max="5" width="5.73046875" bestFit="1" customWidth="1"/>
    <col min="6" max="6" width="19.464843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4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10" x14ac:dyDescent="0.4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A3-A2 - 1</f>
        <v>-1</v>
      </c>
      <c r="H3">
        <f>IF(G3&gt;20,1,0)</f>
        <v>0</v>
      </c>
      <c r="I3">
        <f>COUNTIF(G3:G203, "&gt;20")</f>
        <v>22</v>
      </c>
      <c r="J3">
        <f>SUM(H3:H203)</f>
        <v>22</v>
      </c>
    </row>
    <row r="4" spans="1:10" x14ac:dyDescent="0.4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A4-A3 - 1</f>
        <v>-1</v>
      </c>
      <c r="H4">
        <f t="shared" ref="H4:H67" si="1">IF(G4&gt;20,1,0)</f>
        <v>0</v>
      </c>
    </row>
    <row r="5" spans="1:10" x14ac:dyDescent="0.4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-1</v>
      </c>
      <c r="H5">
        <f t="shared" si="1"/>
        <v>0</v>
      </c>
    </row>
    <row r="6" spans="1:10" x14ac:dyDescent="0.4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-1</v>
      </c>
      <c r="H6">
        <f t="shared" si="1"/>
        <v>0</v>
      </c>
    </row>
    <row r="7" spans="1:10" x14ac:dyDescent="0.4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14</v>
      </c>
      <c r="H7">
        <f t="shared" si="1"/>
        <v>0</v>
      </c>
    </row>
    <row r="8" spans="1:10" x14ac:dyDescent="0.4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-1</v>
      </c>
      <c r="H8">
        <f t="shared" si="1"/>
        <v>0</v>
      </c>
    </row>
    <row r="9" spans="1:10" x14ac:dyDescent="0.4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7</v>
      </c>
      <c r="H9">
        <f t="shared" si="1"/>
        <v>0</v>
      </c>
    </row>
    <row r="10" spans="1:10" x14ac:dyDescent="0.4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-1</v>
      </c>
      <c r="H10">
        <f t="shared" si="1"/>
        <v>0</v>
      </c>
    </row>
    <row r="11" spans="1:10" x14ac:dyDescent="0.4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-1</v>
      </c>
      <c r="H11">
        <f t="shared" si="1"/>
        <v>0</v>
      </c>
    </row>
    <row r="12" spans="1:10" x14ac:dyDescent="0.4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25</v>
      </c>
      <c r="H12">
        <f t="shared" si="1"/>
        <v>1</v>
      </c>
    </row>
    <row r="13" spans="1:10" x14ac:dyDescent="0.4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-1</v>
      </c>
      <c r="H13">
        <f t="shared" si="1"/>
        <v>0</v>
      </c>
    </row>
    <row r="14" spans="1:10" x14ac:dyDescent="0.4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-1</v>
      </c>
      <c r="H14">
        <f t="shared" si="1"/>
        <v>0</v>
      </c>
    </row>
    <row r="15" spans="1:10" x14ac:dyDescent="0.4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-1</v>
      </c>
      <c r="H15">
        <f t="shared" si="1"/>
        <v>0</v>
      </c>
    </row>
    <row r="16" spans="1:10" x14ac:dyDescent="0.4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20</v>
      </c>
      <c r="H16">
        <f t="shared" si="1"/>
        <v>0</v>
      </c>
    </row>
    <row r="17" spans="1:8" x14ac:dyDescent="0.4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-1</v>
      </c>
      <c r="H17">
        <f t="shared" si="1"/>
        <v>0</v>
      </c>
    </row>
    <row r="18" spans="1:8" x14ac:dyDescent="0.4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-1</v>
      </c>
      <c r="H18">
        <f t="shared" si="1"/>
        <v>0</v>
      </c>
    </row>
    <row r="19" spans="1:8" x14ac:dyDescent="0.4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-1</v>
      </c>
      <c r="H19">
        <f t="shared" si="1"/>
        <v>0</v>
      </c>
    </row>
    <row r="20" spans="1:8" x14ac:dyDescent="0.4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23</v>
      </c>
      <c r="H20">
        <f t="shared" si="1"/>
        <v>1</v>
      </c>
    </row>
    <row r="21" spans="1:8" x14ac:dyDescent="0.4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-1</v>
      </c>
      <c r="H21">
        <f t="shared" si="1"/>
        <v>0</v>
      </c>
    </row>
    <row r="22" spans="1:8" x14ac:dyDescent="0.4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-1</v>
      </c>
      <c r="H22">
        <f t="shared" si="1"/>
        <v>0</v>
      </c>
    </row>
    <row r="23" spans="1:8" x14ac:dyDescent="0.4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17</v>
      </c>
      <c r="H23">
        <f t="shared" si="1"/>
        <v>0</v>
      </c>
    </row>
    <row r="24" spans="1:8" x14ac:dyDescent="0.4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-1</v>
      </c>
      <c r="H24">
        <f t="shared" si="1"/>
        <v>0</v>
      </c>
    </row>
    <row r="25" spans="1:8" x14ac:dyDescent="0.4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-1</v>
      </c>
      <c r="H25">
        <f t="shared" si="1"/>
        <v>0</v>
      </c>
    </row>
    <row r="26" spans="1:8" x14ac:dyDescent="0.4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21</v>
      </c>
      <c r="H26">
        <f t="shared" si="1"/>
        <v>1</v>
      </c>
    </row>
    <row r="27" spans="1:8" x14ac:dyDescent="0.4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-1</v>
      </c>
      <c r="H27">
        <f t="shared" si="1"/>
        <v>0</v>
      </c>
    </row>
    <row r="28" spans="1:8" x14ac:dyDescent="0.4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24</v>
      </c>
      <c r="H28">
        <f t="shared" si="1"/>
        <v>1</v>
      </c>
    </row>
    <row r="29" spans="1:8" x14ac:dyDescent="0.4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-1</v>
      </c>
      <c r="H29">
        <f t="shared" si="1"/>
        <v>0</v>
      </c>
    </row>
    <row r="30" spans="1:8" x14ac:dyDescent="0.4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-1</v>
      </c>
      <c r="H30">
        <f t="shared" si="1"/>
        <v>0</v>
      </c>
    </row>
    <row r="31" spans="1:8" x14ac:dyDescent="0.4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-1</v>
      </c>
      <c r="H31">
        <f t="shared" si="1"/>
        <v>0</v>
      </c>
    </row>
    <row r="32" spans="1:8" x14ac:dyDescent="0.4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12</v>
      </c>
      <c r="H32">
        <f t="shared" si="1"/>
        <v>0</v>
      </c>
    </row>
    <row r="33" spans="1:8" x14ac:dyDescent="0.4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-1</v>
      </c>
      <c r="H33">
        <f t="shared" si="1"/>
        <v>0</v>
      </c>
    </row>
    <row r="34" spans="1:8" x14ac:dyDescent="0.4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-1</v>
      </c>
      <c r="H34">
        <f t="shared" si="1"/>
        <v>0</v>
      </c>
    </row>
    <row r="35" spans="1:8" x14ac:dyDescent="0.4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-1</v>
      </c>
      <c r="H35">
        <f t="shared" si="1"/>
        <v>0</v>
      </c>
    </row>
    <row r="36" spans="1:8" x14ac:dyDescent="0.4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-1</v>
      </c>
      <c r="H36">
        <f t="shared" si="1"/>
        <v>0</v>
      </c>
    </row>
    <row r="37" spans="1:8" x14ac:dyDescent="0.4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16</v>
      </c>
      <c r="H37">
        <f t="shared" si="1"/>
        <v>0</v>
      </c>
    </row>
    <row r="38" spans="1:8" x14ac:dyDescent="0.4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-1</v>
      </c>
      <c r="H38">
        <f t="shared" si="1"/>
        <v>0</v>
      </c>
    </row>
    <row r="39" spans="1:8" x14ac:dyDescent="0.4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-1</v>
      </c>
      <c r="H39">
        <f t="shared" si="1"/>
        <v>0</v>
      </c>
    </row>
    <row r="40" spans="1:8" x14ac:dyDescent="0.4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-1</v>
      </c>
      <c r="H40">
        <f t="shared" si="1"/>
        <v>0</v>
      </c>
    </row>
    <row r="41" spans="1:8" x14ac:dyDescent="0.4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14</v>
      </c>
      <c r="H41">
        <f t="shared" si="1"/>
        <v>0</v>
      </c>
    </row>
    <row r="42" spans="1:8" x14ac:dyDescent="0.4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-1</v>
      </c>
      <c r="H42">
        <f t="shared" si="1"/>
        <v>0</v>
      </c>
    </row>
    <row r="43" spans="1:8" x14ac:dyDescent="0.4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18</v>
      </c>
      <c r="H43">
        <f t="shared" si="1"/>
        <v>0</v>
      </c>
    </row>
    <row r="44" spans="1:8" x14ac:dyDescent="0.4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-1</v>
      </c>
      <c r="H44">
        <f t="shared" si="1"/>
        <v>0</v>
      </c>
    </row>
    <row r="45" spans="1:8" x14ac:dyDescent="0.4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-1</v>
      </c>
      <c r="H45">
        <f t="shared" si="1"/>
        <v>0</v>
      </c>
    </row>
    <row r="46" spans="1:8" x14ac:dyDescent="0.4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25</v>
      </c>
      <c r="H46">
        <f t="shared" si="1"/>
        <v>1</v>
      </c>
    </row>
    <row r="47" spans="1:8" x14ac:dyDescent="0.4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-1</v>
      </c>
      <c r="H47">
        <f t="shared" si="1"/>
        <v>0</v>
      </c>
    </row>
    <row r="48" spans="1:8" x14ac:dyDescent="0.4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-1</v>
      </c>
      <c r="H48">
        <f t="shared" si="1"/>
        <v>0</v>
      </c>
    </row>
    <row r="49" spans="1:8" x14ac:dyDescent="0.4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-1</v>
      </c>
      <c r="H49">
        <f t="shared" si="1"/>
        <v>0</v>
      </c>
    </row>
    <row r="50" spans="1:8" x14ac:dyDescent="0.4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-1</v>
      </c>
      <c r="H50">
        <f t="shared" si="1"/>
        <v>0</v>
      </c>
    </row>
    <row r="51" spans="1:8" x14ac:dyDescent="0.4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20</v>
      </c>
      <c r="H51">
        <f t="shared" si="1"/>
        <v>0</v>
      </c>
    </row>
    <row r="52" spans="1:8" x14ac:dyDescent="0.4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-1</v>
      </c>
      <c r="H52">
        <f t="shared" si="1"/>
        <v>0</v>
      </c>
    </row>
    <row r="53" spans="1:8" x14ac:dyDescent="0.4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-1</v>
      </c>
      <c r="H53">
        <f t="shared" si="1"/>
        <v>0</v>
      </c>
    </row>
    <row r="54" spans="1:8" x14ac:dyDescent="0.4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-1</v>
      </c>
      <c r="H54">
        <f t="shared" si="1"/>
        <v>0</v>
      </c>
    </row>
    <row r="55" spans="1:8" x14ac:dyDescent="0.4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-1</v>
      </c>
      <c r="H55">
        <f t="shared" si="1"/>
        <v>0</v>
      </c>
    </row>
    <row r="56" spans="1:8" x14ac:dyDescent="0.4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23</v>
      </c>
      <c r="H56">
        <f t="shared" si="1"/>
        <v>1</v>
      </c>
    </row>
    <row r="57" spans="1:8" x14ac:dyDescent="0.4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-1</v>
      </c>
      <c r="H57">
        <f t="shared" si="1"/>
        <v>0</v>
      </c>
    </row>
    <row r="58" spans="1:8" x14ac:dyDescent="0.4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-1</v>
      </c>
      <c r="H58">
        <f t="shared" si="1"/>
        <v>0</v>
      </c>
    </row>
    <row r="59" spans="1:8" x14ac:dyDescent="0.4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17</v>
      </c>
      <c r="H59">
        <f t="shared" si="1"/>
        <v>0</v>
      </c>
    </row>
    <row r="60" spans="1:8" x14ac:dyDescent="0.4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-1</v>
      </c>
      <c r="H60">
        <f t="shared" si="1"/>
        <v>0</v>
      </c>
    </row>
    <row r="61" spans="1:8" x14ac:dyDescent="0.4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-1</v>
      </c>
      <c r="H61">
        <f t="shared" si="1"/>
        <v>0</v>
      </c>
    </row>
    <row r="62" spans="1:8" x14ac:dyDescent="0.4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21</v>
      </c>
      <c r="H62">
        <f t="shared" si="1"/>
        <v>1</v>
      </c>
    </row>
    <row r="63" spans="1:8" x14ac:dyDescent="0.4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-1</v>
      </c>
      <c r="H63">
        <f t="shared" si="1"/>
        <v>0</v>
      </c>
    </row>
    <row r="64" spans="1:8" x14ac:dyDescent="0.4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-1</v>
      </c>
      <c r="H64">
        <f t="shared" si="1"/>
        <v>0</v>
      </c>
    </row>
    <row r="65" spans="1:8" x14ac:dyDescent="0.4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-1</v>
      </c>
      <c r="H65">
        <f t="shared" si="1"/>
        <v>0</v>
      </c>
    </row>
    <row r="66" spans="1:8" x14ac:dyDescent="0.4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24</v>
      </c>
      <c r="H66">
        <f t="shared" si="1"/>
        <v>1</v>
      </c>
    </row>
    <row r="67" spans="1:8" x14ac:dyDescent="0.4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-1</v>
      </c>
      <c r="H67">
        <f t="shared" si="1"/>
        <v>0</v>
      </c>
    </row>
    <row r="68" spans="1:8" x14ac:dyDescent="0.4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2">A68-A67 - 1</f>
        <v>-1</v>
      </c>
      <c r="H68">
        <f t="shared" ref="H68:H131" si="3">IF(G68&gt;20,1,0)</f>
        <v>0</v>
      </c>
    </row>
    <row r="69" spans="1:8" x14ac:dyDescent="0.4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2"/>
        <v>12</v>
      </c>
      <c r="H69">
        <f t="shared" si="3"/>
        <v>0</v>
      </c>
    </row>
    <row r="70" spans="1:8" x14ac:dyDescent="0.4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2"/>
        <v>-1</v>
      </c>
      <c r="H70">
        <f t="shared" si="3"/>
        <v>0</v>
      </c>
    </row>
    <row r="71" spans="1:8" x14ac:dyDescent="0.4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2"/>
        <v>-1</v>
      </c>
      <c r="H71">
        <f t="shared" si="3"/>
        <v>0</v>
      </c>
    </row>
    <row r="72" spans="1:8" x14ac:dyDescent="0.4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2"/>
        <v>-1</v>
      </c>
      <c r="H72">
        <f t="shared" si="3"/>
        <v>0</v>
      </c>
    </row>
    <row r="73" spans="1:8" x14ac:dyDescent="0.4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2"/>
        <v>-1</v>
      </c>
      <c r="H73">
        <f t="shared" si="3"/>
        <v>0</v>
      </c>
    </row>
    <row r="74" spans="1:8" x14ac:dyDescent="0.4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2"/>
        <v>16</v>
      </c>
      <c r="H74">
        <f t="shared" si="3"/>
        <v>0</v>
      </c>
    </row>
    <row r="75" spans="1:8" x14ac:dyDescent="0.4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2"/>
        <v>-1</v>
      </c>
      <c r="H75">
        <f t="shared" si="3"/>
        <v>0</v>
      </c>
    </row>
    <row r="76" spans="1:8" x14ac:dyDescent="0.4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2"/>
        <v>-1</v>
      </c>
      <c r="H76">
        <f t="shared" si="3"/>
        <v>0</v>
      </c>
    </row>
    <row r="77" spans="1:8" x14ac:dyDescent="0.4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2"/>
        <v>14</v>
      </c>
      <c r="H77">
        <f t="shared" si="3"/>
        <v>0</v>
      </c>
    </row>
    <row r="78" spans="1:8" x14ac:dyDescent="0.4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2"/>
        <v>-1</v>
      </c>
      <c r="H78">
        <f t="shared" si="3"/>
        <v>0</v>
      </c>
    </row>
    <row r="79" spans="1:8" x14ac:dyDescent="0.4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2"/>
        <v>18</v>
      </c>
      <c r="H79">
        <f t="shared" si="3"/>
        <v>0</v>
      </c>
    </row>
    <row r="80" spans="1:8" x14ac:dyDescent="0.4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2"/>
        <v>-1</v>
      </c>
      <c r="H80">
        <f t="shared" si="3"/>
        <v>0</v>
      </c>
    </row>
    <row r="81" spans="1:8" x14ac:dyDescent="0.4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2"/>
        <v>-1</v>
      </c>
      <c r="H81">
        <f t="shared" si="3"/>
        <v>0</v>
      </c>
    </row>
    <row r="82" spans="1:8" x14ac:dyDescent="0.4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2"/>
        <v>-1</v>
      </c>
      <c r="H82">
        <f t="shared" si="3"/>
        <v>0</v>
      </c>
    </row>
    <row r="83" spans="1:8" x14ac:dyDescent="0.4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2"/>
        <v>25</v>
      </c>
      <c r="H83">
        <f t="shared" si="3"/>
        <v>1</v>
      </c>
    </row>
    <row r="84" spans="1:8" x14ac:dyDescent="0.4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2"/>
        <v>-1</v>
      </c>
      <c r="H84">
        <f t="shared" si="3"/>
        <v>0</v>
      </c>
    </row>
    <row r="85" spans="1:8" x14ac:dyDescent="0.4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2"/>
        <v>-1</v>
      </c>
      <c r="H85">
        <f t="shared" si="3"/>
        <v>0</v>
      </c>
    </row>
    <row r="86" spans="1:8" x14ac:dyDescent="0.4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2"/>
        <v>20</v>
      </c>
      <c r="H86">
        <f t="shared" si="3"/>
        <v>0</v>
      </c>
    </row>
    <row r="87" spans="1:8" x14ac:dyDescent="0.4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2"/>
        <v>-1</v>
      </c>
      <c r="H87">
        <f t="shared" si="3"/>
        <v>0</v>
      </c>
    </row>
    <row r="88" spans="1:8" x14ac:dyDescent="0.4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2"/>
        <v>-1</v>
      </c>
      <c r="H88">
        <f t="shared" si="3"/>
        <v>0</v>
      </c>
    </row>
    <row r="89" spans="1:8" x14ac:dyDescent="0.4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2"/>
        <v>-1</v>
      </c>
      <c r="H89">
        <f t="shared" si="3"/>
        <v>0</v>
      </c>
    </row>
    <row r="90" spans="1:8" x14ac:dyDescent="0.4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2"/>
        <v>-1</v>
      </c>
      <c r="H90">
        <f t="shared" si="3"/>
        <v>0</v>
      </c>
    </row>
    <row r="91" spans="1:8" x14ac:dyDescent="0.4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2"/>
        <v>23</v>
      </c>
      <c r="H91">
        <f t="shared" si="3"/>
        <v>1</v>
      </c>
    </row>
    <row r="92" spans="1:8" x14ac:dyDescent="0.4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2"/>
        <v>-1</v>
      </c>
      <c r="H92">
        <f t="shared" si="3"/>
        <v>0</v>
      </c>
    </row>
    <row r="93" spans="1:8" x14ac:dyDescent="0.4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2"/>
        <v>-1</v>
      </c>
      <c r="H93">
        <f t="shared" si="3"/>
        <v>0</v>
      </c>
    </row>
    <row r="94" spans="1:8" x14ac:dyDescent="0.4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2"/>
        <v>-1</v>
      </c>
      <c r="H94">
        <f t="shared" si="3"/>
        <v>0</v>
      </c>
    </row>
    <row r="95" spans="1:8" x14ac:dyDescent="0.4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2"/>
        <v>-1</v>
      </c>
      <c r="H95">
        <f t="shared" si="3"/>
        <v>0</v>
      </c>
    </row>
    <row r="96" spans="1:8" x14ac:dyDescent="0.4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2"/>
        <v>17</v>
      </c>
      <c r="H96">
        <f t="shared" si="3"/>
        <v>0</v>
      </c>
    </row>
    <row r="97" spans="1:8" x14ac:dyDescent="0.4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2"/>
        <v>-1</v>
      </c>
      <c r="H97">
        <f t="shared" si="3"/>
        <v>0</v>
      </c>
    </row>
    <row r="98" spans="1:8" x14ac:dyDescent="0.4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2"/>
        <v>-1</v>
      </c>
      <c r="H98">
        <f t="shared" si="3"/>
        <v>0</v>
      </c>
    </row>
    <row r="99" spans="1:8" x14ac:dyDescent="0.4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2"/>
        <v>-1</v>
      </c>
      <c r="H99">
        <f t="shared" si="3"/>
        <v>0</v>
      </c>
    </row>
    <row r="100" spans="1:8" x14ac:dyDescent="0.4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2"/>
        <v>-1</v>
      </c>
      <c r="H100">
        <f t="shared" si="3"/>
        <v>0</v>
      </c>
    </row>
    <row r="101" spans="1:8" x14ac:dyDescent="0.4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2"/>
        <v>21</v>
      </c>
      <c r="H101">
        <f t="shared" si="3"/>
        <v>1</v>
      </c>
    </row>
    <row r="102" spans="1:8" x14ac:dyDescent="0.4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2"/>
        <v>-1</v>
      </c>
      <c r="H102">
        <f t="shared" si="3"/>
        <v>0</v>
      </c>
    </row>
    <row r="103" spans="1:8" x14ac:dyDescent="0.4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2"/>
        <v>-1</v>
      </c>
      <c r="H103">
        <f t="shared" si="3"/>
        <v>0</v>
      </c>
    </row>
    <row r="104" spans="1:8" x14ac:dyDescent="0.4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2"/>
        <v>-1</v>
      </c>
      <c r="H104">
        <f t="shared" si="3"/>
        <v>0</v>
      </c>
    </row>
    <row r="105" spans="1:8" x14ac:dyDescent="0.4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2"/>
        <v>-1</v>
      </c>
      <c r="H105">
        <f t="shared" si="3"/>
        <v>0</v>
      </c>
    </row>
    <row r="106" spans="1:8" x14ac:dyDescent="0.4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2"/>
        <v>24</v>
      </c>
      <c r="H106">
        <f t="shared" si="3"/>
        <v>1</v>
      </c>
    </row>
    <row r="107" spans="1:8" x14ac:dyDescent="0.4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2"/>
        <v>-1</v>
      </c>
      <c r="H107">
        <f t="shared" si="3"/>
        <v>0</v>
      </c>
    </row>
    <row r="108" spans="1:8" x14ac:dyDescent="0.4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2"/>
        <v>12</v>
      </c>
      <c r="H108">
        <f t="shared" si="3"/>
        <v>0</v>
      </c>
    </row>
    <row r="109" spans="1:8" x14ac:dyDescent="0.4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2"/>
        <v>-1</v>
      </c>
      <c r="H109">
        <f t="shared" si="3"/>
        <v>0</v>
      </c>
    </row>
    <row r="110" spans="1:8" x14ac:dyDescent="0.4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2"/>
        <v>-1</v>
      </c>
      <c r="H110">
        <f t="shared" si="3"/>
        <v>0</v>
      </c>
    </row>
    <row r="111" spans="1:8" x14ac:dyDescent="0.4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2"/>
        <v>-1</v>
      </c>
      <c r="H111">
        <f t="shared" si="3"/>
        <v>0</v>
      </c>
    </row>
    <row r="112" spans="1:8" x14ac:dyDescent="0.4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2"/>
        <v>-1</v>
      </c>
      <c r="H112">
        <f t="shared" si="3"/>
        <v>0</v>
      </c>
    </row>
    <row r="113" spans="1:8" x14ac:dyDescent="0.4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2"/>
        <v>16</v>
      </c>
      <c r="H113">
        <f t="shared" si="3"/>
        <v>0</v>
      </c>
    </row>
    <row r="114" spans="1:8" x14ac:dyDescent="0.4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2"/>
        <v>-1</v>
      </c>
      <c r="H114">
        <f t="shared" si="3"/>
        <v>0</v>
      </c>
    </row>
    <row r="115" spans="1:8" x14ac:dyDescent="0.4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2"/>
        <v>-1</v>
      </c>
      <c r="H115">
        <f t="shared" si="3"/>
        <v>0</v>
      </c>
    </row>
    <row r="116" spans="1:8" x14ac:dyDescent="0.4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2"/>
        <v>-1</v>
      </c>
      <c r="H116">
        <f t="shared" si="3"/>
        <v>0</v>
      </c>
    </row>
    <row r="117" spans="1:8" x14ac:dyDescent="0.4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2"/>
        <v>14</v>
      </c>
      <c r="H117">
        <f t="shared" si="3"/>
        <v>0</v>
      </c>
    </row>
    <row r="118" spans="1:8" x14ac:dyDescent="0.4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2"/>
        <v>-1</v>
      </c>
      <c r="H118">
        <f t="shared" si="3"/>
        <v>0</v>
      </c>
    </row>
    <row r="119" spans="1:8" x14ac:dyDescent="0.4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2"/>
        <v>-1</v>
      </c>
      <c r="H119">
        <f t="shared" si="3"/>
        <v>0</v>
      </c>
    </row>
    <row r="120" spans="1:8" x14ac:dyDescent="0.4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2"/>
        <v>-1</v>
      </c>
      <c r="H120">
        <f t="shared" si="3"/>
        <v>0</v>
      </c>
    </row>
    <row r="121" spans="1:8" x14ac:dyDescent="0.4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2"/>
        <v>18</v>
      </c>
      <c r="H121">
        <f t="shared" si="3"/>
        <v>0</v>
      </c>
    </row>
    <row r="122" spans="1:8" x14ac:dyDescent="0.4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2"/>
        <v>-1</v>
      </c>
      <c r="H122">
        <f t="shared" si="3"/>
        <v>0</v>
      </c>
    </row>
    <row r="123" spans="1:8" x14ac:dyDescent="0.4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2"/>
        <v>25</v>
      </c>
      <c r="H123">
        <f t="shared" si="3"/>
        <v>1</v>
      </c>
    </row>
    <row r="124" spans="1:8" x14ac:dyDescent="0.4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2"/>
        <v>-1</v>
      </c>
      <c r="H124">
        <f t="shared" si="3"/>
        <v>0</v>
      </c>
    </row>
    <row r="125" spans="1:8" x14ac:dyDescent="0.4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2"/>
        <v>20</v>
      </c>
      <c r="H125">
        <f t="shared" si="3"/>
        <v>0</v>
      </c>
    </row>
    <row r="126" spans="1:8" x14ac:dyDescent="0.4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2"/>
        <v>-1</v>
      </c>
      <c r="H126">
        <f t="shared" si="3"/>
        <v>0</v>
      </c>
    </row>
    <row r="127" spans="1:8" x14ac:dyDescent="0.4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2"/>
        <v>-1</v>
      </c>
      <c r="H127">
        <f t="shared" si="3"/>
        <v>0</v>
      </c>
    </row>
    <row r="128" spans="1:8" x14ac:dyDescent="0.4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2"/>
        <v>-1</v>
      </c>
      <c r="H128">
        <f t="shared" si="3"/>
        <v>0</v>
      </c>
    </row>
    <row r="129" spans="1:8" x14ac:dyDescent="0.4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2"/>
        <v>-1</v>
      </c>
      <c r="H129">
        <f t="shared" si="3"/>
        <v>0</v>
      </c>
    </row>
    <row r="130" spans="1:8" x14ac:dyDescent="0.4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2"/>
        <v>23</v>
      </c>
      <c r="H130">
        <f t="shared" si="3"/>
        <v>1</v>
      </c>
    </row>
    <row r="131" spans="1:8" x14ac:dyDescent="0.4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2"/>
        <v>-1</v>
      </c>
      <c r="H131">
        <f t="shared" si="3"/>
        <v>0</v>
      </c>
    </row>
    <row r="132" spans="1:8" x14ac:dyDescent="0.4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4">A132-A131 - 1</f>
        <v>17</v>
      </c>
      <c r="H132">
        <f t="shared" ref="H132:H195" si="5">IF(G132&gt;20,1,0)</f>
        <v>0</v>
      </c>
    </row>
    <row r="133" spans="1:8" x14ac:dyDescent="0.4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4"/>
        <v>-1</v>
      </c>
      <c r="H133">
        <f t="shared" si="5"/>
        <v>0</v>
      </c>
    </row>
    <row r="134" spans="1:8" x14ac:dyDescent="0.4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4"/>
        <v>-1</v>
      </c>
      <c r="H134">
        <f t="shared" si="5"/>
        <v>0</v>
      </c>
    </row>
    <row r="135" spans="1:8" x14ac:dyDescent="0.4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4"/>
        <v>21</v>
      </c>
      <c r="H135">
        <f t="shared" si="5"/>
        <v>1</v>
      </c>
    </row>
    <row r="136" spans="1:8" x14ac:dyDescent="0.4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4"/>
        <v>-1</v>
      </c>
      <c r="H136">
        <f t="shared" si="5"/>
        <v>0</v>
      </c>
    </row>
    <row r="137" spans="1:8" x14ac:dyDescent="0.4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4"/>
        <v>-1</v>
      </c>
      <c r="H137">
        <f t="shared" si="5"/>
        <v>0</v>
      </c>
    </row>
    <row r="138" spans="1:8" x14ac:dyDescent="0.4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4"/>
        <v>-1</v>
      </c>
      <c r="H138">
        <f t="shared" si="5"/>
        <v>0</v>
      </c>
    </row>
    <row r="139" spans="1:8" x14ac:dyDescent="0.4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4"/>
        <v>24</v>
      </c>
      <c r="H139">
        <f t="shared" si="5"/>
        <v>1</v>
      </c>
    </row>
    <row r="140" spans="1:8" x14ac:dyDescent="0.4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4"/>
        <v>-1</v>
      </c>
      <c r="H140">
        <f t="shared" si="5"/>
        <v>0</v>
      </c>
    </row>
    <row r="141" spans="1:8" x14ac:dyDescent="0.4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4"/>
        <v>-1</v>
      </c>
      <c r="H141">
        <f t="shared" si="5"/>
        <v>0</v>
      </c>
    </row>
    <row r="142" spans="1:8" x14ac:dyDescent="0.4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4"/>
        <v>-1</v>
      </c>
      <c r="H142">
        <f t="shared" si="5"/>
        <v>0</v>
      </c>
    </row>
    <row r="143" spans="1:8" x14ac:dyDescent="0.4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4"/>
        <v>-1</v>
      </c>
      <c r="H143">
        <f t="shared" si="5"/>
        <v>0</v>
      </c>
    </row>
    <row r="144" spans="1:8" x14ac:dyDescent="0.4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4"/>
        <v>0</v>
      </c>
      <c r="H144">
        <f t="shared" si="5"/>
        <v>0</v>
      </c>
    </row>
    <row r="145" spans="1:8" x14ac:dyDescent="0.4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4"/>
        <v>-1</v>
      </c>
      <c r="H145">
        <f t="shared" si="5"/>
        <v>0</v>
      </c>
    </row>
    <row r="146" spans="1:8" x14ac:dyDescent="0.4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4"/>
        <v>16</v>
      </c>
      <c r="H146">
        <f t="shared" si="5"/>
        <v>0</v>
      </c>
    </row>
    <row r="147" spans="1:8" x14ac:dyDescent="0.4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4"/>
        <v>-1</v>
      </c>
      <c r="H147">
        <f t="shared" si="5"/>
        <v>0</v>
      </c>
    </row>
    <row r="148" spans="1:8" x14ac:dyDescent="0.4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4"/>
        <v>-1</v>
      </c>
      <c r="H148">
        <f t="shared" si="5"/>
        <v>0</v>
      </c>
    </row>
    <row r="149" spans="1:8" x14ac:dyDescent="0.4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4"/>
        <v>-1</v>
      </c>
      <c r="H149">
        <f t="shared" si="5"/>
        <v>0</v>
      </c>
    </row>
    <row r="150" spans="1:8" x14ac:dyDescent="0.4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4"/>
        <v>-1</v>
      </c>
      <c r="H150">
        <f t="shared" si="5"/>
        <v>0</v>
      </c>
    </row>
    <row r="151" spans="1:8" x14ac:dyDescent="0.4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4"/>
        <v>14</v>
      </c>
      <c r="H151">
        <f t="shared" si="5"/>
        <v>0</v>
      </c>
    </row>
    <row r="152" spans="1:8" x14ac:dyDescent="0.4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4"/>
        <v>-1</v>
      </c>
      <c r="H152">
        <f t="shared" si="5"/>
        <v>0</v>
      </c>
    </row>
    <row r="153" spans="1:8" x14ac:dyDescent="0.4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4"/>
        <v>18</v>
      </c>
      <c r="H153">
        <f t="shared" si="5"/>
        <v>0</v>
      </c>
    </row>
    <row r="154" spans="1:8" x14ac:dyDescent="0.4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4"/>
        <v>-1</v>
      </c>
      <c r="H154">
        <f t="shared" si="5"/>
        <v>0</v>
      </c>
    </row>
    <row r="155" spans="1:8" x14ac:dyDescent="0.4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4"/>
        <v>-1</v>
      </c>
      <c r="H155">
        <f t="shared" si="5"/>
        <v>0</v>
      </c>
    </row>
    <row r="156" spans="1:8" x14ac:dyDescent="0.4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4"/>
        <v>25</v>
      </c>
      <c r="H156">
        <f t="shared" si="5"/>
        <v>1</v>
      </c>
    </row>
    <row r="157" spans="1:8" x14ac:dyDescent="0.4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4"/>
        <v>-1</v>
      </c>
      <c r="H157">
        <f t="shared" si="5"/>
        <v>0</v>
      </c>
    </row>
    <row r="158" spans="1:8" x14ac:dyDescent="0.4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4"/>
        <v>-1</v>
      </c>
      <c r="H158">
        <f t="shared" si="5"/>
        <v>0</v>
      </c>
    </row>
    <row r="159" spans="1:8" x14ac:dyDescent="0.4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4"/>
        <v>-1</v>
      </c>
      <c r="H159">
        <f t="shared" si="5"/>
        <v>0</v>
      </c>
    </row>
    <row r="160" spans="1:8" x14ac:dyDescent="0.4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4"/>
        <v>20</v>
      </c>
      <c r="H160">
        <f t="shared" si="5"/>
        <v>0</v>
      </c>
    </row>
    <row r="161" spans="1:8" x14ac:dyDescent="0.4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4"/>
        <v>-1</v>
      </c>
      <c r="H161">
        <f t="shared" si="5"/>
        <v>0</v>
      </c>
    </row>
    <row r="162" spans="1:8" x14ac:dyDescent="0.4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4"/>
        <v>-1</v>
      </c>
      <c r="H162">
        <f t="shared" si="5"/>
        <v>0</v>
      </c>
    </row>
    <row r="163" spans="1:8" x14ac:dyDescent="0.4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4"/>
        <v>23</v>
      </c>
      <c r="H163">
        <f t="shared" si="5"/>
        <v>1</v>
      </c>
    </row>
    <row r="164" spans="1:8" x14ac:dyDescent="0.4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4"/>
        <v>-1</v>
      </c>
      <c r="H164">
        <f t="shared" si="5"/>
        <v>0</v>
      </c>
    </row>
    <row r="165" spans="1:8" x14ac:dyDescent="0.4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4"/>
        <v>-1</v>
      </c>
      <c r="H165">
        <f t="shared" si="5"/>
        <v>0</v>
      </c>
    </row>
    <row r="166" spans="1:8" x14ac:dyDescent="0.4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4"/>
        <v>17</v>
      </c>
      <c r="H166">
        <f t="shared" si="5"/>
        <v>0</v>
      </c>
    </row>
    <row r="167" spans="1:8" x14ac:dyDescent="0.4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4"/>
        <v>-1</v>
      </c>
      <c r="H167">
        <f t="shared" si="5"/>
        <v>0</v>
      </c>
    </row>
    <row r="168" spans="1:8" x14ac:dyDescent="0.4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4"/>
        <v>-1</v>
      </c>
      <c r="H168">
        <f t="shared" si="5"/>
        <v>0</v>
      </c>
    </row>
    <row r="169" spans="1:8" x14ac:dyDescent="0.4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4"/>
        <v>21</v>
      </c>
      <c r="H169">
        <f t="shared" si="5"/>
        <v>1</v>
      </c>
    </row>
    <row r="170" spans="1:8" x14ac:dyDescent="0.4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4"/>
        <v>-1</v>
      </c>
      <c r="H170">
        <f t="shared" si="5"/>
        <v>0</v>
      </c>
    </row>
    <row r="171" spans="1:8" x14ac:dyDescent="0.4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4"/>
        <v>-1</v>
      </c>
      <c r="H171">
        <f t="shared" si="5"/>
        <v>0</v>
      </c>
    </row>
    <row r="172" spans="1:8" x14ac:dyDescent="0.4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4"/>
        <v>-1</v>
      </c>
      <c r="H172">
        <f t="shared" si="5"/>
        <v>0</v>
      </c>
    </row>
    <row r="173" spans="1:8" x14ac:dyDescent="0.4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4"/>
        <v>-1</v>
      </c>
      <c r="H173">
        <f t="shared" si="5"/>
        <v>0</v>
      </c>
    </row>
    <row r="174" spans="1:8" x14ac:dyDescent="0.4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4"/>
        <v>24</v>
      </c>
      <c r="H174">
        <f t="shared" si="5"/>
        <v>1</v>
      </c>
    </row>
    <row r="175" spans="1:8" x14ac:dyDescent="0.4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4"/>
        <v>-1</v>
      </c>
      <c r="H175">
        <f t="shared" si="5"/>
        <v>0</v>
      </c>
    </row>
    <row r="176" spans="1:8" x14ac:dyDescent="0.4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4"/>
        <v>-1</v>
      </c>
      <c r="H176">
        <f t="shared" si="5"/>
        <v>0</v>
      </c>
    </row>
    <row r="177" spans="1:8" x14ac:dyDescent="0.4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4"/>
        <v>-1</v>
      </c>
      <c r="H177">
        <f t="shared" si="5"/>
        <v>0</v>
      </c>
    </row>
    <row r="178" spans="1:8" x14ac:dyDescent="0.4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4"/>
        <v>12</v>
      </c>
      <c r="H178">
        <f t="shared" si="5"/>
        <v>0</v>
      </c>
    </row>
    <row r="179" spans="1:8" x14ac:dyDescent="0.4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4"/>
        <v>-1</v>
      </c>
      <c r="H179">
        <f t="shared" si="5"/>
        <v>0</v>
      </c>
    </row>
    <row r="180" spans="1:8" x14ac:dyDescent="0.4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4"/>
        <v>-1</v>
      </c>
      <c r="H180">
        <f t="shared" si="5"/>
        <v>0</v>
      </c>
    </row>
    <row r="181" spans="1:8" x14ac:dyDescent="0.4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4"/>
        <v>-1</v>
      </c>
      <c r="H181">
        <f t="shared" si="5"/>
        <v>0</v>
      </c>
    </row>
    <row r="182" spans="1:8" x14ac:dyDescent="0.4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4"/>
        <v>16</v>
      </c>
      <c r="H182">
        <f t="shared" si="5"/>
        <v>0</v>
      </c>
    </row>
    <row r="183" spans="1:8" x14ac:dyDescent="0.4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4"/>
        <v>-1</v>
      </c>
      <c r="H183">
        <f t="shared" si="5"/>
        <v>0</v>
      </c>
    </row>
    <row r="184" spans="1:8" x14ac:dyDescent="0.4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4"/>
        <v>-1</v>
      </c>
      <c r="H184">
        <f t="shared" si="5"/>
        <v>0</v>
      </c>
    </row>
    <row r="185" spans="1:8" x14ac:dyDescent="0.4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4"/>
        <v>-1</v>
      </c>
      <c r="H185">
        <f t="shared" si="5"/>
        <v>0</v>
      </c>
    </row>
    <row r="186" spans="1:8" x14ac:dyDescent="0.4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4"/>
        <v>14</v>
      </c>
      <c r="H186">
        <f t="shared" si="5"/>
        <v>0</v>
      </c>
    </row>
    <row r="187" spans="1:8" x14ac:dyDescent="0.4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4"/>
        <v>-1</v>
      </c>
      <c r="H187">
        <f t="shared" si="5"/>
        <v>0</v>
      </c>
    </row>
    <row r="188" spans="1:8" x14ac:dyDescent="0.4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4"/>
        <v>-1</v>
      </c>
      <c r="H188">
        <f t="shared" si="5"/>
        <v>0</v>
      </c>
    </row>
    <row r="189" spans="1:8" x14ac:dyDescent="0.4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4"/>
        <v>-1</v>
      </c>
      <c r="H189">
        <f t="shared" si="5"/>
        <v>0</v>
      </c>
    </row>
    <row r="190" spans="1:8" x14ac:dyDescent="0.4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4"/>
        <v>-1</v>
      </c>
      <c r="H190">
        <f t="shared" si="5"/>
        <v>0</v>
      </c>
    </row>
    <row r="191" spans="1:8" x14ac:dyDescent="0.4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4"/>
        <v>18</v>
      </c>
      <c r="H191">
        <f t="shared" si="5"/>
        <v>0</v>
      </c>
    </row>
    <row r="192" spans="1:8" x14ac:dyDescent="0.4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4"/>
        <v>-1</v>
      </c>
      <c r="H192">
        <f t="shared" si="5"/>
        <v>0</v>
      </c>
    </row>
    <row r="193" spans="1:8" x14ac:dyDescent="0.4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4"/>
        <v>-1</v>
      </c>
      <c r="H193">
        <f t="shared" si="5"/>
        <v>0</v>
      </c>
    </row>
    <row r="194" spans="1:8" x14ac:dyDescent="0.4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4"/>
        <v>25</v>
      </c>
      <c r="H194">
        <f t="shared" si="5"/>
        <v>1</v>
      </c>
    </row>
    <row r="195" spans="1:8" x14ac:dyDescent="0.4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4"/>
        <v>-1</v>
      </c>
      <c r="H195">
        <f t="shared" si="5"/>
        <v>0</v>
      </c>
    </row>
    <row r="196" spans="1:8" x14ac:dyDescent="0.4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6">A196-A195 - 1</f>
        <v>20</v>
      </c>
      <c r="H196">
        <f t="shared" ref="H196:H203" si="7">IF(G196&gt;20,1,0)</f>
        <v>0</v>
      </c>
    </row>
    <row r="197" spans="1:8" x14ac:dyDescent="0.4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6"/>
        <v>-1</v>
      </c>
      <c r="H197">
        <f t="shared" si="7"/>
        <v>0</v>
      </c>
    </row>
    <row r="198" spans="1:8" x14ac:dyDescent="0.4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6"/>
        <v>-1</v>
      </c>
      <c r="H198">
        <f t="shared" si="7"/>
        <v>0</v>
      </c>
    </row>
    <row r="199" spans="1:8" x14ac:dyDescent="0.4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6"/>
        <v>23</v>
      </c>
      <c r="H199">
        <f t="shared" si="7"/>
        <v>1</v>
      </c>
    </row>
    <row r="200" spans="1:8" x14ac:dyDescent="0.4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6"/>
        <v>-1</v>
      </c>
      <c r="H200">
        <f t="shared" si="7"/>
        <v>0</v>
      </c>
    </row>
    <row r="201" spans="1:8" x14ac:dyDescent="0.4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6"/>
        <v>-1</v>
      </c>
      <c r="H201">
        <f t="shared" si="7"/>
        <v>0</v>
      </c>
    </row>
    <row r="202" spans="1:8" x14ac:dyDescent="0.4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6"/>
        <v>-1</v>
      </c>
      <c r="H202">
        <f t="shared" si="7"/>
        <v>0</v>
      </c>
    </row>
    <row r="203" spans="1:8" x14ac:dyDescent="0.4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6"/>
        <v>-1</v>
      </c>
      <c r="H203">
        <f t="shared" si="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9D90-75E1-43A8-A009-7EE980E9CA1E}">
  <dimension ref="A1:O203"/>
  <sheetViews>
    <sheetView tabSelected="1" topLeftCell="J15" workbookViewId="0">
      <selection activeCell="Q24" sqref="Q24"/>
    </sheetView>
  </sheetViews>
  <sheetFormatPr defaultRowHeight="14.25" x14ac:dyDescent="0.45"/>
  <cols>
    <col min="1" max="1" width="9.6640625" bestFit="1" customWidth="1"/>
    <col min="2" max="2" width="5.3984375" bestFit="1" customWidth="1"/>
    <col min="3" max="3" width="4.1328125" bestFit="1" customWidth="1"/>
    <col min="4" max="4" width="5.73046875" bestFit="1" customWidth="1"/>
    <col min="5" max="5" width="19.46484375" bestFit="1" customWidth="1"/>
    <col min="7" max="7" width="16.1328125" bestFit="1" customWidth="1"/>
    <col min="8" max="8" width="16.19921875" bestFit="1" customWidth="1"/>
    <col min="9" max="9" width="3.73046875" bestFit="1" customWidth="1"/>
    <col min="10" max="10" width="13.1328125" bestFit="1" customWidth="1"/>
    <col min="14" max="14" width="9.53125" bestFit="1" customWidth="1"/>
  </cols>
  <sheetData>
    <row r="1" spans="1:15" x14ac:dyDescent="0.45">
      <c r="A1" t="s">
        <v>0</v>
      </c>
      <c r="B1" t="s">
        <v>2</v>
      </c>
      <c r="C1" t="s">
        <v>3</v>
      </c>
      <c r="D1" t="s">
        <v>4</v>
      </c>
      <c r="G1" s="2" t="s">
        <v>2</v>
      </c>
      <c r="H1" t="s">
        <v>9</v>
      </c>
    </row>
    <row r="2" spans="1:15" x14ac:dyDescent="0.45">
      <c r="A2" s="1">
        <v>42370</v>
      </c>
      <c r="B2" t="s">
        <v>7</v>
      </c>
      <c r="C2" t="s">
        <v>8</v>
      </c>
      <c r="D2">
        <v>3</v>
      </c>
    </row>
    <row r="3" spans="1:15" x14ac:dyDescent="0.45">
      <c r="A3" s="1">
        <v>42370</v>
      </c>
      <c r="B3" t="s">
        <v>9</v>
      </c>
      <c r="C3" t="s">
        <v>8</v>
      </c>
      <c r="D3">
        <v>32</v>
      </c>
      <c r="G3" s="2" t="s">
        <v>26</v>
      </c>
      <c r="H3" s="2" t="s">
        <v>25</v>
      </c>
    </row>
    <row r="4" spans="1:15" x14ac:dyDescent="0.45">
      <c r="A4" s="1">
        <v>42370</v>
      </c>
      <c r="B4" t="s">
        <v>10</v>
      </c>
      <c r="C4" t="s">
        <v>8</v>
      </c>
      <c r="D4">
        <v>38</v>
      </c>
      <c r="G4" s="2" t="s">
        <v>23</v>
      </c>
      <c r="H4" t="s">
        <v>14</v>
      </c>
      <c r="I4" t="s">
        <v>8</v>
      </c>
      <c r="J4" t="s">
        <v>24</v>
      </c>
    </row>
    <row r="5" spans="1:15" x14ac:dyDescent="0.45">
      <c r="A5" s="1">
        <v>42370</v>
      </c>
      <c r="B5" t="s">
        <v>11</v>
      </c>
      <c r="C5" t="s">
        <v>8</v>
      </c>
      <c r="D5">
        <v>33</v>
      </c>
      <c r="G5" s="3" t="s">
        <v>27</v>
      </c>
      <c r="H5" s="4">
        <v>277</v>
      </c>
      <c r="I5" s="4">
        <v>351</v>
      </c>
      <c r="J5" s="4">
        <v>628</v>
      </c>
      <c r="M5" t="s">
        <v>78</v>
      </c>
      <c r="N5" t="s">
        <v>79</v>
      </c>
      <c r="O5" t="s">
        <v>80</v>
      </c>
    </row>
    <row r="6" spans="1:15" x14ac:dyDescent="0.45">
      <c r="A6" s="1">
        <v>42370</v>
      </c>
      <c r="B6" t="s">
        <v>12</v>
      </c>
      <c r="C6" t="s">
        <v>8</v>
      </c>
      <c r="D6">
        <v>43</v>
      </c>
      <c r="G6" s="5" t="s">
        <v>30</v>
      </c>
      <c r="H6" s="4">
        <v>32</v>
      </c>
      <c r="I6" s="4">
        <v>76</v>
      </c>
      <c r="J6" s="4">
        <v>108</v>
      </c>
      <c r="M6" t="s">
        <v>42</v>
      </c>
      <c r="N6" s="6">
        <v>32</v>
      </c>
      <c r="O6" s="6">
        <v>76</v>
      </c>
    </row>
    <row r="7" spans="1:15" x14ac:dyDescent="0.45">
      <c r="A7" s="1">
        <v>42385</v>
      </c>
      <c r="B7" t="s">
        <v>9</v>
      </c>
      <c r="C7" t="s">
        <v>14</v>
      </c>
      <c r="D7">
        <v>32</v>
      </c>
      <c r="G7" s="5" t="s">
        <v>31</v>
      </c>
      <c r="H7" s="4"/>
      <c r="I7" s="4">
        <v>8</v>
      </c>
      <c r="J7" s="4">
        <v>8</v>
      </c>
      <c r="M7" t="s">
        <v>43</v>
      </c>
      <c r="N7" s="6">
        <v>0</v>
      </c>
      <c r="O7" s="6">
        <v>8</v>
      </c>
    </row>
    <row r="8" spans="1:15" x14ac:dyDescent="0.45">
      <c r="A8" s="1">
        <v>42385</v>
      </c>
      <c r="B8" t="s">
        <v>11</v>
      </c>
      <c r="C8" t="s">
        <v>8</v>
      </c>
      <c r="D8">
        <v>14</v>
      </c>
      <c r="G8" s="5" t="s">
        <v>32</v>
      </c>
      <c r="H8" s="4">
        <v>50</v>
      </c>
      <c r="I8" s="4"/>
      <c r="J8" s="4">
        <v>50</v>
      </c>
      <c r="M8" t="s">
        <v>44</v>
      </c>
      <c r="N8" s="6">
        <v>50</v>
      </c>
      <c r="O8" s="6">
        <v>0</v>
      </c>
    </row>
    <row r="9" spans="1:15" x14ac:dyDescent="0.45">
      <c r="A9" s="1">
        <v>42393</v>
      </c>
      <c r="B9" t="s">
        <v>9</v>
      </c>
      <c r="C9" t="s">
        <v>8</v>
      </c>
      <c r="D9">
        <v>44</v>
      </c>
      <c r="G9" s="5" t="s">
        <v>33</v>
      </c>
      <c r="H9" s="4"/>
      <c r="I9" s="4">
        <v>68</v>
      </c>
      <c r="J9" s="4">
        <v>68</v>
      </c>
      <c r="M9" t="s">
        <v>45</v>
      </c>
      <c r="N9" s="6">
        <v>0</v>
      </c>
      <c r="O9" s="6">
        <v>68</v>
      </c>
    </row>
    <row r="10" spans="1:15" x14ac:dyDescent="0.45">
      <c r="A10" s="1">
        <v>42393</v>
      </c>
      <c r="B10" t="s">
        <v>11</v>
      </c>
      <c r="C10" t="s">
        <v>8</v>
      </c>
      <c r="D10">
        <v>1</v>
      </c>
      <c r="G10" s="5" t="s">
        <v>35</v>
      </c>
      <c r="H10" s="4"/>
      <c r="I10" s="4">
        <v>42</v>
      </c>
      <c r="J10" s="4">
        <v>42</v>
      </c>
      <c r="M10" t="s">
        <v>46</v>
      </c>
      <c r="N10" s="6">
        <v>0</v>
      </c>
      <c r="O10" s="6">
        <v>0</v>
      </c>
    </row>
    <row r="11" spans="1:15" x14ac:dyDescent="0.45">
      <c r="A11" s="1">
        <v>42393</v>
      </c>
      <c r="B11" t="s">
        <v>7</v>
      </c>
      <c r="C11" t="s">
        <v>8</v>
      </c>
      <c r="D11">
        <v>21</v>
      </c>
      <c r="G11" s="5" t="s">
        <v>36</v>
      </c>
      <c r="H11" s="4"/>
      <c r="I11" s="4">
        <v>83</v>
      </c>
      <c r="J11" s="4">
        <v>83</v>
      </c>
      <c r="M11" t="s">
        <v>47</v>
      </c>
      <c r="N11" s="6">
        <v>0</v>
      </c>
      <c r="O11" s="6">
        <v>42</v>
      </c>
    </row>
    <row r="12" spans="1:15" x14ac:dyDescent="0.45">
      <c r="A12" s="1">
        <v>42419</v>
      </c>
      <c r="B12" t="s">
        <v>12</v>
      </c>
      <c r="C12" t="s">
        <v>14</v>
      </c>
      <c r="D12">
        <v>43</v>
      </c>
      <c r="G12" s="5" t="s">
        <v>37</v>
      </c>
      <c r="H12" s="4">
        <v>191</v>
      </c>
      <c r="I12" s="4"/>
      <c r="J12" s="4">
        <v>191</v>
      </c>
      <c r="M12" t="s">
        <v>48</v>
      </c>
      <c r="N12" s="6">
        <v>0</v>
      </c>
      <c r="O12" s="6">
        <v>83</v>
      </c>
    </row>
    <row r="13" spans="1:15" x14ac:dyDescent="0.45">
      <c r="A13" s="1">
        <v>42419</v>
      </c>
      <c r="B13" t="s">
        <v>10</v>
      </c>
      <c r="C13" t="s">
        <v>14</v>
      </c>
      <c r="D13">
        <v>38</v>
      </c>
      <c r="G13" s="5" t="s">
        <v>38</v>
      </c>
      <c r="H13" s="4">
        <v>4</v>
      </c>
      <c r="I13" s="4">
        <v>44</v>
      </c>
      <c r="J13" s="4">
        <v>48</v>
      </c>
      <c r="M13" t="s">
        <v>49</v>
      </c>
      <c r="N13" s="6">
        <v>191</v>
      </c>
      <c r="O13" s="6">
        <v>0</v>
      </c>
    </row>
    <row r="14" spans="1:15" x14ac:dyDescent="0.45">
      <c r="A14" s="1">
        <v>42419</v>
      </c>
      <c r="B14" t="s">
        <v>7</v>
      </c>
      <c r="C14" t="s">
        <v>8</v>
      </c>
      <c r="D14">
        <v>9</v>
      </c>
      <c r="G14" s="5" t="s">
        <v>40</v>
      </c>
      <c r="H14" s="4"/>
      <c r="I14" s="4">
        <v>30</v>
      </c>
      <c r="J14" s="4">
        <v>30</v>
      </c>
      <c r="M14" t="s">
        <v>50</v>
      </c>
      <c r="N14" s="6">
        <v>4</v>
      </c>
      <c r="O14" s="6">
        <v>44</v>
      </c>
    </row>
    <row r="15" spans="1:15" x14ac:dyDescent="0.45">
      <c r="A15" s="1">
        <v>42419</v>
      </c>
      <c r="B15" t="s">
        <v>9</v>
      </c>
      <c r="C15" t="s">
        <v>8</v>
      </c>
      <c r="D15">
        <v>8</v>
      </c>
      <c r="G15" s="3" t="s">
        <v>28</v>
      </c>
      <c r="H15" s="4">
        <v>236</v>
      </c>
      <c r="I15" s="4">
        <v>174</v>
      </c>
      <c r="J15" s="4">
        <v>410</v>
      </c>
      <c r="M15" t="s">
        <v>51</v>
      </c>
      <c r="N15" s="6">
        <v>0</v>
      </c>
      <c r="O15" s="6">
        <v>0</v>
      </c>
    </row>
    <row r="16" spans="1:15" x14ac:dyDescent="0.45">
      <c r="A16" s="1">
        <v>42440</v>
      </c>
      <c r="B16" t="s">
        <v>9</v>
      </c>
      <c r="C16" t="s">
        <v>14</v>
      </c>
      <c r="D16">
        <v>50</v>
      </c>
      <c r="G16" s="5" t="s">
        <v>30</v>
      </c>
      <c r="H16" s="4">
        <v>112</v>
      </c>
      <c r="I16" s="4">
        <v>39</v>
      </c>
      <c r="J16" s="4">
        <v>151</v>
      </c>
      <c r="M16" t="s">
        <v>52</v>
      </c>
      <c r="N16" s="6">
        <v>0</v>
      </c>
      <c r="O16" s="6">
        <v>30</v>
      </c>
    </row>
    <row r="17" spans="1:15" x14ac:dyDescent="0.45">
      <c r="A17" s="1">
        <v>42440</v>
      </c>
      <c r="B17" t="s">
        <v>12</v>
      </c>
      <c r="C17" t="s">
        <v>8</v>
      </c>
      <c r="D17">
        <v>32</v>
      </c>
      <c r="G17" s="5" t="s">
        <v>31</v>
      </c>
      <c r="H17" s="4">
        <v>1</v>
      </c>
      <c r="I17" s="4"/>
      <c r="J17" s="4">
        <v>1</v>
      </c>
      <c r="M17" t="s">
        <v>53</v>
      </c>
      <c r="N17" s="6">
        <v>0</v>
      </c>
      <c r="O17" s="6">
        <v>0</v>
      </c>
    </row>
    <row r="18" spans="1:15" x14ac:dyDescent="0.45">
      <c r="A18" s="1">
        <v>42440</v>
      </c>
      <c r="B18" t="s">
        <v>10</v>
      </c>
      <c r="C18" t="s">
        <v>8</v>
      </c>
      <c r="D18">
        <v>7</v>
      </c>
      <c r="G18" s="5" t="s">
        <v>32</v>
      </c>
      <c r="H18" s="4"/>
      <c r="I18" s="4">
        <v>35</v>
      </c>
      <c r="J18" s="4">
        <v>35</v>
      </c>
      <c r="M18" t="s">
        <v>54</v>
      </c>
      <c r="N18" s="6">
        <v>112</v>
      </c>
      <c r="O18" s="6">
        <v>39</v>
      </c>
    </row>
    <row r="19" spans="1:15" x14ac:dyDescent="0.45">
      <c r="A19" s="1">
        <v>42440</v>
      </c>
      <c r="B19" t="s">
        <v>11</v>
      </c>
      <c r="C19" t="s">
        <v>8</v>
      </c>
      <c r="D19">
        <v>10</v>
      </c>
      <c r="G19" s="5" t="s">
        <v>33</v>
      </c>
      <c r="H19" s="4"/>
      <c r="I19" s="4">
        <v>1</v>
      </c>
      <c r="J19" s="4">
        <v>1</v>
      </c>
      <c r="M19" t="s">
        <v>55</v>
      </c>
      <c r="N19" s="6">
        <v>1</v>
      </c>
      <c r="O19" s="6">
        <v>0</v>
      </c>
    </row>
    <row r="20" spans="1:15" x14ac:dyDescent="0.45">
      <c r="A20" s="1">
        <v>42464</v>
      </c>
      <c r="B20" t="s">
        <v>10</v>
      </c>
      <c r="C20" t="s">
        <v>14</v>
      </c>
      <c r="D20">
        <v>7</v>
      </c>
      <c r="G20" s="5" t="s">
        <v>34</v>
      </c>
      <c r="H20" s="4">
        <v>68</v>
      </c>
      <c r="I20" s="4">
        <v>33</v>
      </c>
      <c r="J20" s="4">
        <v>101</v>
      </c>
      <c r="M20" t="s">
        <v>56</v>
      </c>
      <c r="N20" s="6">
        <v>0</v>
      </c>
      <c r="O20" s="6">
        <v>35</v>
      </c>
    </row>
    <row r="21" spans="1:15" x14ac:dyDescent="0.45">
      <c r="A21" s="1">
        <v>42464</v>
      </c>
      <c r="B21" t="s">
        <v>12</v>
      </c>
      <c r="C21" t="s">
        <v>8</v>
      </c>
      <c r="D21">
        <v>25</v>
      </c>
      <c r="G21" s="5" t="s">
        <v>35</v>
      </c>
      <c r="H21" s="4"/>
      <c r="I21" s="4">
        <v>8</v>
      </c>
      <c r="J21" s="4">
        <v>8</v>
      </c>
      <c r="M21" t="s">
        <v>57</v>
      </c>
      <c r="N21" s="6">
        <v>0</v>
      </c>
      <c r="O21" s="6">
        <v>1</v>
      </c>
    </row>
    <row r="22" spans="1:15" x14ac:dyDescent="0.45">
      <c r="A22" s="1">
        <v>42464</v>
      </c>
      <c r="B22" t="s">
        <v>9</v>
      </c>
      <c r="C22" t="s">
        <v>8</v>
      </c>
      <c r="D22">
        <v>33</v>
      </c>
      <c r="G22" s="5" t="s">
        <v>36</v>
      </c>
      <c r="H22" s="4"/>
      <c r="I22" s="4">
        <v>42</v>
      </c>
      <c r="J22" s="4">
        <v>42</v>
      </c>
      <c r="M22" t="s">
        <v>58</v>
      </c>
      <c r="N22" s="6">
        <v>68</v>
      </c>
      <c r="O22" s="6">
        <v>33</v>
      </c>
    </row>
    <row r="23" spans="1:15" x14ac:dyDescent="0.45">
      <c r="A23" s="1">
        <v>42482</v>
      </c>
      <c r="B23" t="s">
        <v>11</v>
      </c>
      <c r="C23" t="s">
        <v>14</v>
      </c>
      <c r="D23">
        <v>36</v>
      </c>
      <c r="G23" s="5" t="s">
        <v>37</v>
      </c>
      <c r="H23" s="4">
        <v>48</v>
      </c>
      <c r="I23" s="4">
        <v>4</v>
      </c>
      <c r="J23" s="4">
        <v>52</v>
      </c>
      <c r="M23" t="s">
        <v>59</v>
      </c>
      <c r="N23" s="6">
        <v>0</v>
      </c>
      <c r="O23" s="6">
        <v>8</v>
      </c>
    </row>
    <row r="24" spans="1:15" x14ac:dyDescent="0.45">
      <c r="A24" s="1">
        <v>42482</v>
      </c>
      <c r="B24" t="s">
        <v>7</v>
      </c>
      <c r="C24" t="s">
        <v>8</v>
      </c>
      <c r="D24">
        <v>5</v>
      </c>
      <c r="G24" s="5" t="s">
        <v>39</v>
      </c>
      <c r="H24" s="4">
        <v>6</v>
      </c>
      <c r="I24" s="4"/>
      <c r="J24" s="4">
        <v>6</v>
      </c>
      <c r="M24" t="s">
        <v>60</v>
      </c>
      <c r="N24" s="6">
        <v>0</v>
      </c>
      <c r="O24" s="6">
        <v>42</v>
      </c>
    </row>
    <row r="25" spans="1:15" x14ac:dyDescent="0.45">
      <c r="A25" s="1">
        <v>42482</v>
      </c>
      <c r="B25" t="s">
        <v>9</v>
      </c>
      <c r="C25" t="s">
        <v>8</v>
      </c>
      <c r="D25">
        <v>35</v>
      </c>
      <c r="G25" s="5" t="s">
        <v>40</v>
      </c>
      <c r="H25" s="4">
        <v>1</v>
      </c>
      <c r="I25" s="4">
        <v>12</v>
      </c>
      <c r="J25" s="4">
        <v>13</v>
      </c>
      <c r="M25" t="s">
        <v>61</v>
      </c>
      <c r="N25" s="6">
        <v>48</v>
      </c>
      <c r="O25" s="6">
        <v>4</v>
      </c>
    </row>
    <row r="26" spans="1:15" x14ac:dyDescent="0.45">
      <c r="A26" s="1">
        <v>42504</v>
      </c>
      <c r="B26" t="s">
        <v>7</v>
      </c>
      <c r="C26" t="s">
        <v>14</v>
      </c>
      <c r="D26">
        <v>38</v>
      </c>
      <c r="G26" s="3" t="s">
        <v>29</v>
      </c>
      <c r="H26" s="4">
        <v>271</v>
      </c>
      <c r="I26" s="4">
        <v>259</v>
      </c>
      <c r="J26" s="4">
        <v>530</v>
      </c>
      <c r="M26" t="s">
        <v>62</v>
      </c>
      <c r="N26" s="7">
        <v>0</v>
      </c>
      <c r="O26" s="6">
        <v>0</v>
      </c>
    </row>
    <row r="27" spans="1:15" x14ac:dyDescent="0.45">
      <c r="A27" s="1">
        <v>42504</v>
      </c>
      <c r="B27" t="s">
        <v>11</v>
      </c>
      <c r="C27" t="s">
        <v>8</v>
      </c>
      <c r="D27">
        <v>10</v>
      </c>
      <c r="G27" s="5" t="s">
        <v>30</v>
      </c>
      <c r="H27" s="4">
        <v>22</v>
      </c>
      <c r="I27" s="4">
        <v>10</v>
      </c>
      <c r="J27" s="4">
        <v>32</v>
      </c>
      <c r="M27" t="s">
        <v>63</v>
      </c>
      <c r="N27" s="6">
        <v>6</v>
      </c>
      <c r="O27" s="6">
        <v>0</v>
      </c>
    </row>
    <row r="28" spans="1:15" x14ac:dyDescent="0.45">
      <c r="A28" s="1">
        <v>42529</v>
      </c>
      <c r="B28" t="s">
        <v>11</v>
      </c>
      <c r="C28" t="s">
        <v>14</v>
      </c>
      <c r="D28">
        <v>4</v>
      </c>
      <c r="G28" s="5" t="s">
        <v>31</v>
      </c>
      <c r="H28" s="4"/>
      <c r="I28" s="4">
        <v>34</v>
      </c>
      <c r="J28" s="4">
        <v>34</v>
      </c>
      <c r="M28" t="s">
        <v>64</v>
      </c>
      <c r="N28" s="6">
        <v>1</v>
      </c>
      <c r="O28" s="6">
        <v>12</v>
      </c>
    </row>
    <row r="29" spans="1:15" x14ac:dyDescent="0.45">
      <c r="A29" s="1">
        <v>42529</v>
      </c>
      <c r="B29" t="s">
        <v>7</v>
      </c>
      <c r="C29" t="s">
        <v>8</v>
      </c>
      <c r="D29">
        <v>42</v>
      </c>
      <c r="G29" s="5" t="s">
        <v>32</v>
      </c>
      <c r="H29" s="4">
        <v>34</v>
      </c>
      <c r="I29" s="4"/>
      <c r="J29" s="4">
        <v>34</v>
      </c>
      <c r="M29" t="s">
        <v>65</v>
      </c>
      <c r="N29" s="6">
        <v>0</v>
      </c>
      <c r="O29" s="6">
        <v>0</v>
      </c>
    </row>
    <row r="30" spans="1:15" x14ac:dyDescent="0.45">
      <c r="A30" s="1">
        <v>42529</v>
      </c>
      <c r="B30" t="s">
        <v>10</v>
      </c>
      <c r="C30" t="s">
        <v>8</v>
      </c>
      <c r="D30">
        <v>28</v>
      </c>
      <c r="G30" s="5" t="s">
        <v>33</v>
      </c>
      <c r="H30" s="4"/>
      <c r="I30" s="4">
        <v>5</v>
      </c>
      <c r="J30" s="4">
        <v>5</v>
      </c>
      <c r="M30" t="s">
        <v>66</v>
      </c>
      <c r="N30" s="6">
        <v>22</v>
      </c>
      <c r="O30" s="6">
        <v>10</v>
      </c>
    </row>
    <row r="31" spans="1:15" x14ac:dyDescent="0.45">
      <c r="A31" s="1">
        <v>42529</v>
      </c>
      <c r="B31" t="s">
        <v>12</v>
      </c>
      <c r="C31" t="s">
        <v>8</v>
      </c>
      <c r="D31">
        <v>19</v>
      </c>
      <c r="G31" s="5" t="s">
        <v>35</v>
      </c>
      <c r="H31" s="4"/>
      <c r="I31" s="4">
        <v>95</v>
      </c>
      <c r="J31" s="4">
        <v>95</v>
      </c>
      <c r="M31" t="s">
        <v>67</v>
      </c>
      <c r="N31" s="6">
        <v>0</v>
      </c>
      <c r="O31" s="6">
        <v>34</v>
      </c>
    </row>
    <row r="32" spans="1:15" x14ac:dyDescent="0.45">
      <c r="A32" s="1">
        <v>42542</v>
      </c>
      <c r="B32" t="s">
        <v>12</v>
      </c>
      <c r="C32" t="s">
        <v>14</v>
      </c>
      <c r="D32">
        <v>72</v>
      </c>
      <c r="G32" s="5" t="s">
        <v>36</v>
      </c>
      <c r="H32" s="4"/>
      <c r="I32" s="4">
        <v>25</v>
      </c>
      <c r="J32" s="4">
        <v>25</v>
      </c>
      <c r="M32" t="s">
        <v>68</v>
      </c>
      <c r="N32" s="6">
        <v>34</v>
      </c>
      <c r="O32" s="6">
        <v>0</v>
      </c>
    </row>
    <row r="33" spans="1:15" x14ac:dyDescent="0.45">
      <c r="A33" s="1">
        <v>42542</v>
      </c>
      <c r="B33" t="s">
        <v>7</v>
      </c>
      <c r="C33" t="s">
        <v>14</v>
      </c>
      <c r="D33">
        <v>42</v>
      </c>
      <c r="G33" s="5" t="s">
        <v>37</v>
      </c>
      <c r="H33" s="4">
        <v>121</v>
      </c>
      <c r="I33" s="4">
        <v>22</v>
      </c>
      <c r="J33" s="4">
        <v>143</v>
      </c>
      <c r="M33" t="s">
        <v>69</v>
      </c>
      <c r="N33" s="6">
        <v>0</v>
      </c>
      <c r="O33" s="6">
        <v>5</v>
      </c>
    </row>
    <row r="34" spans="1:15" x14ac:dyDescent="0.45">
      <c r="A34" s="1">
        <v>42542</v>
      </c>
      <c r="B34" t="s">
        <v>9</v>
      </c>
      <c r="C34" t="s">
        <v>8</v>
      </c>
      <c r="D34">
        <v>42</v>
      </c>
      <c r="G34" s="5" t="s">
        <v>38</v>
      </c>
      <c r="H34" s="4">
        <v>26</v>
      </c>
      <c r="I34" s="4"/>
      <c r="J34" s="4">
        <v>26</v>
      </c>
      <c r="M34" t="s">
        <v>70</v>
      </c>
      <c r="N34" s="6">
        <v>0</v>
      </c>
      <c r="O34" s="6">
        <v>0</v>
      </c>
    </row>
    <row r="35" spans="1:15" x14ac:dyDescent="0.45">
      <c r="A35" s="1">
        <v>42542</v>
      </c>
      <c r="B35" t="s">
        <v>11</v>
      </c>
      <c r="C35" t="s">
        <v>8</v>
      </c>
      <c r="D35">
        <v>33</v>
      </c>
      <c r="G35" s="5" t="s">
        <v>39</v>
      </c>
      <c r="H35" s="4"/>
      <c r="I35" s="4">
        <v>20</v>
      </c>
      <c r="J35" s="4">
        <v>20</v>
      </c>
      <c r="M35" t="s">
        <v>71</v>
      </c>
      <c r="N35" s="6">
        <v>0</v>
      </c>
      <c r="O35" s="6">
        <v>95</v>
      </c>
    </row>
    <row r="36" spans="1:15" x14ac:dyDescent="0.45">
      <c r="A36" s="1">
        <v>42542</v>
      </c>
      <c r="B36" t="s">
        <v>10</v>
      </c>
      <c r="C36" t="s">
        <v>8</v>
      </c>
      <c r="D36">
        <v>9</v>
      </c>
      <c r="G36" s="5" t="s">
        <v>40</v>
      </c>
      <c r="H36" s="4">
        <v>64</v>
      </c>
      <c r="I36" s="4">
        <v>48</v>
      </c>
      <c r="J36" s="4">
        <v>112</v>
      </c>
      <c r="M36" t="s">
        <v>72</v>
      </c>
      <c r="N36" s="6">
        <v>0</v>
      </c>
      <c r="O36" s="6">
        <v>25</v>
      </c>
    </row>
    <row r="37" spans="1:15" x14ac:dyDescent="0.45">
      <c r="A37" s="1">
        <v>42559</v>
      </c>
      <c r="B37" t="s">
        <v>12</v>
      </c>
      <c r="C37" t="s">
        <v>14</v>
      </c>
      <c r="D37">
        <v>4</v>
      </c>
      <c r="G37" s="5" t="s">
        <v>41</v>
      </c>
      <c r="H37" s="4">
        <v>4</v>
      </c>
      <c r="I37" s="4"/>
      <c r="J37" s="4">
        <v>4</v>
      </c>
      <c r="M37" t="s">
        <v>73</v>
      </c>
      <c r="N37" s="6">
        <v>121</v>
      </c>
      <c r="O37" s="6">
        <v>22</v>
      </c>
    </row>
    <row r="38" spans="1:15" x14ac:dyDescent="0.45">
      <c r="A38" s="1">
        <v>42559</v>
      </c>
      <c r="B38" t="s">
        <v>10</v>
      </c>
      <c r="C38" t="s">
        <v>14</v>
      </c>
      <c r="D38">
        <v>37</v>
      </c>
      <c r="G38" s="3" t="s">
        <v>24</v>
      </c>
      <c r="H38" s="4">
        <v>784</v>
      </c>
      <c r="I38" s="4">
        <v>784</v>
      </c>
      <c r="J38" s="4">
        <v>1568</v>
      </c>
      <c r="M38" t="s">
        <v>74</v>
      </c>
      <c r="N38" s="6">
        <v>26</v>
      </c>
      <c r="O38" s="6">
        <v>0</v>
      </c>
    </row>
    <row r="39" spans="1:15" x14ac:dyDescent="0.45">
      <c r="A39" s="1">
        <v>42559</v>
      </c>
      <c r="B39" t="s">
        <v>9</v>
      </c>
      <c r="C39" t="s">
        <v>8</v>
      </c>
      <c r="D39">
        <v>35</v>
      </c>
      <c r="M39" t="s">
        <v>75</v>
      </c>
      <c r="N39" s="6">
        <v>0</v>
      </c>
      <c r="O39" s="6">
        <v>20</v>
      </c>
    </row>
    <row r="40" spans="1:15" x14ac:dyDescent="0.45">
      <c r="A40" s="1">
        <v>42559</v>
      </c>
      <c r="B40" t="s">
        <v>7</v>
      </c>
      <c r="C40" t="s">
        <v>8</v>
      </c>
      <c r="D40">
        <v>32</v>
      </c>
      <c r="M40" t="s">
        <v>76</v>
      </c>
      <c r="N40" s="6">
        <v>64</v>
      </c>
      <c r="O40" s="6">
        <v>48</v>
      </c>
    </row>
    <row r="41" spans="1:15" x14ac:dyDescent="0.45">
      <c r="A41" s="1">
        <v>42574</v>
      </c>
      <c r="B41" t="s">
        <v>7</v>
      </c>
      <c r="C41" t="s">
        <v>14</v>
      </c>
      <c r="D41">
        <v>32</v>
      </c>
      <c r="M41" t="s">
        <v>77</v>
      </c>
      <c r="N41" s="6">
        <v>4</v>
      </c>
      <c r="O41" s="6">
        <v>0</v>
      </c>
    </row>
    <row r="42" spans="1:15" x14ac:dyDescent="0.45">
      <c r="A42" s="1">
        <v>42574</v>
      </c>
      <c r="B42" t="s">
        <v>9</v>
      </c>
      <c r="C42" t="s">
        <v>8</v>
      </c>
      <c r="D42">
        <v>48</v>
      </c>
    </row>
    <row r="43" spans="1:15" x14ac:dyDescent="0.45">
      <c r="A43" s="1">
        <v>42593</v>
      </c>
      <c r="B43" t="s">
        <v>9</v>
      </c>
      <c r="C43" t="s">
        <v>14</v>
      </c>
      <c r="D43">
        <v>191</v>
      </c>
    </row>
    <row r="44" spans="1:15" x14ac:dyDescent="0.45">
      <c r="A44" s="1">
        <v>42593</v>
      </c>
      <c r="B44" t="s">
        <v>11</v>
      </c>
      <c r="C44" t="s">
        <v>8</v>
      </c>
      <c r="D44">
        <v>9</v>
      </c>
    </row>
    <row r="45" spans="1:15" x14ac:dyDescent="0.45">
      <c r="A45" s="1">
        <v>42593</v>
      </c>
      <c r="B45" t="s">
        <v>7</v>
      </c>
      <c r="C45" t="s">
        <v>8</v>
      </c>
      <c r="D45">
        <v>36</v>
      </c>
    </row>
    <row r="46" spans="1:15" x14ac:dyDescent="0.45">
      <c r="A46" s="1">
        <v>42619</v>
      </c>
      <c r="B46" t="s">
        <v>10</v>
      </c>
      <c r="C46" t="s">
        <v>8</v>
      </c>
      <c r="D46">
        <v>47</v>
      </c>
    </row>
    <row r="47" spans="1:15" x14ac:dyDescent="0.45">
      <c r="A47" s="1">
        <v>42619</v>
      </c>
      <c r="B47" t="s">
        <v>9</v>
      </c>
      <c r="C47" t="s">
        <v>14</v>
      </c>
      <c r="D47">
        <v>4</v>
      </c>
    </row>
    <row r="48" spans="1:15" x14ac:dyDescent="0.45">
      <c r="A48" s="1">
        <v>42619</v>
      </c>
      <c r="B48" t="s">
        <v>12</v>
      </c>
      <c r="C48" t="s">
        <v>8</v>
      </c>
      <c r="D48">
        <v>8</v>
      </c>
    </row>
    <row r="49" spans="1:4" x14ac:dyDescent="0.45">
      <c r="A49" s="1">
        <v>42619</v>
      </c>
      <c r="B49" t="s">
        <v>11</v>
      </c>
      <c r="C49" t="s">
        <v>8</v>
      </c>
      <c r="D49">
        <v>3</v>
      </c>
    </row>
    <row r="50" spans="1:4" x14ac:dyDescent="0.45">
      <c r="A50" s="1">
        <v>42619</v>
      </c>
      <c r="B50" t="s">
        <v>7</v>
      </c>
      <c r="C50" t="s">
        <v>8</v>
      </c>
      <c r="D50">
        <v>41</v>
      </c>
    </row>
    <row r="51" spans="1:4" x14ac:dyDescent="0.45">
      <c r="A51" s="1">
        <v>42640</v>
      </c>
      <c r="B51" t="s">
        <v>9</v>
      </c>
      <c r="C51" t="s">
        <v>8</v>
      </c>
      <c r="D51">
        <v>44</v>
      </c>
    </row>
    <row r="52" spans="1:4" x14ac:dyDescent="0.45">
      <c r="A52" s="1">
        <v>42640</v>
      </c>
      <c r="B52" t="s">
        <v>10</v>
      </c>
      <c r="C52" t="s">
        <v>14</v>
      </c>
      <c r="D52">
        <v>45</v>
      </c>
    </row>
    <row r="53" spans="1:4" x14ac:dyDescent="0.45">
      <c r="A53" s="1">
        <v>42640</v>
      </c>
      <c r="B53" t="s">
        <v>12</v>
      </c>
      <c r="C53" t="s">
        <v>8</v>
      </c>
      <c r="D53">
        <v>40</v>
      </c>
    </row>
    <row r="54" spans="1:4" x14ac:dyDescent="0.45">
      <c r="A54" s="1">
        <v>42640</v>
      </c>
      <c r="B54" t="s">
        <v>7</v>
      </c>
      <c r="C54" t="s">
        <v>8</v>
      </c>
      <c r="D54">
        <v>3</v>
      </c>
    </row>
    <row r="55" spans="1:4" x14ac:dyDescent="0.45">
      <c r="A55" s="1">
        <v>42640</v>
      </c>
      <c r="B55" t="s">
        <v>11</v>
      </c>
      <c r="C55" t="s">
        <v>8</v>
      </c>
      <c r="D55">
        <v>17</v>
      </c>
    </row>
    <row r="56" spans="1:4" x14ac:dyDescent="0.45">
      <c r="A56" s="1">
        <v>42664</v>
      </c>
      <c r="B56" t="s">
        <v>10</v>
      </c>
      <c r="C56" t="s">
        <v>14</v>
      </c>
      <c r="D56">
        <v>2</v>
      </c>
    </row>
    <row r="57" spans="1:4" x14ac:dyDescent="0.45">
      <c r="A57" s="1">
        <v>42664</v>
      </c>
      <c r="B57" t="s">
        <v>12</v>
      </c>
      <c r="C57" t="s">
        <v>8</v>
      </c>
      <c r="D57">
        <v>14</v>
      </c>
    </row>
    <row r="58" spans="1:4" x14ac:dyDescent="0.45">
      <c r="A58" s="1">
        <v>42664</v>
      </c>
      <c r="B58" t="s">
        <v>11</v>
      </c>
      <c r="C58" t="s">
        <v>8</v>
      </c>
      <c r="D58">
        <v>23</v>
      </c>
    </row>
    <row r="59" spans="1:4" x14ac:dyDescent="0.45">
      <c r="A59" s="1">
        <v>42682</v>
      </c>
      <c r="B59" t="s">
        <v>10</v>
      </c>
      <c r="C59" t="s">
        <v>8</v>
      </c>
      <c r="D59">
        <v>11</v>
      </c>
    </row>
    <row r="60" spans="1:4" x14ac:dyDescent="0.45">
      <c r="A60" s="1">
        <v>42682</v>
      </c>
      <c r="B60" t="s">
        <v>7</v>
      </c>
      <c r="C60" t="s">
        <v>8</v>
      </c>
      <c r="D60">
        <v>17</v>
      </c>
    </row>
    <row r="61" spans="1:4" x14ac:dyDescent="0.45">
      <c r="A61" s="1">
        <v>42682</v>
      </c>
      <c r="B61" t="s">
        <v>9</v>
      </c>
      <c r="C61" t="s">
        <v>8</v>
      </c>
      <c r="D61">
        <v>30</v>
      </c>
    </row>
    <row r="62" spans="1:4" x14ac:dyDescent="0.45">
      <c r="A62" s="1">
        <v>42704</v>
      </c>
      <c r="B62" t="s">
        <v>7</v>
      </c>
      <c r="C62" t="s">
        <v>14</v>
      </c>
      <c r="D62">
        <v>97</v>
      </c>
    </row>
    <row r="63" spans="1:4" x14ac:dyDescent="0.45">
      <c r="A63" s="1">
        <v>42704</v>
      </c>
      <c r="B63" t="s">
        <v>10</v>
      </c>
      <c r="C63" t="s">
        <v>14</v>
      </c>
      <c r="D63">
        <v>11</v>
      </c>
    </row>
    <row r="64" spans="1:4" x14ac:dyDescent="0.45">
      <c r="A64" s="1">
        <v>42704</v>
      </c>
      <c r="B64" t="s">
        <v>12</v>
      </c>
      <c r="C64" t="s">
        <v>8</v>
      </c>
      <c r="D64">
        <v>17</v>
      </c>
    </row>
    <row r="65" spans="1:4" x14ac:dyDescent="0.45">
      <c r="A65" s="1">
        <v>42704</v>
      </c>
      <c r="B65" t="s">
        <v>11</v>
      </c>
      <c r="C65" t="s">
        <v>8</v>
      </c>
      <c r="D65">
        <v>4</v>
      </c>
    </row>
    <row r="66" spans="1:4" x14ac:dyDescent="0.45">
      <c r="A66" s="1">
        <v>42729</v>
      </c>
      <c r="B66" t="s">
        <v>12</v>
      </c>
      <c r="C66" t="s">
        <v>14</v>
      </c>
      <c r="D66">
        <v>79</v>
      </c>
    </row>
    <row r="67" spans="1:4" x14ac:dyDescent="0.45">
      <c r="A67" s="1">
        <v>42729</v>
      </c>
      <c r="B67" t="s">
        <v>7</v>
      </c>
      <c r="C67" t="s">
        <v>8</v>
      </c>
      <c r="D67">
        <v>33</v>
      </c>
    </row>
    <row r="68" spans="1:4" x14ac:dyDescent="0.45">
      <c r="A68" s="1">
        <v>42729</v>
      </c>
      <c r="B68" t="s">
        <v>11</v>
      </c>
      <c r="C68" t="s">
        <v>8</v>
      </c>
      <c r="D68">
        <v>26</v>
      </c>
    </row>
    <row r="69" spans="1:4" x14ac:dyDescent="0.45">
      <c r="A69" s="1">
        <v>42742</v>
      </c>
      <c r="B69" t="s">
        <v>12</v>
      </c>
      <c r="C69" t="s">
        <v>8</v>
      </c>
      <c r="D69">
        <v>40</v>
      </c>
    </row>
    <row r="70" spans="1:4" x14ac:dyDescent="0.45">
      <c r="A70" s="1">
        <v>42742</v>
      </c>
      <c r="B70" t="s">
        <v>10</v>
      </c>
      <c r="C70" t="s">
        <v>8</v>
      </c>
      <c r="D70">
        <v>42</v>
      </c>
    </row>
    <row r="71" spans="1:4" x14ac:dyDescent="0.45">
      <c r="A71" s="1">
        <v>42742</v>
      </c>
      <c r="B71" t="s">
        <v>11</v>
      </c>
      <c r="C71" t="s">
        <v>8</v>
      </c>
      <c r="D71">
        <v>42</v>
      </c>
    </row>
    <row r="72" spans="1:4" x14ac:dyDescent="0.45">
      <c r="A72" s="1">
        <v>42742</v>
      </c>
      <c r="B72" t="s">
        <v>7</v>
      </c>
      <c r="C72" t="s">
        <v>8</v>
      </c>
      <c r="D72">
        <v>9</v>
      </c>
    </row>
    <row r="73" spans="1:4" x14ac:dyDescent="0.45">
      <c r="A73" s="1">
        <v>42742</v>
      </c>
      <c r="B73" t="s">
        <v>9</v>
      </c>
      <c r="C73" t="s">
        <v>8</v>
      </c>
      <c r="D73">
        <v>39</v>
      </c>
    </row>
    <row r="74" spans="1:4" x14ac:dyDescent="0.45">
      <c r="A74" s="1">
        <v>42759</v>
      </c>
      <c r="B74" t="s">
        <v>9</v>
      </c>
      <c r="C74" t="s">
        <v>14</v>
      </c>
      <c r="D74">
        <v>112</v>
      </c>
    </row>
    <row r="75" spans="1:4" x14ac:dyDescent="0.45">
      <c r="A75" s="1">
        <v>42759</v>
      </c>
      <c r="B75" t="s">
        <v>7</v>
      </c>
      <c r="C75" t="s">
        <v>8</v>
      </c>
      <c r="D75">
        <v>34</v>
      </c>
    </row>
    <row r="76" spans="1:4" x14ac:dyDescent="0.45">
      <c r="A76" s="1">
        <v>42759</v>
      </c>
      <c r="B76" t="s">
        <v>12</v>
      </c>
      <c r="C76" t="s">
        <v>8</v>
      </c>
      <c r="D76">
        <v>5</v>
      </c>
    </row>
    <row r="77" spans="1:4" x14ac:dyDescent="0.45">
      <c r="A77" s="1">
        <v>42774</v>
      </c>
      <c r="B77" t="s">
        <v>7</v>
      </c>
      <c r="C77" t="s">
        <v>14</v>
      </c>
      <c r="D77">
        <v>74</v>
      </c>
    </row>
    <row r="78" spans="1:4" x14ac:dyDescent="0.45">
      <c r="A78" s="1">
        <v>42774</v>
      </c>
      <c r="B78" t="s">
        <v>11</v>
      </c>
      <c r="C78" t="s">
        <v>8</v>
      </c>
      <c r="D78">
        <v>14</v>
      </c>
    </row>
    <row r="79" spans="1:4" x14ac:dyDescent="0.45">
      <c r="A79" s="1">
        <v>42793</v>
      </c>
      <c r="B79" t="s">
        <v>9</v>
      </c>
      <c r="C79" t="s">
        <v>14</v>
      </c>
      <c r="D79">
        <v>1</v>
      </c>
    </row>
    <row r="80" spans="1:4" x14ac:dyDescent="0.45">
      <c r="A80" s="1">
        <v>42793</v>
      </c>
      <c r="B80" t="s">
        <v>11</v>
      </c>
      <c r="C80" t="s">
        <v>14</v>
      </c>
      <c r="D80">
        <v>43</v>
      </c>
    </row>
    <row r="81" spans="1:4" x14ac:dyDescent="0.45">
      <c r="A81" s="1">
        <v>42793</v>
      </c>
      <c r="B81" t="s">
        <v>10</v>
      </c>
      <c r="C81" t="s">
        <v>8</v>
      </c>
      <c r="D81">
        <v>30</v>
      </c>
    </row>
    <row r="82" spans="1:4" x14ac:dyDescent="0.45">
      <c r="A82" s="1">
        <v>42793</v>
      </c>
      <c r="B82" t="s">
        <v>12</v>
      </c>
      <c r="C82" t="s">
        <v>8</v>
      </c>
      <c r="D82">
        <v>14</v>
      </c>
    </row>
    <row r="83" spans="1:4" x14ac:dyDescent="0.45">
      <c r="A83" s="1">
        <v>42819</v>
      </c>
      <c r="B83" t="s">
        <v>11</v>
      </c>
      <c r="C83" t="s">
        <v>14</v>
      </c>
      <c r="D83">
        <v>33</v>
      </c>
    </row>
    <row r="84" spans="1:4" x14ac:dyDescent="0.45">
      <c r="A84" s="1">
        <v>42819</v>
      </c>
      <c r="B84" t="s">
        <v>9</v>
      </c>
      <c r="C84" t="s">
        <v>8</v>
      </c>
      <c r="D84">
        <v>35</v>
      </c>
    </row>
    <row r="85" spans="1:4" x14ac:dyDescent="0.45">
      <c r="A85" s="1">
        <v>42819</v>
      </c>
      <c r="B85" t="s">
        <v>12</v>
      </c>
      <c r="C85" t="s">
        <v>8</v>
      </c>
      <c r="D85">
        <v>40</v>
      </c>
    </row>
    <row r="86" spans="1:4" x14ac:dyDescent="0.45">
      <c r="A86" s="1">
        <v>42840</v>
      </c>
      <c r="B86" t="s">
        <v>11</v>
      </c>
      <c r="C86" t="s">
        <v>14</v>
      </c>
      <c r="D86">
        <v>21</v>
      </c>
    </row>
    <row r="87" spans="1:4" x14ac:dyDescent="0.45">
      <c r="A87" s="1">
        <v>42840</v>
      </c>
      <c r="B87" t="s">
        <v>7</v>
      </c>
      <c r="C87" t="s">
        <v>14</v>
      </c>
      <c r="D87">
        <v>2</v>
      </c>
    </row>
    <row r="88" spans="1:4" x14ac:dyDescent="0.45">
      <c r="A88" s="1">
        <v>42840</v>
      </c>
      <c r="B88" t="s">
        <v>12</v>
      </c>
      <c r="C88" t="s">
        <v>8</v>
      </c>
      <c r="D88">
        <v>12</v>
      </c>
    </row>
    <row r="89" spans="1:4" x14ac:dyDescent="0.45">
      <c r="A89" s="1">
        <v>42840</v>
      </c>
      <c r="B89" t="s">
        <v>10</v>
      </c>
      <c r="C89" t="s">
        <v>8</v>
      </c>
      <c r="D89">
        <v>15</v>
      </c>
    </row>
    <row r="90" spans="1:4" x14ac:dyDescent="0.45">
      <c r="A90" s="1">
        <v>42840</v>
      </c>
      <c r="B90" t="s">
        <v>9</v>
      </c>
      <c r="C90" t="s">
        <v>8</v>
      </c>
      <c r="D90">
        <v>1</v>
      </c>
    </row>
    <row r="91" spans="1:4" x14ac:dyDescent="0.45">
      <c r="A91" s="1">
        <v>42864</v>
      </c>
      <c r="B91" t="s">
        <v>10</v>
      </c>
      <c r="C91" t="s">
        <v>14</v>
      </c>
      <c r="D91">
        <v>86</v>
      </c>
    </row>
    <row r="92" spans="1:4" x14ac:dyDescent="0.45">
      <c r="A92" s="1">
        <v>42864</v>
      </c>
      <c r="B92" t="s">
        <v>12</v>
      </c>
      <c r="C92" t="s">
        <v>14</v>
      </c>
      <c r="D92">
        <v>110</v>
      </c>
    </row>
    <row r="93" spans="1:4" x14ac:dyDescent="0.45">
      <c r="A93" s="1">
        <v>42864</v>
      </c>
      <c r="B93" t="s">
        <v>9</v>
      </c>
      <c r="C93" t="s">
        <v>8</v>
      </c>
      <c r="D93">
        <v>33</v>
      </c>
    </row>
    <row r="94" spans="1:4" x14ac:dyDescent="0.45">
      <c r="A94" s="1">
        <v>42864</v>
      </c>
      <c r="B94" t="s">
        <v>11</v>
      </c>
      <c r="C94" t="s">
        <v>8</v>
      </c>
      <c r="D94">
        <v>13</v>
      </c>
    </row>
    <row r="95" spans="1:4" x14ac:dyDescent="0.45">
      <c r="A95" s="1">
        <v>42864</v>
      </c>
      <c r="B95" t="s">
        <v>7</v>
      </c>
      <c r="C95" t="s">
        <v>8</v>
      </c>
      <c r="D95">
        <v>37</v>
      </c>
    </row>
    <row r="96" spans="1:4" x14ac:dyDescent="0.45">
      <c r="A96" s="1">
        <v>42882</v>
      </c>
      <c r="B96" t="s">
        <v>10</v>
      </c>
      <c r="C96" t="s">
        <v>14</v>
      </c>
      <c r="D96">
        <v>1</v>
      </c>
    </row>
    <row r="97" spans="1:4" x14ac:dyDescent="0.45">
      <c r="A97" s="1">
        <v>42882</v>
      </c>
      <c r="B97" t="s">
        <v>9</v>
      </c>
      <c r="C97" t="s">
        <v>14</v>
      </c>
      <c r="D97">
        <v>68</v>
      </c>
    </row>
    <row r="98" spans="1:4" x14ac:dyDescent="0.45">
      <c r="A98" s="1">
        <v>42882</v>
      </c>
      <c r="B98" t="s">
        <v>7</v>
      </c>
      <c r="C98" t="s">
        <v>8</v>
      </c>
      <c r="D98">
        <v>35</v>
      </c>
    </row>
    <row r="99" spans="1:4" x14ac:dyDescent="0.45">
      <c r="A99" s="1">
        <v>42882</v>
      </c>
      <c r="B99" t="s">
        <v>12</v>
      </c>
      <c r="C99" t="s">
        <v>8</v>
      </c>
      <c r="D99">
        <v>25</v>
      </c>
    </row>
    <row r="100" spans="1:4" x14ac:dyDescent="0.45">
      <c r="A100" s="1">
        <v>42882</v>
      </c>
      <c r="B100" t="s">
        <v>11</v>
      </c>
      <c r="C100" t="s">
        <v>8</v>
      </c>
      <c r="D100">
        <v>10</v>
      </c>
    </row>
    <row r="101" spans="1:4" x14ac:dyDescent="0.45">
      <c r="A101" s="1">
        <v>42904</v>
      </c>
      <c r="B101" t="s">
        <v>11</v>
      </c>
      <c r="C101" t="s">
        <v>14</v>
      </c>
      <c r="D101">
        <v>38</v>
      </c>
    </row>
    <row r="102" spans="1:4" x14ac:dyDescent="0.45">
      <c r="A102" s="1">
        <v>42904</v>
      </c>
      <c r="B102" t="s">
        <v>10</v>
      </c>
      <c r="C102" t="s">
        <v>8</v>
      </c>
      <c r="D102">
        <v>22</v>
      </c>
    </row>
    <row r="103" spans="1:4" x14ac:dyDescent="0.45">
      <c r="A103" s="1">
        <v>42904</v>
      </c>
      <c r="B103" t="s">
        <v>12</v>
      </c>
      <c r="C103" t="s">
        <v>8</v>
      </c>
      <c r="D103">
        <v>25</v>
      </c>
    </row>
    <row r="104" spans="1:4" x14ac:dyDescent="0.45">
      <c r="A104" s="1">
        <v>42904</v>
      </c>
      <c r="B104" t="s">
        <v>9</v>
      </c>
      <c r="C104" t="s">
        <v>8</v>
      </c>
      <c r="D104">
        <v>8</v>
      </c>
    </row>
    <row r="105" spans="1:4" x14ac:dyDescent="0.45">
      <c r="A105" s="1">
        <v>42904</v>
      </c>
      <c r="B105" t="s">
        <v>7</v>
      </c>
      <c r="C105" t="s">
        <v>8</v>
      </c>
      <c r="D105">
        <v>45</v>
      </c>
    </row>
    <row r="106" spans="1:4" x14ac:dyDescent="0.45">
      <c r="A106" s="1">
        <v>42929</v>
      </c>
      <c r="B106" t="s">
        <v>7</v>
      </c>
      <c r="C106" t="s">
        <v>14</v>
      </c>
      <c r="D106">
        <v>116</v>
      </c>
    </row>
    <row r="107" spans="1:4" x14ac:dyDescent="0.45">
      <c r="A107" s="1">
        <v>42929</v>
      </c>
      <c r="B107" t="s">
        <v>12</v>
      </c>
      <c r="C107" t="s">
        <v>8</v>
      </c>
      <c r="D107">
        <v>29</v>
      </c>
    </row>
    <row r="108" spans="1:4" x14ac:dyDescent="0.45">
      <c r="A108" s="1">
        <v>42942</v>
      </c>
      <c r="B108" t="s">
        <v>11</v>
      </c>
      <c r="C108" t="s">
        <v>14</v>
      </c>
      <c r="D108">
        <v>5</v>
      </c>
    </row>
    <row r="109" spans="1:4" x14ac:dyDescent="0.45">
      <c r="A109" s="1">
        <v>42942</v>
      </c>
      <c r="B109" t="s">
        <v>10</v>
      </c>
      <c r="C109" t="s">
        <v>14</v>
      </c>
      <c r="D109">
        <v>22</v>
      </c>
    </row>
    <row r="110" spans="1:4" x14ac:dyDescent="0.45">
      <c r="A110" s="1">
        <v>42942</v>
      </c>
      <c r="B110" t="s">
        <v>12</v>
      </c>
      <c r="C110" t="s">
        <v>8</v>
      </c>
      <c r="D110">
        <v>37</v>
      </c>
    </row>
    <row r="111" spans="1:4" x14ac:dyDescent="0.45">
      <c r="A111" s="1">
        <v>42942</v>
      </c>
      <c r="B111" t="s">
        <v>7</v>
      </c>
      <c r="C111" t="s">
        <v>8</v>
      </c>
      <c r="D111">
        <v>10</v>
      </c>
    </row>
    <row r="112" spans="1:4" x14ac:dyDescent="0.45">
      <c r="A112" s="1">
        <v>42942</v>
      </c>
      <c r="B112" t="s">
        <v>9</v>
      </c>
      <c r="C112" t="s">
        <v>8</v>
      </c>
      <c r="D112">
        <v>42</v>
      </c>
    </row>
    <row r="113" spans="1:4" x14ac:dyDescent="0.45">
      <c r="A113" s="1">
        <v>42959</v>
      </c>
      <c r="B113" t="s">
        <v>7</v>
      </c>
      <c r="C113" t="s">
        <v>14</v>
      </c>
      <c r="D113">
        <v>11</v>
      </c>
    </row>
    <row r="114" spans="1:4" x14ac:dyDescent="0.45">
      <c r="A114" s="1">
        <v>42959</v>
      </c>
      <c r="B114" t="s">
        <v>9</v>
      </c>
      <c r="C114" t="s">
        <v>14</v>
      </c>
      <c r="D114">
        <v>48</v>
      </c>
    </row>
    <row r="115" spans="1:4" x14ac:dyDescent="0.45">
      <c r="A115" s="1">
        <v>42959</v>
      </c>
      <c r="B115" t="s">
        <v>12</v>
      </c>
      <c r="C115" t="s">
        <v>8</v>
      </c>
      <c r="D115">
        <v>20</v>
      </c>
    </row>
    <row r="116" spans="1:4" x14ac:dyDescent="0.45">
      <c r="A116" s="1">
        <v>42959</v>
      </c>
      <c r="B116" t="s">
        <v>11</v>
      </c>
      <c r="C116" t="s">
        <v>8</v>
      </c>
      <c r="D116">
        <v>26</v>
      </c>
    </row>
    <row r="117" spans="1:4" x14ac:dyDescent="0.45">
      <c r="A117" s="1">
        <v>42974</v>
      </c>
      <c r="B117" t="s">
        <v>10</v>
      </c>
      <c r="C117" t="s">
        <v>8</v>
      </c>
      <c r="D117">
        <v>24</v>
      </c>
    </row>
    <row r="118" spans="1:4" x14ac:dyDescent="0.45">
      <c r="A118" s="1">
        <v>42974</v>
      </c>
      <c r="B118" t="s">
        <v>7</v>
      </c>
      <c r="C118" t="s">
        <v>8</v>
      </c>
      <c r="D118">
        <v>38</v>
      </c>
    </row>
    <row r="119" spans="1:4" x14ac:dyDescent="0.45">
      <c r="A119" s="1">
        <v>42974</v>
      </c>
      <c r="B119" t="s">
        <v>12</v>
      </c>
      <c r="C119" t="s">
        <v>8</v>
      </c>
      <c r="D119">
        <v>14</v>
      </c>
    </row>
    <row r="120" spans="1:4" x14ac:dyDescent="0.45">
      <c r="A120" s="1">
        <v>42974</v>
      </c>
      <c r="B120" t="s">
        <v>9</v>
      </c>
      <c r="C120" t="s">
        <v>8</v>
      </c>
      <c r="D120">
        <v>4</v>
      </c>
    </row>
    <row r="121" spans="1:4" x14ac:dyDescent="0.45">
      <c r="A121" s="1">
        <v>42993</v>
      </c>
      <c r="B121" t="s">
        <v>11</v>
      </c>
      <c r="C121" t="s">
        <v>14</v>
      </c>
      <c r="D121">
        <v>19</v>
      </c>
    </row>
    <row r="122" spans="1:4" x14ac:dyDescent="0.45">
      <c r="A122" s="1">
        <v>42993</v>
      </c>
      <c r="B122" t="s">
        <v>7</v>
      </c>
      <c r="C122" t="s">
        <v>8</v>
      </c>
      <c r="D122">
        <v>30</v>
      </c>
    </row>
    <row r="123" spans="1:4" x14ac:dyDescent="0.45">
      <c r="A123" s="1">
        <v>43019</v>
      </c>
      <c r="B123" t="s">
        <v>9</v>
      </c>
      <c r="C123" t="s">
        <v>14</v>
      </c>
      <c r="D123">
        <v>6</v>
      </c>
    </row>
    <row r="124" spans="1:4" x14ac:dyDescent="0.45">
      <c r="A124" s="1">
        <v>43019</v>
      </c>
      <c r="B124" t="s">
        <v>7</v>
      </c>
      <c r="C124" t="s">
        <v>8</v>
      </c>
      <c r="D124">
        <v>43</v>
      </c>
    </row>
    <row r="125" spans="1:4" x14ac:dyDescent="0.45">
      <c r="A125" s="1">
        <v>43040</v>
      </c>
      <c r="B125" t="s">
        <v>9</v>
      </c>
      <c r="C125" t="s">
        <v>14</v>
      </c>
      <c r="D125">
        <v>1</v>
      </c>
    </row>
    <row r="126" spans="1:4" x14ac:dyDescent="0.45">
      <c r="A126" s="1">
        <v>43040</v>
      </c>
      <c r="B126" t="s">
        <v>12</v>
      </c>
      <c r="C126" t="s">
        <v>14</v>
      </c>
      <c r="D126">
        <v>147</v>
      </c>
    </row>
    <row r="127" spans="1:4" x14ac:dyDescent="0.45">
      <c r="A127" s="1">
        <v>43040</v>
      </c>
      <c r="B127" t="s">
        <v>10</v>
      </c>
      <c r="C127" t="s">
        <v>8</v>
      </c>
      <c r="D127">
        <v>15</v>
      </c>
    </row>
    <row r="128" spans="1:4" x14ac:dyDescent="0.45">
      <c r="A128" s="1">
        <v>43040</v>
      </c>
      <c r="B128" t="s">
        <v>7</v>
      </c>
      <c r="C128" t="s">
        <v>8</v>
      </c>
      <c r="D128">
        <v>24</v>
      </c>
    </row>
    <row r="129" spans="1:4" x14ac:dyDescent="0.45">
      <c r="A129" s="1">
        <v>43040</v>
      </c>
      <c r="B129" t="s">
        <v>11</v>
      </c>
      <c r="C129" t="s">
        <v>8</v>
      </c>
      <c r="D129">
        <v>19</v>
      </c>
    </row>
    <row r="130" spans="1:4" x14ac:dyDescent="0.45">
      <c r="A130" s="1">
        <v>43064</v>
      </c>
      <c r="B130" t="s">
        <v>7</v>
      </c>
      <c r="C130" t="s">
        <v>14</v>
      </c>
      <c r="D130">
        <v>134</v>
      </c>
    </row>
    <row r="131" spans="1:4" x14ac:dyDescent="0.45">
      <c r="A131" s="1">
        <v>43064</v>
      </c>
      <c r="B131" t="s">
        <v>9</v>
      </c>
      <c r="C131" t="s">
        <v>8</v>
      </c>
      <c r="D131">
        <v>12</v>
      </c>
    </row>
    <row r="132" spans="1:4" x14ac:dyDescent="0.45">
      <c r="A132" s="1">
        <v>43082</v>
      </c>
      <c r="B132" t="s">
        <v>12</v>
      </c>
      <c r="C132" t="s">
        <v>14</v>
      </c>
      <c r="D132">
        <v>4</v>
      </c>
    </row>
    <row r="133" spans="1:4" x14ac:dyDescent="0.45">
      <c r="A133" s="1">
        <v>43082</v>
      </c>
      <c r="B133" t="s">
        <v>10</v>
      </c>
      <c r="C133" t="s">
        <v>8</v>
      </c>
      <c r="D133">
        <v>26</v>
      </c>
    </row>
    <row r="134" spans="1:4" x14ac:dyDescent="0.45">
      <c r="A134" s="1">
        <v>43082</v>
      </c>
      <c r="B134" t="s">
        <v>7</v>
      </c>
      <c r="C134" t="s">
        <v>8</v>
      </c>
      <c r="D134">
        <v>38</v>
      </c>
    </row>
    <row r="135" spans="1:4" x14ac:dyDescent="0.45">
      <c r="A135" s="1">
        <v>43104</v>
      </c>
      <c r="B135" t="s">
        <v>7</v>
      </c>
      <c r="C135" t="s">
        <v>14</v>
      </c>
      <c r="D135">
        <v>38</v>
      </c>
    </row>
    <row r="136" spans="1:4" x14ac:dyDescent="0.45">
      <c r="A136" s="1">
        <v>43104</v>
      </c>
      <c r="B136" t="s">
        <v>11</v>
      </c>
      <c r="C136" t="s">
        <v>14</v>
      </c>
      <c r="D136">
        <v>44</v>
      </c>
    </row>
    <row r="137" spans="1:4" x14ac:dyDescent="0.45">
      <c r="A137" s="1">
        <v>43104</v>
      </c>
      <c r="B137" t="s">
        <v>10</v>
      </c>
      <c r="C137" t="s">
        <v>8</v>
      </c>
      <c r="D137">
        <v>21</v>
      </c>
    </row>
    <row r="138" spans="1:4" x14ac:dyDescent="0.45">
      <c r="A138" s="1">
        <v>43104</v>
      </c>
      <c r="B138" t="s">
        <v>9</v>
      </c>
      <c r="C138" t="s">
        <v>8</v>
      </c>
      <c r="D138">
        <v>10</v>
      </c>
    </row>
    <row r="139" spans="1:4" x14ac:dyDescent="0.45">
      <c r="A139" s="1">
        <v>43129</v>
      </c>
      <c r="B139" t="s">
        <v>11</v>
      </c>
      <c r="C139" t="s">
        <v>14</v>
      </c>
      <c r="D139">
        <v>15</v>
      </c>
    </row>
    <row r="140" spans="1:4" x14ac:dyDescent="0.45">
      <c r="A140" s="1">
        <v>43129</v>
      </c>
      <c r="B140" t="s">
        <v>9</v>
      </c>
      <c r="C140" t="s">
        <v>14</v>
      </c>
      <c r="D140">
        <v>22</v>
      </c>
    </row>
    <row r="141" spans="1:4" x14ac:dyDescent="0.45">
      <c r="A141" s="1">
        <v>43129</v>
      </c>
      <c r="B141" t="s">
        <v>7</v>
      </c>
      <c r="C141" t="s">
        <v>8</v>
      </c>
      <c r="D141">
        <v>9</v>
      </c>
    </row>
    <row r="142" spans="1:4" x14ac:dyDescent="0.45">
      <c r="A142" s="1">
        <v>43129</v>
      </c>
      <c r="B142" t="s">
        <v>12</v>
      </c>
      <c r="C142" t="s">
        <v>8</v>
      </c>
      <c r="D142">
        <v>6</v>
      </c>
    </row>
    <row r="143" spans="1:4" x14ac:dyDescent="0.45">
      <c r="A143" s="1">
        <v>43129</v>
      </c>
      <c r="B143" t="s">
        <v>10</v>
      </c>
      <c r="C143" t="s">
        <v>8</v>
      </c>
      <c r="D143">
        <v>4</v>
      </c>
    </row>
    <row r="144" spans="1:4" x14ac:dyDescent="0.45">
      <c r="A144" s="1">
        <v>43130</v>
      </c>
      <c r="B144" t="s">
        <v>12</v>
      </c>
      <c r="C144" t="s">
        <v>14</v>
      </c>
      <c r="D144">
        <v>6</v>
      </c>
    </row>
    <row r="145" spans="1:4" x14ac:dyDescent="0.45">
      <c r="A145" s="1">
        <v>43130</v>
      </c>
      <c r="B145" t="s">
        <v>7</v>
      </c>
      <c r="C145" t="s">
        <v>8</v>
      </c>
      <c r="D145">
        <v>48</v>
      </c>
    </row>
    <row r="146" spans="1:4" x14ac:dyDescent="0.45">
      <c r="A146" s="1">
        <v>43147</v>
      </c>
      <c r="B146" t="s">
        <v>9</v>
      </c>
      <c r="C146" t="s">
        <v>8</v>
      </c>
      <c r="D146">
        <v>34</v>
      </c>
    </row>
    <row r="147" spans="1:4" x14ac:dyDescent="0.45">
      <c r="A147" s="1">
        <v>43147</v>
      </c>
      <c r="B147" t="s">
        <v>11</v>
      </c>
      <c r="C147" t="s">
        <v>14</v>
      </c>
      <c r="D147">
        <v>49</v>
      </c>
    </row>
    <row r="148" spans="1:4" x14ac:dyDescent="0.45">
      <c r="A148" s="1">
        <v>43147</v>
      </c>
      <c r="B148" t="s">
        <v>10</v>
      </c>
      <c r="C148" t="s">
        <v>8</v>
      </c>
      <c r="D148">
        <v>10</v>
      </c>
    </row>
    <row r="149" spans="1:4" x14ac:dyDescent="0.45">
      <c r="A149" s="1">
        <v>43147</v>
      </c>
      <c r="B149" t="s">
        <v>12</v>
      </c>
      <c r="C149" t="s">
        <v>8</v>
      </c>
      <c r="D149">
        <v>47</v>
      </c>
    </row>
    <row r="150" spans="1:4" x14ac:dyDescent="0.45">
      <c r="A150" s="1">
        <v>43147</v>
      </c>
      <c r="B150" t="s">
        <v>7</v>
      </c>
      <c r="C150" t="s">
        <v>8</v>
      </c>
      <c r="D150">
        <v>48</v>
      </c>
    </row>
    <row r="151" spans="1:4" x14ac:dyDescent="0.45">
      <c r="A151" s="1">
        <v>43162</v>
      </c>
      <c r="B151" t="s">
        <v>9</v>
      </c>
      <c r="C151" t="s">
        <v>14</v>
      </c>
      <c r="D151">
        <v>34</v>
      </c>
    </row>
    <row r="152" spans="1:4" x14ac:dyDescent="0.45">
      <c r="A152" s="1">
        <v>43162</v>
      </c>
      <c r="B152" t="s">
        <v>10</v>
      </c>
      <c r="C152" t="s">
        <v>8</v>
      </c>
      <c r="D152">
        <v>5</v>
      </c>
    </row>
    <row r="153" spans="1:4" x14ac:dyDescent="0.45">
      <c r="A153" s="1">
        <v>43181</v>
      </c>
      <c r="B153" t="s">
        <v>12</v>
      </c>
      <c r="C153" t="s">
        <v>14</v>
      </c>
      <c r="D153">
        <v>46</v>
      </c>
    </row>
    <row r="154" spans="1:4" x14ac:dyDescent="0.45">
      <c r="A154" s="1">
        <v>43181</v>
      </c>
      <c r="B154" t="s">
        <v>7</v>
      </c>
      <c r="C154" t="s">
        <v>8</v>
      </c>
      <c r="D154">
        <v>49</v>
      </c>
    </row>
    <row r="155" spans="1:4" x14ac:dyDescent="0.45">
      <c r="A155" s="1">
        <v>43181</v>
      </c>
      <c r="B155" t="s">
        <v>10</v>
      </c>
      <c r="C155" t="s">
        <v>8</v>
      </c>
      <c r="D155">
        <v>16</v>
      </c>
    </row>
    <row r="156" spans="1:4" x14ac:dyDescent="0.45">
      <c r="A156" s="1">
        <v>43207</v>
      </c>
      <c r="B156" t="s">
        <v>9</v>
      </c>
      <c r="C156" t="s">
        <v>8</v>
      </c>
      <c r="D156">
        <v>5</v>
      </c>
    </row>
    <row r="157" spans="1:4" x14ac:dyDescent="0.45">
      <c r="A157" s="1">
        <v>43207</v>
      </c>
      <c r="B157" t="s">
        <v>12</v>
      </c>
      <c r="C157" t="s">
        <v>14</v>
      </c>
      <c r="D157">
        <v>1</v>
      </c>
    </row>
    <row r="158" spans="1:4" x14ac:dyDescent="0.45">
      <c r="A158" s="1">
        <v>43207</v>
      </c>
      <c r="B158" t="s">
        <v>10</v>
      </c>
      <c r="C158" t="s">
        <v>8</v>
      </c>
      <c r="D158">
        <v>34</v>
      </c>
    </row>
    <row r="159" spans="1:4" x14ac:dyDescent="0.45">
      <c r="A159" s="1">
        <v>43207</v>
      </c>
      <c r="B159" t="s">
        <v>7</v>
      </c>
      <c r="C159" t="s">
        <v>8</v>
      </c>
      <c r="D159">
        <v>29</v>
      </c>
    </row>
    <row r="160" spans="1:4" x14ac:dyDescent="0.45">
      <c r="A160" s="1">
        <v>43228</v>
      </c>
      <c r="B160" t="s">
        <v>11</v>
      </c>
      <c r="C160" t="s">
        <v>8</v>
      </c>
      <c r="D160">
        <v>34</v>
      </c>
    </row>
    <row r="161" spans="1:4" x14ac:dyDescent="0.45">
      <c r="A161" s="1">
        <v>43228</v>
      </c>
      <c r="B161" t="s">
        <v>12</v>
      </c>
      <c r="C161" t="s">
        <v>8</v>
      </c>
      <c r="D161">
        <v>27</v>
      </c>
    </row>
    <row r="162" spans="1:4" x14ac:dyDescent="0.45">
      <c r="A162" s="1">
        <v>43228</v>
      </c>
      <c r="B162" t="s">
        <v>10</v>
      </c>
      <c r="C162" t="s">
        <v>8</v>
      </c>
      <c r="D162">
        <v>40</v>
      </c>
    </row>
    <row r="163" spans="1:4" x14ac:dyDescent="0.45">
      <c r="A163" s="1">
        <v>43252</v>
      </c>
      <c r="B163" t="s">
        <v>7</v>
      </c>
      <c r="C163" t="s">
        <v>14</v>
      </c>
      <c r="D163">
        <v>184</v>
      </c>
    </row>
    <row r="164" spans="1:4" x14ac:dyDescent="0.45">
      <c r="A164" s="1">
        <v>43252</v>
      </c>
      <c r="B164" t="s">
        <v>9</v>
      </c>
      <c r="C164" t="s">
        <v>8</v>
      </c>
      <c r="D164">
        <v>48</v>
      </c>
    </row>
    <row r="165" spans="1:4" x14ac:dyDescent="0.45">
      <c r="A165" s="1">
        <v>43252</v>
      </c>
      <c r="B165" t="s">
        <v>11</v>
      </c>
      <c r="C165" t="s">
        <v>8</v>
      </c>
      <c r="D165">
        <v>21</v>
      </c>
    </row>
    <row r="166" spans="1:4" x14ac:dyDescent="0.45">
      <c r="A166" s="1">
        <v>43270</v>
      </c>
      <c r="B166" t="s">
        <v>7</v>
      </c>
      <c r="C166" t="s">
        <v>8</v>
      </c>
      <c r="D166">
        <v>47</v>
      </c>
    </row>
    <row r="167" spans="1:4" x14ac:dyDescent="0.45">
      <c r="A167" s="1">
        <v>43270</v>
      </c>
      <c r="B167" t="s">
        <v>11</v>
      </c>
      <c r="C167" t="s">
        <v>8</v>
      </c>
      <c r="D167">
        <v>6</v>
      </c>
    </row>
    <row r="168" spans="1:4" x14ac:dyDescent="0.45">
      <c r="A168" s="1">
        <v>43270</v>
      </c>
      <c r="B168" t="s">
        <v>9</v>
      </c>
      <c r="C168" t="s">
        <v>8</v>
      </c>
      <c r="D168">
        <v>47</v>
      </c>
    </row>
    <row r="169" spans="1:4" x14ac:dyDescent="0.45">
      <c r="A169" s="1">
        <v>43292</v>
      </c>
      <c r="B169" t="s">
        <v>10</v>
      </c>
      <c r="C169" t="s">
        <v>14</v>
      </c>
      <c r="D169">
        <v>192</v>
      </c>
    </row>
    <row r="170" spans="1:4" x14ac:dyDescent="0.45">
      <c r="A170" s="1">
        <v>43292</v>
      </c>
      <c r="B170" t="s">
        <v>11</v>
      </c>
      <c r="C170" t="s">
        <v>14</v>
      </c>
      <c r="D170">
        <v>48</v>
      </c>
    </row>
    <row r="171" spans="1:4" x14ac:dyDescent="0.45">
      <c r="A171" s="1">
        <v>43292</v>
      </c>
      <c r="B171" t="s">
        <v>7</v>
      </c>
      <c r="C171" t="s">
        <v>8</v>
      </c>
      <c r="D171">
        <v>18</v>
      </c>
    </row>
    <row r="172" spans="1:4" x14ac:dyDescent="0.45">
      <c r="A172" s="1">
        <v>43292</v>
      </c>
      <c r="B172" t="s">
        <v>9</v>
      </c>
      <c r="C172" t="s">
        <v>8</v>
      </c>
      <c r="D172">
        <v>25</v>
      </c>
    </row>
    <row r="173" spans="1:4" x14ac:dyDescent="0.45">
      <c r="A173" s="1">
        <v>43292</v>
      </c>
      <c r="B173" t="s">
        <v>12</v>
      </c>
      <c r="C173" t="s">
        <v>8</v>
      </c>
      <c r="D173">
        <v>2</v>
      </c>
    </row>
    <row r="174" spans="1:4" x14ac:dyDescent="0.45">
      <c r="A174" s="1">
        <v>43317</v>
      </c>
      <c r="B174" t="s">
        <v>11</v>
      </c>
      <c r="C174" t="s">
        <v>14</v>
      </c>
      <c r="D174">
        <v>13</v>
      </c>
    </row>
    <row r="175" spans="1:4" x14ac:dyDescent="0.45">
      <c r="A175" s="1">
        <v>43317</v>
      </c>
      <c r="B175" t="s">
        <v>9</v>
      </c>
      <c r="C175" t="s">
        <v>14</v>
      </c>
      <c r="D175">
        <v>121</v>
      </c>
    </row>
    <row r="176" spans="1:4" x14ac:dyDescent="0.45">
      <c r="A176" s="1">
        <v>43317</v>
      </c>
      <c r="B176" t="s">
        <v>12</v>
      </c>
      <c r="C176" t="s">
        <v>8</v>
      </c>
      <c r="D176">
        <v>30</v>
      </c>
    </row>
    <row r="177" spans="1:4" x14ac:dyDescent="0.45">
      <c r="A177" s="1">
        <v>43317</v>
      </c>
      <c r="B177" t="s">
        <v>10</v>
      </c>
      <c r="C177" t="s">
        <v>8</v>
      </c>
      <c r="D177">
        <v>46</v>
      </c>
    </row>
    <row r="178" spans="1:4" x14ac:dyDescent="0.45">
      <c r="A178" s="1">
        <v>43330</v>
      </c>
      <c r="B178" t="s">
        <v>10</v>
      </c>
      <c r="C178" t="s">
        <v>14</v>
      </c>
      <c r="D178">
        <v>49</v>
      </c>
    </row>
    <row r="179" spans="1:4" x14ac:dyDescent="0.45">
      <c r="A179" s="1">
        <v>43330</v>
      </c>
      <c r="B179" t="s">
        <v>7</v>
      </c>
      <c r="C179" t="s">
        <v>14</v>
      </c>
      <c r="D179">
        <v>61</v>
      </c>
    </row>
    <row r="180" spans="1:4" x14ac:dyDescent="0.45">
      <c r="A180" s="1">
        <v>43330</v>
      </c>
      <c r="B180" t="s">
        <v>12</v>
      </c>
      <c r="C180" t="s">
        <v>8</v>
      </c>
      <c r="D180">
        <v>19</v>
      </c>
    </row>
    <row r="181" spans="1:4" x14ac:dyDescent="0.45">
      <c r="A181" s="1">
        <v>43330</v>
      </c>
      <c r="B181" t="s">
        <v>9</v>
      </c>
      <c r="C181" t="s">
        <v>8</v>
      </c>
      <c r="D181">
        <v>22</v>
      </c>
    </row>
    <row r="182" spans="1:4" x14ac:dyDescent="0.45">
      <c r="A182" s="1">
        <v>43347</v>
      </c>
      <c r="B182" t="s">
        <v>11</v>
      </c>
      <c r="C182" t="s">
        <v>8</v>
      </c>
      <c r="D182">
        <v>9</v>
      </c>
    </row>
    <row r="183" spans="1:4" x14ac:dyDescent="0.45">
      <c r="A183" s="1">
        <v>43347</v>
      </c>
      <c r="B183" t="s">
        <v>7</v>
      </c>
      <c r="C183" t="s">
        <v>14</v>
      </c>
      <c r="D183">
        <v>4</v>
      </c>
    </row>
    <row r="184" spans="1:4" x14ac:dyDescent="0.45">
      <c r="A184" s="1">
        <v>43347</v>
      </c>
      <c r="B184" t="s">
        <v>12</v>
      </c>
      <c r="C184" t="s">
        <v>8</v>
      </c>
      <c r="D184">
        <v>8</v>
      </c>
    </row>
    <row r="185" spans="1:4" x14ac:dyDescent="0.45">
      <c r="A185" s="1">
        <v>43347</v>
      </c>
      <c r="B185" t="s">
        <v>10</v>
      </c>
      <c r="C185" t="s">
        <v>8</v>
      </c>
      <c r="D185">
        <v>47</v>
      </c>
    </row>
    <row r="186" spans="1:4" x14ac:dyDescent="0.45">
      <c r="A186" s="1">
        <v>43362</v>
      </c>
      <c r="B186" t="s">
        <v>12</v>
      </c>
      <c r="C186" t="s">
        <v>14</v>
      </c>
      <c r="D186">
        <v>82</v>
      </c>
    </row>
    <row r="187" spans="1:4" x14ac:dyDescent="0.45">
      <c r="A187" s="1">
        <v>43362</v>
      </c>
      <c r="B187" t="s">
        <v>9</v>
      </c>
      <c r="C187" t="s">
        <v>14</v>
      </c>
      <c r="D187">
        <v>26</v>
      </c>
    </row>
    <row r="188" spans="1:4" x14ac:dyDescent="0.45">
      <c r="A188" s="1">
        <v>43362</v>
      </c>
      <c r="B188" t="s">
        <v>10</v>
      </c>
      <c r="C188" t="s">
        <v>8</v>
      </c>
      <c r="D188">
        <v>24</v>
      </c>
    </row>
    <row r="189" spans="1:4" x14ac:dyDescent="0.45">
      <c r="A189" s="1">
        <v>43362</v>
      </c>
      <c r="B189" t="s">
        <v>11</v>
      </c>
      <c r="C189" t="s">
        <v>8</v>
      </c>
      <c r="D189">
        <v>36</v>
      </c>
    </row>
    <row r="190" spans="1:4" x14ac:dyDescent="0.45">
      <c r="A190" s="1">
        <v>43362</v>
      </c>
      <c r="B190" t="s">
        <v>7</v>
      </c>
      <c r="C190" t="s">
        <v>8</v>
      </c>
      <c r="D190">
        <v>6</v>
      </c>
    </row>
    <row r="191" spans="1:4" x14ac:dyDescent="0.45">
      <c r="A191" s="1">
        <v>43381</v>
      </c>
      <c r="B191" t="s">
        <v>11</v>
      </c>
      <c r="C191" t="s">
        <v>14</v>
      </c>
      <c r="D191">
        <v>45</v>
      </c>
    </row>
    <row r="192" spans="1:4" x14ac:dyDescent="0.45">
      <c r="A192" s="1">
        <v>43381</v>
      </c>
      <c r="B192" t="s">
        <v>10</v>
      </c>
      <c r="C192" t="s">
        <v>8</v>
      </c>
      <c r="D192">
        <v>18</v>
      </c>
    </row>
    <row r="193" spans="1:4" x14ac:dyDescent="0.45">
      <c r="A193" s="1">
        <v>43381</v>
      </c>
      <c r="B193" t="s">
        <v>9</v>
      </c>
      <c r="C193" t="s">
        <v>8</v>
      </c>
      <c r="D193">
        <v>20</v>
      </c>
    </row>
    <row r="194" spans="1:4" x14ac:dyDescent="0.45">
      <c r="A194" s="1">
        <v>43407</v>
      </c>
      <c r="B194" t="s">
        <v>12</v>
      </c>
      <c r="C194" t="s">
        <v>14</v>
      </c>
      <c r="D194">
        <v>4</v>
      </c>
    </row>
    <row r="195" spans="1:4" x14ac:dyDescent="0.45">
      <c r="A195" s="1">
        <v>43407</v>
      </c>
      <c r="B195" t="s">
        <v>9</v>
      </c>
      <c r="C195" t="s">
        <v>8</v>
      </c>
      <c r="D195">
        <v>48</v>
      </c>
    </row>
    <row r="196" spans="1:4" x14ac:dyDescent="0.45">
      <c r="A196" s="1">
        <v>43428</v>
      </c>
      <c r="B196" t="s">
        <v>9</v>
      </c>
      <c r="C196" t="s">
        <v>14</v>
      </c>
      <c r="D196">
        <v>64</v>
      </c>
    </row>
    <row r="197" spans="1:4" x14ac:dyDescent="0.45">
      <c r="A197" s="1">
        <v>43428</v>
      </c>
      <c r="B197" t="s">
        <v>7</v>
      </c>
      <c r="C197" t="s">
        <v>8</v>
      </c>
      <c r="D197">
        <v>43</v>
      </c>
    </row>
    <row r="198" spans="1:4" x14ac:dyDescent="0.45">
      <c r="A198" s="1">
        <v>43428</v>
      </c>
      <c r="B198" t="s">
        <v>11</v>
      </c>
      <c r="C198" t="s">
        <v>8</v>
      </c>
      <c r="D198">
        <v>24</v>
      </c>
    </row>
    <row r="199" spans="1:4" x14ac:dyDescent="0.45">
      <c r="A199" s="1">
        <v>43452</v>
      </c>
      <c r="B199" t="s">
        <v>9</v>
      </c>
      <c r="C199" t="s">
        <v>14</v>
      </c>
      <c r="D199">
        <v>4</v>
      </c>
    </row>
    <row r="200" spans="1:4" x14ac:dyDescent="0.45">
      <c r="A200" s="1">
        <v>43452</v>
      </c>
      <c r="B200" t="s">
        <v>12</v>
      </c>
      <c r="C200" t="s">
        <v>8</v>
      </c>
      <c r="D200">
        <v>35</v>
      </c>
    </row>
    <row r="201" spans="1:4" x14ac:dyDescent="0.45">
      <c r="A201" s="1">
        <v>43452</v>
      </c>
      <c r="B201" t="s">
        <v>10</v>
      </c>
      <c r="C201" t="s">
        <v>8</v>
      </c>
      <c r="D201">
        <v>41</v>
      </c>
    </row>
    <row r="202" spans="1:4" x14ac:dyDescent="0.45">
      <c r="A202" s="1">
        <v>43452</v>
      </c>
      <c r="B202" t="s">
        <v>7</v>
      </c>
      <c r="C202" t="s">
        <v>8</v>
      </c>
      <c r="D202">
        <v>23</v>
      </c>
    </row>
    <row r="203" spans="1:4" x14ac:dyDescent="0.45">
      <c r="A203" s="1">
        <v>43452</v>
      </c>
      <c r="B203" t="s">
        <v>11</v>
      </c>
      <c r="C203" t="s">
        <v>8</v>
      </c>
      <c r="D203">
        <v>46</v>
      </c>
    </row>
  </sheetData>
  <phoneticPr fontId="2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27AC-46EF-4C4C-89C1-9E09D16EFF04}">
  <dimension ref="A1:N203"/>
  <sheetViews>
    <sheetView workbookViewId="0">
      <selection activeCell="N3" sqref="M3:N3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9.86328125" customWidth="1"/>
    <col min="4" max="4" width="5.3984375" bestFit="1" customWidth="1"/>
    <col min="5" max="5" width="4.1328125" bestFit="1" customWidth="1"/>
    <col min="6" max="6" width="5.73046875" bestFit="1" customWidth="1"/>
    <col min="7" max="7" width="19.46484375" bestFit="1" customWidth="1"/>
    <col min="8" max="8" width="19.46484375" customWidth="1"/>
    <col min="13" max="13" width="9.6640625" bestFit="1" customWidth="1"/>
    <col min="14" max="14" width="6.73046875" bestFit="1" customWidth="1"/>
  </cols>
  <sheetData>
    <row r="1" spans="1:14" x14ac:dyDescent="0.45">
      <c r="A1" t="s">
        <v>0</v>
      </c>
      <c r="B1" t="s">
        <v>1</v>
      </c>
      <c r="C1" t="s">
        <v>81</v>
      </c>
      <c r="D1" t="s">
        <v>2</v>
      </c>
      <c r="E1" t="s">
        <v>3</v>
      </c>
      <c r="F1" t="s">
        <v>4</v>
      </c>
      <c r="G1" t="s">
        <v>5</v>
      </c>
      <c r="H1" t="s">
        <v>83</v>
      </c>
      <c r="I1" t="s">
        <v>82</v>
      </c>
    </row>
    <row r="2" spans="1:14" x14ac:dyDescent="0.45">
      <c r="A2" s="1">
        <v>42370</v>
      </c>
      <c r="B2" t="s">
        <v>6</v>
      </c>
      <c r="C2">
        <v>500000</v>
      </c>
      <c r="D2" t="s">
        <v>7</v>
      </c>
      <c r="E2" t="s">
        <v>8</v>
      </c>
      <c r="F2">
        <v>3</v>
      </c>
      <c r="G2">
        <v>80</v>
      </c>
      <c r="H2">
        <f>F2*G2</f>
        <v>240</v>
      </c>
      <c r="I2">
        <f>IF(E2="Z",C2-H2, C2+H2)</f>
        <v>499760</v>
      </c>
      <c r="J2" t="str">
        <f>IF(A2&lt;&gt;A3,I2,"")</f>
        <v/>
      </c>
      <c r="M2" t="s">
        <v>84</v>
      </c>
      <c r="N2">
        <v>545844</v>
      </c>
    </row>
    <row r="3" spans="1:14" x14ac:dyDescent="0.45">
      <c r="A3" s="1">
        <v>42370</v>
      </c>
      <c r="B3" t="s">
        <v>6</v>
      </c>
      <c r="C3">
        <f>I2</f>
        <v>499760</v>
      </c>
      <c r="D3" t="s">
        <v>9</v>
      </c>
      <c r="E3" t="s">
        <v>8</v>
      </c>
      <c r="F3">
        <v>32</v>
      </c>
      <c r="G3">
        <v>50</v>
      </c>
      <c r="H3">
        <f t="shared" ref="H3:H66" si="0">F3*G3</f>
        <v>1600</v>
      </c>
      <c r="I3">
        <f t="shared" ref="I3:I66" si="1">IF(E3="Z",C3-H3, C3+H3)</f>
        <v>498160</v>
      </c>
      <c r="J3" t="str">
        <f t="shared" ref="J3:J66" si="2">IF(A3&lt;&gt;A4,I3,"")</f>
        <v/>
      </c>
      <c r="M3" s="1">
        <v>43381</v>
      </c>
      <c r="N3">
        <f>MAX(J2:J203)</f>
        <v>550079</v>
      </c>
    </row>
    <row r="4" spans="1:14" x14ac:dyDescent="0.45">
      <c r="A4" s="1">
        <v>42370</v>
      </c>
      <c r="B4" t="s">
        <v>6</v>
      </c>
      <c r="C4">
        <f t="shared" ref="C4:C67" si="3">I3</f>
        <v>498160</v>
      </c>
      <c r="D4" t="s">
        <v>10</v>
      </c>
      <c r="E4" t="s">
        <v>8</v>
      </c>
      <c r="F4">
        <v>38</v>
      </c>
      <c r="G4">
        <v>10</v>
      </c>
      <c r="H4">
        <f t="shared" si="0"/>
        <v>380</v>
      </c>
      <c r="I4">
        <f t="shared" si="1"/>
        <v>497780</v>
      </c>
      <c r="J4" t="str">
        <f t="shared" si="2"/>
        <v/>
      </c>
    </row>
    <row r="5" spans="1:14" x14ac:dyDescent="0.45">
      <c r="A5" s="1">
        <v>42370</v>
      </c>
      <c r="B5" t="s">
        <v>6</v>
      </c>
      <c r="C5">
        <f t="shared" si="3"/>
        <v>497780</v>
      </c>
      <c r="D5" t="s">
        <v>11</v>
      </c>
      <c r="E5" t="s">
        <v>8</v>
      </c>
      <c r="F5">
        <v>33</v>
      </c>
      <c r="G5">
        <v>30</v>
      </c>
      <c r="H5">
        <f t="shared" si="0"/>
        <v>990</v>
      </c>
      <c r="I5">
        <f t="shared" si="1"/>
        <v>496790</v>
      </c>
      <c r="J5" t="str">
        <f t="shared" si="2"/>
        <v/>
      </c>
    </row>
    <row r="6" spans="1:14" x14ac:dyDescent="0.45">
      <c r="A6" s="1">
        <v>42370</v>
      </c>
      <c r="B6" t="s">
        <v>6</v>
      </c>
      <c r="C6">
        <f t="shared" si="3"/>
        <v>496790</v>
      </c>
      <c r="D6" t="s">
        <v>12</v>
      </c>
      <c r="E6" t="s">
        <v>8</v>
      </c>
      <c r="F6">
        <v>43</v>
      </c>
      <c r="G6">
        <v>25</v>
      </c>
      <c r="H6">
        <f t="shared" si="0"/>
        <v>1075</v>
      </c>
      <c r="I6">
        <f t="shared" si="1"/>
        <v>495715</v>
      </c>
      <c r="J6">
        <f t="shared" si="2"/>
        <v>495715</v>
      </c>
    </row>
    <row r="7" spans="1:14" x14ac:dyDescent="0.45">
      <c r="A7" s="1">
        <v>42385</v>
      </c>
      <c r="B7" t="s">
        <v>13</v>
      </c>
      <c r="C7">
        <f t="shared" si="3"/>
        <v>495715</v>
      </c>
      <c r="D7" t="s">
        <v>9</v>
      </c>
      <c r="E7" t="s">
        <v>14</v>
      </c>
      <c r="F7">
        <v>32</v>
      </c>
      <c r="G7">
        <v>58</v>
      </c>
      <c r="H7">
        <f t="shared" si="0"/>
        <v>1856</v>
      </c>
      <c r="I7">
        <f t="shared" si="1"/>
        <v>497571</v>
      </c>
      <c r="J7" t="str">
        <f t="shared" si="2"/>
        <v/>
      </c>
    </row>
    <row r="8" spans="1:14" x14ac:dyDescent="0.45">
      <c r="A8" s="1">
        <v>42385</v>
      </c>
      <c r="B8" t="s">
        <v>13</v>
      </c>
      <c r="C8">
        <f t="shared" si="3"/>
        <v>497571</v>
      </c>
      <c r="D8" t="s">
        <v>11</v>
      </c>
      <c r="E8" t="s">
        <v>8</v>
      </c>
      <c r="F8">
        <v>14</v>
      </c>
      <c r="G8">
        <v>26</v>
      </c>
      <c r="H8">
        <f t="shared" si="0"/>
        <v>364</v>
      </c>
      <c r="I8">
        <f t="shared" si="1"/>
        <v>497207</v>
      </c>
      <c r="J8">
        <f t="shared" si="2"/>
        <v>497207</v>
      </c>
    </row>
    <row r="9" spans="1:14" x14ac:dyDescent="0.45">
      <c r="A9" s="1">
        <v>42393</v>
      </c>
      <c r="B9" t="s">
        <v>15</v>
      </c>
      <c r="C9">
        <f t="shared" si="3"/>
        <v>497207</v>
      </c>
      <c r="D9" t="s">
        <v>9</v>
      </c>
      <c r="E9" t="s">
        <v>8</v>
      </c>
      <c r="F9">
        <v>44</v>
      </c>
      <c r="G9">
        <v>46</v>
      </c>
      <c r="H9">
        <f t="shared" si="0"/>
        <v>2024</v>
      </c>
      <c r="I9">
        <f t="shared" si="1"/>
        <v>495183</v>
      </c>
      <c r="J9" t="str">
        <f t="shared" si="2"/>
        <v/>
      </c>
    </row>
    <row r="10" spans="1:14" x14ac:dyDescent="0.45">
      <c r="A10" s="1">
        <v>42393</v>
      </c>
      <c r="B10" t="s">
        <v>15</v>
      </c>
      <c r="C10">
        <f t="shared" si="3"/>
        <v>495183</v>
      </c>
      <c r="D10" t="s">
        <v>11</v>
      </c>
      <c r="E10" t="s">
        <v>8</v>
      </c>
      <c r="F10">
        <v>1</v>
      </c>
      <c r="G10">
        <v>28</v>
      </c>
      <c r="H10">
        <f t="shared" si="0"/>
        <v>28</v>
      </c>
      <c r="I10">
        <f t="shared" si="1"/>
        <v>495155</v>
      </c>
      <c r="J10" t="str">
        <f t="shared" si="2"/>
        <v/>
      </c>
    </row>
    <row r="11" spans="1:14" x14ac:dyDescent="0.45">
      <c r="A11" s="1">
        <v>42393</v>
      </c>
      <c r="B11" t="s">
        <v>15</v>
      </c>
      <c r="C11">
        <f t="shared" si="3"/>
        <v>495155</v>
      </c>
      <c r="D11" t="s">
        <v>7</v>
      </c>
      <c r="E11" t="s">
        <v>8</v>
      </c>
      <c r="F11">
        <v>21</v>
      </c>
      <c r="G11">
        <v>74</v>
      </c>
      <c r="H11">
        <f t="shared" si="0"/>
        <v>1554</v>
      </c>
      <c r="I11">
        <f t="shared" si="1"/>
        <v>493601</v>
      </c>
      <c r="J11">
        <f t="shared" si="2"/>
        <v>493601</v>
      </c>
    </row>
    <row r="12" spans="1:14" x14ac:dyDescent="0.45">
      <c r="A12" s="1">
        <v>42419</v>
      </c>
      <c r="B12" t="s">
        <v>16</v>
      </c>
      <c r="C12">
        <f t="shared" si="3"/>
        <v>493601</v>
      </c>
      <c r="D12" t="s">
        <v>12</v>
      </c>
      <c r="E12" t="s">
        <v>14</v>
      </c>
      <c r="F12">
        <v>43</v>
      </c>
      <c r="G12">
        <v>32</v>
      </c>
      <c r="H12">
        <f t="shared" si="0"/>
        <v>1376</v>
      </c>
      <c r="I12">
        <f t="shared" si="1"/>
        <v>494977</v>
      </c>
      <c r="J12" t="str">
        <f t="shared" si="2"/>
        <v/>
      </c>
    </row>
    <row r="13" spans="1:14" x14ac:dyDescent="0.45">
      <c r="A13" s="1">
        <v>42419</v>
      </c>
      <c r="B13" t="s">
        <v>16</v>
      </c>
      <c r="C13">
        <f t="shared" si="3"/>
        <v>494977</v>
      </c>
      <c r="D13" t="s">
        <v>10</v>
      </c>
      <c r="E13" t="s">
        <v>14</v>
      </c>
      <c r="F13">
        <v>38</v>
      </c>
      <c r="G13">
        <v>13</v>
      </c>
      <c r="H13">
        <f t="shared" si="0"/>
        <v>494</v>
      </c>
      <c r="I13">
        <f t="shared" si="1"/>
        <v>495471</v>
      </c>
      <c r="J13" t="str">
        <f t="shared" si="2"/>
        <v/>
      </c>
    </row>
    <row r="14" spans="1:14" x14ac:dyDescent="0.45">
      <c r="A14" s="1">
        <v>42419</v>
      </c>
      <c r="B14" t="s">
        <v>16</v>
      </c>
      <c r="C14">
        <f t="shared" si="3"/>
        <v>495471</v>
      </c>
      <c r="D14" t="s">
        <v>7</v>
      </c>
      <c r="E14" t="s">
        <v>8</v>
      </c>
      <c r="F14">
        <v>9</v>
      </c>
      <c r="G14">
        <v>59</v>
      </c>
      <c r="H14">
        <f t="shared" si="0"/>
        <v>531</v>
      </c>
      <c r="I14">
        <f t="shared" si="1"/>
        <v>494940</v>
      </c>
      <c r="J14" t="str">
        <f t="shared" si="2"/>
        <v/>
      </c>
    </row>
    <row r="15" spans="1:14" x14ac:dyDescent="0.45">
      <c r="A15" s="1">
        <v>42419</v>
      </c>
      <c r="B15" t="s">
        <v>16</v>
      </c>
      <c r="C15">
        <f t="shared" si="3"/>
        <v>494940</v>
      </c>
      <c r="D15" t="s">
        <v>9</v>
      </c>
      <c r="E15" t="s">
        <v>8</v>
      </c>
      <c r="F15">
        <v>8</v>
      </c>
      <c r="G15">
        <v>37</v>
      </c>
      <c r="H15">
        <f t="shared" si="0"/>
        <v>296</v>
      </c>
      <c r="I15">
        <f t="shared" si="1"/>
        <v>494644</v>
      </c>
      <c r="J15">
        <f t="shared" si="2"/>
        <v>494644</v>
      </c>
    </row>
    <row r="16" spans="1:14" x14ac:dyDescent="0.45">
      <c r="A16" s="1">
        <v>42440</v>
      </c>
      <c r="B16" t="s">
        <v>17</v>
      </c>
      <c r="C16">
        <f t="shared" si="3"/>
        <v>494644</v>
      </c>
      <c r="D16" t="s">
        <v>9</v>
      </c>
      <c r="E16" t="s">
        <v>14</v>
      </c>
      <c r="F16">
        <v>50</v>
      </c>
      <c r="G16">
        <v>61</v>
      </c>
      <c r="H16">
        <f t="shared" si="0"/>
        <v>3050</v>
      </c>
      <c r="I16">
        <f t="shared" si="1"/>
        <v>497694</v>
      </c>
      <c r="J16" t="str">
        <f t="shared" si="2"/>
        <v/>
      </c>
    </row>
    <row r="17" spans="1:10" x14ac:dyDescent="0.45">
      <c r="A17" s="1">
        <v>42440</v>
      </c>
      <c r="B17" t="s">
        <v>17</v>
      </c>
      <c r="C17">
        <f t="shared" si="3"/>
        <v>497694</v>
      </c>
      <c r="D17" t="s">
        <v>12</v>
      </c>
      <c r="E17" t="s">
        <v>8</v>
      </c>
      <c r="F17">
        <v>32</v>
      </c>
      <c r="G17">
        <v>20</v>
      </c>
      <c r="H17">
        <f t="shared" si="0"/>
        <v>640</v>
      </c>
      <c r="I17">
        <f t="shared" si="1"/>
        <v>497054</v>
      </c>
      <c r="J17" t="str">
        <f t="shared" si="2"/>
        <v/>
      </c>
    </row>
    <row r="18" spans="1:10" x14ac:dyDescent="0.45">
      <c r="A18" s="1">
        <v>42440</v>
      </c>
      <c r="B18" t="s">
        <v>17</v>
      </c>
      <c r="C18">
        <f t="shared" si="3"/>
        <v>497054</v>
      </c>
      <c r="D18" t="s">
        <v>10</v>
      </c>
      <c r="E18" t="s">
        <v>8</v>
      </c>
      <c r="F18">
        <v>7</v>
      </c>
      <c r="G18">
        <v>8</v>
      </c>
      <c r="H18">
        <f t="shared" si="0"/>
        <v>56</v>
      </c>
      <c r="I18">
        <f t="shared" si="1"/>
        <v>496998</v>
      </c>
      <c r="J18" t="str">
        <f t="shared" si="2"/>
        <v/>
      </c>
    </row>
    <row r="19" spans="1:10" x14ac:dyDescent="0.45">
      <c r="A19" s="1">
        <v>42440</v>
      </c>
      <c r="B19" t="s">
        <v>17</v>
      </c>
      <c r="C19">
        <f t="shared" si="3"/>
        <v>496998</v>
      </c>
      <c r="D19" t="s">
        <v>11</v>
      </c>
      <c r="E19" t="s">
        <v>8</v>
      </c>
      <c r="F19">
        <v>10</v>
      </c>
      <c r="G19">
        <v>24</v>
      </c>
      <c r="H19">
        <f t="shared" si="0"/>
        <v>240</v>
      </c>
      <c r="I19">
        <f t="shared" si="1"/>
        <v>496758</v>
      </c>
      <c r="J19">
        <f t="shared" si="2"/>
        <v>496758</v>
      </c>
    </row>
    <row r="20" spans="1:10" x14ac:dyDescent="0.45">
      <c r="A20" s="1">
        <v>42464</v>
      </c>
      <c r="B20" t="s">
        <v>18</v>
      </c>
      <c r="C20">
        <f t="shared" si="3"/>
        <v>496758</v>
      </c>
      <c r="D20" t="s">
        <v>10</v>
      </c>
      <c r="E20" t="s">
        <v>14</v>
      </c>
      <c r="F20">
        <v>7</v>
      </c>
      <c r="G20">
        <v>12</v>
      </c>
      <c r="H20">
        <f t="shared" si="0"/>
        <v>84</v>
      </c>
      <c r="I20">
        <f t="shared" si="1"/>
        <v>496842</v>
      </c>
      <c r="J20" t="str">
        <f t="shared" si="2"/>
        <v/>
      </c>
    </row>
    <row r="21" spans="1:10" x14ac:dyDescent="0.45">
      <c r="A21" s="1">
        <v>42464</v>
      </c>
      <c r="B21" t="s">
        <v>18</v>
      </c>
      <c r="C21">
        <f t="shared" si="3"/>
        <v>496842</v>
      </c>
      <c r="D21" t="s">
        <v>12</v>
      </c>
      <c r="E21" t="s">
        <v>8</v>
      </c>
      <c r="F21">
        <v>25</v>
      </c>
      <c r="G21">
        <v>19</v>
      </c>
      <c r="H21">
        <f t="shared" si="0"/>
        <v>475</v>
      </c>
      <c r="I21">
        <f t="shared" si="1"/>
        <v>496367</v>
      </c>
      <c r="J21" t="str">
        <f t="shared" si="2"/>
        <v/>
      </c>
    </row>
    <row r="22" spans="1:10" x14ac:dyDescent="0.45">
      <c r="A22" s="1">
        <v>42464</v>
      </c>
      <c r="B22" t="s">
        <v>18</v>
      </c>
      <c r="C22">
        <f t="shared" si="3"/>
        <v>496367</v>
      </c>
      <c r="D22" t="s">
        <v>9</v>
      </c>
      <c r="E22" t="s">
        <v>8</v>
      </c>
      <c r="F22">
        <v>33</v>
      </c>
      <c r="G22">
        <v>38</v>
      </c>
      <c r="H22">
        <f t="shared" si="0"/>
        <v>1254</v>
      </c>
      <c r="I22">
        <f t="shared" si="1"/>
        <v>495113</v>
      </c>
      <c r="J22">
        <f t="shared" si="2"/>
        <v>495113</v>
      </c>
    </row>
    <row r="23" spans="1:10" x14ac:dyDescent="0.45">
      <c r="A23" s="1">
        <v>42482</v>
      </c>
      <c r="B23" t="s">
        <v>19</v>
      </c>
      <c r="C23">
        <f t="shared" si="3"/>
        <v>495113</v>
      </c>
      <c r="D23" t="s">
        <v>11</v>
      </c>
      <c r="E23" t="s">
        <v>14</v>
      </c>
      <c r="F23">
        <v>36</v>
      </c>
      <c r="G23">
        <v>35</v>
      </c>
      <c r="H23">
        <f t="shared" si="0"/>
        <v>1260</v>
      </c>
      <c r="I23">
        <f t="shared" si="1"/>
        <v>496373</v>
      </c>
      <c r="J23" t="str">
        <f t="shared" si="2"/>
        <v/>
      </c>
    </row>
    <row r="24" spans="1:10" x14ac:dyDescent="0.45">
      <c r="A24" s="1">
        <v>42482</v>
      </c>
      <c r="B24" t="s">
        <v>19</v>
      </c>
      <c r="C24">
        <f t="shared" si="3"/>
        <v>496373</v>
      </c>
      <c r="D24" t="s">
        <v>7</v>
      </c>
      <c r="E24" t="s">
        <v>8</v>
      </c>
      <c r="F24">
        <v>5</v>
      </c>
      <c r="G24">
        <v>66</v>
      </c>
      <c r="H24">
        <f t="shared" si="0"/>
        <v>330</v>
      </c>
      <c r="I24">
        <f t="shared" si="1"/>
        <v>496043</v>
      </c>
      <c r="J24" t="str">
        <f t="shared" si="2"/>
        <v/>
      </c>
    </row>
    <row r="25" spans="1:10" x14ac:dyDescent="0.45">
      <c r="A25" s="1">
        <v>42482</v>
      </c>
      <c r="B25" t="s">
        <v>19</v>
      </c>
      <c r="C25">
        <f t="shared" si="3"/>
        <v>496043</v>
      </c>
      <c r="D25" t="s">
        <v>9</v>
      </c>
      <c r="E25" t="s">
        <v>8</v>
      </c>
      <c r="F25">
        <v>35</v>
      </c>
      <c r="G25">
        <v>41</v>
      </c>
      <c r="H25">
        <f t="shared" si="0"/>
        <v>1435</v>
      </c>
      <c r="I25">
        <f t="shared" si="1"/>
        <v>494608</v>
      </c>
      <c r="J25">
        <f t="shared" si="2"/>
        <v>494608</v>
      </c>
    </row>
    <row r="26" spans="1:10" x14ac:dyDescent="0.45">
      <c r="A26" s="1">
        <v>42504</v>
      </c>
      <c r="B26" t="s">
        <v>20</v>
      </c>
      <c r="C26">
        <f t="shared" si="3"/>
        <v>494608</v>
      </c>
      <c r="D26" t="s">
        <v>7</v>
      </c>
      <c r="E26" t="s">
        <v>14</v>
      </c>
      <c r="F26">
        <v>38</v>
      </c>
      <c r="G26">
        <v>98</v>
      </c>
      <c r="H26">
        <f t="shared" si="0"/>
        <v>3724</v>
      </c>
      <c r="I26">
        <f t="shared" si="1"/>
        <v>498332</v>
      </c>
      <c r="J26" t="str">
        <f t="shared" si="2"/>
        <v/>
      </c>
    </row>
    <row r="27" spans="1:10" x14ac:dyDescent="0.45">
      <c r="A27" s="1">
        <v>42504</v>
      </c>
      <c r="B27" t="s">
        <v>20</v>
      </c>
      <c r="C27">
        <f t="shared" si="3"/>
        <v>498332</v>
      </c>
      <c r="D27" t="s">
        <v>11</v>
      </c>
      <c r="E27" t="s">
        <v>8</v>
      </c>
      <c r="F27">
        <v>10</v>
      </c>
      <c r="G27">
        <v>23</v>
      </c>
      <c r="H27">
        <f t="shared" si="0"/>
        <v>230</v>
      </c>
      <c r="I27">
        <f t="shared" si="1"/>
        <v>498102</v>
      </c>
      <c r="J27">
        <f t="shared" si="2"/>
        <v>498102</v>
      </c>
    </row>
    <row r="28" spans="1:10" x14ac:dyDescent="0.45">
      <c r="A28" s="1">
        <v>42529</v>
      </c>
      <c r="B28" t="s">
        <v>21</v>
      </c>
      <c r="C28">
        <f t="shared" si="3"/>
        <v>498102</v>
      </c>
      <c r="D28" t="s">
        <v>11</v>
      </c>
      <c r="E28" t="s">
        <v>14</v>
      </c>
      <c r="F28">
        <v>4</v>
      </c>
      <c r="G28">
        <v>38</v>
      </c>
      <c r="H28">
        <f t="shared" si="0"/>
        <v>152</v>
      </c>
      <c r="I28">
        <f t="shared" si="1"/>
        <v>498254</v>
      </c>
      <c r="J28" t="str">
        <f t="shared" si="2"/>
        <v/>
      </c>
    </row>
    <row r="29" spans="1:10" x14ac:dyDescent="0.45">
      <c r="A29" s="1">
        <v>42529</v>
      </c>
      <c r="B29" t="s">
        <v>21</v>
      </c>
      <c r="C29">
        <f t="shared" si="3"/>
        <v>498254</v>
      </c>
      <c r="D29" t="s">
        <v>7</v>
      </c>
      <c r="E29" t="s">
        <v>8</v>
      </c>
      <c r="F29">
        <v>42</v>
      </c>
      <c r="G29">
        <v>60</v>
      </c>
      <c r="H29">
        <f t="shared" si="0"/>
        <v>2520</v>
      </c>
      <c r="I29">
        <f t="shared" si="1"/>
        <v>495734</v>
      </c>
      <c r="J29" t="str">
        <f t="shared" si="2"/>
        <v/>
      </c>
    </row>
    <row r="30" spans="1:10" x14ac:dyDescent="0.45">
      <c r="A30" s="1">
        <v>42529</v>
      </c>
      <c r="B30" t="s">
        <v>21</v>
      </c>
      <c r="C30">
        <f t="shared" si="3"/>
        <v>495734</v>
      </c>
      <c r="D30" t="s">
        <v>10</v>
      </c>
      <c r="E30" t="s">
        <v>8</v>
      </c>
      <c r="F30">
        <v>28</v>
      </c>
      <c r="G30">
        <v>8</v>
      </c>
      <c r="H30">
        <f t="shared" si="0"/>
        <v>224</v>
      </c>
      <c r="I30">
        <f t="shared" si="1"/>
        <v>495510</v>
      </c>
      <c r="J30" t="str">
        <f t="shared" si="2"/>
        <v/>
      </c>
    </row>
    <row r="31" spans="1:10" x14ac:dyDescent="0.45">
      <c r="A31" s="1">
        <v>42529</v>
      </c>
      <c r="B31" t="s">
        <v>21</v>
      </c>
      <c r="C31">
        <f t="shared" si="3"/>
        <v>495510</v>
      </c>
      <c r="D31" t="s">
        <v>12</v>
      </c>
      <c r="E31" t="s">
        <v>8</v>
      </c>
      <c r="F31">
        <v>19</v>
      </c>
      <c r="G31">
        <v>19</v>
      </c>
      <c r="H31">
        <f t="shared" si="0"/>
        <v>361</v>
      </c>
      <c r="I31">
        <f t="shared" si="1"/>
        <v>495149</v>
      </c>
      <c r="J31">
        <f t="shared" si="2"/>
        <v>495149</v>
      </c>
    </row>
    <row r="32" spans="1:10" x14ac:dyDescent="0.45">
      <c r="A32" s="1">
        <v>42542</v>
      </c>
      <c r="B32" t="s">
        <v>22</v>
      </c>
      <c r="C32">
        <f t="shared" si="3"/>
        <v>495149</v>
      </c>
      <c r="D32" t="s">
        <v>12</v>
      </c>
      <c r="E32" t="s">
        <v>14</v>
      </c>
      <c r="F32">
        <v>72</v>
      </c>
      <c r="G32">
        <v>28</v>
      </c>
      <c r="H32">
        <f t="shared" si="0"/>
        <v>2016</v>
      </c>
      <c r="I32">
        <f t="shared" si="1"/>
        <v>497165</v>
      </c>
      <c r="J32" t="str">
        <f t="shared" si="2"/>
        <v/>
      </c>
    </row>
    <row r="33" spans="1:10" x14ac:dyDescent="0.45">
      <c r="A33" s="1">
        <v>42542</v>
      </c>
      <c r="B33" t="s">
        <v>22</v>
      </c>
      <c r="C33">
        <f t="shared" si="3"/>
        <v>497165</v>
      </c>
      <c r="D33" t="s">
        <v>7</v>
      </c>
      <c r="E33" t="s">
        <v>14</v>
      </c>
      <c r="F33">
        <v>42</v>
      </c>
      <c r="G33">
        <v>90</v>
      </c>
      <c r="H33">
        <f t="shared" si="0"/>
        <v>3780</v>
      </c>
      <c r="I33">
        <f t="shared" si="1"/>
        <v>500945</v>
      </c>
      <c r="J33" t="str">
        <f t="shared" si="2"/>
        <v/>
      </c>
    </row>
    <row r="34" spans="1:10" x14ac:dyDescent="0.45">
      <c r="A34" s="1">
        <v>42542</v>
      </c>
      <c r="B34" t="s">
        <v>22</v>
      </c>
      <c r="C34">
        <f t="shared" si="3"/>
        <v>500945</v>
      </c>
      <c r="D34" t="s">
        <v>9</v>
      </c>
      <c r="E34" t="s">
        <v>8</v>
      </c>
      <c r="F34">
        <v>42</v>
      </c>
      <c r="G34">
        <v>44</v>
      </c>
      <c r="H34">
        <f t="shared" si="0"/>
        <v>1848</v>
      </c>
      <c r="I34">
        <f t="shared" si="1"/>
        <v>499097</v>
      </c>
      <c r="J34" t="str">
        <f t="shared" si="2"/>
        <v/>
      </c>
    </row>
    <row r="35" spans="1:10" x14ac:dyDescent="0.45">
      <c r="A35" s="1">
        <v>42542</v>
      </c>
      <c r="B35" t="s">
        <v>22</v>
      </c>
      <c r="C35">
        <f t="shared" si="3"/>
        <v>499097</v>
      </c>
      <c r="D35" t="s">
        <v>11</v>
      </c>
      <c r="E35" t="s">
        <v>8</v>
      </c>
      <c r="F35">
        <v>33</v>
      </c>
      <c r="G35">
        <v>26</v>
      </c>
      <c r="H35">
        <f t="shared" si="0"/>
        <v>858</v>
      </c>
      <c r="I35">
        <f t="shared" si="1"/>
        <v>498239</v>
      </c>
      <c r="J35" t="str">
        <f t="shared" si="2"/>
        <v/>
      </c>
    </row>
    <row r="36" spans="1:10" x14ac:dyDescent="0.45">
      <c r="A36" s="1">
        <v>42542</v>
      </c>
      <c r="B36" t="s">
        <v>22</v>
      </c>
      <c r="C36">
        <f t="shared" si="3"/>
        <v>498239</v>
      </c>
      <c r="D36" t="s">
        <v>10</v>
      </c>
      <c r="E36" t="s">
        <v>8</v>
      </c>
      <c r="F36">
        <v>9</v>
      </c>
      <c r="G36">
        <v>9</v>
      </c>
      <c r="H36">
        <f t="shared" si="0"/>
        <v>81</v>
      </c>
      <c r="I36">
        <f t="shared" si="1"/>
        <v>498158</v>
      </c>
      <c r="J36">
        <f t="shared" si="2"/>
        <v>498158</v>
      </c>
    </row>
    <row r="37" spans="1:10" x14ac:dyDescent="0.45">
      <c r="A37" s="1">
        <v>42559</v>
      </c>
      <c r="B37" t="s">
        <v>6</v>
      </c>
      <c r="C37">
        <f t="shared" si="3"/>
        <v>498158</v>
      </c>
      <c r="D37" t="s">
        <v>12</v>
      </c>
      <c r="E37" t="s">
        <v>14</v>
      </c>
      <c r="F37">
        <v>4</v>
      </c>
      <c r="G37">
        <v>29</v>
      </c>
      <c r="H37">
        <f t="shared" si="0"/>
        <v>116</v>
      </c>
      <c r="I37">
        <f t="shared" si="1"/>
        <v>498274</v>
      </c>
      <c r="J37" t="str">
        <f t="shared" si="2"/>
        <v/>
      </c>
    </row>
    <row r="38" spans="1:10" x14ac:dyDescent="0.45">
      <c r="A38" s="1">
        <v>42559</v>
      </c>
      <c r="B38" t="s">
        <v>6</v>
      </c>
      <c r="C38">
        <f t="shared" si="3"/>
        <v>498274</v>
      </c>
      <c r="D38" t="s">
        <v>10</v>
      </c>
      <c r="E38" t="s">
        <v>14</v>
      </c>
      <c r="F38">
        <v>37</v>
      </c>
      <c r="G38">
        <v>12</v>
      </c>
      <c r="H38">
        <f t="shared" si="0"/>
        <v>444</v>
      </c>
      <c r="I38">
        <f t="shared" si="1"/>
        <v>498718</v>
      </c>
      <c r="J38" t="str">
        <f t="shared" si="2"/>
        <v/>
      </c>
    </row>
    <row r="39" spans="1:10" x14ac:dyDescent="0.45">
      <c r="A39" s="1">
        <v>42559</v>
      </c>
      <c r="B39" t="s">
        <v>6</v>
      </c>
      <c r="C39">
        <f t="shared" si="3"/>
        <v>498718</v>
      </c>
      <c r="D39" t="s">
        <v>9</v>
      </c>
      <c r="E39" t="s">
        <v>8</v>
      </c>
      <c r="F39">
        <v>35</v>
      </c>
      <c r="G39">
        <v>42</v>
      </c>
      <c r="H39">
        <f t="shared" si="0"/>
        <v>1470</v>
      </c>
      <c r="I39">
        <f t="shared" si="1"/>
        <v>497248</v>
      </c>
      <c r="J39" t="str">
        <f t="shared" si="2"/>
        <v/>
      </c>
    </row>
    <row r="40" spans="1:10" x14ac:dyDescent="0.45">
      <c r="A40" s="1">
        <v>42559</v>
      </c>
      <c r="B40" t="s">
        <v>6</v>
      </c>
      <c r="C40">
        <f t="shared" si="3"/>
        <v>497248</v>
      </c>
      <c r="D40" t="s">
        <v>7</v>
      </c>
      <c r="E40" t="s">
        <v>8</v>
      </c>
      <c r="F40">
        <v>32</v>
      </c>
      <c r="G40">
        <v>66</v>
      </c>
      <c r="H40">
        <f t="shared" si="0"/>
        <v>2112</v>
      </c>
      <c r="I40">
        <f t="shared" si="1"/>
        <v>495136</v>
      </c>
      <c r="J40">
        <f t="shared" si="2"/>
        <v>495136</v>
      </c>
    </row>
    <row r="41" spans="1:10" x14ac:dyDescent="0.45">
      <c r="A41" s="1">
        <v>42574</v>
      </c>
      <c r="B41" t="s">
        <v>13</v>
      </c>
      <c r="C41">
        <f t="shared" si="3"/>
        <v>495136</v>
      </c>
      <c r="D41" t="s">
        <v>7</v>
      </c>
      <c r="E41" t="s">
        <v>14</v>
      </c>
      <c r="F41">
        <v>32</v>
      </c>
      <c r="G41">
        <v>92</v>
      </c>
      <c r="H41">
        <f t="shared" si="0"/>
        <v>2944</v>
      </c>
      <c r="I41">
        <f t="shared" si="1"/>
        <v>498080</v>
      </c>
      <c r="J41" t="str">
        <f t="shared" si="2"/>
        <v/>
      </c>
    </row>
    <row r="42" spans="1:10" x14ac:dyDescent="0.45">
      <c r="A42" s="1">
        <v>42574</v>
      </c>
      <c r="B42" t="s">
        <v>13</v>
      </c>
      <c r="C42">
        <f t="shared" si="3"/>
        <v>498080</v>
      </c>
      <c r="D42" t="s">
        <v>9</v>
      </c>
      <c r="E42" t="s">
        <v>8</v>
      </c>
      <c r="F42">
        <v>48</v>
      </c>
      <c r="G42">
        <v>43</v>
      </c>
      <c r="H42">
        <f t="shared" si="0"/>
        <v>2064</v>
      </c>
      <c r="I42">
        <f t="shared" si="1"/>
        <v>496016</v>
      </c>
      <c r="J42">
        <f t="shared" si="2"/>
        <v>496016</v>
      </c>
    </row>
    <row r="43" spans="1:10" x14ac:dyDescent="0.45">
      <c r="A43" s="1">
        <v>42593</v>
      </c>
      <c r="B43" t="s">
        <v>15</v>
      </c>
      <c r="C43">
        <f t="shared" si="3"/>
        <v>496016</v>
      </c>
      <c r="D43" t="s">
        <v>9</v>
      </c>
      <c r="E43" t="s">
        <v>14</v>
      </c>
      <c r="F43">
        <v>191</v>
      </c>
      <c r="G43">
        <v>60</v>
      </c>
      <c r="H43">
        <f t="shared" si="0"/>
        <v>11460</v>
      </c>
      <c r="I43">
        <f t="shared" si="1"/>
        <v>507476</v>
      </c>
      <c r="J43" t="str">
        <f t="shared" si="2"/>
        <v/>
      </c>
    </row>
    <row r="44" spans="1:10" x14ac:dyDescent="0.45">
      <c r="A44" s="1">
        <v>42593</v>
      </c>
      <c r="B44" t="s">
        <v>15</v>
      </c>
      <c r="C44">
        <f t="shared" si="3"/>
        <v>507476</v>
      </c>
      <c r="D44" t="s">
        <v>11</v>
      </c>
      <c r="E44" t="s">
        <v>8</v>
      </c>
      <c r="F44">
        <v>9</v>
      </c>
      <c r="G44">
        <v>24</v>
      </c>
      <c r="H44">
        <f t="shared" si="0"/>
        <v>216</v>
      </c>
      <c r="I44">
        <f t="shared" si="1"/>
        <v>507260</v>
      </c>
      <c r="J44" t="str">
        <f t="shared" si="2"/>
        <v/>
      </c>
    </row>
    <row r="45" spans="1:10" x14ac:dyDescent="0.45">
      <c r="A45" s="1">
        <v>42593</v>
      </c>
      <c r="B45" t="s">
        <v>15</v>
      </c>
      <c r="C45">
        <f t="shared" si="3"/>
        <v>507260</v>
      </c>
      <c r="D45" t="s">
        <v>7</v>
      </c>
      <c r="E45" t="s">
        <v>8</v>
      </c>
      <c r="F45">
        <v>36</v>
      </c>
      <c r="G45">
        <v>65</v>
      </c>
      <c r="H45">
        <f t="shared" si="0"/>
        <v>2340</v>
      </c>
      <c r="I45">
        <f t="shared" si="1"/>
        <v>504920</v>
      </c>
      <c r="J45">
        <f t="shared" si="2"/>
        <v>504920</v>
      </c>
    </row>
    <row r="46" spans="1:10" x14ac:dyDescent="0.45">
      <c r="A46" s="1">
        <v>42619</v>
      </c>
      <c r="B46" t="s">
        <v>16</v>
      </c>
      <c r="C46">
        <f t="shared" si="3"/>
        <v>504920</v>
      </c>
      <c r="D46" t="s">
        <v>10</v>
      </c>
      <c r="E46" t="s">
        <v>8</v>
      </c>
      <c r="F46">
        <v>47</v>
      </c>
      <c r="G46">
        <v>7</v>
      </c>
      <c r="H46">
        <f t="shared" si="0"/>
        <v>329</v>
      </c>
      <c r="I46">
        <f t="shared" si="1"/>
        <v>504591</v>
      </c>
      <c r="J46" t="str">
        <f t="shared" si="2"/>
        <v/>
      </c>
    </row>
    <row r="47" spans="1:10" x14ac:dyDescent="0.45">
      <c r="A47" s="1">
        <v>42619</v>
      </c>
      <c r="B47" t="s">
        <v>16</v>
      </c>
      <c r="C47">
        <f t="shared" si="3"/>
        <v>504591</v>
      </c>
      <c r="D47" t="s">
        <v>9</v>
      </c>
      <c r="E47" t="s">
        <v>14</v>
      </c>
      <c r="F47">
        <v>4</v>
      </c>
      <c r="G47">
        <v>63</v>
      </c>
      <c r="H47">
        <f t="shared" si="0"/>
        <v>252</v>
      </c>
      <c r="I47">
        <f t="shared" si="1"/>
        <v>504843</v>
      </c>
      <c r="J47" t="str">
        <f t="shared" si="2"/>
        <v/>
      </c>
    </row>
    <row r="48" spans="1:10" x14ac:dyDescent="0.45">
      <c r="A48" s="1">
        <v>42619</v>
      </c>
      <c r="B48" t="s">
        <v>16</v>
      </c>
      <c r="C48">
        <f t="shared" si="3"/>
        <v>504843</v>
      </c>
      <c r="D48" t="s">
        <v>12</v>
      </c>
      <c r="E48" t="s">
        <v>8</v>
      </c>
      <c r="F48">
        <v>8</v>
      </c>
      <c r="G48">
        <v>19</v>
      </c>
      <c r="H48">
        <f t="shared" si="0"/>
        <v>152</v>
      </c>
      <c r="I48">
        <f t="shared" si="1"/>
        <v>504691</v>
      </c>
      <c r="J48" t="str">
        <f t="shared" si="2"/>
        <v/>
      </c>
    </row>
    <row r="49" spans="1:10" x14ac:dyDescent="0.45">
      <c r="A49" s="1">
        <v>42619</v>
      </c>
      <c r="B49" t="s">
        <v>16</v>
      </c>
      <c r="C49">
        <f t="shared" si="3"/>
        <v>504691</v>
      </c>
      <c r="D49" t="s">
        <v>11</v>
      </c>
      <c r="E49" t="s">
        <v>8</v>
      </c>
      <c r="F49">
        <v>3</v>
      </c>
      <c r="G49">
        <v>22</v>
      </c>
      <c r="H49">
        <f t="shared" si="0"/>
        <v>66</v>
      </c>
      <c r="I49">
        <f t="shared" si="1"/>
        <v>504625</v>
      </c>
      <c r="J49" t="str">
        <f t="shared" si="2"/>
        <v/>
      </c>
    </row>
    <row r="50" spans="1:10" x14ac:dyDescent="0.45">
      <c r="A50" s="1">
        <v>42619</v>
      </c>
      <c r="B50" t="s">
        <v>16</v>
      </c>
      <c r="C50">
        <f t="shared" si="3"/>
        <v>504625</v>
      </c>
      <c r="D50" t="s">
        <v>7</v>
      </c>
      <c r="E50" t="s">
        <v>8</v>
      </c>
      <c r="F50">
        <v>41</v>
      </c>
      <c r="G50">
        <v>59</v>
      </c>
      <c r="H50">
        <f t="shared" si="0"/>
        <v>2419</v>
      </c>
      <c r="I50">
        <f t="shared" si="1"/>
        <v>502206</v>
      </c>
      <c r="J50">
        <f t="shared" si="2"/>
        <v>502206</v>
      </c>
    </row>
    <row r="51" spans="1:10" x14ac:dyDescent="0.45">
      <c r="A51" s="1">
        <v>42640</v>
      </c>
      <c r="B51" t="s">
        <v>17</v>
      </c>
      <c r="C51">
        <f t="shared" si="3"/>
        <v>502206</v>
      </c>
      <c r="D51" t="s">
        <v>9</v>
      </c>
      <c r="E51" t="s">
        <v>8</v>
      </c>
      <c r="F51">
        <v>44</v>
      </c>
      <c r="G51">
        <v>40</v>
      </c>
      <c r="H51">
        <f t="shared" si="0"/>
        <v>1760</v>
      </c>
      <c r="I51">
        <f t="shared" si="1"/>
        <v>500446</v>
      </c>
      <c r="J51" t="str">
        <f t="shared" si="2"/>
        <v/>
      </c>
    </row>
    <row r="52" spans="1:10" x14ac:dyDescent="0.45">
      <c r="A52" s="1">
        <v>42640</v>
      </c>
      <c r="B52" t="s">
        <v>17</v>
      </c>
      <c r="C52">
        <f t="shared" si="3"/>
        <v>500446</v>
      </c>
      <c r="D52" t="s">
        <v>10</v>
      </c>
      <c r="E52" t="s">
        <v>14</v>
      </c>
      <c r="F52">
        <v>45</v>
      </c>
      <c r="G52">
        <v>12</v>
      </c>
      <c r="H52">
        <f t="shared" si="0"/>
        <v>540</v>
      </c>
      <c r="I52">
        <f t="shared" si="1"/>
        <v>500986</v>
      </c>
      <c r="J52" t="str">
        <f t="shared" si="2"/>
        <v/>
      </c>
    </row>
    <row r="53" spans="1:10" x14ac:dyDescent="0.45">
      <c r="A53" s="1">
        <v>42640</v>
      </c>
      <c r="B53" t="s">
        <v>17</v>
      </c>
      <c r="C53">
        <f t="shared" si="3"/>
        <v>500986</v>
      </c>
      <c r="D53" t="s">
        <v>12</v>
      </c>
      <c r="E53" t="s">
        <v>8</v>
      </c>
      <c r="F53">
        <v>40</v>
      </c>
      <c r="G53">
        <v>20</v>
      </c>
      <c r="H53">
        <f t="shared" si="0"/>
        <v>800</v>
      </c>
      <c r="I53">
        <f t="shared" si="1"/>
        <v>500186</v>
      </c>
      <c r="J53" t="str">
        <f t="shared" si="2"/>
        <v/>
      </c>
    </row>
    <row r="54" spans="1:10" x14ac:dyDescent="0.45">
      <c r="A54" s="1">
        <v>42640</v>
      </c>
      <c r="B54" t="s">
        <v>17</v>
      </c>
      <c r="C54">
        <f t="shared" si="3"/>
        <v>500186</v>
      </c>
      <c r="D54" t="s">
        <v>7</v>
      </c>
      <c r="E54" t="s">
        <v>8</v>
      </c>
      <c r="F54">
        <v>3</v>
      </c>
      <c r="G54">
        <v>63</v>
      </c>
      <c r="H54">
        <f t="shared" si="0"/>
        <v>189</v>
      </c>
      <c r="I54">
        <f t="shared" si="1"/>
        <v>499997</v>
      </c>
      <c r="J54" t="str">
        <f t="shared" si="2"/>
        <v/>
      </c>
    </row>
    <row r="55" spans="1:10" x14ac:dyDescent="0.45">
      <c r="A55" s="1">
        <v>42640</v>
      </c>
      <c r="B55" t="s">
        <v>17</v>
      </c>
      <c r="C55">
        <f t="shared" si="3"/>
        <v>499997</v>
      </c>
      <c r="D55" t="s">
        <v>11</v>
      </c>
      <c r="E55" t="s">
        <v>8</v>
      </c>
      <c r="F55">
        <v>17</v>
      </c>
      <c r="G55">
        <v>24</v>
      </c>
      <c r="H55">
        <f t="shared" si="0"/>
        <v>408</v>
      </c>
      <c r="I55">
        <f t="shared" si="1"/>
        <v>499589</v>
      </c>
      <c r="J55">
        <f t="shared" si="2"/>
        <v>499589</v>
      </c>
    </row>
    <row r="56" spans="1:10" x14ac:dyDescent="0.45">
      <c r="A56" s="1">
        <v>42664</v>
      </c>
      <c r="B56" t="s">
        <v>18</v>
      </c>
      <c r="C56">
        <f t="shared" si="3"/>
        <v>499589</v>
      </c>
      <c r="D56" t="s">
        <v>10</v>
      </c>
      <c r="E56" t="s">
        <v>14</v>
      </c>
      <c r="F56">
        <v>2</v>
      </c>
      <c r="G56">
        <v>12</v>
      </c>
      <c r="H56">
        <f t="shared" si="0"/>
        <v>24</v>
      </c>
      <c r="I56">
        <f t="shared" si="1"/>
        <v>499613</v>
      </c>
      <c r="J56" t="str">
        <f t="shared" si="2"/>
        <v/>
      </c>
    </row>
    <row r="57" spans="1:10" x14ac:dyDescent="0.45">
      <c r="A57" s="1">
        <v>42664</v>
      </c>
      <c r="B57" t="s">
        <v>18</v>
      </c>
      <c r="C57">
        <f t="shared" si="3"/>
        <v>499613</v>
      </c>
      <c r="D57" t="s">
        <v>12</v>
      </c>
      <c r="E57" t="s">
        <v>8</v>
      </c>
      <c r="F57">
        <v>14</v>
      </c>
      <c r="G57">
        <v>19</v>
      </c>
      <c r="H57">
        <f t="shared" si="0"/>
        <v>266</v>
      </c>
      <c r="I57">
        <f t="shared" si="1"/>
        <v>499347</v>
      </c>
      <c r="J57" t="str">
        <f t="shared" si="2"/>
        <v/>
      </c>
    </row>
    <row r="58" spans="1:10" x14ac:dyDescent="0.45">
      <c r="A58" s="1">
        <v>42664</v>
      </c>
      <c r="B58" t="s">
        <v>18</v>
      </c>
      <c r="C58">
        <f t="shared" si="3"/>
        <v>499347</v>
      </c>
      <c r="D58" t="s">
        <v>11</v>
      </c>
      <c r="E58" t="s">
        <v>8</v>
      </c>
      <c r="F58">
        <v>23</v>
      </c>
      <c r="G58">
        <v>23</v>
      </c>
      <c r="H58">
        <f t="shared" si="0"/>
        <v>529</v>
      </c>
      <c r="I58">
        <f t="shared" si="1"/>
        <v>498818</v>
      </c>
      <c r="J58">
        <f t="shared" si="2"/>
        <v>498818</v>
      </c>
    </row>
    <row r="59" spans="1:10" x14ac:dyDescent="0.45">
      <c r="A59" s="1">
        <v>42682</v>
      </c>
      <c r="B59" t="s">
        <v>19</v>
      </c>
      <c r="C59">
        <f t="shared" si="3"/>
        <v>498818</v>
      </c>
      <c r="D59" t="s">
        <v>10</v>
      </c>
      <c r="E59" t="s">
        <v>8</v>
      </c>
      <c r="F59">
        <v>11</v>
      </c>
      <c r="G59">
        <v>8</v>
      </c>
      <c r="H59">
        <f t="shared" si="0"/>
        <v>88</v>
      </c>
      <c r="I59">
        <f t="shared" si="1"/>
        <v>498730</v>
      </c>
      <c r="J59" t="str">
        <f t="shared" si="2"/>
        <v/>
      </c>
    </row>
    <row r="60" spans="1:10" x14ac:dyDescent="0.45">
      <c r="A60" s="1">
        <v>42682</v>
      </c>
      <c r="B60" t="s">
        <v>19</v>
      </c>
      <c r="C60">
        <f t="shared" si="3"/>
        <v>498730</v>
      </c>
      <c r="D60" t="s">
        <v>7</v>
      </c>
      <c r="E60" t="s">
        <v>8</v>
      </c>
      <c r="F60">
        <v>17</v>
      </c>
      <c r="G60">
        <v>66</v>
      </c>
      <c r="H60">
        <f t="shared" si="0"/>
        <v>1122</v>
      </c>
      <c r="I60">
        <f t="shared" si="1"/>
        <v>497608</v>
      </c>
      <c r="J60" t="str">
        <f t="shared" si="2"/>
        <v/>
      </c>
    </row>
    <row r="61" spans="1:10" x14ac:dyDescent="0.45">
      <c r="A61" s="1">
        <v>42682</v>
      </c>
      <c r="B61" t="s">
        <v>19</v>
      </c>
      <c r="C61">
        <f t="shared" si="3"/>
        <v>497608</v>
      </c>
      <c r="D61" t="s">
        <v>9</v>
      </c>
      <c r="E61" t="s">
        <v>8</v>
      </c>
      <c r="F61">
        <v>30</v>
      </c>
      <c r="G61">
        <v>41</v>
      </c>
      <c r="H61">
        <f t="shared" si="0"/>
        <v>1230</v>
      </c>
      <c r="I61">
        <f t="shared" si="1"/>
        <v>496378</v>
      </c>
      <c r="J61">
        <f t="shared" si="2"/>
        <v>496378</v>
      </c>
    </row>
    <row r="62" spans="1:10" x14ac:dyDescent="0.45">
      <c r="A62" s="1">
        <v>42704</v>
      </c>
      <c r="B62" t="s">
        <v>20</v>
      </c>
      <c r="C62">
        <f t="shared" si="3"/>
        <v>496378</v>
      </c>
      <c r="D62" t="s">
        <v>7</v>
      </c>
      <c r="E62" t="s">
        <v>14</v>
      </c>
      <c r="F62">
        <v>97</v>
      </c>
      <c r="G62">
        <v>98</v>
      </c>
      <c r="H62">
        <f t="shared" si="0"/>
        <v>9506</v>
      </c>
      <c r="I62">
        <f t="shared" si="1"/>
        <v>505884</v>
      </c>
      <c r="J62" t="str">
        <f t="shared" si="2"/>
        <v/>
      </c>
    </row>
    <row r="63" spans="1:10" x14ac:dyDescent="0.45">
      <c r="A63" s="1">
        <v>42704</v>
      </c>
      <c r="B63" t="s">
        <v>20</v>
      </c>
      <c r="C63">
        <f t="shared" si="3"/>
        <v>505884</v>
      </c>
      <c r="D63" t="s">
        <v>10</v>
      </c>
      <c r="E63" t="s">
        <v>14</v>
      </c>
      <c r="F63">
        <v>11</v>
      </c>
      <c r="G63">
        <v>12</v>
      </c>
      <c r="H63">
        <f t="shared" si="0"/>
        <v>132</v>
      </c>
      <c r="I63">
        <f t="shared" si="1"/>
        <v>506016</v>
      </c>
      <c r="J63" t="str">
        <f t="shared" si="2"/>
        <v/>
      </c>
    </row>
    <row r="64" spans="1:10" x14ac:dyDescent="0.45">
      <c r="A64" s="1">
        <v>42704</v>
      </c>
      <c r="B64" t="s">
        <v>20</v>
      </c>
      <c r="C64">
        <f t="shared" si="3"/>
        <v>506016</v>
      </c>
      <c r="D64" t="s">
        <v>12</v>
      </c>
      <c r="E64" t="s">
        <v>8</v>
      </c>
      <c r="F64">
        <v>17</v>
      </c>
      <c r="G64">
        <v>20</v>
      </c>
      <c r="H64">
        <f t="shared" si="0"/>
        <v>340</v>
      </c>
      <c r="I64">
        <f t="shared" si="1"/>
        <v>505676</v>
      </c>
      <c r="J64" t="str">
        <f t="shared" si="2"/>
        <v/>
      </c>
    </row>
    <row r="65" spans="1:10" x14ac:dyDescent="0.45">
      <c r="A65" s="1">
        <v>42704</v>
      </c>
      <c r="B65" t="s">
        <v>20</v>
      </c>
      <c r="C65">
        <f t="shared" si="3"/>
        <v>505676</v>
      </c>
      <c r="D65" t="s">
        <v>11</v>
      </c>
      <c r="E65" t="s">
        <v>8</v>
      </c>
      <c r="F65">
        <v>4</v>
      </c>
      <c r="G65">
        <v>23</v>
      </c>
      <c r="H65">
        <f t="shared" si="0"/>
        <v>92</v>
      </c>
      <c r="I65">
        <f t="shared" si="1"/>
        <v>505584</v>
      </c>
      <c r="J65">
        <f t="shared" si="2"/>
        <v>505584</v>
      </c>
    </row>
    <row r="66" spans="1:10" x14ac:dyDescent="0.45">
      <c r="A66" s="1">
        <v>42729</v>
      </c>
      <c r="B66" t="s">
        <v>21</v>
      </c>
      <c r="C66">
        <f t="shared" si="3"/>
        <v>505584</v>
      </c>
      <c r="D66" t="s">
        <v>12</v>
      </c>
      <c r="E66" t="s">
        <v>14</v>
      </c>
      <c r="F66">
        <v>79</v>
      </c>
      <c r="G66">
        <v>31</v>
      </c>
      <c r="H66">
        <f t="shared" si="0"/>
        <v>2449</v>
      </c>
      <c r="I66">
        <f t="shared" si="1"/>
        <v>508033</v>
      </c>
      <c r="J66" t="str">
        <f t="shared" si="2"/>
        <v/>
      </c>
    </row>
    <row r="67" spans="1:10" x14ac:dyDescent="0.45">
      <c r="A67" s="1">
        <v>42729</v>
      </c>
      <c r="B67" t="s">
        <v>21</v>
      </c>
      <c r="C67">
        <f t="shared" si="3"/>
        <v>508033</v>
      </c>
      <c r="D67" t="s">
        <v>7</v>
      </c>
      <c r="E67" t="s">
        <v>8</v>
      </c>
      <c r="F67">
        <v>33</v>
      </c>
      <c r="G67">
        <v>60</v>
      </c>
      <c r="H67">
        <f t="shared" ref="H67:H130" si="4">F67*G67</f>
        <v>1980</v>
      </c>
      <c r="I67">
        <f t="shared" ref="I67:I130" si="5">IF(E67="Z",C67-H67, C67+H67)</f>
        <v>506053</v>
      </c>
      <c r="J67" t="str">
        <f t="shared" ref="J67:J130" si="6">IF(A67&lt;&gt;A68,I67,"")</f>
        <v/>
      </c>
    </row>
    <row r="68" spans="1:10" x14ac:dyDescent="0.45">
      <c r="A68" s="1">
        <v>42729</v>
      </c>
      <c r="B68" t="s">
        <v>21</v>
      </c>
      <c r="C68">
        <f t="shared" ref="C68:C131" si="7">I67</f>
        <v>506053</v>
      </c>
      <c r="D68" t="s">
        <v>11</v>
      </c>
      <c r="E68" t="s">
        <v>8</v>
      </c>
      <c r="F68">
        <v>26</v>
      </c>
      <c r="G68">
        <v>23</v>
      </c>
      <c r="H68">
        <f t="shared" si="4"/>
        <v>598</v>
      </c>
      <c r="I68">
        <f t="shared" si="5"/>
        <v>505455</v>
      </c>
      <c r="J68">
        <f t="shared" si="6"/>
        <v>505455</v>
      </c>
    </row>
    <row r="69" spans="1:10" x14ac:dyDescent="0.45">
      <c r="A69" s="1">
        <v>42742</v>
      </c>
      <c r="B69" t="s">
        <v>22</v>
      </c>
      <c r="C69">
        <f t="shared" si="7"/>
        <v>505455</v>
      </c>
      <c r="D69" t="s">
        <v>12</v>
      </c>
      <c r="E69" t="s">
        <v>8</v>
      </c>
      <c r="F69">
        <v>40</v>
      </c>
      <c r="G69">
        <v>22</v>
      </c>
      <c r="H69">
        <f t="shared" si="4"/>
        <v>880</v>
      </c>
      <c r="I69">
        <f t="shared" si="5"/>
        <v>504575</v>
      </c>
      <c r="J69" t="str">
        <f t="shared" si="6"/>
        <v/>
      </c>
    </row>
    <row r="70" spans="1:10" x14ac:dyDescent="0.45">
      <c r="A70" s="1">
        <v>42742</v>
      </c>
      <c r="B70" t="s">
        <v>22</v>
      </c>
      <c r="C70">
        <f t="shared" si="7"/>
        <v>504575</v>
      </c>
      <c r="D70" t="s">
        <v>10</v>
      </c>
      <c r="E70" t="s">
        <v>8</v>
      </c>
      <c r="F70">
        <v>42</v>
      </c>
      <c r="G70">
        <v>9</v>
      </c>
      <c r="H70">
        <f t="shared" si="4"/>
        <v>378</v>
      </c>
      <c r="I70">
        <f t="shared" si="5"/>
        <v>504197</v>
      </c>
      <c r="J70" t="str">
        <f t="shared" si="6"/>
        <v/>
      </c>
    </row>
    <row r="71" spans="1:10" x14ac:dyDescent="0.45">
      <c r="A71" s="1">
        <v>42742</v>
      </c>
      <c r="B71" t="s">
        <v>22</v>
      </c>
      <c r="C71">
        <f t="shared" si="7"/>
        <v>504197</v>
      </c>
      <c r="D71" t="s">
        <v>11</v>
      </c>
      <c r="E71" t="s">
        <v>8</v>
      </c>
      <c r="F71">
        <v>42</v>
      </c>
      <c r="G71">
        <v>26</v>
      </c>
      <c r="H71">
        <f t="shared" si="4"/>
        <v>1092</v>
      </c>
      <c r="I71">
        <f t="shared" si="5"/>
        <v>503105</v>
      </c>
      <c r="J71" t="str">
        <f t="shared" si="6"/>
        <v/>
      </c>
    </row>
    <row r="72" spans="1:10" x14ac:dyDescent="0.45">
      <c r="A72" s="1">
        <v>42742</v>
      </c>
      <c r="B72" t="s">
        <v>22</v>
      </c>
      <c r="C72">
        <f t="shared" si="7"/>
        <v>503105</v>
      </c>
      <c r="D72" t="s">
        <v>7</v>
      </c>
      <c r="E72" t="s">
        <v>8</v>
      </c>
      <c r="F72">
        <v>9</v>
      </c>
      <c r="G72">
        <v>70</v>
      </c>
      <c r="H72">
        <f t="shared" si="4"/>
        <v>630</v>
      </c>
      <c r="I72">
        <f t="shared" si="5"/>
        <v>502475</v>
      </c>
      <c r="J72" t="str">
        <f t="shared" si="6"/>
        <v/>
      </c>
    </row>
    <row r="73" spans="1:10" x14ac:dyDescent="0.45">
      <c r="A73" s="1">
        <v>42742</v>
      </c>
      <c r="B73" t="s">
        <v>22</v>
      </c>
      <c r="C73">
        <f t="shared" si="7"/>
        <v>502475</v>
      </c>
      <c r="D73" t="s">
        <v>9</v>
      </c>
      <c r="E73" t="s">
        <v>8</v>
      </c>
      <c r="F73">
        <v>39</v>
      </c>
      <c r="G73">
        <v>44</v>
      </c>
      <c r="H73">
        <f t="shared" si="4"/>
        <v>1716</v>
      </c>
      <c r="I73">
        <f t="shared" si="5"/>
        <v>500759</v>
      </c>
      <c r="J73">
        <f t="shared" si="6"/>
        <v>500759</v>
      </c>
    </row>
    <row r="74" spans="1:10" x14ac:dyDescent="0.45">
      <c r="A74" s="1">
        <v>42759</v>
      </c>
      <c r="B74" t="s">
        <v>6</v>
      </c>
      <c r="C74">
        <f t="shared" si="7"/>
        <v>500759</v>
      </c>
      <c r="D74" t="s">
        <v>9</v>
      </c>
      <c r="E74" t="s">
        <v>14</v>
      </c>
      <c r="F74">
        <v>112</v>
      </c>
      <c r="G74">
        <v>59</v>
      </c>
      <c r="H74">
        <f t="shared" si="4"/>
        <v>6608</v>
      </c>
      <c r="I74">
        <f t="shared" si="5"/>
        <v>507367</v>
      </c>
      <c r="J74" t="str">
        <f t="shared" si="6"/>
        <v/>
      </c>
    </row>
    <row r="75" spans="1:10" x14ac:dyDescent="0.45">
      <c r="A75" s="1">
        <v>42759</v>
      </c>
      <c r="B75" t="s">
        <v>6</v>
      </c>
      <c r="C75">
        <f t="shared" si="7"/>
        <v>507367</v>
      </c>
      <c r="D75" t="s">
        <v>7</v>
      </c>
      <c r="E75" t="s">
        <v>8</v>
      </c>
      <c r="F75">
        <v>34</v>
      </c>
      <c r="G75">
        <v>66</v>
      </c>
      <c r="H75">
        <f t="shared" si="4"/>
        <v>2244</v>
      </c>
      <c r="I75">
        <f t="shared" si="5"/>
        <v>505123</v>
      </c>
      <c r="J75" t="str">
        <f t="shared" si="6"/>
        <v/>
      </c>
    </row>
    <row r="76" spans="1:10" x14ac:dyDescent="0.45">
      <c r="A76" s="1">
        <v>42759</v>
      </c>
      <c r="B76" t="s">
        <v>6</v>
      </c>
      <c r="C76">
        <f t="shared" si="7"/>
        <v>505123</v>
      </c>
      <c r="D76" t="s">
        <v>12</v>
      </c>
      <c r="E76" t="s">
        <v>8</v>
      </c>
      <c r="F76">
        <v>5</v>
      </c>
      <c r="G76">
        <v>21</v>
      </c>
      <c r="H76">
        <f t="shared" si="4"/>
        <v>105</v>
      </c>
      <c r="I76">
        <f t="shared" si="5"/>
        <v>505018</v>
      </c>
      <c r="J76">
        <f t="shared" si="6"/>
        <v>505018</v>
      </c>
    </row>
    <row r="77" spans="1:10" x14ac:dyDescent="0.45">
      <c r="A77" s="1">
        <v>42774</v>
      </c>
      <c r="B77" t="s">
        <v>13</v>
      </c>
      <c r="C77">
        <f t="shared" si="7"/>
        <v>505018</v>
      </c>
      <c r="D77" t="s">
        <v>7</v>
      </c>
      <c r="E77" t="s">
        <v>14</v>
      </c>
      <c r="F77">
        <v>74</v>
      </c>
      <c r="G77">
        <v>92</v>
      </c>
      <c r="H77">
        <f t="shared" si="4"/>
        <v>6808</v>
      </c>
      <c r="I77">
        <f t="shared" si="5"/>
        <v>511826</v>
      </c>
      <c r="J77" t="str">
        <f t="shared" si="6"/>
        <v/>
      </c>
    </row>
    <row r="78" spans="1:10" x14ac:dyDescent="0.45">
      <c r="A78" s="1">
        <v>42774</v>
      </c>
      <c r="B78" t="s">
        <v>13</v>
      </c>
      <c r="C78">
        <f t="shared" si="7"/>
        <v>511826</v>
      </c>
      <c r="D78" t="s">
        <v>11</v>
      </c>
      <c r="E78" t="s">
        <v>8</v>
      </c>
      <c r="F78">
        <v>14</v>
      </c>
      <c r="G78">
        <v>26</v>
      </c>
      <c r="H78">
        <f t="shared" si="4"/>
        <v>364</v>
      </c>
      <c r="I78">
        <f t="shared" si="5"/>
        <v>511462</v>
      </c>
      <c r="J78">
        <f t="shared" si="6"/>
        <v>511462</v>
      </c>
    </row>
    <row r="79" spans="1:10" x14ac:dyDescent="0.45">
      <c r="A79" s="1">
        <v>42793</v>
      </c>
      <c r="B79" t="s">
        <v>15</v>
      </c>
      <c r="C79">
        <f t="shared" si="7"/>
        <v>511462</v>
      </c>
      <c r="D79" t="s">
        <v>9</v>
      </c>
      <c r="E79" t="s">
        <v>14</v>
      </c>
      <c r="F79">
        <v>1</v>
      </c>
      <c r="G79">
        <v>60</v>
      </c>
      <c r="H79">
        <f t="shared" si="4"/>
        <v>60</v>
      </c>
      <c r="I79">
        <f t="shared" si="5"/>
        <v>511522</v>
      </c>
      <c r="J79" t="str">
        <f t="shared" si="6"/>
        <v/>
      </c>
    </row>
    <row r="80" spans="1:10" x14ac:dyDescent="0.45">
      <c r="A80" s="1">
        <v>42793</v>
      </c>
      <c r="B80" t="s">
        <v>15</v>
      </c>
      <c r="C80">
        <f t="shared" si="7"/>
        <v>511522</v>
      </c>
      <c r="D80" t="s">
        <v>11</v>
      </c>
      <c r="E80" t="s">
        <v>14</v>
      </c>
      <c r="F80">
        <v>43</v>
      </c>
      <c r="G80">
        <v>36</v>
      </c>
      <c r="H80">
        <f t="shared" si="4"/>
        <v>1548</v>
      </c>
      <c r="I80">
        <f t="shared" si="5"/>
        <v>513070</v>
      </c>
      <c r="J80" t="str">
        <f t="shared" si="6"/>
        <v/>
      </c>
    </row>
    <row r="81" spans="1:10" x14ac:dyDescent="0.45">
      <c r="A81" s="1">
        <v>42793</v>
      </c>
      <c r="B81" t="s">
        <v>15</v>
      </c>
      <c r="C81">
        <f t="shared" si="7"/>
        <v>513070</v>
      </c>
      <c r="D81" t="s">
        <v>10</v>
      </c>
      <c r="E81" t="s">
        <v>8</v>
      </c>
      <c r="F81">
        <v>30</v>
      </c>
      <c r="G81">
        <v>8</v>
      </c>
      <c r="H81">
        <f t="shared" si="4"/>
        <v>240</v>
      </c>
      <c r="I81">
        <f t="shared" si="5"/>
        <v>512830</v>
      </c>
      <c r="J81" t="str">
        <f t="shared" si="6"/>
        <v/>
      </c>
    </row>
    <row r="82" spans="1:10" x14ac:dyDescent="0.45">
      <c r="A82" s="1">
        <v>42793</v>
      </c>
      <c r="B82" t="s">
        <v>15</v>
      </c>
      <c r="C82">
        <f t="shared" si="7"/>
        <v>512830</v>
      </c>
      <c r="D82" t="s">
        <v>12</v>
      </c>
      <c r="E82" t="s">
        <v>8</v>
      </c>
      <c r="F82">
        <v>14</v>
      </c>
      <c r="G82">
        <v>20</v>
      </c>
      <c r="H82">
        <f t="shared" si="4"/>
        <v>280</v>
      </c>
      <c r="I82">
        <f t="shared" si="5"/>
        <v>512550</v>
      </c>
      <c r="J82">
        <f t="shared" si="6"/>
        <v>512550</v>
      </c>
    </row>
    <row r="83" spans="1:10" x14ac:dyDescent="0.45">
      <c r="A83" s="1">
        <v>42819</v>
      </c>
      <c r="B83" t="s">
        <v>16</v>
      </c>
      <c r="C83">
        <f t="shared" si="7"/>
        <v>512550</v>
      </c>
      <c r="D83" t="s">
        <v>11</v>
      </c>
      <c r="E83" t="s">
        <v>14</v>
      </c>
      <c r="F83">
        <v>33</v>
      </c>
      <c r="G83">
        <v>38</v>
      </c>
      <c r="H83">
        <f t="shared" si="4"/>
        <v>1254</v>
      </c>
      <c r="I83">
        <f t="shared" si="5"/>
        <v>513804</v>
      </c>
      <c r="J83" t="str">
        <f t="shared" si="6"/>
        <v/>
      </c>
    </row>
    <row r="84" spans="1:10" x14ac:dyDescent="0.45">
      <c r="A84" s="1">
        <v>42819</v>
      </c>
      <c r="B84" t="s">
        <v>16</v>
      </c>
      <c r="C84">
        <f t="shared" si="7"/>
        <v>513804</v>
      </c>
      <c r="D84" t="s">
        <v>9</v>
      </c>
      <c r="E84" t="s">
        <v>8</v>
      </c>
      <c r="F84">
        <v>35</v>
      </c>
      <c r="G84">
        <v>37</v>
      </c>
      <c r="H84">
        <f t="shared" si="4"/>
        <v>1295</v>
      </c>
      <c r="I84">
        <f t="shared" si="5"/>
        <v>512509</v>
      </c>
      <c r="J84" t="str">
        <f t="shared" si="6"/>
        <v/>
      </c>
    </row>
    <row r="85" spans="1:10" x14ac:dyDescent="0.45">
      <c r="A85" s="1">
        <v>42819</v>
      </c>
      <c r="B85" t="s">
        <v>16</v>
      </c>
      <c r="C85">
        <f t="shared" si="7"/>
        <v>512509</v>
      </c>
      <c r="D85" t="s">
        <v>12</v>
      </c>
      <c r="E85" t="s">
        <v>8</v>
      </c>
      <c r="F85">
        <v>40</v>
      </c>
      <c r="G85">
        <v>19</v>
      </c>
      <c r="H85">
        <f t="shared" si="4"/>
        <v>760</v>
      </c>
      <c r="I85">
        <f t="shared" si="5"/>
        <v>511749</v>
      </c>
      <c r="J85">
        <f t="shared" si="6"/>
        <v>511749</v>
      </c>
    </row>
    <row r="86" spans="1:10" x14ac:dyDescent="0.45">
      <c r="A86" s="1">
        <v>42840</v>
      </c>
      <c r="B86" t="s">
        <v>17</v>
      </c>
      <c r="C86">
        <f t="shared" si="7"/>
        <v>511749</v>
      </c>
      <c r="D86" t="s">
        <v>11</v>
      </c>
      <c r="E86" t="s">
        <v>14</v>
      </c>
      <c r="F86">
        <v>21</v>
      </c>
      <c r="G86">
        <v>36</v>
      </c>
      <c r="H86">
        <f t="shared" si="4"/>
        <v>756</v>
      </c>
      <c r="I86">
        <f t="shared" si="5"/>
        <v>512505</v>
      </c>
      <c r="J86" t="str">
        <f t="shared" si="6"/>
        <v/>
      </c>
    </row>
    <row r="87" spans="1:10" x14ac:dyDescent="0.45">
      <c r="A87" s="1">
        <v>42840</v>
      </c>
      <c r="B87" t="s">
        <v>17</v>
      </c>
      <c r="C87">
        <f t="shared" si="7"/>
        <v>512505</v>
      </c>
      <c r="D87" t="s">
        <v>7</v>
      </c>
      <c r="E87" t="s">
        <v>14</v>
      </c>
      <c r="F87">
        <v>2</v>
      </c>
      <c r="G87">
        <v>97</v>
      </c>
      <c r="H87">
        <f t="shared" si="4"/>
        <v>194</v>
      </c>
      <c r="I87">
        <f t="shared" si="5"/>
        <v>512699</v>
      </c>
      <c r="J87" t="str">
        <f t="shared" si="6"/>
        <v/>
      </c>
    </row>
    <row r="88" spans="1:10" x14ac:dyDescent="0.45">
      <c r="A88" s="1">
        <v>42840</v>
      </c>
      <c r="B88" t="s">
        <v>17</v>
      </c>
      <c r="C88">
        <f t="shared" si="7"/>
        <v>512699</v>
      </c>
      <c r="D88" t="s">
        <v>12</v>
      </c>
      <c r="E88" t="s">
        <v>8</v>
      </c>
      <c r="F88">
        <v>12</v>
      </c>
      <c r="G88">
        <v>20</v>
      </c>
      <c r="H88">
        <f t="shared" si="4"/>
        <v>240</v>
      </c>
      <c r="I88">
        <f t="shared" si="5"/>
        <v>512459</v>
      </c>
      <c r="J88" t="str">
        <f t="shared" si="6"/>
        <v/>
      </c>
    </row>
    <row r="89" spans="1:10" x14ac:dyDescent="0.45">
      <c r="A89" s="1">
        <v>42840</v>
      </c>
      <c r="B89" t="s">
        <v>17</v>
      </c>
      <c r="C89">
        <f t="shared" si="7"/>
        <v>512459</v>
      </c>
      <c r="D89" t="s">
        <v>10</v>
      </c>
      <c r="E89" t="s">
        <v>8</v>
      </c>
      <c r="F89">
        <v>15</v>
      </c>
      <c r="G89">
        <v>8</v>
      </c>
      <c r="H89">
        <f t="shared" si="4"/>
        <v>120</v>
      </c>
      <c r="I89">
        <f t="shared" si="5"/>
        <v>512339</v>
      </c>
      <c r="J89" t="str">
        <f t="shared" si="6"/>
        <v/>
      </c>
    </row>
    <row r="90" spans="1:10" x14ac:dyDescent="0.45">
      <c r="A90" s="1">
        <v>42840</v>
      </c>
      <c r="B90" t="s">
        <v>17</v>
      </c>
      <c r="C90">
        <f t="shared" si="7"/>
        <v>512339</v>
      </c>
      <c r="D90" t="s">
        <v>9</v>
      </c>
      <c r="E90" t="s">
        <v>8</v>
      </c>
      <c r="F90">
        <v>1</v>
      </c>
      <c r="G90">
        <v>40</v>
      </c>
      <c r="H90">
        <f t="shared" si="4"/>
        <v>40</v>
      </c>
      <c r="I90">
        <f t="shared" si="5"/>
        <v>512299</v>
      </c>
      <c r="J90">
        <f t="shared" si="6"/>
        <v>512299</v>
      </c>
    </row>
    <row r="91" spans="1:10" x14ac:dyDescent="0.45">
      <c r="A91" s="1">
        <v>42864</v>
      </c>
      <c r="B91" t="s">
        <v>18</v>
      </c>
      <c r="C91">
        <f t="shared" si="7"/>
        <v>512299</v>
      </c>
      <c r="D91" t="s">
        <v>10</v>
      </c>
      <c r="E91" t="s">
        <v>14</v>
      </c>
      <c r="F91">
        <v>86</v>
      </c>
      <c r="G91">
        <v>12</v>
      </c>
      <c r="H91">
        <f t="shared" si="4"/>
        <v>1032</v>
      </c>
      <c r="I91">
        <f t="shared" si="5"/>
        <v>513331</v>
      </c>
      <c r="J91" t="str">
        <f t="shared" si="6"/>
        <v/>
      </c>
    </row>
    <row r="92" spans="1:10" x14ac:dyDescent="0.45">
      <c r="A92" s="1">
        <v>42864</v>
      </c>
      <c r="B92" t="s">
        <v>18</v>
      </c>
      <c r="C92">
        <f t="shared" si="7"/>
        <v>513331</v>
      </c>
      <c r="D92" t="s">
        <v>12</v>
      </c>
      <c r="E92" t="s">
        <v>14</v>
      </c>
      <c r="F92">
        <v>110</v>
      </c>
      <c r="G92">
        <v>31</v>
      </c>
      <c r="H92">
        <f t="shared" si="4"/>
        <v>3410</v>
      </c>
      <c r="I92">
        <f t="shared" si="5"/>
        <v>516741</v>
      </c>
      <c r="J92" t="str">
        <f t="shared" si="6"/>
        <v/>
      </c>
    </row>
    <row r="93" spans="1:10" x14ac:dyDescent="0.45">
      <c r="A93" s="1">
        <v>42864</v>
      </c>
      <c r="B93" t="s">
        <v>18</v>
      </c>
      <c r="C93">
        <f t="shared" si="7"/>
        <v>516741</v>
      </c>
      <c r="D93" t="s">
        <v>9</v>
      </c>
      <c r="E93" t="s">
        <v>8</v>
      </c>
      <c r="F93">
        <v>33</v>
      </c>
      <c r="G93">
        <v>38</v>
      </c>
      <c r="H93">
        <f t="shared" si="4"/>
        <v>1254</v>
      </c>
      <c r="I93">
        <f t="shared" si="5"/>
        <v>515487</v>
      </c>
      <c r="J93" t="str">
        <f t="shared" si="6"/>
        <v/>
      </c>
    </row>
    <row r="94" spans="1:10" x14ac:dyDescent="0.45">
      <c r="A94" s="1">
        <v>42864</v>
      </c>
      <c r="B94" t="s">
        <v>18</v>
      </c>
      <c r="C94">
        <f t="shared" si="7"/>
        <v>515487</v>
      </c>
      <c r="D94" t="s">
        <v>11</v>
      </c>
      <c r="E94" t="s">
        <v>8</v>
      </c>
      <c r="F94">
        <v>13</v>
      </c>
      <c r="G94">
        <v>23</v>
      </c>
      <c r="H94">
        <f t="shared" si="4"/>
        <v>299</v>
      </c>
      <c r="I94">
        <f t="shared" si="5"/>
        <v>515188</v>
      </c>
      <c r="J94" t="str">
        <f t="shared" si="6"/>
        <v/>
      </c>
    </row>
    <row r="95" spans="1:10" x14ac:dyDescent="0.45">
      <c r="A95" s="1">
        <v>42864</v>
      </c>
      <c r="B95" t="s">
        <v>18</v>
      </c>
      <c r="C95">
        <f t="shared" si="7"/>
        <v>515188</v>
      </c>
      <c r="D95" t="s">
        <v>7</v>
      </c>
      <c r="E95" t="s">
        <v>8</v>
      </c>
      <c r="F95">
        <v>37</v>
      </c>
      <c r="G95">
        <v>61</v>
      </c>
      <c r="H95">
        <f t="shared" si="4"/>
        <v>2257</v>
      </c>
      <c r="I95">
        <f t="shared" si="5"/>
        <v>512931</v>
      </c>
      <c r="J95">
        <f t="shared" si="6"/>
        <v>512931</v>
      </c>
    </row>
    <row r="96" spans="1:10" x14ac:dyDescent="0.45">
      <c r="A96" s="1">
        <v>42882</v>
      </c>
      <c r="B96" t="s">
        <v>19</v>
      </c>
      <c r="C96">
        <f t="shared" si="7"/>
        <v>512931</v>
      </c>
      <c r="D96" t="s">
        <v>10</v>
      </c>
      <c r="E96" t="s">
        <v>14</v>
      </c>
      <c r="F96">
        <v>1</v>
      </c>
      <c r="G96">
        <v>12</v>
      </c>
      <c r="H96">
        <f t="shared" si="4"/>
        <v>12</v>
      </c>
      <c r="I96">
        <f t="shared" si="5"/>
        <v>512943</v>
      </c>
      <c r="J96" t="str">
        <f t="shared" si="6"/>
        <v/>
      </c>
    </row>
    <row r="97" spans="1:10" x14ac:dyDescent="0.45">
      <c r="A97" s="1">
        <v>42882</v>
      </c>
      <c r="B97" t="s">
        <v>19</v>
      </c>
      <c r="C97">
        <f t="shared" si="7"/>
        <v>512943</v>
      </c>
      <c r="D97" t="s">
        <v>9</v>
      </c>
      <c r="E97" t="s">
        <v>14</v>
      </c>
      <c r="F97">
        <v>68</v>
      </c>
      <c r="G97">
        <v>59</v>
      </c>
      <c r="H97">
        <f t="shared" si="4"/>
        <v>4012</v>
      </c>
      <c r="I97">
        <f t="shared" si="5"/>
        <v>516955</v>
      </c>
      <c r="J97" t="str">
        <f t="shared" si="6"/>
        <v/>
      </c>
    </row>
    <row r="98" spans="1:10" x14ac:dyDescent="0.45">
      <c r="A98" s="1">
        <v>42882</v>
      </c>
      <c r="B98" t="s">
        <v>19</v>
      </c>
      <c r="C98">
        <f t="shared" si="7"/>
        <v>516955</v>
      </c>
      <c r="D98" t="s">
        <v>7</v>
      </c>
      <c r="E98" t="s">
        <v>8</v>
      </c>
      <c r="F98">
        <v>35</v>
      </c>
      <c r="G98">
        <v>66</v>
      </c>
      <c r="H98">
        <f t="shared" si="4"/>
        <v>2310</v>
      </c>
      <c r="I98">
        <f t="shared" si="5"/>
        <v>514645</v>
      </c>
      <c r="J98" t="str">
        <f t="shared" si="6"/>
        <v/>
      </c>
    </row>
    <row r="99" spans="1:10" x14ac:dyDescent="0.45">
      <c r="A99" s="1">
        <v>42882</v>
      </c>
      <c r="B99" t="s">
        <v>19</v>
      </c>
      <c r="C99">
        <f t="shared" si="7"/>
        <v>514645</v>
      </c>
      <c r="D99" t="s">
        <v>12</v>
      </c>
      <c r="E99" t="s">
        <v>8</v>
      </c>
      <c r="F99">
        <v>25</v>
      </c>
      <c r="G99">
        <v>21</v>
      </c>
      <c r="H99">
        <f t="shared" si="4"/>
        <v>525</v>
      </c>
      <c r="I99">
        <f t="shared" si="5"/>
        <v>514120</v>
      </c>
      <c r="J99" t="str">
        <f t="shared" si="6"/>
        <v/>
      </c>
    </row>
    <row r="100" spans="1:10" x14ac:dyDescent="0.45">
      <c r="A100" s="1">
        <v>42882</v>
      </c>
      <c r="B100" t="s">
        <v>19</v>
      </c>
      <c r="C100">
        <f t="shared" si="7"/>
        <v>514120</v>
      </c>
      <c r="D100" t="s">
        <v>11</v>
      </c>
      <c r="E100" t="s">
        <v>8</v>
      </c>
      <c r="F100">
        <v>10</v>
      </c>
      <c r="G100">
        <v>25</v>
      </c>
      <c r="H100">
        <f t="shared" si="4"/>
        <v>250</v>
      </c>
      <c r="I100">
        <f t="shared" si="5"/>
        <v>513870</v>
      </c>
      <c r="J100">
        <f t="shared" si="6"/>
        <v>513870</v>
      </c>
    </row>
    <row r="101" spans="1:10" x14ac:dyDescent="0.45">
      <c r="A101" s="1">
        <v>42904</v>
      </c>
      <c r="B101" t="s">
        <v>20</v>
      </c>
      <c r="C101">
        <f t="shared" si="7"/>
        <v>513870</v>
      </c>
      <c r="D101" t="s">
        <v>11</v>
      </c>
      <c r="E101" t="s">
        <v>14</v>
      </c>
      <c r="F101">
        <v>38</v>
      </c>
      <c r="G101">
        <v>37</v>
      </c>
      <c r="H101">
        <f t="shared" si="4"/>
        <v>1406</v>
      </c>
      <c r="I101">
        <f t="shared" si="5"/>
        <v>515276</v>
      </c>
      <c r="J101" t="str">
        <f t="shared" si="6"/>
        <v/>
      </c>
    </row>
    <row r="102" spans="1:10" x14ac:dyDescent="0.45">
      <c r="A102" s="1">
        <v>42904</v>
      </c>
      <c r="B102" t="s">
        <v>20</v>
      </c>
      <c r="C102">
        <f t="shared" si="7"/>
        <v>515276</v>
      </c>
      <c r="D102" t="s">
        <v>10</v>
      </c>
      <c r="E102" t="s">
        <v>8</v>
      </c>
      <c r="F102">
        <v>22</v>
      </c>
      <c r="G102">
        <v>8</v>
      </c>
      <c r="H102">
        <f t="shared" si="4"/>
        <v>176</v>
      </c>
      <c r="I102">
        <f t="shared" si="5"/>
        <v>515100</v>
      </c>
      <c r="J102" t="str">
        <f t="shared" si="6"/>
        <v/>
      </c>
    </row>
    <row r="103" spans="1:10" x14ac:dyDescent="0.45">
      <c r="A103" s="1">
        <v>42904</v>
      </c>
      <c r="B103" t="s">
        <v>20</v>
      </c>
      <c r="C103">
        <f t="shared" si="7"/>
        <v>515100</v>
      </c>
      <c r="D103" t="s">
        <v>12</v>
      </c>
      <c r="E103" t="s">
        <v>8</v>
      </c>
      <c r="F103">
        <v>25</v>
      </c>
      <c r="G103">
        <v>20</v>
      </c>
      <c r="H103">
        <f t="shared" si="4"/>
        <v>500</v>
      </c>
      <c r="I103">
        <f t="shared" si="5"/>
        <v>514600</v>
      </c>
      <c r="J103" t="str">
        <f t="shared" si="6"/>
        <v/>
      </c>
    </row>
    <row r="104" spans="1:10" x14ac:dyDescent="0.45">
      <c r="A104" s="1">
        <v>42904</v>
      </c>
      <c r="B104" t="s">
        <v>20</v>
      </c>
      <c r="C104">
        <f t="shared" si="7"/>
        <v>514600</v>
      </c>
      <c r="D104" t="s">
        <v>9</v>
      </c>
      <c r="E104" t="s">
        <v>8</v>
      </c>
      <c r="F104">
        <v>8</v>
      </c>
      <c r="G104">
        <v>39</v>
      </c>
      <c r="H104">
        <f t="shared" si="4"/>
        <v>312</v>
      </c>
      <c r="I104">
        <f t="shared" si="5"/>
        <v>514288</v>
      </c>
      <c r="J104" t="str">
        <f t="shared" si="6"/>
        <v/>
      </c>
    </row>
    <row r="105" spans="1:10" x14ac:dyDescent="0.45">
      <c r="A105" s="1">
        <v>42904</v>
      </c>
      <c r="B105" t="s">
        <v>20</v>
      </c>
      <c r="C105">
        <f t="shared" si="7"/>
        <v>514288</v>
      </c>
      <c r="D105" t="s">
        <v>7</v>
      </c>
      <c r="E105" t="s">
        <v>8</v>
      </c>
      <c r="F105">
        <v>45</v>
      </c>
      <c r="G105">
        <v>62</v>
      </c>
      <c r="H105">
        <f t="shared" si="4"/>
        <v>2790</v>
      </c>
      <c r="I105">
        <f t="shared" si="5"/>
        <v>511498</v>
      </c>
      <c r="J105">
        <f t="shared" si="6"/>
        <v>511498</v>
      </c>
    </row>
    <row r="106" spans="1:10" x14ac:dyDescent="0.45">
      <c r="A106" s="1">
        <v>42929</v>
      </c>
      <c r="B106" t="s">
        <v>21</v>
      </c>
      <c r="C106">
        <f t="shared" si="7"/>
        <v>511498</v>
      </c>
      <c r="D106" t="s">
        <v>7</v>
      </c>
      <c r="E106" t="s">
        <v>14</v>
      </c>
      <c r="F106">
        <v>116</v>
      </c>
      <c r="G106">
        <v>100</v>
      </c>
      <c r="H106">
        <f t="shared" si="4"/>
        <v>11600</v>
      </c>
      <c r="I106">
        <f t="shared" si="5"/>
        <v>523098</v>
      </c>
      <c r="J106" t="str">
        <f t="shared" si="6"/>
        <v/>
      </c>
    </row>
    <row r="107" spans="1:10" x14ac:dyDescent="0.45">
      <c r="A107" s="1">
        <v>42929</v>
      </c>
      <c r="B107" t="s">
        <v>21</v>
      </c>
      <c r="C107">
        <f t="shared" si="7"/>
        <v>523098</v>
      </c>
      <c r="D107" t="s">
        <v>12</v>
      </c>
      <c r="E107" t="s">
        <v>8</v>
      </c>
      <c r="F107">
        <v>29</v>
      </c>
      <c r="G107">
        <v>19</v>
      </c>
      <c r="H107">
        <f t="shared" si="4"/>
        <v>551</v>
      </c>
      <c r="I107">
        <f t="shared" si="5"/>
        <v>522547</v>
      </c>
      <c r="J107">
        <f t="shared" si="6"/>
        <v>522547</v>
      </c>
    </row>
    <row r="108" spans="1:10" x14ac:dyDescent="0.45">
      <c r="A108" s="1">
        <v>42942</v>
      </c>
      <c r="B108" t="s">
        <v>22</v>
      </c>
      <c r="C108">
        <f t="shared" si="7"/>
        <v>522547</v>
      </c>
      <c r="D108" t="s">
        <v>11</v>
      </c>
      <c r="E108" t="s">
        <v>14</v>
      </c>
      <c r="F108">
        <v>5</v>
      </c>
      <c r="G108">
        <v>34</v>
      </c>
      <c r="H108">
        <f t="shared" si="4"/>
        <v>170</v>
      </c>
      <c r="I108">
        <f t="shared" si="5"/>
        <v>522717</v>
      </c>
      <c r="J108" t="str">
        <f t="shared" si="6"/>
        <v/>
      </c>
    </row>
    <row r="109" spans="1:10" x14ac:dyDescent="0.45">
      <c r="A109" s="1">
        <v>42942</v>
      </c>
      <c r="B109" t="s">
        <v>22</v>
      </c>
      <c r="C109">
        <f t="shared" si="7"/>
        <v>522717</v>
      </c>
      <c r="D109" t="s">
        <v>10</v>
      </c>
      <c r="E109" t="s">
        <v>14</v>
      </c>
      <c r="F109">
        <v>22</v>
      </c>
      <c r="G109">
        <v>11</v>
      </c>
      <c r="H109">
        <f t="shared" si="4"/>
        <v>242</v>
      </c>
      <c r="I109">
        <f t="shared" si="5"/>
        <v>522959</v>
      </c>
      <c r="J109" t="str">
        <f t="shared" si="6"/>
        <v/>
      </c>
    </row>
    <row r="110" spans="1:10" x14ac:dyDescent="0.45">
      <c r="A110" s="1">
        <v>42942</v>
      </c>
      <c r="B110" t="s">
        <v>22</v>
      </c>
      <c r="C110">
        <f t="shared" si="7"/>
        <v>522959</v>
      </c>
      <c r="D110" t="s">
        <v>12</v>
      </c>
      <c r="E110" t="s">
        <v>8</v>
      </c>
      <c r="F110">
        <v>37</v>
      </c>
      <c r="G110">
        <v>22</v>
      </c>
      <c r="H110">
        <f t="shared" si="4"/>
        <v>814</v>
      </c>
      <c r="I110">
        <f t="shared" si="5"/>
        <v>522145</v>
      </c>
      <c r="J110" t="str">
        <f t="shared" si="6"/>
        <v/>
      </c>
    </row>
    <row r="111" spans="1:10" x14ac:dyDescent="0.45">
      <c r="A111" s="1">
        <v>42942</v>
      </c>
      <c r="B111" t="s">
        <v>22</v>
      </c>
      <c r="C111">
        <f t="shared" si="7"/>
        <v>522145</v>
      </c>
      <c r="D111" t="s">
        <v>7</v>
      </c>
      <c r="E111" t="s">
        <v>8</v>
      </c>
      <c r="F111">
        <v>10</v>
      </c>
      <c r="G111">
        <v>70</v>
      </c>
      <c r="H111">
        <f t="shared" si="4"/>
        <v>700</v>
      </c>
      <c r="I111">
        <f t="shared" si="5"/>
        <v>521445</v>
      </c>
      <c r="J111" t="str">
        <f t="shared" si="6"/>
        <v/>
      </c>
    </row>
    <row r="112" spans="1:10" x14ac:dyDescent="0.45">
      <c r="A112" s="1">
        <v>42942</v>
      </c>
      <c r="B112" t="s">
        <v>22</v>
      </c>
      <c r="C112">
        <f t="shared" si="7"/>
        <v>521445</v>
      </c>
      <c r="D112" t="s">
        <v>9</v>
      </c>
      <c r="E112" t="s">
        <v>8</v>
      </c>
      <c r="F112">
        <v>42</v>
      </c>
      <c r="G112">
        <v>44</v>
      </c>
      <c r="H112">
        <f t="shared" si="4"/>
        <v>1848</v>
      </c>
      <c r="I112">
        <f t="shared" si="5"/>
        <v>519597</v>
      </c>
      <c r="J112">
        <f t="shared" si="6"/>
        <v>519597</v>
      </c>
    </row>
    <row r="113" spans="1:10" x14ac:dyDescent="0.45">
      <c r="A113" s="1">
        <v>42959</v>
      </c>
      <c r="B113" t="s">
        <v>6</v>
      </c>
      <c r="C113">
        <f t="shared" si="7"/>
        <v>519597</v>
      </c>
      <c r="D113" t="s">
        <v>7</v>
      </c>
      <c r="E113" t="s">
        <v>14</v>
      </c>
      <c r="F113">
        <v>11</v>
      </c>
      <c r="G113">
        <v>94</v>
      </c>
      <c r="H113">
        <f t="shared" si="4"/>
        <v>1034</v>
      </c>
      <c r="I113">
        <f t="shared" si="5"/>
        <v>520631</v>
      </c>
      <c r="J113" t="str">
        <f t="shared" si="6"/>
        <v/>
      </c>
    </row>
    <row r="114" spans="1:10" x14ac:dyDescent="0.45">
      <c r="A114" s="1">
        <v>42959</v>
      </c>
      <c r="B114" t="s">
        <v>6</v>
      </c>
      <c r="C114">
        <f t="shared" si="7"/>
        <v>520631</v>
      </c>
      <c r="D114" t="s">
        <v>9</v>
      </c>
      <c r="E114" t="s">
        <v>14</v>
      </c>
      <c r="F114">
        <v>48</v>
      </c>
      <c r="G114">
        <v>59</v>
      </c>
      <c r="H114">
        <f t="shared" si="4"/>
        <v>2832</v>
      </c>
      <c r="I114">
        <f t="shared" si="5"/>
        <v>523463</v>
      </c>
      <c r="J114" t="str">
        <f t="shared" si="6"/>
        <v/>
      </c>
    </row>
    <row r="115" spans="1:10" x14ac:dyDescent="0.45">
      <c r="A115" s="1">
        <v>42959</v>
      </c>
      <c r="B115" t="s">
        <v>6</v>
      </c>
      <c r="C115">
        <f t="shared" si="7"/>
        <v>523463</v>
      </c>
      <c r="D115" t="s">
        <v>12</v>
      </c>
      <c r="E115" t="s">
        <v>8</v>
      </c>
      <c r="F115">
        <v>20</v>
      </c>
      <c r="G115">
        <v>21</v>
      </c>
      <c r="H115">
        <f t="shared" si="4"/>
        <v>420</v>
      </c>
      <c r="I115">
        <f t="shared" si="5"/>
        <v>523043</v>
      </c>
      <c r="J115" t="str">
        <f t="shared" si="6"/>
        <v/>
      </c>
    </row>
    <row r="116" spans="1:10" x14ac:dyDescent="0.45">
      <c r="A116" s="1">
        <v>42959</v>
      </c>
      <c r="B116" t="s">
        <v>6</v>
      </c>
      <c r="C116">
        <f t="shared" si="7"/>
        <v>523043</v>
      </c>
      <c r="D116" t="s">
        <v>11</v>
      </c>
      <c r="E116" t="s">
        <v>8</v>
      </c>
      <c r="F116">
        <v>26</v>
      </c>
      <c r="G116">
        <v>25</v>
      </c>
      <c r="H116">
        <f t="shared" si="4"/>
        <v>650</v>
      </c>
      <c r="I116">
        <f t="shared" si="5"/>
        <v>522393</v>
      </c>
      <c r="J116">
        <f t="shared" si="6"/>
        <v>522393</v>
      </c>
    </row>
    <row r="117" spans="1:10" x14ac:dyDescent="0.45">
      <c r="A117" s="1">
        <v>42974</v>
      </c>
      <c r="B117" t="s">
        <v>13</v>
      </c>
      <c r="C117">
        <f t="shared" si="7"/>
        <v>522393</v>
      </c>
      <c r="D117" t="s">
        <v>10</v>
      </c>
      <c r="E117" t="s">
        <v>8</v>
      </c>
      <c r="F117">
        <v>24</v>
      </c>
      <c r="G117">
        <v>9</v>
      </c>
      <c r="H117">
        <f t="shared" si="4"/>
        <v>216</v>
      </c>
      <c r="I117">
        <f t="shared" si="5"/>
        <v>522177</v>
      </c>
      <c r="J117" t="str">
        <f t="shared" si="6"/>
        <v/>
      </c>
    </row>
    <row r="118" spans="1:10" x14ac:dyDescent="0.45">
      <c r="A118" s="1">
        <v>42974</v>
      </c>
      <c r="B118" t="s">
        <v>13</v>
      </c>
      <c r="C118">
        <f t="shared" si="7"/>
        <v>522177</v>
      </c>
      <c r="D118" t="s">
        <v>7</v>
      </c>
      <c r="E118" t="s">
        <v>8</v>
      </c>
      <c r="F118">
        <v>38</v>
      </c>
      <c r="G118">
        <v>68</v>
      </c>
      <c r="H118">
        <f t="shared" si="4"/>
        <v>2584</v>
      </c>
      <c r="I118">
        <f t="shared" si="5"/>
        <v>519593</v>
      </c>
      <c r="J118" t="str">
        <f t="shared" si="6"/>
        <v/>
      </c>
    </row>
    <row r="119" spans="1:10" x14ac:dyDescent="0.45">
      <c r="A119" s="1">
        <v>42974</v>
      </c>
      <c r="B119" t="s">
        <v>13</v>
      </c>
      <c r="C119">
        <f t="shared" si="7"/>
        <v>519593</v>
      </c>
      <c r="D119" t="s">
        <v>12</v>
      </c>
      <c r="E119" t="s">
        <v>8</v>
      </c>
      <c r="F119">
        <v>14</v>
      </c>
      <c r="G119">
        <v>21</v>
      </c>
      <c r="H119">
        <f t="shared" si="4"/>
        <v>294</v>
      </c>
      <c r="I119">
        <f t="shared" si="5"/>
        <v>519299</v>
      </c>
      <c r="J119" t="str">
        <f t="shared" si="6"/>
        <v/>
      </c>
    </row>
    <row r="120" spans="1:10" x14ac:dyDescent="0.45">
      <c r="A120" s="1">
        <v>42974</v>
      </c>
      <c r="B120" t="s">
        <v>13</v>
      </c>
      <c r="C120">
        <f t="shared" si="7"/>
        <v>519299</v>
      </c>
      <c r="D120" t="s">
        <v>9</v>
      </c>
      <c r="E120" t="s">
        <v>8</v>
      </c>
      <c r="F120">
        <v>4</v>
      </c>
      <c r="G120">
        <v>43</v>
      </c>
      <c r="H120">
        <f t="shared" si="4"/>
        <v>172</v>
      </c>
      <c r="I120">
        <f t="shared" si="5"/>
        <v>519127</v>
      </c>
      <c r="J120">
        <f t="shared" si="6"/>
        <v>519127</v>
      </c>
    </row>
    <row r="121" spans="1:10" x14ac:dyDescent="0.45">
      <c r="A121" s="1">
        <v>42993</v>
      </c>
      <c r="B121" t="s">
        <v>15</v>
      </c>
      <c r="C121">
        <f t="shared" si="7"/>
        <v>519127</v>
      </c>
      <c r="D121" t="s">
        <v>11</v>
      </c>
      <c r="E121" t="s">
        <v>14</v>
      </c>
      <c r="F121">
        <v>19</v>
      </c>
      <c r="G121">
        <v>36</v>
      </c>
      <c r="H121">
        <f t="shared" si="4"/>
        <v>684</v>
      </c>
      <c r="I121">
        <f t="shared" si="5"/>
        <v>519811</v>
      </c>
      <c r="J121" t="str">
        <f t="shared" si="6"/>
        <v/>
      </c>
    </row>
    <row r="122" spans="1:10" x14ac:dyDescent="0.45">
      <c r="A122" s="1">
        <v>42993</v>
      </c>
      <c r="B122" t="s">
        <v>15</v>
      </c>
      <c r="C122">
        <f t="shared" si="7"/>
        <v>519811</v>
      </c>
      <c r="D122" t="s">
        <v>7</v>
      </c>
      <c r="E122" t="s">
        <v>8</v>
      </c>
      <c r="F122">
        <v>30</v>
      </c>
      <c r="G122">
        <v>65</v>
      </c>
      <c r="H122">
        <f t="shared" si="4"/>
        <v>1950</v>
      </c>
      <c r="I122">
        <f t="shared" si="5"/>
        <v>517861</v>
      </c>
      <c r="J122">
        <f t="shared" si="6"/>
        <v>517861</v>
      </c>
    </row>
    <row r="123" spans="1:10" x14ac:dyDescent="0.45">
      <c r="A123" s="1">
        <v>43019</v>
      </c>
      <c r="B123" t="s">
        <v>16</v>
      </c>
      <c r="C123">
        <f t="shared" si="7"/>
        <v>517861</v>
      </c>
      <c r="D123" t="s">
        <v>9</v>
      </c>
      <c r="E123" t="s">
        <v>14</v>
      </c>
      <c r="F123">
        <v>6</v>
      </c>
      <c r="G123">
        <v>63</v>
      </c>
      <c r="H123">
        <f t="shared" si="4"/>
        <v>378</v>
      </c>
      <c r="I123">
        <f t="shared" si="5"/>
        <v>518239</v>
      </c>
      <c r="J123" t="str">
        <f t="shared" si="6"/>
        <v/>
      </c>
    </row>
    <row r="124" spans="1:10" x14ac:dyDescent="0.45">
      <c r="A124" s="1">
        <v>43019</v>
      </c>
      <c r="B124" t="s">
        <v>16</v>
      </c>
      <c r="C124">
        <f t="shared" si="7"/>
        <v>518239</v>
      </c>
      <c r="D124" t="s">
        <v>7</v>
      </c>
      <c r="E124" t="s">
        <v>8</v>
      </c>
      <c r="F124">
        <v>43</v>
      </c>
      <c r="G124">
        <v>59</v>
      </c>
      <c r="H124">
        <f t="shared" si="4"/>
        <v>2537</v>
      </c>
      <c r="I124">
        <f t="shared" si="5"/>
        <v>515702</v>
      </c>
      <c r="J124">
        <f t="shared" si="6"/>
        <v>515702</v>
      </c>
    </row>
    <row r="125" spans="1:10" x14ac:dyDescent="0.45">
      <c r="A125" s="1">
        <v>43040</v>
      </c>
      <c r="B125" t="s">
        <v>17</v>
      </c>
      <c r="C125">
        <f t="shared" si="7"/>
        <v>515702</v>
      </c>
      <c r="D125" t="s">
        <v>9</v>
      </c>
      <c r="E125" t="s">
        <v>14</v>
      </c>
      <c r="F125">
        <v>1</v>
      </c>
      <c r="G125">
        <v>61</v>
      </c>
      <c r="H125">
        <f t="shared" si="4"/>
        <v>61</v>
      </c>
      <c r="I125">
        <f t="shared" si="5"/>
        <v>515763</v>
      </c>
      <c r="J125" t="str">
        <f t="shared" si="6"/>
        <v/>
      </c>
    </row>
    <row r="126" spans="1:10" x14ac:dyDescent="0.45">
      <c r="A126" s="1">
        <v>43040</v>
      </c>
      <c r="B126" t="s">
        <v>17</v>
      </c>
      <c r="C126">
        <f t="shared" si="7"/>
        <v>515763</v>
      </c>
      <c r="D126" t="s">
        <v>12</v>
      </c>
      <c r="E126" t="s">
        <v>14</v>
      </c>
      <c r="F126">
        <v>147</v>
      </c>
      <c r="G126">
        <v>30</v>
      </c>
      <c r="H126">
        <f t="shared" si="4"/>
        <v>4410</v>
      </c>
      <c r="I126">
        <f t="shared" si="5"/>
        <v>520173</v>
      </c>
      <c r="J126" t="str">
        <f t="shared" si="6"/>
        <v/>
      </c>
    </row>
    <row r="127" spans="1:10" x14ac:dyDescent="0.45">
      <c r="A127" s="1">
        <v>43040</v>
      </c>
      <c r="B127" t="s">
        <v>17</v>
      </c>
      <c r="C127">
        <f t="shared" si="7"/>
        <v>520173</v>
      </c>
      <c r="D127" t="s">
        <v>10</v>
      </c>
      <c r="E127" t="s">
        <v>8</v>
      </c>
      <c r="F127">
        <v>15</v>
      </c>
      <c r="G127">
        <v>8</v>
      </c>
      <c r="H127">
        <f t="shared" si="4"/>
        <v>120</v>
      </c>
      <c r="I127">
        <f t="shared" si="5"/>
        <v>520053</v>
      </c>
      <c r="J127" t="str">
        <f t="shared" si="6"/>
        <v/>
      </c>
    </row>
    <row r="128" spans="1:10" x14ac:dyDescent="0.45">
      <c r="A128" s="1">
        <v>43040</v>
      </c>
      <c r="B128" t="s">
        <v>17</v>
      </c>
      <c r="C128">
        <f t="shared" si="7"/>
        <v>520053</v>
      </c>
      <c r="D128" t="s">
        <v>7</v>
      </c>
      <c r="E128" t="s">
        <v>8</v>
      </c>
      <c r="F128">
        <v>24</v>
      </c>
      <c r="G128">
        <v>63</v>
      </c>
      <c r="H128">
        <f t="shared" si="4"/>
        <v>1512</v>
      </c>
      <c r="I128">
        <f t="shared" si="5"/>
        <v>518541</v>
      </c>
      <c r="J128" t="str">
        <f t="shared" si="6"/>
        <v/>
      </c>
    </row>
    <row r="129" spans="1:10" x14ac:dyDescent="0.45">
      <c r="A129" s="1">
        <v>43040</v>
      </c>
      <c r="B129" t="s">
        <v>17</v>
      </c>
      <c r="C129">
        <f t="shared" si="7"/>
        <v>518541</v>
      </c>
      <c r="D129" t="s">
        <v>11</v>
      </c>
      <c r="E129" t="s">
        <v>8</v>
      </c>
      <c r="F129">
        <v>19</v>
      </c>
      <c r="G129">
        <v>24</v>
      </c>
      <c r="H129">
        <f t="shared" si="4"/>
        <v>456</v>
      </c>
      <c r="I129">
        <f t="shared" si="5"/>
        <v>518085</v>
      </c>
      <c r="J129">
        <f t="shared" si="6"/>
        <v>518085</v>
      </c>
    </row>
    <row r="130" spans="1:10" x14ac:dyDescent="0.45">
      <c r="A130" s="1">
        <v>43064</v>
      </c>
      <c r="B130" t="s">
        <v>18</v>
      </c>
      <c r="C130">
        <f t="shared" si="7"/>
        <v>518085</v>
      </c>
      <c r="D130" t="s">
        <v>7</v>
      </c>
      <c r="E130" t="s">
        <v>14</v>
      </c>
      <c r="F130">
        <v>134</v>
      </c>
      <c r="G130">
        <v>99</v>
      </c>
      <c r="H130">
        <f t="shared" si="4"/>
        <v>13266</v>
      </c>
      <c r="I130">
        <f t="shared" si="5"/>
        <v>531351</v>
      </c>
      <c r="J130" t="str">
        <f t="shared" si="6"/>
        <v/>
      </c>
    </row>
    <row r="131" spans="1:10" x14ac:dyDescent="0.45">
      <c r="A131" s="1">
        <v>43064</v>
      </c>
      <c r="B131" t="s">
        <v>18</v>
      </c>
      <c r="C131">
        <f t="shared" si="7"/>
        <v>531351</v>
      </c>
      <c r="D131" t="s">
        <v>9</v>
      </c>
      <c r="E131" t="s">
        <v>8</v>
      </c>
      <c r="F131">
        <v>12</v>
      </c>
      <c r="G131">
        <v>38</v>
      </c>
      <c r="H131">
        <f t="shared" ref="H131:H194" si="8">F131*G131</f>
        <v>456</v>
      </c>
      <c r="I131">
        <f t="shared" ref="I131:I194" si="9">IF(E131="Z",C131-H131, C131+H131)</f>
        <v>530895</v>
      </c>
      <c r="J131">
        <f t="shared" ref="J131:J194" si="10">IF(A131&lt;&gt;A132,I131,"")</f>
        <v>530895</v>
      </c>
    </row>
    <row r="132" spans="1:10" x14ac:dyDescent="0.45">
      <c r="A132" s="1">
        <v>43082</v>
      </c>
      <c r="B132" t="s">
        <v>19</v>
      </c>
      <c r="C132">
        <f t="shared" ref="C132:C195" si="11">I131</f>
        <v>530895</v>
      </c>
      <c r="D132" t="s">
        <v>12</v>
      </c>
      <c r="E132" t="s">
        <v>14</v>
      </c>
      <c r="F132">
        <v>4</v>
      </c>
      <c r="G132">
        <v>30</v>
      </c>
      <c r="H132">
        <f t="shared" si="8"/>
        <v>120</v>
      </c>
      <c r="I132">
        <f t="shared" si="9"/>
        <v>531015</v>
      </c>
      <c r="J132" t="str">
        <f t="shared" si="10"/>
        <v/>
      </c>
    </row>
    <row r="133" spans="1:10" x14ac:dyDescent="0.45">
      <c r="A133" s="1">
        <v>43082</v>
      </c>
      <c r="B133" t="s">
        <v>19</v>
      </c>
      <c r="C133">
        <f t="shared" si="11"/>
        <v>531015</v>
      </c>
      <c r="D133" t="s">
        <v>10</v>
      </c>
      <c r="E133" t="s">
        <v>8</v>
      </c>
      <c r="F133">
        <v>26</v>
      </c>
      <c r="G133">
        <v>8</v>
      </c>
      <c r="H133">
        <f t="shared" si="8"/>
        <v>208</v>
      </c>
      <c r="I133">
        <f t="shared" si="9"/>
        <v>530807</v>
      </c>
      <c r="J133" t="str">
        <f t="shared" si="10"/>
        <v/>
      </c>
    </row>
    <row r="134" spans="1:10" x14ac:dyDescent="0.45">
      <c r="A134" s="1">
        <v>43082</v>
      </c>
      <c r="B134" t="s">
        <v>19</v>
      </c>
      <c r="C134">
        <f t="shared" si="11"/>
        <v>530807</v>
      </c>
      <c r="D134" t="s">
        <v>7</v>
      </c>
      <c r="E134" t="s">
        <v>8</v>
      </c>
      <c r="F134">
        <v>38</v>
      </c>
      <c r="G134">
        <v>66</v>
      </c>
      <c r="H134">
        <f t="shared" si="8"/>
        <v>2508</v>
      </c>
      <c r="I134">
        <f t="shared" si="9"/>
        <v>528299</v>
      </c>
      <c r="J134">
        <f t="shared" si="10"/>
        <v>528299</v>
      </c>
    </row>
    <row r="135" spans="1:10" x14ac:dyDescent="0.45">
      <c r="A135" s="1">
        <v>43104</v>
      </c>
      <c r="B135" t="s">
        <v>20</v>
      </c>
      <c r="C135">
        <f t="shared" si="11"/>
        <v>528299</v>
      </c>
      <c r="D135" t="s">
        <v>7</v>
      </c>
      <c r="E135" t="s">
        <v>14</v>
      </c>
      <c r="F135">
        <v>38</v>
      </c>
      <c r="G135">
        <v>98</v>
      </c>
      <c r="H135">
        <f t="shared" si="8"/>
        <v>3724</v>
      </c>
      <c r="I135">
        <f t="shared" si="9"/>
        <v>532023</v>
      </c>
      <c r="J135" t="str">
        <f t="shared" si="10"/>
        <v/>
      </c>
    </row>
    <row r="136" spans="1:10" x14ac:dyDescent="0.45">
      <c r="A136" s="1">
        <v>43104</v>
      </c>
      <c r="B136" t="s">
        <v>20</v>
      </c>
      <c r="C136">
        <f t="shared" si="11"/>
        <v>532023</v>
      </c>
      <c r="D136" t="s">
        <v>11</v>
      </c>
      <c r="E136" t="s">
        <v>14</v>
      </c>
      <c r="F136">
        <v>44</v>
      </c>
      <c r="G136">
        <v>37</v>
      </c>
      <c r="H136">
        <f t="shared" si="8"/>
        <v>1628</v>
      </c>
      <c r="I136">
        <f t="shared" si="9"/>
        <v>533651</v>
      </c>
      <c r="J136" t="str">
        <f t="shared" si="10"/>
        <v/>
      </c>
    </row>
    <row r="137" spans="1:10" x14ac:dyDescent="0.45">
      <c r="A137" s="1">
        <v>43104</v>
      </c>
      <c r="B137" t="s">
        <v>20</v>
      </c>
      <c r="C137">
        <f t="shared" si="11"/>
        <v>533651</v>
      </c>
      <c r="D137" t="s">
        <v>10</v>
      </c>
      <c r="E137" t="s">
        <v>8</v>
      </c>
      <c r="F137">
        <v>21</v>
      </c>
      <c r="G137">
        <v>8</v>
      </c>
      <c r="H137">
        <f t="shared" si="8"/>
        <v>168</v>
      </c>
      <c r="I137">
        <f t="shared" si="9"/>
        <v>533483</v>
      </c>
      <c r="J137" t="str">
        <f t="shared" si="10"/>
        <v/>
      </c>
    </row>
    <row r="138" spans="1:10" x14ac:dyDescent="0.45">
      <c r="A138" s="1">
        <v>43104</v>
      </c>
      <c r="B138" t="s">
        <v>20</v>
      </c>
      <c r="C138">
        <f t="shared" si="11"/>
        <v>533483</v>
      </c>
      <c r="D138" t="s">
        <v>9</v>
      </c>
      <c r="E138" t="s">
        <v>8</v>
      </c>
      <c r="F138">
        <v>10</v>
      </c>
      <c r="G138">
        <v>39</v>
      </c>
      <c r="H138">
        <f t="shared" si="8"/>
        <v>390</v>
      </c>
      <c r="I138">
        <f t="shared" si="9"/>
        <v>533093</v>
      </c>
      <c r="J138">
        <f t="shared" si="10"/>
        <v>533093</v>
      </c>
    </row>
    <row r="139" spans="1:10" x14ac:dyDescent="0.45">
      <c r="A139" s="1">
        <v>43129</v>
      </c>
      <c r="B139" t="s">
        <v>21</v>
      </c>
      <c r="C139">
        <f t="shared" si="11"/>
        <v>533093</v>
      </c>
      <c r="D139" t="s">
        <v>11</v>
      </c>
      <c r="E139" t="s">
        <v>14</v>
      </c>
      <c r="F139">
        <v>15</v>
      </c>
      <c r="G139">
        <v>38</v>
      </c>
      <c r="H139">
        <f t="shared" si="8"/>
        <v>570</v>
      </c>
      <c r="I139">
        <f t="shared" si="9"/>
        <v>533663</v>
      </c>
      <c r="J139" t="str">
        <f t="shared" si="10"/>
        <v/>
      </c>
    </row>
    <row r="140" spans="1:10" x14ac:dyDescent="0.45">
      <c r="A140" s="1">
        <v>43129</v>
      </c>
      <c r="B140" t="s">
        <v>21</v>
      </c>
      <c r="C140">
        <f t="shared" si="11"/>
        <v>533663</v>
      </c>
      <c r="D140" t="s">
        <v>9</v>
      </c>
      <c r="E140" t="s">
        <v>14</v>
      </c>
      <c r="F140">
        <v>22</v>
      </c>
      <c r="G140">
        <v>63</v>
      </c>
      <c r="H140">
        <f t="shared" si="8"/>
        <v>1386</v>
      </c>
      <c r="I140">
        <f t="shared" si="9"/>
        <v>535049</v>
      </c>
      <c r="J140" t="str">
        <f t="shared" si="10"/>
        <v/>
      </c>
    </row>
    <row r="141" spans="1:10" x14ac:dyDescent="0.45">
      <c r="A141" s="1">
        <v>43129</v>
      </c>
      <c r="B141" t="s">
        <v>21</v>
      </c>
      <c r="C141">
        <f t="shared" si="11"/>
        <v>535049</v>
      </c>
      <c r="D141" t="s">
        <v>7</v>
      </c>
      <c r="E141" t="s">
        <v>8</v>
      </c>
      <c r="F141">
        <v>9</v>
      </c>
      <c r="G141">
        <v>60</v>
      </c>
      <c r="H141">
        <f t="shared" si="8"/>
        <v>540</v>
      </c>
      <c r="I141">
        <f t="shared" si="9"/>
        <v>534509</v>
      </c>
      <c r="J141" t="str">
        <f t="shared" si="10"/>
        <v/>
      </c>
    </row>
    <row r="142" spans="1:10" x14ac:dyDescent="0.45">
      <c r="A142" s="1">
        <v>43129</v>
      </c>
      <c r="B142" t="s">
        <v>21</v>
      </c>
      <c r="C142">
        <f t="shared" si="11"/>
        <v>534509</v>
      </c>
      <c r="D142" t="s">
        <v>12</v>
      </c>
      <c r="E142" t="s">
        <v>8</v>
      </c>
      <c r="F142">
        <v>6</v>
      </c>
      <c r="G142">
        <v>19</v>
      </c>
      <c r="H142">
        <f t="shared" si="8"/>
        <v>114</v>
      </c>
      <c r="I142">
        <f t="shared" si="9"/>
        <v>534395</v>
      </c>
      <c r="J142" t="str">
        <f t="shared" si="10"/>
        <v/>
      </c>
    </row>
    <row r="143" spans="1:10" x14ac:dyDescent="0.45">
      <c r="A143" s="1">
        <v>43129</v>
      </c>
      <c r="B143" t="s">
        <v>21</v>
      </c>
      <c r="C143">
        <f t="shared" si="11"/>
        <v>534395</v>
      </c>
      <c r="D143" t="s">
        <v>10</v>
      </c>
      <c r="E143" t="s">
        <v>8</v>
      </c>
      <c r="F143">
        <v>4</v>
      </c>
      <c r="G143">
        <v>8</v>
      </c>
      <c r="H143">
        <f t="shared" si="8"/>
        <v>32</v>
      </c>
      <c r="I143">
        <f t="shared" si="9"/>
        <v>534363</v>
      </c>
      <c r="J143">
        <f t="shared" si="10"/>
        <v>534363</v>
      </c>
    </row>
    <row r="144" spans="1:10" x14ac:dyDescent="0.45">
      <c r="A144" s="1">
        <v>43130</v>
      </c>
      <c r="B144" t="s">
        <v>22</v>
      </c>
      <c r="C144">
        <f t="shared" si="11"/>
        <v>534363</v>
      </c>
      <c r="D144" t="s">
        <v>12</v>
      </c>
      <c r="E144" t="s">
        <v>14</v>
      </c>
      <c r="F144">
        <v>6</v>
      </c>
      <c r="G144">
        <v>25</v>
      </c>
      <c r="H144">
        <f t="shared" si="8"/>
        <v>150</v>
      </c>
      <c r="I144">
        <f t="shared" si="9"/>
        <v>534513</v>
      </c>
      <c r="J144" t="str">
        <f t="shared" si="10"/>
        <v/>
      </c>
    </row>
    <row r="145" spans="1:10" x14ac:dyDescent="0.45">
      <c r="A145" s="1">
        <v>43130</v>
      </c>
      <c r="B145" t="s">
        <v>22</v>
      </c>
      <c r="C145">
        <f t="shared" si="11"/>
        <v>534513</v>
      </c>
      <c r="D145" t="s">
        <v>7</v>
      </c>
      <c r="E145" t="s">
        <v>8</v>
      </c>
      <c r="F145">
        <v>48</v>
      </c>
      <c r="G145">
        <v>79</v>
      </c>
      <c r="H145">
        <f t="shared" si="8"/>
        <v>3792</v>
      </c>
      <c r="I145">
        <f t="shared" si="9"/>
        <v>530721</v>
      </c>
      <c r="J145">
        <f t="shared" si="10"/>
        <v>530721</v>
      </c>
    </row>
    <row r="146" spans="1:10" x14ac:dyDescent="0.45">
      <c r="A146" s="1">
        <v>43147</v>
      </c>
      <c r="B146" t="s">
        <v>6</v>
      </c>
      <c r="C146">
        <f t="shared" si="11"/>
        <v>530721</v>
      </c>
      <c r="D146" t="s">
        <v>9</v>
      </c>
      <c r="E146" t="s">
        <v>8</v>
      </c>
      <c r="F146">
        <v>34</v>
      </c>
      <c r="G146">
        <v>42</v>
      </c>
      <c r="H146">
        <f t="shared" si="8"/>
        <v>1428</v>
      </c>
      <c r="I146">
        <f t="shared" si="9"/>
        <v>529293</v>
      </c>
      <c r="J146" t="str">
        <f t="shared" si="10"/>
        <v/>
      </c>
    </row>
    <row r="147" spans="1:10" x14ac:dyDescent="0.45">
      <c r="A147" s="1">
        <v>43147</v>
      </c>
      <c r="B147" t="s">
        <v>6</v>
      </c>
      <c r="C147">
        <f t="shared" si="11"/>
        <v>529293</v>
      </c>
      <c r="D147" t="s">
        <v>11</v>
      </c>
      <c r="E147" t="s">
        <v>14</v>
      </c>
      <c r="F147">
        <v>49</v>
      </c>
      <c r="G147">
        <v>35</v>
      </c>
      <c r="H147">
        <f t="shared" si="8"/>
        <v>1715</v>
      </c>
      <c r="I147">
        <f t="shared" si="9"/>
        <v>531008</v>
      </c>
      <c r="J147" t="str">
        <f t="shared" si="10"/>
        <v/>
      </c>
    </row>
    <row r="148" spans="1:10" x14ac:dyDescent="0.45">
      <c r="A148" s="1">
        <v>43147</v>
      </c>
      <c r="B148" t="s">
        <v>6</v>
      </c>
      <c r="C148">
        <f t="shared" si="11"/>
        <v>531008</v>
      </c>
      <c r="D148" t="s">
        <v>10</v>
      </c>
      <c r="E148" t="s">
        <v>8</v>
      </c>
      <c r="F148">
        <v>10</v>
      </c>
      <c r="G148">
        <v>8</v>
      </c>
      <c r="H148">
        <f t="shared" si="8"/>
        <v>80</v>
      </c>
      <c r="I148">
        <f t="shared" si="9"/>
        <v>530928</v>
      </c>
      <c r="J148" t="str">
        <f t="shared" si="10"/>
        <v/>
      </c>
    </row>
    <row r="149" spans="1:10" x14ac:dyDescent="0.45">
      <c r="A149" s="1">
        <v>43147</v>
      </c>
      <c r="B149" t="s">
        <v>6</v>
      </c>
      <c r="C149">
        <f t="shared" si="11"/>
        <v>530928</v>
      </c>
      <c r="D149" t="s">
        <v>12</v>
      </c>
      <c r="E149" t="s">
        <v>8</v>
      </c>
      <c r="F149">
        <v>47</v>
      </c>
      <c r="G149">
        <v>21</v>
      </c>
      <c r="H149">
        <f t="shared" si="8"/>
        <v>987</v>
      </c>
      <c r="I149">
        <f t="shared" si="9"/>
        <v>529941</v>
      </c>
      <c r="J149" t="str">
        <f t="shared" si="10"/>
        <v/>
      </c>
    </row>
    <row r="150" spans="1:10" x14ac:dyDescent="0.45">
      <c r="A150" s="1">
        <v>43147</v>
      </c>
      <c r="B150" t="s">
        <v>6</v>
      </c>
      <c r="C150">
        <f t="shared" si="11"/>
        <v>529941</v>
      </c>
      <c r="D150" t="s">
        <v>7</v>
      </c>
      <c r="E150" t="s">
        <v>8</v>
      </c>
      <c r="F150">
        <v>48</v>
      </c>
      <c r="G150">
        <v>66</v>
      </c>
      <c r="H150">
        <f t="shared" si="8"/>
        <v>3168</v>
      </c>
      <c r="I150">
        <f t="shared" si="9"/>
        <v>526773</v>
      </c>
      <c r="J150">
        <f t="shared" si="10"/>
        <v>526773</v>
      </c>
    </row>
    <row r="151" spans="1:10" x14ac:dyDescent="0.45">
      <c r="A151" s="1">
        <v>43162</v>
      </c>
      <c r="B151" t="s">
        <v>13</v>
      </c>
      <c r="C151">
        <f t="shared" si="11"/>
        <v>526773</v>
      </c>
      <c r="D151" t="s">
        <v>9</v>
      </c>
      <c r="E151" t="s">
        <v>14</v>
      </c>
      <c r="F151">
        <v>34</v>
      </c>
      <c r="G151">
        <v>58</v>
      </c>
      <c r="H151">
        <f t="shared" si="8"/>
        <v>1972</v>
      </c>
      <c r="I151">
        <f t="shared" si="9"/>
        <v>528745</v>
      </c>
      <c r="J151" t="str">
        <f t="shared" si="10"/>
        <v/>
      </c>
    </row>
    <row r="152" spans="1:10" x14ac:dyDescent="0.45">
      <c r="A152" s="1">
        <v>43162</v>
      </c>
      <c r="B152" t="s">
        <v>13</v>
      </c>
      <c r="C152">
        <f t="shared" si="11"/>
        <v>528745</v>
      </c>
      <c r="D152" t="s">
        <v>10</v>
      </c>
      <c r="E152" t="s">
        <v>8</v>
      </c>
      <c r="F152">
        <v>5</v>
      </c>
      <c r="G152">
        <v>9</v>
      </c>
      <c r="H152">
        <f t="shared" si="8"/>
        <v>45</v>
      </c>
      <c r="I152">
        <f t="shared" si="9"/>
        <v>528700</v>
      </c>
      <c r="J152">
        <f t="shared" si="10"/>
        <v>528700</v>
      </c>
    </row>
    <row r="153" spans="1:10" x14ac:dyDescent="0.45">
      <c r="A153" s="1">
        <v>43181</v>
      </c>
      <c r="B153" t="s">
        <v>15</v>
      </c>
      <c r="C153">
        <f t="shared" si="11"/>
        <v>528700</v>
      </c>
      <c r="D153" t="s">
        <v>12</v>
      </c>
      <c r="E153" t="s">
        <v>14</v>
      </c>
      <c r="F153">
        <v>46</v>
      </c>
      <c r="G153">
        <v>30</v>
      </c>
      <c r="H153">
        <f t="shared" si="8"/>
        <v>1380</v>
      </c>
      <c r="I153">
        <f t="shared" si="9"/>
        <v>530080</v>
      </c>
      <c r="J153" t="str">
        <f t="shared" si="10"/>
        <v/>
      </c>
    </row>
    <row r="154" spans="1:10" x14ac:dyDescent="0.45">
      <c r="A154" s="1">
        <v>43181</v>
      </c>
      <c r="B154" t="s">
        <v>15</v>
      </c>
      <c r="C154">
        <f t="shared" si="11"/>
        <v>530080</v>
      </c>
      <c r="D154" t="s">
        <v>7</v>
      </c>
      <c r="E154" t="s">
        <v>8</v>
      </c>
      <c r="F154">
        <v>49</v>
      </c>
      <c r="G154">
        <v>65</v>
      </c>
      <c r="H154">
        <f t="shared" si="8"/>
        <v>3185</v>
      </c>
      <c r="I154">
        <f t="shared" si="9"/>
        <v>526895</v>
      </c>
      <c r="J154" t="str">
        <f t="shared" si="10"/>
        <v/>
      </c>
    </row>
    <row r="155" spans="1:10" x14ac:dyDescent="0.45">
      <c r="A155" s="1">
        <v>43181</v>
      </c>
      <c r="B155" t="s">
        <v>15</v>
      </c>
      <c r="C155">
        <f t="shared" si="11"/>
        <v>526895</v>
      </c>
      <c r="D155" t="s">
        <v>10</v>
      </c>
      <c r="E155" t="s">
        <v>8</v>
      </c>
      <c r="F155">
        <v>16</v>
      </c>
      <c r="G155">
        <v>8</v>
      </c>
      <c r="H155">
        <f t="shared" si="8"/>
        <v>128</v>
      </c>
      <c r="I155">
        <f t="shared" si="9"/>
        <v>526767</v>
      </c>
      <c r="J155">
        <f t="shared" si="10"/>
        <v>526767</v>
      </c>
    </row>
    <row r="156" spans="1:10" x14ac:dyDescent="0.45">
      <c r="A156" s="1">
        <v>43207</v>
      </c>
      <c r="B156" t="s">
        <v>16</v>
      </c>
      <c r="C156">
        <f t="shared" si="11"/>
        <v>526767</v>
      </c>
      <c r="D156" t="s">
        <v>9</v>
      </c>
      <c r="E156" t="s">
        <v>8</v>
      </c>
      <c r="F156">
        <v>5</v>
      </c>
      <c r="G156">
        <v>37</v>
      </c>
      <c r="H156">
        <f t="shared" si="8"/>
        <v>185</v>
      </c>
      <c r="I156">
        <f t="shared" si="9"/>
        <v>526582</v>
      </c>
      <c r="J156" t="str">
        <f t="shared" si="10"/>
        <v/>
      </c>
    </row>
    <row r="157" spans="1:10" x14ac:dyDescent="0.45">
      <c r="A157" s="1">
        <v>43207</v>
      </c>
      <c r="B157" t="s">
        <v>16</v>
      </c>
      <c r="C157">
        <f t="shared" si="11"/>
        <v>526582</v>
      </c>
      <c r="D157" t="s">
        <v>12</v>
      </c>
      <c r="E157" t="s">
        <v>14</v>
      </c>
      <c r="F157">
        <v>1</v>
      </c>
      <c r="G157">
        <v>32</v>
      </c>
      <c r="H157">
        <f t="shared" si="8"/>
        <v>32</v>
      </c>
      <c r="I157">
        <f t="shared" si="9"/>
        <v>526614</v>
      </c>
      <c r="J157" t="str">
        <f t="shared" si="10"/>
        <v/>
      </c>
    </row>
    <row r="158" spans="1:10" x14ac:dyDescent="0.45">
      <c r="A158" s="1">
        <v>43207</v>
      </c>
      <c r="B158" t="s">
        <v>16</v>
      </c>
      <c r="C158">
        <f t="shared" si="11"/>
        <v>526614</v>
      </c>
      <c r="D158" t="s">
        <v>10</v>
      </c>
      <c r="E158" t="s">
        <v>8</v>
      </c>
      <c r="F158">
        <v>34</v>
      </c>
      <c r="G158">
        <v>7</v>
      </c>
      <c r="H158">
        <f t="shared" si="8"/>
        <v>238</v>
      </c>
      <c r="I158">
        <f t="shared" si="9"/>
        <v>526376</v>
      </c>
      <c r="J158" t="str">
        <f t="shared" si="10"/>
        <v/>
      </c>
    </row>
    <row r="159" spans="1:10" x14ac:dyDescent="0.45">
      <c r="A159" s="1">
        <v>43207</v>
      </c>
      <c r="B159" t="s">
        <v>16</v>
      </c>
      <c r="C159">
        <f t="shared" si="11"/>
        <v>526376</v>
      </c>
      <c r="D159" t="s">
        <v>7</v>
      </c>
      <c r="E159" t="s">
        <v>8</v>
      </c>
      <c r="F159">
        <v>29</v>
      </c>
      <c r="G159">
        <v>59</v>
      </c>
      <c r="H159">
        <f t="shared" si="8"/>
        <v>1711</v>
      </c>
      <c r="I159">
        <f t="shared" si="9"/>
        <v>524665</v>
      </c>
      <c r="J159">
        <f t="shared" si="10"/>
        <v>524665</v>
      </c>
    </row>
    <row r="160" spans="1:10" x14ac:dyDescent="0.45">
      <c r="A160" s="1">
        <v>43228</v>
      </c>
      <c r="B160" t="s">
        <v>17</v>
      </c>
      <c r="C160">
        <f t="shared" si="11"/>
        <v>524665</v>
      </c>
      <c r="D160" t="s">
        <v>11</v>
      </c>
      <c r="E160" t="s">
        <v>8</v>
      </c>
      <c r="F160">
        <v>34</v>
      </c>
      <c r="G160">
        <v>24</v>
      </c>
      <c r="H160">
        <f t="shared" si="8"/>
        <v>816</v>
      </c>
      <c r="I160">
        <f t="shared" si="9"/>
        <v>523849</v>
      </c>
      <c r="J160" t="str">
        <f t="shared" si="10"/>
        <v/>
      </c>
    </row>
    <row r="161" spans="1:10" x14ac:dyDescent="0.45">
      <c r="A161" s="1">
        <v>43228</v>
      </c>
      <c r="B161" t="s">
        <v>17</v>
      </c>
      <c r="C161">
        <f t="shared" si="11"/>
        <v>523849</v>
      </c>
      <c r="D161" t="s">
        <v>12</v>
      </c>
      <c r="E161" t="s">
        <v>8</v>
      </c>
      <c r="F161">
        <v>27</v>
      </c>
      <c r="G161">
        <v>20</v>
      </c>
      <c r="H161">
        <f t="shared" si="8"/>
        <v>540</v>
      </c>
      <c r="I161">
        <f t="shared" si="9"/>
        <v>523309</v>
      </c>
      <c r="J161" t="str">
        <f t="shared" si="10"/>
        <v/>
      </c>
    </row>
    <row r="162" spans="1:10" x14ac:dyDescent="0.45">
      <c r="A162" s="1">
        <v>43228</v>
      </c>
      <c r="B162" t="s">
        <v>17</v>
      </c>
      <c r="C162">
        <f t="shared" si="11"/>
        <v>523309</v>
      </c>
      <c r="D162" t="s">
        <v>10</v>
      </c>
      <c r="E162" t="s">
        <v>8</v>
      </c>
      <c r="F162">
        <v>40</v>
      </c>
      <c r="G162">
        <v>8</v>
      </c>
      <c r="H162">
        <f t="shared" si="8"/>
        <v>320</v>
      </c>
      <c r="I162">
        <f t="shared" si="9"/>
        <v>522989</v>
      </c>
      <c r="J162">
        <f t="shared" si="10"/>
        <v>522989</v>
      </c>
    </row>
    <row r="163" spans="1:10" x14ac:dyDescent="0.45">
      <c r="A163" s="1">
        <v>43252</v>
      </c>
      <c r="B163" t="s">
        <v>18</v>
      </c>
      <c r="C163">
        <f t="shared" si="11"/>
        <v>522989</v>
      </c>
      <c r="D163" t="s">
        <v>7</v>
      </c>
      <c r="E163" t="s">
        <v>14</v>
      </c>
      <c r="F163">
        <v>184</v>
      </c>
      <c r="G163">
        <v>99</v>
      </c>
      <c r="H163">
        <f t="shared" si="8"/>
        <v>18216</v>
      </c>
      <c r="I163">
        <f t="shared" si="9"/>
        <v>541205</v>
      </c>
      <c r="J163" t="str">
        <f t="shared" si="10"/>
        <v/>
      </c>
    </row>
    <row r="164" spans="1:10" x14ac:dyDescent="0.45">
      <c r="A164" s="1">
        <v>43252</v>
      </c>
      <c r="B164" t="s">
        <v>18</v>
      </c>
      <c r="C164">
        <f t="shared" si="11"/>
        <v>541205</v>
      </c>
      <c r="D164" t="s">
        <v>9</v>
      </c>
      <c r="E164" t="s">
        <v>8</v>
      </c>
      <c r="F164">
        <v>48</v>
      </c>
      <c r="G164">
        <v>38</v>
      </c>
      <c r="H164">
        <f t="shared" si="8"/>
        <v>1824</v>
      </c>
      <c r="I164">
        <f t="shared" si="9"/>
        <v>539381</v>
      </c>
      <c r="J164" t="str">
        <f t="shared" si="10"/>
        <v/>
      </c>
    </row>
    <row r="165" spans="1:10" x14ac:dyDescent="0.45">
      <c r="A165" s="1">
        <v>43252</v>
      </c>
      <c r="B165" t="s">
        <v>18</v>
      </c>
      <c r="C165">
        <f t="shared" si="11"/>
        <v>539381</v>
      </c>
      <c r="D165" t="s">
        <v>11</v>
      </c>
      <c r="E165" t="s">
        <v>8</v>
      </c>
      <c r="F165">
        <v>21</v>
      </c>
      <c r="G165">
        <v>23</v>
      </c>
      <c r="H165">
        <f t="shared" si="8"/>
        <v>483</v>
      </c>
      <c r="I165">
        <f t="shared" si="9"/>
        <v>538898</v>
      </c>
      <c r="J165">
        <f t="shared" si="10"/>
        <v>538898</v>
      </c>
    </row>
    <row r="166" spans="1:10" x14ac:dyDescent="0.45">
      <c r="A166" s="1">
        <v>43270</v>
      </c>
      <c r="B166" t="s">
        <v>19</v>
      </c>
      <c r="C166">
        <f t="shared" si="11"/>
        <v>538898</v>
      </c>
      <c r="D166" t="s">
        <v>7</v>
      </c>
      <c r="E166" t="s">
        <v>8</v>
      </c>
      <c r="F166">
        <v>47</v>
      </c>
      <c r="G166">
        <v>66</v>
      </c>
      <c r="H166">
        <f t="shared" si="8"/>
        <v>3102</v>
      </c>
      <c r="I166">
        <f t="shared" si="9"/>
        <v>535796</v>
      </c>
      <c r="J166" t="str">
        <f t="shared" si="10"/>
        <v/>
      </c>
    </row>
    <row r="167" spans="1:10" x14ac:dyDescent="0.45">
      <c r="A167" s="1">
        <v>43270</v>
      </c>
      <c r="B167" t="s">
        <v>19</v>
      </c>
      <c r="C167">
        <f t="shared" si="11"/>
        <v>535796</v>
      </c>
      <c r="D167" t="s">
        <v>11</v>
      </c>
      <c r="E167" t="s">
        <v>8</v>
      </c>
      <c r="F167">
        <v>6</v>
      </c>
      <c r="G167">
        <v>25</v>
      </c>
      <c r="H167">
        <f t="shared" si="8"/>
        <v>150</v>
      </c>
      <c r="I167">
        <f t="shared" si="9"/>
        <v>535646</v>
      </c>
      <c r="J167" t="str">
        <f t="shared" si="10"/>
        <v/>
      </c>
    </row>
    <row r="168" spans="1:10" x14ac:dyDescent="0.45">
      <c r="A168" s="1">
        <v>43270</v>
      </c>
      <c r="B168" t="s">
        <v>19</v>
      </c>
      <c r="C168">
        <f t="shared" si="11"/>
        <v>535646</v>
      </c>
      <c r="D168" t="s">
        <v>9</v>
      </c>
      <c r="E168" t="s">
        <v>8</v>
      </c>
      <c r="F168">
        <v>47</v>
      </c>
      <c r="G168">
        <v>41</v>
      </c>
      <c r="H168">
        <f t="shared" si="8"/>
        <v>1927</v>
      </c>
      <c r="I168">
        <f t="shared" si="9"/>
        <v>533719</v>
      </c>
      <c r="J168">
        <f t="shared" si="10"/>
        <v>533719</v>
      </c>
    </row>
    <row r="169" spans="1:10" x14ac:dyDescent="0.45">
      <c r="A169" s="1">
        <v>43292</v>
      </c>
      <c r="B169" t="s">
        <v>20</v>
      </c>
      <c r="C169">
        <f t="shared" si="11"/>
        <v>533719</v>
      </c>
      <c r="D169" t="s">
        <v>10</v>
      </c>
      <c r="E169" t="s">
        <v>14</v>
      </c>
      <c r="F169">
        <v>192</v>
      </c>
      <c r="G169">
        <v>12</v>
      </c>
      <c r="H169">
        <f t="shared" si="8"/>
        <v>2304</v>
      </c>
      <c r="I169">
        <f t="shared" si="9"/>
        <v>536023</v>
      </c>
      <c r="J169" t="str">
        <f t="shared" si="10"/>
        <v/>
      </c>
    </row>
    <row r="170" spans="1:10" x14ac:dyDescent="0.45">
      <c r="A170" s="1">
        <v>43292</v>
      </c>
      <c r="B170" t="s">
        <v>20</v>
      </c>
      <c r="C170">
        <f t="shared" si="11"/>
        <v>536023</v>
      </c>
      <c r="D170" t="s">
        <v>11</v>
      </c>
      <c r="E170" t="s">
        <v>14</v>
      </c>
      <c r="F170">
        <v>48</v>
      </c>
      <c r="G170">
        <v>37</v>
      </c>
      <c r="H170">
        <f t="shared" si="8"/>
        <v>1776</v>
      </c>
      <c r="I170">
        <f t="shared" si="9"/>
        <v>537799</v>
      </c>
      <c r="J170" t="str">
        <f t="shared" si="10"/>
        <v/>
      </c>
    </row>
    <row r="171" spans="1:10" x14ac:dyDescent="0.45">
      <c r="A171" s="1">
        <v>43292</v>
      </c>
      <c r="B171" t="s">
        <v>20</v>
      </c>
      <c r="C171">
        <f t="shared" si="11"/>
        <v>537799</v>
      </c>
      <c r="D171" t="s">
        <v>7</v>
      </c>
      <c r="E171" t="s">
        <v>8</v>
      </c>
      <c r="F171">
        <v>18</v>
      </c>
      <c r="G171">
        <v>62</v>
      </c>
      <c r="H171">
        <f t="shared" si="8"/>
        <v>1116</v>
      </c>
      <c r="I171">
        <f t="shared" si="9"/>
        <v>536683</v>
      </c>
      <c r="J171" t="str">
        <f t="shared" si="10"/>
        <v/>
      </c>
    </row>
    <row r="172" spans="1:10" x14ac:dyDescent="0.45">
      <c r="A172" s="1">
        <v>43292</v>
      </c>
      <c r="B172" t="s">
        <v>20</v>
      </c>
      <c r="C172">
        <f t="shared" si="11"/>
        <v>536683</v>
      </c>
      <c r="D172" t="s">
        <v>9</v>
      </c>
      <c r="E172" t="s">
        <v>8</v>
      </c>
      <c r="F172">
        <v>25</v>
      </c>
      <c r="G172">
        <v>39</v>
      </c>
      <c r="H172">
        <f t="shared" si="8"/>
        <v>975</v>
      </c>
      <c r="I172">
        <f t="shared" si="9"/>
        <v>535708</v>
      </c>
      <c r="J172" t="str">
        <f t="shared" si="10"/>
        <v/>
      </c>
    </row>
    <row r="173" spans="1:10" x14ac:dyDescent="0.45">
      <c r="A173" s="1">
        <v>43292</v>
      </c>
      <c r="B173" t="s">
        <v>20</v>
      </c>
      <c r="C173">
        <f t="shared" si="11"/>
        <v>535708</v>
      </c>
      <c r="D173" t="s">
        <v>12</v>
      </c>
      <c r="E173" t="s">
        <v>8</v>
      </c>
      <c r="F173">
        <v>2</v>
      </c>
      <c r="G173">
        <v>20</v>
      </c>
      <c r="H173">
        <f t="shared" si="8"/>
        <v>40</v>
      </c>
      <c r="I173">
        <f t="shared" si="9"/>
        <v>535668</v>
      </c>
      <c r="J173">
        <f t="shared" si="10"/>
        <v>535668</v>
      </c>
    </row>
    <row r="174" spans="1:10" x14ac:dyDescent="0.45">
      <c r="A174" s="1">
        <v>43317</v>
      </c>
      <c r="B174" t="s">
        <v>21</v>
      </c>
      <c r="C174">
        <f t="shared" si="11"/>
        <v>535668</v>
      </c>
      <c r="D174" t="s">
        <v>11</v>
      </c>
      <c r="E174" t="s">
        <v>14</v>
      </c>
      <c r="F174">
        <v>13</v>
      </c>
      <c r="G174">
        <v>38</v>
      </c>
      <c r="H174">
        <f t="shared" si="8"/>
        <v>494</v>
      </c>
      <c r="I174">
        <f t="shared" si="9"/>
        <v>536162</v>
      </c>
      <c r="J174" t="str">
        <f t="shared" si="10"/>
        <v/>
      </c>
    </row>
    <row r="175" spans="1:10" x14ac:dyDescent="0.45">
      <c r="A175" s="1">
        <v>43317</v>
      </c>
      <c r="B175" t="s">
        <v>21</v>
      </c>
      <c r="C175">
        <f t="shared" si="11"/>
        <v>536162</v>
      </c>
      <c r="D175" t="s">
        <v>9</v>
      </c>
      <c r="E175" t="s">
        <v>14</v>
      </c>
      <c r="F175">
        <v>121</v>
      </c>
      <c r="G175">
        <v>63</v>
      </c>
      <c r="H175">
        <f t="shared" si="8"/>
        <v>7623</v>
      </c>
      <c r="I175">
        <f t="shared" si="9"/>
        <v>543785</v>
      </c>
      <c r="J175" t="str">
        <f t="shared" si="10"/>
        <v/>
      </c>
    </row>
    <row r="176" spans="1:10" x14ac:dyDescent="0.45">
      <c r="A176" s="1">
        <v>43317</v>
      </c>
      <c r="B176" t="s">
        <v>21</v>
      </c>
      <c r="C176">
        <f t="shared" si="11"/>
        <v>543785</v>
      </c>
      <c r="D176" t="s">
        <v>12</v>
      </c>
      <c r="E176" t="s">
        <v>8</v>
      </c>
      <c r="F176">
        <v>30</v>
      </c>
      <c r="G176">
        <v>19</v>
      </c>
      <c r="H176">
        <f t="shared" si="8"/>
        <v>570</v>
      </c>
      <c r="I176">
        <f t="shared" si="9"/>
        <v>543215</v>
      </c>
      <c r="J176" t="str">
        <f t="shared" si="10"/>
        <v/>
      </c>
    </row>
    <row r="177" spans="1:10" x14ac:dyDescent="0.45">
      <c r="A177" s="1">
        <v>43317</v>
      </c>
      <c r="B177" t="s">
        <v>21</v>
      </c>
      <c r="C177">
        <f t="shared" si="11"/>
        <v>543215</v>
      </c>
      <c r="D177" t="s">
        <v>10</v>
      </c>
      <c r="E177" t="s">
        <v>8</v>
      </c>
      <c r="F177">
        <v>46</v>
      </c>
      <c r="G177">
        <v>8</v>
      </c>
      <c r="H177">
        <f t="shared" si="8"/>
        <v>368</v>
      </c>
      <c r="I177">
        <f t="shared" si="9"/>
        <v>542847</v>
      </c>
      <c r="J177">
        <f t="shared" si="10"/>
        <v>542847</v>
      </c>
    </row>
    <row r="178" spans="1:10" x14ac:dyDescent="0.45">
      <c r="A178" s="1">
        <v>43330</v>
      </c>
      <c r="B178" t="s">
        <v>22</v>
      </c>
      <c r="C178">
        <f t="shared" si="11"/>
        <v>542847</v>
      </c>
      <c r="D178" t="s">
        <v>10</v>
      </c>
      <c r="E178" t="s">
        <v>14</v>
      </c>
      <c r="F178">
        <v>49</v>
      </c>
      <c r="G178">
        <v>11</v>
      </c>
      <c r="H178">
        <f t="shared" si="8"/>
        <v>539</v>
      </c>
      <c r="I178">
        <f t="shared" si="9"/>
        <v>543386</v>
      </c>
      <c r="J178" t="str">
        <f t="shared" si="10"/>
        <v/>
      </c>
    </row>
    <row r="179" spans="1:10" x14ac:dyDescent="0.45">
      <c r="A179" s="1">
        <v>43330</v>
      </c>
      <c r="B179" t="s">
        <v>22</v>
      </c>
      <c r="C179">
        <f t="shared" si="11"/>
        <v>543386</v>
      </c>
      <c r="D179" t="s">
        <v>7</v>
      </c>
      <c r="E179" t="s">
        <v>14</v>
      </c>
      <c r="F179">
        <v>61</v>
      </c>
      <c r="G179">
        <v>90</v>
      </c>
      <c r="H179">
        <f t="shared" si="8"/>
        <v>5490</v>
      </c>
      <c r="I179">
        <f t="shared" si="9"/>
        <v>548876</v>
      </c>
      <c r="J179" t="str">
        <f t="shared" si="10"/>
        <v/>
      </c>
    </row>
    <row r="180" spans="1:10" x14ac:dyDescent="0.45">
      <c r="A180" s="1">
        <v>43330</v>
      </c>
      <c r="B180" t="s">
        <v>22</v>
      </c>
      <c r="C180">
        <f t="shared" si="11"/>
        <v>548876</v>
      </c>
      <c r="D180" t="s">
        <v>12</v>
      </c>
      <c r="E180" t="s">
        <v>8</v>
      </c>
      <c r="F180">
        <v>19</v>
      </c>
      <c r="G180">
        <v>22</v>
      </c>
      <c r="H180">
        <f t="shared" si="8"/>
        <v>418</v>
      </c>
      <c r="I180">
        <f t="shared" si="9"/>
        <v>548458</v>
      </c>
      <c r="J180" t="str">
        <f t="shared" si="10"/>
        <v/>
      </c>
    </row>
    <row r="181" spans="1:10" x14ac:dyDescent="0.45">
      <c r="A181" s="1">
        <v>43330</v>
      </c>
      <c r="B181" t="s">
        <v>22</v>
      </c>
      <c r="C181">
        <f t="shared" si="11"/>
        <v>548458</v>
      </c>
      <c r="D181" t="s">
        <v>9</v>
      </c>
      <c r="E181" t="s">
        <v>8</v>
      </c>
      <c r="F181">
        <v>22</v>
      </c>
      <c r="G181">
        <v>44</v>
      </c>
      <c r="H181">
        <f t="shared" si="8"/>
        <v>968</v>
      </c>
      <c r="I181">
        <f t="shared" si="9"/>
        <v>547490</v>
      </c>
      <c r="J181">
        <f t="shared" si="10"/>
        <v>547490</v>
      </c>
    </row>
    <row r="182" spans="1:10" x14ac:dyDescent="0.45">
      <c r="A182" s="1">
        <v>43347</v>
      </c>
      <c r="B182" t="s">
        <v>6</v>
      </c>
      <c r="C182">
        <f t="shared" si="11"/>
        <v>547490</v>
      </c>
      <c r="D182" t="s">
        <v>11</v>
      </c>
      <c r="E182" t="s">
        <v>8</v>
      </c>
      <c r="F182">
        <v>9</v>
      </c>
      <c r="G182">
        <v>25</v>
      </c>
      <c r="H182">
        <f t="shared" si="8"/>
        <v>225</v>
      </c>
      <c r="I182">
        <f t="shared" si="9"/>
        <v>547265</v>
      </c>
      <c r="J182" t="str">
        <f t="shared" si="10"/>
        <v/>
      </c>
    </row>
    <row r="183" spans="1:10" x14ac:dyDescent="0.45">
      <c r="A183" s="1">
        <v>43347</v>
      </c>
      <c r="B183" t="s">
        <v>6</v>
      </c>
      <c r="C183">
        <f t="shared" si="11"/>
        <v>547265</v>
      </c>
      <c r="D183" t="s">
        <v>7</v>
      </c>
      <c r="E183" t="s">
        <v>14</v>
      </c>
      <c r="F183">
        <v>4</v>
      </c>
      <c r="G183">
        <v>94</v>
      </c>
      <c r="H183">
        <f t="shared" si="8"/>
        <v>376</v>
      </c>
      <c r="I183">
        <f t="shared" si="9"/>
        <v>547641</v>
      </c>
      <c r="J183" t="str">
        <f t="shared" si="10"/>
        <v/>
      </c>
    </row>
    <row r="184" spans="1:10" x14ac:dyDescent="0.45">
      <c r="A184" s="1">
        <v>43347</v>
      </c>
      <c r="B184" t="s">
        <v>6</v>
      </c>
      <c r="C184">
        <f t="shared" si="11"/>
        <v>547641</v>
      </c>
      <c r="D184" t="s">
        <v>12</v>
      </c>
      <c r="E184" t="s">
        <v>8</v>
      </c>
      <c r="F184">
        <v>8</v>
      </c>
      <c r="G184">
        <v>21</v>
      </c>
      <c r="H184">
        <f t="shared" si="8"/>
        <v>168</v>
      </c>
      <c r="I184">
        <f t="shared" si="9"/>
        <v>547473</v>
      </c>
      <c r="J184" t="str">
        <f t="shared" si="10"/>
        <v/>
      </c>
    </row>
    <row r="185" spans="1:10" x14ac:dyDescent="0.45">
      <c r="A185" s="1">
        <v>43347</v>
      </c>
      <c r="B185" t="s">
        <v>6</v>
      </c>
      <c r="C185">
        <f t="shared" si="11"/>
        <v>547473</v>
      </c>
      <c r="D185" t="s">
        <v>10</v>
      </c>
      <c r="E185" t="s">
        <v>8</v>
      </c>
      <c r="F185">
        <v>47</v>
      </c>
      <c r="G185">
        <v>8</v>
      </c>
      <c r="H185">
        <f t="shared" si="8"/>
        <v>376</v>
      </c>
      <c r="I185">
        <f t="shared" si="9"/>
        <v>547097</v>
      </c>
      <c r="J185">
        <f t="shared" si="10"/>
        <v>547097</v>
      </c>
    </row>
    <row r="186" spans="1:10" x14ac:dyDescent="0.45">
      <c r="A186" s="1">
        <v>43362</v>
      </c>
      <c r="B186" t="s">
        <v>13</v>
      </c>
      <c r="C186">
        <f t="shared" si="11"/>
        <v>547097</v>
      </c>
      <c r="D186" t="s">
        <v>12</v>
      </c>
      <c r="E186" t="s">
        <v>14</v>
      </c>
      <c r="F186">
        <v>82</v>
      </c>
      <c r="G186">
        <v>29</v>
      </c>
      <c r="H186">
        <f t="shared" si="8"/>
        <v>2378</v>
      </c>
      <c r="I186">
        <f t="shared" si="9"/>
        <v>549475</v>
      </c>
      <c r="J186" t="str">
        <f t="shared" si="10"/>
        <v/>
      </c>
    </row>
    <row r="187" spans="1:10" x14ac:dyDescent="0.45">
      <c r="A187" s="1">
        <v>43362</v>
      </c>
      <c r="B187" t="s">
        <v>13</v>
      </c>
      <c r="C187">
        <f t="shared" si="11"/>
        <v>549475</v>
      </c>
      <c r="D187" t="s">
        <v>9</v>
      </c>
      <c r="E187" t="s">
        <v>14</v>
      </c>
      <c r="F187">
        <v>26</v>
      </c>
      <c r="G187">
        <v>58</v>
      </c>
      <c r="H187">
        <f t="shared" si="8"/>
        <v>1508</v>
      </c>
      <c r="I187">
        <f t="shared" si="9"/>
        <v>550983</v>
      </c>
      <c r="J187" t="str">
        <f t="shared" si="10"/>
        <v/>
      </c>
    </row>
    <row r="188" spans="1:10" x14ac:dyDescent="0.45">
      <c r="A188" s="1">
        <v>43362</v>
      </c>
      <c r="B188" t="s">
        <v>13</v>
      </c>
      <c r="C188">
        <f t="shared" si="11"/>
        <v>550983</v>
      </c>
      <c r="D188" t="s">
        <v>10</v>
      </c>
      <c r="E188" t="s">
        <v>8</v>
      </c>
      <c r="F188">
        <v>24</v>
      </c>
      <c r="G188">
        <v>9</v>
      </c>
      <c r="H188">
        <f t="shared" si="8"/>
        <v>216</v>
      </c>
      <c r="I188">
        <f t="shared" si="9"/>
        <v>550767</v>
      </c>
      <c r="J188" t="str">
        <f t="shared" si="10"/>
        <v/>
      </c>
    </row>
    <row r="189" spans="1:10" x14ac:dyDescent="0.45">
      <c r="A189" s="1">
        <v>43362</v>
      </c>
      <c r="B189" t="s">
        <v>13</v>
      </c>
      <c r="C189">
        <f t="shared" si="11"/>
        <v>550767</v>
      </c>
      <c r="D189" t="s">
        <v>11</v>
      </c>
      <c r="E189" t="s">
        <v>8</v>
      </c>
      <c r="F189">
        <v>36</v>
      </c>
      <c r="G189">
        <v>26</v>
      </c>
      <c r="H189">
        <f t="shared" si="8"/>
        <v>936</v>
      </c>
      <c r="I189">
        <f t="shared" si="9"/>
        <v>549831</v>
      </c>
      <c r="J189" t="str">
        <f t="shared" si="10"/>
        <v/>
      </c>
    </row>
    <row r="190" spans="1:10" x14ac:dyDescent="0.45">
      <c r="A190" s="1">
        <v>43362</v>
      </c>
      <c r="B190" t="s">
        <v>13</v>
      </c>
      <c r="C190">
        <f t="shared" si="11"/>
        <v>549831</v>
      </c>
      <c r="D190" t="s">
        <v>7</v>
      </c>
      <c r="E190" t="s">
        <v>8</v>
      </c>
      <c r="F190">
        <v>6</v>
      </c>
      <c r="G190">
        <v>68</v>
      </c>
      <c r="H190">
        <f t="shared" si="8"/>
        <v>408</v>
      </c>
      <c r="I190">
        <f t="shared" si="9"/>
        <v>549423</v>
      </c>
      <c r="J190">
        <f t="shared" si="10"/>
        <v>549423</v>
      </c>
    </row>
    <row r="191" spans="1:10" x14ac:dyDescent="0.45">
      <c r="A191" s="1">
        <v>43381</v>
      </c>
      <c r="B191" t="s">
        <v>15</v>
      </c>
      <c r="C191">
        <f t="shared" si="11"/>
        <v>549423</v>
      </c>
      <c r="D191" t="s">
        <v>11</v>
      </c>
      <c r="E191" t="s">
        <v>14</v>
      </c>
      <c r="F191">
        <v>45</v>
      </c>
      <c r="G191">
        <v>36</v>
      </c>
      <c r="H191">
        <f t="shared" si="8"/>
        <v>1620</v>
      </c>
      <c r="I191">
        <f t="shared" si="9"/>
        <v>551043</v>
      </c>
      <c r="J191" t="str">
        <f t="shared" si="10"/>
        <v/>
      </c>
    </row>
    <row r="192" spans="1:10" x14ac:dyDescent="0.45">
      <c r="A192" s="1">
        <v>43381</v>
      </c>
      <c r="B192" t="s">
        <v>15</v>
      </c>
      <c r="C192">
        <f t="shared" si="11"/>
        <v>551043</v>
      </c>
      <c r="D192" t="s">
        <v>10</v>
      </c>
      <c r="E192" t="s">
        <v>8</v>
      </c>
      <c r="F192">
        <v>18</v>
      </c>
      <c r="G192">
        <v>8</v>
      </c>
      <c r="H192">
        <f t="shared" si="8"/>
        <v>144</v>
      </c>
      <c r="I192">
        <f t="shared" si="9"/>
        <v>550899</v>
      </c>
      <c r="J192" t="str">
        <f t="shared" si="10"/>
        <v/>
      </c>
    </row>
    <row r="193" spans="1:10" x14ac:dyDescent="0.45">
      <c r="A193" s="1">
        <v>43381</v>
      </c>
      <c r="B193" t="s">
        <v>15</v>
      </c>
      <c r="C193">
        <f t="shared" si="11"/>
        <v>550899</v>
      </c>
      <c r="D193" t="s">
        <v>9</v>
      </c>
      <c r="E193" t="s">
        <v>8</v>
      </c>
      <c r="F193">
        <v>20</v>
      </c>
      <c r="G193">
        <v>41</v>
      </c>
      <c r="H193">
        <f t="shared" si="8"/>
        <v>820</v>
      </c>
      <c r="I193">
        <f t="shared" si="9"/>
        <v>550079</v>
      </c>
      <c r="J193">
        <f t="shared" si="10"/>
        <v>550079</v>
      </c>
    </row>
    <row r="194" spans="1:10" x14ac:dyDescent="0.45">
      <c r="A194" s="1">
        <v>43407</v>
      </c>
      <c r="B194" t="s">
        <v>16</v>
      </c>
      <c r="C194">
        <f t="shared" si="11"/>
        <v>550079</v>
      </c>
      <c r="D194" t="s">
        <v>12</v>
      </c>
      <c r="E194" t="s">
        <v>14</v>
      </c>
      <c r="F194">
        <v>4</v>
      </c>
      <c r="G194">
        <v>32</v>
      </c>
      <c r="H194">
        <f t="shared" si="8"/>
        <v>128</v>
      </c>
      <c r="I194">
        <f t="shared" si="9"/>
        <v>550207</v>
      </c>
      <c r="J194" t="str">
        <f t="shared" si="10"/>
        <v/>
      </c>
    </row>
    <row r="195" spans="1:10" x14ac:dyDescent="0.45">
      <c r="A195" s="1">
        <v>43407</v>
      </c>
      <c r="B195" t="s">
        <v>16</v>
      </c>
      <c r="C195">
        <f t="shared" si="11"/>
        <v>550207</v>
      </c>
      <c r="D195" t="s">
        <v>9</v>
      </c>
      <c r="E195" t="s">
        <v>8</v>
      </c>
      <c r="F195">
        <v>48</v>
      </c>
      <c r="G195">
        <v>37</v>
      </c>
      <c r="H195">
        <f t="shared" ref="H195:H203" si="12">F195*G195</f>
        <v>1776</v>
      </c>
      <c r="I195">
        <f t="shared" ref="I195:I203" si="13">IF(E195="Z",C195-H195, C195+H195)</f>
        <v>548431</v>
      </c>
      <c r="J195">
        <f t="shared" ref="J195:J203" si="14">IF(A195&lt;&gt;A196,I195,"")</f>
        <v>548431</v>
      </c>
    </row>
    <row r="196" spans="1:10" x14ac:dyDescent="0.45">
      <c r="A196" s="1">
        <v>43428</v>
      </c>
      <c r="B196" t="s">
        <v>17</v>
      </c>
      <c r="C196">
        <f t="shared" ref="C196:C203" si="15">I195</f>
        <v>548431</v>
      </c>
      <c r="D196" t="s">
        <v>9</v>
      </c>
      <c r="E196" t="s">
        <v>14</v>
      </c>
      <c r="F196">
        <v>64</v>
      </c>
      <c r="G196">
        <v>61</v>
      </c>
      <c r="H196">
        <f t="shared" si="12"/>
        <v>3904</v>
      </c>
      <c r="I196">
        <f t="shared" si="13"/>
        <v>552335</v>
      </c>
      <c r="J196" t="str">
        <f t="shared" si="14"/>
        <v/>
      </c>
    </row>
    <row r="197" spans="1:10" x14ac:dyDescent="0.45">
      <c r="A197" s="1">
        <v>43428</v>
      </c>
      <c r="B197" t="s">
        <v>17</v>
      </c>
      <c r="C197">
        <f t="shared" si="15"/>
        <v>552335</v>
      </c>
      <c r="D197" t="s">
        <v>7</v>
      </c>
      <c r="E197" t="s">
        <v>8</v>
      </c>
      <c r="F197">
        <v>43</v>
      </c>
      <c r="G197">
        <v>63</v>
      </c>
      <c r="H197">
        <f t="shared" si="12"/>
        <v>2709</v>
      </c>
      <c r="I197">
        <f t="shared" si="13"/>
        <v>549626</v>
      </c>
      <c r="J197" t="str">
        <f t="shared" si="14"/>
        <v/>
      </c>
    </row>
    <row r="198" spans="1:10" x14ac:dyDescent="0.45">
      <c r="A198" s="1">
        <v>43428</v>
      </c>
      <c r="B198" t="s">
        <v>17</v>
      </c>
      <c r="C198">
        <f t="shared" si="15"/>
        <v>549626</v>
      </c>
      <c r="D198" t="s">
        <v>11</v>
      </c>
      <c r="E198" t="s">
        <v>8</v>
      </c>
      <c r="F198">
        <v>24</v>
      </c>
      <c r="G198">
        <v>24</v>
      </c>
      <c r="H198">
        <f t="shared" si="12"/>
        <v>576</v>
      </c>
      <c r="I198">
        <f t="shared" si="13"/>
        <v>549050</v>
      </c>
      <c r="J198">
        <f t="shared" si="14"/>
        <v>549050</v>
      </c>
    </row>
    <row r="199" spans="1:10" x14ac:dyDescent="0.45">
      <c r="A199" s="1">
        <v>43452</v>
      </c>
      <c r="B199" t="s">
        <v>18</v>
      </c>
      <c r="C199">
        <f t="shared" si="15"/>
        <v>549050</v>
      </c>
      <c r="D199" t="s">
        <v>9</v>
      </c>
      <c r="E199" t="s">
        <v>14</v>
      </c>
      <c r="F199">
        <v>4</v>
      </c>
      <c r="G199">
        <v>62</v>
      </c>
      <c r="H199">
        <f t="shared" si="12"/>
        <v>248</v>
      </c>
      <c r="I199">
        <f t="shared" si="13"/>
        <v>549298</v>
      </c>
      <c r="J199" t="str">
        <f t="shared" si="14"/>
        <v/>
      </c>
    </row>
    <row r="200" spans="1:10" x14ac:dyDescent="0.45">
      <c r="A200" s="1">
        <v>43452</v>
      </c>
      <c r="B200" t="s">
        <v>18</v>
      </c>
      <c r="C200">
        <f t="shared" si="15"/>
        <v>549298</v>
      </c>
      <c r="D200" t="s">
        <v>12</v>
      </c>
      <c r="E200" t="s">
        <v>8</v>
      </c>
      <c r="F200">
        <v>35</v>
      </c>
      <c r="G200">
        <v>19</v>
      </c>
      <c r="H200">
        <f t="shared" si="12"/>
        <v>665</v>
      </c>
      <c r="I200">
        <f t="shared" si="13"/>
        <v>548633</v>
      </c>
      <c r="J200" t="str">
        <f t="shared" si="14"/>
        <v/>
      </c>
    </row>
    <row r="201" spans="1:10" x14ac:dyDescent="0.45">
      <c r="A201" s="1">
        <v>43452</v>
      </c>
      <c r="B201" t="s">
        <v>18</v>
      </c>
      <c r="C201">
        <f t="shared" si="15"/>
        <v>548633</v>
      </c>
      <c r="D201" t="s">
        <v>10</v>
      </c>
      <c r="E201" t="s">
        <v>8</v>
      </c>
      <c r="F201">
        <v>41</v>
      </c>
      <c r="G201">
        <v>8</v>
      </c>
      <c r="H201">
        <f t="shared" si="12"/>
        <v>328</v>
      </c>
      <c r="I201">
        <f t="shared" si="13"/>
        <v>548305</v>
      </c>
      <c r="J201" t="str">
        <f t="shared" si="14"/>
        <v/>
      </c>
    </row>
    <row r="202" spans="1:10" x14ac:dyDescent="0.45">
      <c r="A202" s="1">
        <v>43452</v>
      </c>
      <c r="B202" t="s">
        <v>18</v>
      </c>
      <c r="C202">
        <f t="shared" si="15"/>
        <v>548305</v>
      </c>
      <c r="D202" t="s">
        <v>7</v>
      </c>
      <c r="E202" t="s">
        <v>8</v>
      </c>
      <c r="F202">
        <v>23</v>
      </c>
      <c r="G202">
        <v>61</v>
      </c>
      <c r="H202">
        <f t="shared" si="12"/>
        <v>1403</v>
      </c>
      <c r="I202">
        <f t="shared" si="13"/>
        <v>546902</v>
      </c>
      <c r="J202" t="str">
        <f t="shared" si="14"/>
        <v/>
      </c>
    </row>
    <row r="203" spans="1:10" x14ac:dyDescent="0.45">
      <c r="A203" s="1">
        <v>43452</v>
      </c>
      <c r="B203" t="s">
        <v>18</v>
      </c>
      <c r="C203">
        <f t="shared" si="15"/>
        <v>546902</v>
      </c>
      <c r="D203" t="s">
        <v>11</v>
      </c>
      <c r="E203" t="s">
        <v>8</v>
      </c>
      <c r="F203">
        <v>46</v>
      </c>
      <c r="G203">
        <v>23</v>
      </c>
      <c r="H203">
        <f t="shared" si="12"/>
        <v>1058</v>
      </c>
      <c r="I203">
        <f t="shared" si="13"/>
        <v>545844</v>
      </c>
      <c r="J203">
        <f t="shared" si="14"/>
        <v>545844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FA8B-442B-4B4E-B513-6A0BEDF29D4E}">
  <dimension ref="A1:M203"/>
  <sheetViews>
    <sheetView workbookViewId="0">
      <selection activeCell="K11" sqref="K11"/>
    </sheetView>
  </sheetViews>
  <sheetFormatPr defaultRowHeight="14.25" x14ac:dyDescent="0.45"/>
  <cols>
    <col min="1" max="1" width="9.6640625" bestFit="1" customWidth="1"/>
    <col min="2" max="2" width="9.86328125" bestFit="1" customWidth="1"/>
    <col min="3" max="3" width="9.86328125" customWidth="1"/>
    <col min="4" max="4" width="5.3984375" bestFit="1" customWidth="1"/>
    <col min="5" max="5" width="4.1328125" bestFit="1" customWidth="1"/>
    <col min="6" max="6" width="5.73046875" bestFit="1" customWidth="1"/>
    <col min="7" max="7" width="19.46484375" bestFit="1" customWidth="1"/>
    <col min="8" max="8" width="19.46484375" customWidth="1"/>
    <col min="13" max="13" width="9.6640625" bestFit="1" customWidth="1"/>
    <col min="14" max="14" width="6.73046875" bestFit="1" customWidth="1"/>
  </cols>
  <sheetData>
    <row r="1" spans="1:13" x14ac:dyDescent="0.45">
      <c r="A1" t="s">
        <v>0</v>
      </c>
      <c r="B1" t="s">
        <v>1</v>
      </c>
      <c r="C1" t="s">
        <v>81</v>
      </c>
      <c r="D1" t="s">
        <v>2</v>
      </c>
      <c r="E1" t="s">
        <v>3</v>
      </c>
      <c r="F1" t="s">
        <v>4</v>
      </c>
      <c r="G1" t="s">
        <v>5</v>
      </c>
      <c r="H1" t="s">
        <v>83</v>
      </c>
      <c r="I1" t="s">
        <v>82</v>
      </c>
    </row>
    <row r="2" spans="1:13" x14ac:dyDescent="0.45">
      <c r="A2" s="1">
        <v>42370</v>
      </c>
      <c r="B2" t="s">
        <v>6</v>
      </c>
      <c r="C2" s="4">
        <f>M3</f>
        <v>6399</v>
      </c>
      <c r="D2" t="s">
        <v>7</v>
      </c>
      <c r="E2" t="s">
        <v>8</v>
      </c>
      <c r="F2">
        <v>3</v>
      </c>
      <c r="G2">
        <v>80</v>
      </c>
      <c r="H2">
        <f>F2*G2</f>
        <v>240</v>
      </c>
      <c r="I2">
        <f>IF(E2="Z",C2-H2, C2+H2)</f>
        <v>6159</v>
      </c>
      <c r="K2" t="s">
        <v>86</v>
      </c>
      <c r="M2" t="s">
        <v>85</v>
      </c>
    </row>
    <row r="3" spans="1:13" x14ac:dyDescent="0.45">
      <c r="A3" s="1">
        <v>42370</v>
      </c>
      <c r="B3" t="s">
        <v>6</v>
      </c>
      <c r="C3">
        <f>I2</f>
        <v>6159</v>
      </c>
      <c r="D3" t="s">
        <v>9</v>
      </c>
      <c r="E3" t="s">
        <v>8</v>
      </c>
      <c r="F3">
        <v>32</v>
      </c>
      <c r="G3">
        <v>50</v>
      </c>
      <c r="H3">
        <f t="shared" ref="H3:H66" si="0">F3*G3</f>
        <v>1600</v>
      </c>
      <c r="I3">
        <f t="shared" ref="I3:I66" si="1">IF(E3="Z",C3-H3, C3+H3)</f>
        <v>4559</v>
      </c>
      <c r="K3">
        <f>MIN(I2:I203)</f>
        <v>0</v>
      </c>
      <c r="M3" s="4">
        <v>6399</v>
      </c>
    </row>
    <row r="4" spans="1:13" x14ac:dyDescent="0.45">
      <c r="A4" s="1">
        <v>42370</v>
      </c>
      <c r="B4" t="s">
        <v>6</v>
      </c>
      <c r="C4">
        <f t="shared" ref="C4:C67" si="2">I3</f>
        <v>4559</v>
      </c>
      <c r="D4" t="s">
        <v>10</v>
      </c>
      <c r="E4" t="s">
        <v>8</v>
      </c>
      <c r="F4">
        <v>38</v>
      </c>
      <c r="G4">
        <v>10</v>
      </c>
      <c r="H4">
        <f t="shared" si="0"/>
        <v>380</v>
      </c>
      <c r="I4">
        <f t="shared" si="1"/>
        <v>4179</v>
      </c>
      <c r="M4" t="s">
        <v>87</v>
      </c>
    </row>
    <row r="5" spans="1:13" x14ac:dyDescent="0.45">
      <c r="A5" s="1">
        <v>42370</v>
      </c>
      <c r="B5" t="s">
        <v>6</v>
      </c>
      <c r="C5">
        <f t="shared" si="2"/>
        <v>4179</v>
      </c>
      <c r="D5" t="s">
        <v>11</v>
      </c>
      <c r="E5" t="s">
        <v>8</v>
      </c>
      <c r="F5">
        <v>33</v>
      </c>
      <c r="G5">
        <v>30</v>
      </c>
      <c r="H5">
        <f t="shared" si="0"/>
        <v>990</v>
      </c>
      <c r="I5">
        <f t="shared" si="1"/>
        <v>3189</v>
      </c>
    </row>
    <row r="6" spans="1:13" x14ac:dyDescent="0.45">
      <c r="A6" s="1">
        <v>42370</v>
      </c>
      <c r="B6" t="s">
        <v>6</v>
      </c>
      <c r="C6">
        <f t="shared" si="2"/>
        <v>3189</v>
      </c>
      <c r="D6" t="s">
        <v>12</v>
      </c>
      <c r="E6" t="s">
        <v>8</v>
      </c>
      <c r="F6">
        <v>43</v>
      </c>
      <c r="G6">
        <v>25</v>
      </c>
      <c r="H6">
        <f t="shared" si="0"/>
        <v>1075</v>
      </c>
      <c r="I6">
        <f t="shared" si="1"/>
        <v>2114</v>
      </c>
    </row>
    <row r="7" spans="1:13" x14ac:dyDescent="0.45">
      <c r="A7" s="1">
        <v>42385</v>
      </c>
      <c r="B7" t="s">
        <v>13</v>
      </c>
      <c r="C7">
        <f t="shared" si="2"/>
        <v>2114</v>
      </c>
      <c r="D7" t="s">
        <v>9</v>
      </c>
      <c r="E7" t="s">
        <v>14</v>
      </c>
      <c r="F7">
        <v>32</v>
      </c>
      <c r="G7">
        <v>58</v>
      </c>
      <c r="H7">
        <f t="shared" si="0"/>
        <v>1856</v>
      </c>
      <c r="I7">
        <f t="shared" si="1"/>
        <v>3970</v>
      </c>
    </row>
    <row r="8" spans="1:13" x14ac:dyDescent="0.45">
      <c r="A8" s="1">
        <v>42385</v>
      </c>
      <c r="B8" t="s">
        <v>13</v>
      </c>
      <c r="C8">
        <f t="shared" si="2"/>
        <v>3970</v>
      </c>
      <c r="D8" t="s">
        <v>11</v>
      </c>
      <c r="E8" t="s">
        <v>8</v>
      </c>
      <c r="F8">
        <v>14</v>
      </c>
      <c r="G8">
        <v>26</v>
      </c>
      <c r="H8">
        <f t="shared" si="0"/>
        <v>364</v>
      </c>
      <c r="I8">
        <f t="shared" si="1"/>
        <v>3606</v>
      </c>
    </row>
    <row r="9" spans="1:13" x14ac:dyDescent="0.45">
      <c r="A9" s="1">
        <v>42393</v>
      </c>
      <c r="B9" t="s">
        <v>15</v>
      </c>
      <c r="C9">
        <f t="shared" si="2"/>
        <v>3606</v>
      </c>
      <c r="D9" t="s">
        <v>9</v>
      </c>
      <c r="E9" t="s">
        <v>8</v>
      </c>
      <c r="F9">
        <v>44</v>
      </c>
      <c r="G9">
        <v>46</v>
      </c>
      <c r="H9">
        <f t="shared" si="0"/>
        <v>2024</v>
      </c>
      <c r="I9">
        <f t="shared" si="1"/>
        <v>1582</v>
      </c>
    </row>
    <row r="10" spans="1:13" x14ac:dyDescent="0.45">
      <c r="A10" s="1">
        <v>42393</v>
      </c>
      <c r="B10" t="s">
        <v>15</v>
      </c>
      <c r="C10">
        <f t="shared" si="2"/>
        <v>1582</v>
      </c>
      <c r="D10" t="s">
        <v>11</v>
      </c>
      <c r="E10" t="s">
        <v>8</v>
      </c>
      <c r="F10">
        <v>1</v>
      </c>
      <c r="G10">
        <v>28</v>
      </c>
      <c r="H10">
        <f t="shared" si="0"/>
        <v>28</v>
      </c>
      <c r="I10">
        <f t="shared" si="1"/>
        <v>1554</v>
      </c>
    </row>
    <row r="11" spans="1:13" x14ac:dyDescent="0.45">
      <c r="A11" s="1">
        <v>42393</v>
      </c>
      <c r="B11" t="s">
        <v>15</v>
      </c>
      <c r="C11">
        <f t="shared" si="2"/>
        <v>1554</v>
      </c>
      <c r="D11" t="s">
        <v>7</v>
      </c>
      <c r="E11" t="s">
        <v>8</v>
      </c>
      <c r="F11">
        <v>21</v>
      </c>
      <c r="G11">
        <v>74</v>
      </c>
      <c r="H11">
        <f t="shared" si="0"/>
        <v>1554</v>
      </c>
      <c r="I11">
        <f t="shared" si="1"/>
        <v>0</v>
      </c>
    </row>
    <row r="12" spans="1:13" x14ac:dyDescent="0.45">
      <c r="A12" s="1">
        <v>42419</v>
      </c>
      <c r="B12" t="s">
        <v>16</v>
      </c>
      <c r="C12">
        <f t="shared" si="2"/>
        <v>0</v>
      </c>
      <c r="D12" t="s">
        <v>12</v>
      </c>
      <c r="E12" t="s">
        <v>14</v>
      </c>
      <c r="F12">
        <v>43</v>
      </c>
      <c r="G12">
        <v>32</v>
      </c>
      <c r="H12">
        <f t="shared" si="0"/>
        <v>1376</v>
      </c>
      <c r="I12">
        <f t="shared" si="1"/>
        <v>1376</v>
      </c>
    </row>
    <row r="13" spans="1:13" x14ac:dyDescent="0.45">
      <c r="A13" s="1">
        <v>42419</v>
      </c>
      <c r="B13" t="s">
        <v>16</v>
      </c>
      <c r="C13">
        <f t="shared" si="2"/>
        <v>1376</v>
      </c>
      <c r="D13" t="s">
        <v>10</v>
      </c>
      <c r="E13" t="s">
        <v>14</v>
      </c>
      <c r="F13">
        <v>38</v>
      </c>
      <c r="G13">
        <v>13</v>
      </c>
      <c r="H13">
        <f t="shared" si="0"/>
        <v>494</v>
      </c>
      <c r="I13">
        <f t="shared" si="1"/>
        <v>1870</v>
      </c>
    </row>
    <row r="14" spans="1:13" x14ac:dyDescent="0.45">
      <c r="A14" s="1">
        <v>42419</v>
      </c>
      <c r="B14" t="s">
        <v>16</v>
      </c>
      <c r="C14">
        <f t="shared" si="2"/>
        <v>1870</v>
      </c>
      <c r="D14" t="s">
        <v>7</v>
      </c>
      <c r="E14" t="s">
        <v>8</v>
      </c>
      <c r="F14">
        <v>9</v>
      </c>
      <c r="G14">
        <v>59</v>
      </c>
      <c r="H14">
        <f t="shared" si="0"/>
        <v>531</v>
      </c>
      <c r="I14">
        <f t="shared" si="1"/>
        <v>1339</v>
      </c>
    </row>
    <row r="15" spans="1:13" x14ac:dyDescent="0.45">
      <c r="A15" s="1">
        <v>42419</v>
      </c>
      <c r="B15" t="s">
        <v>16</v>
      </c>
      <c r="C15">
        <f t="shared" si="2"/>
        <v>1339</v>
      </c>
      <c r="D15" t="s">
        <v>9</v>
      </c>
      <c r="E15" t="s">
        <v>8</v>
      </c>
      <c r="F15">
        <v>8</v>
      </c>
      <c r="G15">
        <v>37</v>
      </c>
      <c r="H15">
        <f t="shared" si="0"/>
        <v>296</v>
      </c>
      <c r="I15">
        <f t="shared" si="1"/>
        <v>1043</v>
      </c>
    </row>
    <row r="16" spans="1:13" x14ac:dyDescent="0.45">
      <c r="A16" s="1">
        <v>42440</v>
      </c>
      <c r="B16" t="s">
        <v>17</v>
      </c>
      <c r="C16">
        <f t="shared" si="2"/>
        <v>1043</v>
      </c>
      <c r="D16" t="s">
        <v>9</v>
      </c>
      <c r="E16" t="s">
        <v>14</v>
      </c>
      <c r="F16">
        <v>50</v>
      </c>
      <c r="G16">
        <v>61</v>
      </c>
      <c r="H16">
        <f t="shared" si="0"/>
        <v>3050</v>
      </c>
      <c r="I16">
        <f t="shared" si="1"/>
        <v>4093</v>
      </c>
    </row>
    <row r="17" spans="1:9" x14ac:dyDescent="0.45">
      <c r="A17" s="1">
        <v>42440</v>
      </c>
      <c r="B17" t="s">
        <v>17</v>
      </c>
      <c r="C17">
        <f t="shared" si="2"/>
        <v>4093</v>
      </c>
      <c r="D17" t="s">
        <v>12</v>
      </c>
      <c r="E17" t="s">
        <v>8</v>
      </c>
      <c r="F17">
        <v>32</v>
      </c>
      <c r="G17">
        <v>20</v>
      </c>
      <c r="H17">
        <f t="shared" si="0"/>
        <v>640</v>
      </c>
      <c r="I17">
        <f t="shared" si="1"/>
        <v>3453</v>
      </c>
    </row>
    <row r="18" spans="1:9" x14ac:dyDescent="0.45">
      <c r="A18" s="1">
        <v>42440</v>
      </c>
      <c r="B18" t="s">
        <v>17</v>
      </c>
      <c r="C18">
        <f t="shared" si="2"/>
        <v>3453</v>
      </c>
      <c r="D18" t="s">
        <v>10</v>
      </c>
      <c r="E18" t="s">
        <v>8</v>
      </c>
      <c r="F18">
        <v>7</v>
      </c>
      <c r="G18">
        <v>8</v>
      </c>
      <c r="H18">
        <f t="shared" si="0"/>
        <v>56</v>
      </c>
      <c r="I18">
        <f t="shared" si="1"/>
        <v>3397</v>
      </c>
    </row>
    <row r="19" spans="1:9" x14ac:dyDescent="0.45">
      <c r="A19" s="1">
        <v>42440</v>
      </c>
      <c r="B19" t="s">
        <v>17</v>
      </c>
      <c r="C19">
        <f t="shared" si="2"/>
        <v>3397</v>
      </c>
      <c r="D19" t="s">
        <v>11</v>
      </c>
      <c r="E19" t="s">
        <v>8</v>
      </c>
      <c r="F19">
        <v>10</v>
      </c>
      <c r="G19">
        <v>24</v>
      </c>
      <c r="H19">
        <f t="shared" si="0"/>
        <v>240</v>
      </c>
      <c r="I19">
        <f t="shared" si="1"/>
        <v>3157</v>
      </c>
    </row>
    <row r="20" spans="1:9" x14ac:dyDescent="0.45">
      <c r="A20" s="1">
        <v>42464</v>
      </c>
      <c r="B20" t="s">
        <v>18</v>
      </c>
      <c r="C20">
        <f t="shared" si="2"/>
        <v>3157</v>
      </c>
      <c r="D20" t="s">
        <v>10</v>
      </c>
      <c r="E20" t="s">
        <v>14</v>
      </c>
      <c r="F20">
        <v>7</v>
      </c>
      <c r="G20">
        <v>12</v>
      </c>
      <c r="H20">
        <f t="shared" si="0"/>
        <v>84</v>
      </c>
      <c r="I20">
        <f t="shared" si="1"/>
        <v>3241</v>
      </c>
    </row>
    <row r="21" spans="1:9" x14ac:dyDescent="0.45">
      <c r="A21" s="1">
        <v>42464</v>
      </c>
      <c r="B21" t="s">
        <v>18</v>
      </c>
      <c r="C21">
        <f t="shared" si="2"/>
        <v>3241</v>
      </c>
      <c r="D21" t="s">
        <v>12</v>
      </c>
      <c r="E21" t="s">
        <v>8</v>
      </c>
      <c r="F21">
        <v>25</v>
      </c>
      <c r="G21">
        <v>19</v>
      </c>
      <c r="H21">
        <f t="shared" si="0"/>
        <v>475</v>
      </c>
      <c r="I21">
        <f t="shared" si="1"/>
        <v>2766</v>
      </c>
    </row>
    <row r="22" spans="1:9" x14ac:dyDescent="0.45">
      <c r="A22" s="1">
        <v>42464</v>
      </c>
      <c r="B22" t="s">
        <v>18</v>
      </c>
      <c r="C22">
        <f t="shared" si="2"/>
        <v>2766</v>
      </c>
      <c r="D22" t="s">
        <v>9</v>
      </c>
      <c r="E22" t="s">
        <v>8</v>
      </c>
      <c r="F22">
        <v>33</v>
      </c>
      <c r="G22">
        <v>38</v>
      </c>
      <c r="H22">
        <f t="shared" si="0"/>
        <v>1254</v>
      </c>
      <c r="I22">
        <f t="shared" si="1"/>
        <v>1512</v>
      </c>
    </row>
    <row r="23" spans="1:9" x14ac:dyDescent="0.45">
      <c r="A23" s="1">
        <v>42482</v>
      </c>
      <c r="B23" t="s">
        <v>19</v>
      </c>
      <c r="C23">
        <f t="shared" si="2"/>
        <v>1512</v>
      </c>
      <c r="D23" t="s">
        <v>11</v>
      </c>
      <c r="E23" t="s">
        <v>14</v>
      </c>
      <c r="F23">
        <v>36</v>
      </c>
      <c r="G23">
        <v>35</v>
      </c>
      <c r="H23">
        <f t="shared" si="0"/>
        <v>1260</v>
      </c>
      <c r="I23">
        <f t="shared" si="1"/>
        <v>2772</v>
      </c>
    </row>
    <row r="24" spans="1:9" x14ac:dyDescent="0.45">
      <c r="A24" s="1">
        <v>42482</v>
      </c>
      <c r="B24" t="s">
        <v>19</v>
      </c>
      <c r="C24">
        <f t="shared" si="2"/>
        <v>2772</v>
      </c>
      <c r="D24" t="s">
        <v>7</v>
      </c>
      <c r="E24" t="s">
        <v>8</v>
      </c>
      <c r="F24">
        <v>5</v>
      </c>
      <c r="G24">
        <v>66</v>
      </c>
      <c r="H24">
        <f t="shared" si="0"/>
        <v>330</v>
      </c>
      <c r="I24">
        <f t="shared" si="1"/>
        <v>2442</v>
      </c>
    </row>
    <row r="25" spans="1:9" x14ac:dyDescent="0.45">
      <c r="A25" s="1">
        <v>42482</v>
      </c>
      <c r="B25" t="s">
        <v>19</v>
      </c>
      <c r="C25">
        <f t="shared" si="2"/>
        <v>2442</v>
      </c>
      <c r="D25" t="s">
        <v>9</v>
      </c>
      <c r="E25" t="s">
        <v>8</v>
      </c>
      <c r="F25">
        <v>35</v>
      </c>
      <c r="G25">
        <v>41</v>
      </c>
      <c r="H25">
        <f t="shared" si="0"/>
        <v>1435</v>
      </c>
      <c r="I25">
        <f t="shared" si="1"/>
        <v>1007</v>
      </c>
    </row>
    <row r="26" spans="1:9" x14ac:dyDescent="0.45">
      <c r="A26" s="1">
        <v>42504</v>
      </c>
      <c r="B26" t="s">
        <v>20</v>
      </c>
      <c r="C26">
        <f t="shared" si="2"/>
        <v>1007</v>
      </c>
      <c r="D26" t="s">
        <v>7</v>
      </c>
      <c r="E26" t="s">
        <v>14</v>
      </c>
      <c r="F26">
        <v>38</v>
      </c>
      <c r="G26">
        <v>98</v>
      </c>
      <c r="H26">
        <f t="shared" si="0"/>
        <v>3724</v>
      </c>
      <c r="I26">
        <f t="shared" si="1"/>
        <v>4731</v>
      </c>
    </row>
    <row r="27" spans="1:9" x14ac:dyDescent="0.45">
      <c r="A27" s="1">
        <v>42504</v>
      </c>
      <c r="B27" t="s">
        <v>20</v>
      </c>
      <c r="C27">
        <f t="shared" si="2"/>
        <v>4731</v>
      </c>
      <c r="D27" t="s">
        <v>11</v>
      </c>
      <c r="E27" t="s">
        <v>8</v>
      </c>
      <c r="F27">
        <v>10</v>
      </c>
      <c r="G27">
        <v>23</v>
      </c>
      <c r="H27">
        <f t="shared" si="0"/>
        <v>230</v>
      </c>
      <c r="I27">
        <f t="shared" si="1"/>
        <v>4501</v>
      </c>
    </row>
    <row r="28" spans="1:9" x14ac:dyDescent="0.45">
      <c r="A28" s="1">
        <v>42529</v>
      </c>
      <c r="B28" t="s">
        <v>21</v>
      </c>
      <c r="C28">
        <f t="shared" si="2"/>
        <v>4501</v>
      </c>
      <c r="D28" t="s">
        <v>11</v>
      </c>
      <c r="E28" t="s">
        <v>14</v>
      </c>
      <c r="F28">
        <v>4</v>
      </c>
      <c r="G28">
        <v>38</v>
      </c>
      <c r="H28">
        <f t="shared" si="0"/>
        <v>152</v>
      </c>
      <c r="I28">
        <f t="shared" si="1"/>
        <v>4653</v>
      </c>
    </row>
    <row r="29" spans="1:9" x14ac:dyDescent="0.45">
      <c r="A29" s="1">
        <v>42529</v>
      </c>
      <c r="B29" t="s">
        <v>21</v>
      </c>
      <c r="C29">
        <f t="shared" si="2"/>
        <v>4653</v>
      </c>
      <c r="D29" t="s">
        <v>7</v>
      </c>
      <c r="E29" t="s">
        <v>8</v>
      </c>
      <c r="F29">
        <v>42</v>
      </c>
      <c r="G29">
        <v>60</v>
      </c>
      <c r="H29">
        <f t="shared" si="0"/>
        <v>2520</v>
      </c>
      <c r="I29">
        <f t="shared" si="1"/>
        <v>2133</v>
      </c>
    </row>
    <row r="30" spans="1:9" x14ac:dyDescent="0.45">
      <c r="A30" s="1">
        <v>42529</v>
      </c>
      <c r="B30" t="s">
        <v>21</v>
      </c>
      <c r="C30">
        <f t="shared" si="2"/>
        <v>2133</v>
      </c>
      <c r="D30" t="s">
        <v>10</v>
      </c>
      <c r="E30" t="s">
        <v>8</v>
      </c>
      <c r="F30">
        <v>28</v>
      </c>
      <c r="G30">
        <v>8</v>
      </c>
      <c r="H30">
        <f t="shared" si="0"/>
        <v>224</v>
      </c>
      <c r="I30">
        <f t="shared" si="1"/>
        <v>1909</v>
      </c>
    </row>
    <row r="31" spans="1:9" x14ac:dyDescent="0.45">
      <c r="A31" s="1">
        <v>42529</v>
      </c>
      <c r="B31" t="s">
        <v>21</v>
      </c>
      <c r="C31">
        <f t="shared" si="2"/>
        <v>1909</v>
      </c>
      <c r="D31" t="s">
        <v>12</v>
      </c>
      <c r="E31" t="s">
        <v>8</v>
      </c>
      <c r="F31">
        <v>19</v>
      </c>
      <c r="G31">
        <v>19</v>
      </c>
      <c r="H31">
        <f t="shared" si="0"/>
        <v>361</v>
      </c>
      <c r="I31">
        <f t="shared" si="1"/>
        <v>1548</v>
      </c>
    </row>
    <row r="32" spans="1:9" x14ac:dyDescent="0.45">
      <c r="A32" s="1">
        <v>42542</v>
      </c>
      <c r="B32" t="s">
        <v>22</v>
      </c>
      <c r="C32">
        <f t="shared" si="2"/>
        <v>1548</v>
      </c>
      <c r="D32" t="s">
        <v>12</v>
      </c>
      <c r="E32" t="s">
        <v>14</v>
      </c>
      <c r="F32">
        <v>72</v>
      </c>
      <c r="G32">
        <v>28</v>
      </c>
      <c r="H32">
        <f t="shared" si="0"/>
        <v>2016</v>
      </c>
      <c r="I32">
        <f t="shared" si="1"/>
        <v>3564</v>
      </c>
    </row>
    <row r="33" spans="1:9" x14ac:dyDescent="0.45">
      <c r="A33" s="1">
        <v>42542</v>
      </c>
      <c r="B33" t="s">
        <v>22</v>
      </c>
      <c r="C33">
        <f t="shared" si="2"/>
        <v>3564</v>
      </c>
      <c r="D33" t="s">
        <v>7</v>
      </c>
      <c r="E33" t="s">
        <v>14</v>
      </c>
      <c r="F33">
        <v>42</v>
      </c>
      <c r="G33">
        <v>90</v>
      </c>
      <c r="H33">
        <f t="shared" si="0"/>
        <v>3780</v>
      </c>
      <c r="I33">
        <f t="shared" si="1"/>
        <v>7344</v>
      </c>
    </row>
    <row r="34" spans="1:9" x14ac:dyDescent="0.45">
      <c r="A34" s="1">
        <v>42542</v>
      </c>
      <c r="B34" t="s">
        <v>22</v>
      </c>
      <c r="C34">
        <f t="shared" si="2"/>
        <v>7344</v>
      </c>
      <c r="D34" t="s">
        <v>9</v>
      </c>
      <c r="E34" t="s">
        <v>8</v>
      </c>
      <c r="F34">
        <v>42</v>
      </c>
      <c r="G34">
        <v>44</v>
      </c>
      <c r="H34">
        <f t="shared" si="0"/>
        <v>1848</v>
      </c>
      <c r="I34">
        <f t="shared" si="1"/>
        <v>5496</v>
      </c>
    </row>
    <row r="35" spans="1:9" x14ac:dyDescent="0.45">
      <c r="A35" s="1">
        <v>42542</v>
      </c>
      <c r="B35" t="s">
        <v>22</v>
      </c>
      <c r="C35">
        <f t="shared" si="2"/>
        <v>5496</v>
      </c>
      <c r="D35" t="s">
        <v>11</v>
      </c>
      <c r="E35" t="s">
        <v>8</v>
      </c>
      <c r="F35">
        <v>33</v>
      </c>
      <c r="G35">
        <v>26</v>
      </c>
      <c r="H35">
        <f t="shared" si="0"/>
        <v>858</v>
      </c>
      <c r="I35">
        <f t="shared" si="1"/>
        <v>4638</v>
      </c>
    </row>
    <row r="36" spans="1:9" x14ac:dyDescent="0.45">
      <c r="A36" s="1">
        <v>42542</v>
      </c>
      <c r="B36" t="s">
        <v>22</v>
      </c>
      <c r="C36">
        <f t="shared" si="2"/>
        <v>4638</v>
      </c>
      <c r="D36" t="s">
        <v>10</v>
      </c>
      <c r="E36" t="s">
        <v>8</v>
      </c>
      <c r="F36">
        <v>9</v>
      </c>
      <c r="G36">
        <v>9</v>
      </c>
      <c r="H36">
        <f t="shared" si="0"/>
        <v>81</v>
      </c>
      <c r="I36">
        <f t="shared" si="1"/>
        <v>4557</v>
      </c>
    </row>
    <row r="37" spans="1:9" x14ac:dyDescent="0.45">
      <c r="A37" s="1">
        <v>42559</v>
      </c>
      <c r="B37" t="s">
        <v>6</v>
      </c>
      <c r="C37">
        <f t="shared" si="2"/>
        <v>4557</v>
      </c>
      <c r="D37" t="s">
        <v>12</v>
      </c>
      <c r="E37" t="s">
        <v>14</v>
      </c>
      <c r="F37">
        <v>4</v>
      </c>
      <c r="G37">
        <v>29</v>
      </c>
      <c r="H37">
        <f t="shared" si="0"/>
        <v>116</v>
      </c>
      <c r="I37">
        <f t="shared" si="1"/>
        <v>4673</v>
      </c>
    </row>
    <row r="38" spans="1:9" x14ac:dyDescent="0.45">
      <c r="A38" s="1">
        <v>42559</v>
      </c>
      <c r="B38" t="s">
        <v>6</v>
      </c>
      <c r="C38">
        <f t="shared" si="2"/>
        <v>4673</v>
      </c>
      <c r="D38" t="s">
        <v>10</v>
      </c>
      <c r="E38" t="s">
        <v>14</v>
      </c>
      <c r="F38">
        <v>37</v>
      </c>
      <c r="G38">
        <v>12</v>
      </c>
      <c r="H38">
        <f t="shared" si="0"/>
        <v>444</v>
      </c>
      <c r="I38">
        <f t="shared" si="1"/>
        <v>5117</v>
      </c>
    </row>
    <row r="39" spans="1:9" x14ac:dyDescent="0.45">
      <c r="A39" s="1">
        <v>42559</v>
      </c>
      <c r="B39" t="s">
        <v>6</v>
      </c>
      <c r="C39">
        <f t="shared" si="2"/>
        <v>5117</v>
      </c>
      <c r="D39" t="s">
        <v>9</v>
      </c>
      <c r="E39" t="s">
        <v>8</v>
      </c>
      <c r="F39">
        <v>35</v>
      </c>
      <c r="G39">
        <v>42</v>
      </c>
      <c r="H39">
        <f t="shared" si="0"/>
        <v>1470</v>
      </c>
      <c r="I39">
        <f t="shared" si="1"/>
        <v>3647</v>
      </c>
    </row>
    <row r="40" spans="1:9" x14ac:dyDescent="0.45">
      <c r="A40" s="1">
        <v>42559</v>
      </c>
      <c r="B40" t="s">
        <v>6</v>
      </c>
      <c r="C40">
        <f t="shared" si="2"/>
        <v>3647</v>
      </c>
      <c r="D40" t="s">
        <v>7</v>
      </c>
      <c r="E40" t="s">
        <v>8</v>
      </c>
      <c r="F40">
        <v>32</v>
      </c>
      <c r="G40">
        <v>66</v>
      </c>
      <c r="H40">
        <f t="shared" si="0"/>
        <v>2112</v>
      </c>
      <c r="I40">
        <f t="shared" si="1"/>
        <v>1535</v>
      </c>
    </row>
    <row r="41" spans="1:9" x14ac:dyDescent="0.45">
      <c r="A41" s="1">
        <v>42574</v>
      </c>
      <c r="B41" t="s">
        <v>13</v>
      </c>
      <c r="C41">
        <f t="shared" si="2"/>
        <v>1535</v>
      </c>
      <c r="D41" t="s">
        <v>7</v>
      </c>
      <c r="E41" t="s">
        <v>14</v>
      </c>
      <c r="F41">
        <v>32</v>
      </c>
      <c r="G41">
        <v>92</v>
      </c>
      <c r="H41">
        <f t="shared" si="0"/>
        <v>2944</v>
      </c>
      <c r="I41">
        <f t="shared" si="1"/>
        <v>4479</v>
      </c>
    </row>
    <row r="42" spans="1:9" x14ac:dyDescent="0.45">
      <c r="A42" s="1">
        <v>42574</v>
      </c>
      <c r="B42" t="s">
        <v>13</v>
      </c>
      <c r="C42">
        <f t="shared" si="2"/>
        <v>4479</v>
      </c>
      <c r="D42" t="s">
        <v>9</v>
      </c>
      <c r="E42" t="s">
        <v>8</v>
      </c>
      <c r="F42">
        <v>48</v>
      </c>
      <c r="G42">
        <v>43</v>
      </c>
      <c r="H42">
        <f t="shared" si="0"/>
        <v>2064</v>
      </c>
      <c r="I42">
        <f t="shared" si="1"/>
        <v>2415</v>
      </c>
    </row>
    <row r="43" spans="1:9" x14ac:dyDescent="0.45">
      <c r="A43" s="1">
        <v>42593</v>
      </c>
      <c r="B43" t="s">
        <v>15</v>
      </c>
      <c r="C43">
        <f t="shared" si="2"/>
        <v>2415</v>
      </c>
      <c r="D43" t="s">
        <v>9</v>
      </c>
      <c r="E43" t="s">
        <v>14</v>
      </c>
      <c r="F43">
        <v>191</v>
      </c>
      <c r="G43">
        <v>60</v>
      </c>
      <c r="H43">
        <f t="shared" si="0"/>
        <v>11460</v>
      </c>
      <c r="I43">
        <f t="shared" si="1"/>
        <v>13875</v>
      </c>
    </row>
    <row r="44" spans="1:9" x14ac:dyDescent="0.45">
      <c r="A44" s="1">
        <v>42593</v>
      </c>
      <c r="B44" t="s">
        <v>15</v>
      </c>
      <c r="C44">
        <f t="shared" si="2"/>
        <v>13875</v>
      </c>
      <c r="D44" t="s">
        <v>11</v>
      </c>
      <c r="E44" t="s">
        <v>8</v>
      </c>
      <c r="F44">
        <v>9</v>
      </c>
      <c r="G44">
        <v>24</v>
      </c>
      <c r="H44">
        <f t="shared" si="0"/>
        <v>216</v>
      </c>
      <c r="I44">
        <f t="shared" si="1"/>
        <v>13659</v>
      </c>
    </row>
    <row r="45" spans="1:9" x14ac:dyDescent="0.45">
      <c r="A45" s="1">
        <v>42593</v>
      </c>
      <c r="B45" t="s">
        <v>15</v>
      </c>
      <c r="C45">
        <f t="shared" si="2"/>
        <v>13659</v>
      </c>
      <c r="D45" t="s">
        <v>7</v>
      </c>
      <c r="E45" t="s">
        <v>8</v>
      </c>
      <c r="F45">
        <v>36</v>
      </c>
      <c r="G45">
        <v>65</v>
      </c>
      <c r="H45">
        <f t="shared" si="0"/>
        <v>2340</v>
      </c>
      <c r="I45">
        <f t="shared" si="1"/>
        <v>11319</v>
      </c>
    </row>
    <row r="46" spans="1:9" x14ac:dyDescent="0.45">
      <c r="A46" s="1">
        <v>42619</v>
      </c>
      <c r="B46" t="s">
        <v>16</v>
      </c>
      <c r="C46">
        <f t="shared" si="2"/>
        <v>11319</v>
      </c>
      <c r="D46" t="s">
        <v>10</v>
      </c>
      <c r="E46" t="s">
        <v>8</v>
      </c>
      <c r="F46">
        <v>47</v>
      </c>
      <c r="G46">
        <v>7</v>
      </c>
      <c r="H46">
        <f t="shared" si="0"/>
        <v>329</v>
      </c>
      <c r="I46">
        <f t="shared" si="1"/>
        <v>10990</v>
      </c>
    </row>
    <row r="47" spans="1:9" x14ac:dyDescent="0.45">
      <c r="A47" s="1">
        <v>42619</v>
      </c>
      <c r="B47" t="s">
        <v>16</v>
      </c>
      <c r="C47">
        <f t="shared" si="2"/>
        <v>10990</v>
      </c>
      <c r="D47" t="s">
        <v>9</v>
      </c>
      <c r="E47" t="s">
        <v>14</v>
      </c>
      <c r="F47">
        <v>4</v>
      </c>
      <c r="G47">
        <v>63</v>
      </c>
      <c r="H47">
        <f t="shared" si="0"/>
        <v>252</v>
      </c>
      <c r="I47">
        <f t="shared" si="1"/>
        <v>11242</v>
      </c>
    </row>
    <row r="48" spans="1:9" x14ac:dyDescent="0.45">
      <c r="A48" s="1">
        <v>42619</v>
      </c>
      <c r="B48" t="s">
        <v>16</v>
      </c>
      <c r="C48">
        <f t="shared" si="2"/>
        <v>11242</v>
      </c>
      <c r="D48" t="s">
        <v>12</v>
      </c>
      <c r="E48" t="s">
        <v>8</v>
      </c>
      <c r="F48">
        <v>8</v>
      </c>
      <c r="G48">
        <v>19</v>
      </c>
      <c r="H48">
        <f t="shared" si="0"/>
        <v>152</v>
      </c>
      <c r="I48">
        <f t="shared" si="1"/>
        <v>11090</v>
      </c>
    </row>
    <row r="49" spans="1:9" x14ac:dyDescent="0.45">
      <c r="A49" s="1">
        <v>42619</v>
      </c>
      <c r="B49" t="s">
        <v>16</v>
      </c>
      <c r="C49">
        <f t="shared" si="2"/>
        <v>11090</v>
      </c>
      <c r="D49" t="s">
        <v>11</v>
      </c>
      <c r="E49" t="s">
        <v>8</v>
      </c>
      <c r="F49">
        <v>3</v>
      </c>
      <c r="G49">
        <v>22</v>
      </c>
      <c r="H49">
        <f t="shared" si="0"/>
        <v>66</v>
      </c>
      <c r="I49">
        <f t="shared" si="1"/>
        <v>11024</v>
      </c>
    </row>
    <row r="50" spans="1:9" x14ac:dyDescent="0.45">
      <c r="A50" s="1">
        <v>42619</v>
      </c>
      <c r="B50" t="s">
        <v>16</v>
      </c>
      <c r="C50">
        <f t="shared" si="2"/>
        <v>11024</v>
      </c>
      <c r="D50" t="s">
        <v>7</v>
      </c>
      <c r="E50" t="s">
        <v>8</v>
      </c>
      <c r="F50">
        <v>41</v>
      </c>
      <c r="G50">
        <v>59</v>
      </c>
      <c r="H50">
        <f t="shared" si="0"/>
        <v>2419</v>
      </c>
      <c r="I50">
        <f t="shared" si="1"/>
        <v>8605</v>
      </c>
    </row>
    <row r="51" spans="1:9" x14ac:dyDescent="0.45">
      <c r="A51" s="1">
        <v>42640</v>
      </c>
      <c r="B51" t="s">
        <v>17</v>
      </c>
      <c r="C51">
        <f t="shared" si="2"/>
        <v>8605</v>
      </c>
      <c r="D51" t="s">
        <v>9</v>
      </c>
      <c r="E51" t="s">
        <v>8</v>
      </c>
      <c r="F51">
        <v>44</v>
      </c>
      <c r="G51">
        <v>40</v>
      </c>
      <c r="H51">
        <f t="shared" si="0"/>
        <v>1760</v>
      </c>
      <c r="I51">
        <f t="shared" si="1"/>
        <v>6845</v>
      </c>
    </row>
    <row r="52" spans="1:9" x14ac:dyDescent="0.45">
      <c r="A52" s="1">
        <v>42640</v>
      </c>
      <c r="B52" t="s">
        <v>17</v>
      </c>
      <c r="C52">
        <f t="shared" si="2"/>
        <v>6845</v>
      </c>
      <c r="D52" t="s">
        <v>10</v>
      </c>
      <c r="E52" t="s">
        <v>14</v>
      </c>
      <c r="F52">
        <v>45</v>
      </c>
      <c r="G52">
        <v>12</v>
      </c>
      <c r="H52">
        <f t="shared" si="0"/>
        <v>540</v>
      </c>
      <c r="I52">
        <f t="shared" si="1"/>
        <v>7385</v>
      </c>
    </row>
    <row r="53" spans="1:9" x14ac:dyDescent="0.45">
      <c r="A53" s="1">
        <v>42640</v>
      </c>
      <c r="B53" t="s">
        <v>17</v>
      </c>
      <c r="C53">
        <f t="shared" si="2"/>
        <v>7385</v>
      </c>
      <c r="D53" t="s">
        <v>12</v>
      </c>
      <c r="E53" t="s">
        <v>8</v>
      </c>
      <c r="F53">
        <v>40</v>
      </c>
      <c r="G53">
        <v>20</v>
      </c>
      <c r="H53">
        <f t="shared" si="0"/>
        <v>800</v>
      </c>
      <c r="I53">
        <f t="shared" si="1"/>
        <v>6585</v>
      </c>
    </row>
    <row r="54" spans="1:9" x14ac:dyDescent="0.45">
      <c r="A54" s="1">
        <v>42640</v>
      </c>
      <c r="B54" t="s">
        <v>17</v>
      </c>
      <c r="C54">
        <f t="shared" si="2"/>
        <v>6585</v>
      </c>
      <c r="D54" t="s">
        <v>7</v>
      </c>
      <c r="E54" t="s">
        <v>8</v>
      </c>
      <c r="F54">
        <v>3</v>
      </c>
      <c r="G54">
        <v>63</v>
      </c>
      <c r="H54">
        <f t="shared" si="0"/>
        <v>189</v>
      </c>
      <c r="I54">
        <f t="shared" si="1"/>
        <v>6396</v>
      </c>
    </row>
    <row r="55" spans="1:9" x14ac:dyDescent="0.45">
      <c r="A55" s="1">
        <v>42640</v>
      </c>
      <c r="B55" t="s">
        <v>17</v>
      </c>
      <c r="C55">
        <f t="shared" si="2"/>
        <v>6396</v>
      </c>
      <c r="D55" t="s">
        <v>11</v>
      </c>
      <c r="E55" t="s">
        <v>8</v>
      </c>
      <c r="F55">
        <v>17</v>
      </c>
      <c r="G55">
        <v>24</v>
      </c>
      <c r="H55">
        <f t="shared" si="0"/>
        <v>408</v>
      </c>
      <c r="I55">
        <f t="shared" si="1"/>
        <v>5988</v>
      </c>
    </row>
    <row r="56" spans="1:9" x14ac:dyDescent="0.45">
      <c r="A56" s="1">
        <v>42664</v>
      </c>
      <c r="B56" t="s">
        <v>18</v>
      </c>
      <c r="C56">
        <f t="shared" si="2"/>
        <v>5988</v>
      </c>
      <c r="D56" t="s">
        <v>10</v>
      </c>
      <c r="E56" t="s">
        <v>14</v>
      </c>
      <c r="F56">
        <v>2</v>
      </c>
      <c r="G56">
        <v>12</v>
      </c>
      <c r="H56">
        <f t="shared" si="0"/>
        <v>24</v>
      </c>
      <c r="I56">
        <f t="shared" si="1"/>
        <v>6012</v>
      </c>
    </row>
    <row r="57" spans="1:9" x14ac:dyDescent="0.45">
      <c r="A57" s="1">
        <v>42664</v>
      </c>
      <c r="B57" t="s">
        <v>18</v>
      </c>
      <c r="C57">
        <f t="shared" si="2"/>
        <v>6012</v>
      </c>
      <c r="D57" t="s">
        <v>12</v>
      </c>
      <c r="E57" t="s">
        <v>8</v>
      </c>
      <c r="F57">
        <v>14</v>
      </c>
      <c r="G57">
        <v>19</v>
      </c>
      <c r="H57">
        <f t="shared" si="0"/>
        <v>266</v>
      </c>
      <c r="I57">
        <f t="shared" si="1"/>
        <v>5746</v>
      </c>
    </row>
    <row r="58" spans="1:9" x14ac:dyDescent="0.45">
      <c r="A58" s="1">
        <v>42664</v>
      </c>
      <c r="B58" t="s">
        <v>18</v>
      </c>
      <c r="C58">
        <f t="shared" si="2"/>
        <v>5746</v>
      </c>
      <c r="D58" t="s">
        <v>11</v>
      </c>
      <c r="E58" t="s">
        <v>8</v>
      </c>
      <c r="F58">
        <v>23</v>
      </c>
      <c r="G58">
        <v>23</v>
      </c>
      <c r="H58">
        <f t="shared" si="0"/>
        <v>529</v>
      </c>
      <c r="I58">
        <f t="shared" si="1"/>
        <v>5217</v>
      </c>
    </row>
    <row r="59" spans="1:9" x14ac:dyDescent="0.45">
      <c r="A59" s="1">
        <v>42682</v>
      </c>
      <c r="B59" t="s">
        <v>19</v>
      </c>
      <c r="C59">
        <f t="shared" si="2"/>
        <v>5217</v>
      </c>
      <c r="D59" t="s">
        <v>10</v>
      </c>
      <c r="E59" t="s">
        <v>8</v>
      </c>
      <c r="F59">
        <v>11</v>
      </c>
      <c r="G59">
        <v>8</v>
      </c>
      <c r="H59">
        <f t="shared" si="0"/>
        <v>88</v>
      </c>
      <c r="I59">
        <f t="shared" si="1"/>
        <v>5129</v>
      </c>
    </row>
    <row r="60" spans="1:9" x14ac:dyDescent="0.45">
      <c r="A60" s="1">
        <v>42682</v>
      </c>
      <c r="B60" t="s">
        <v>19</v>
      </c>
      <c r="C60">
        <f t="shared" si="2"/>
        <v>5129</v>
      </c>
      <c r="D60" t="s">
        <v>7</v>
      </c>
      <c r="E60" t="s">
        <v>8</v>
      </c>
      <c r="F60">
        <v>17</v>
      </c>
      <c r="G60">
        <v>66</v>
      </c>
      <c r="H60">
        <f t="shared" si="0"/>
        <v>1122</v>
      </c>
      <c r="I60">
        <f t="shared" si="1"/>
        <v>4007</v>
      </c>
    </row>
    <row r="61" spans="1:9" x14ac:dyDescent="0.45">
      <c r="A61" s="1">
        <v>42682</v>
      </c>
      <c r="B61" t="s">
        <v>19</v>
      </c>
      <c r="C61">
        <f t="shared" si="2"/>
        <v>4007</v>
      </c>
      <c r="D61" t="s">
        <v>9</v>
      </c>
      <c r="E61" t="s">
        <v>8</v>
      </c>
      <c r="F61">
        <v>30</v>
      </c>
      <c r="G61">
        <v>41</v>
      </c>
      <c r="H61">
        <f t="shared" si="0"/>
        <v>1230</v>
      </c>
      <c r="I61">
        <f t="shared" si="1"/>
        <v>2777</v>
      </c>
    </row>
    <row r="62" spans="1:9" x14ac:dyDescent="0.45">
      <c r="A62" s="1">
        <v>42704</v>
      </c>
      <c r="B62" t="s">
        <v>20</v>
      </c>
      <c r="C62">
        <f t="shared" si="2"/>
        <v>2777</v>
      </c>
      <c r="D62" t="s">
        <v>7</v>
      </c>
      <c r="E62" t="s">
        <v>14</v>
      </c>
      <c r="F62">
        <v>97</v>
      </c>
      <c r="G62">
        <v>98</v>
      </c>
      <c r="H62">
        <f t="shared" si="0"/>
        <v>9506</v>
      </c>
      <c r="I62">
        <f t="shared" si="1"/>
        <v>12283</v>
      </c>
    </row>
    <row r="63" spans="1:9" x14ac:dyDescent="0.45">
      <c r="A63" s="1">
        <v>42704</v>
      </c>
      <c r="B63" t="s">
        <v>20</v>
      </c>
      <c r="C63">
        <f t="shared" si="2"/>
        <v>12283</v>
      </c>
      <c r="D63" t="s">
        <v>10</v>
      </c>
      <c r="E63" t="s">
        <v>14</v>
      </c>
      <c r="F63">
        <v>11</v>
      </c>
      <c r="G63">
        <v>12</v>
      </c>
      <c r="H63">
        <f t="shared" si="0"/>
        <v>132</v>
      </c>
      <c r="I63">
        <f t="shared" si="1"/>
        <v>12415</v>
      </c>
    </row>
    <row r="64" spans="1:9" x14ac:dyDescent="0.45">
      <c r="A64" s="1">
        <v>42704</v>
      </c>
      <c r="B64" t="s">
        <v>20</v>
      </c>
      <c r="C64">
        <f t="shared" si="2"/>
        <v>12415</v>
      </c>
      <c r="D64" t="s">
        <v>12</v>
      </c>
      <c r="E64" t="s">
        <v>8</v>
      </c>
      <c r="F64">
        <v>17</v>
      </c>
      <c r="G64">
        <v>20</v>
      </c>
      <c r="H64">
        <f t="shared" si="0"/>
        <v>340</v>
      </c>
      <c r="I64">
        <f t="shared" si="1"/>
        <v>12075</v>
      </c>
    </row>
    <row r="65" spans="1:9" x14ac:dyDescent="0.45">
      <c r="A65" s="1">
        <v>42704</v>
      </c>
      <c r="B65" t="s">
        <v>20</v>
      </c>
      <c r="C65">
        <f t="shared" si="2"/>
        <v>12075</v>
      </c>
      <c r="D65" t="s">
        <v>11</v>
      </c>
      <c r="E65" t="s">
        <v>8</v>
      </c>
      <c r="F65">
        <v>4</v>
      </c>
      <c r="G65">
        <v>23</v>
      </c>
      <c r="H65">
        <f t="shared" si="0"/>
        <v>92</v>
      </c>
      <c r="I65">
        <f t="shared" si="1"/>
        <v>11983</v>
      </c>
    </row>
    <row r="66" spans="1:9" x14ac:dyDescent="0.45">
      <c r="A66" s="1">
        <v>42729</v>
      </c>
      <c r="B66" t="s">
        <v>21</v>
      </c>
      <c r="C66">
        <f t="shared" si="2"/>
        <v>11983</v>
      </c>
      <c r="D66" t="s">
        <v>12</v>
      </c>
      <c r="E66" t="s">
        <v>14</v>
      </c>
      <c r="F66">
        <v>79</v>
      </c>
      <c r="G66">
        <v>31</v>
      </c>
      <c r="H66">
        <f t="shared" si="0"/>
        <v>2449</v>
      </c>
      <c r="I66">
        <f t="shared" si="1"/>
        <v>14432</v>
      </c>
    </row>
    <row r="67" spans="1:9" x14ac:dyDescent="0.45">
      <c r="A67" s="1">
        <v>42729</v>
      </c>
      <c r="B67" t="s">
        <v>21</v>
      </c>
      <c r="C67">
        <f t="shared" si="2"/>
        <v>14432</v>
      </c>
      <c r="D67" t="s">
        <v>7</v>
      </c>
      <c r="E67" t="s">
        <v>8</v>
      </c>
      <c r="F67">
        <v>33</v>
      </c>
      <c r="G67">
        <v>60</v>
      </c>
      <c r="H67">
        <f t="shared" ref="H67:H130" si="3">F67*G67</f>
        <v>1980</v>
      </c>
      <c r="I67">
        <f t="shared" ref="I67:I130" si="4">IF(E67="Z",C67-H67, C67+H67)</f>
        <v>12452</v>
      </c>
    </row>
    <row r="68" spans="1:9" x14ac:dyDescent="0.45">
      <c r="A68" s="1">
        <v>42729</v>
      </c>
      <c r="B68" t="s">
        <v>21</v>
      </c>
      <c r="C68">
        <f t="shared" ref="C68:C131" si="5">I67</f>
        <v>12452</v>
      </c>
      <c r="D68" t="s">
        <v>11</v>
      </c>
      <c r="E68" t="s">
        <v>8</v>
      </c>
      <c r="F68">
        <v>26</v>
      </c>
      <c r="G68">
        <v>23</v>
      </c>
      <c r="H68">
        <f t="shared" si="3"/>
        <v>598</v>
      </c>
      <c r="I68">
        <f t="shared" si="4"/>
        <v>11854</v>
      </c>
    </row>
    <row r="69" spans="1:9" x14ac:dyDescent="0.45">
      <c r="A69" s="1">
        <v>42742</v>
      </c>
      <c r="B69" t="s">
        <v>22</v>
      </c>
      <c r="C69">
        <f t="shared" si="5"/>
        <v>11854</v>
      </c>
      <c r="D69" t="s">
        <v>12</v>
      </c>
      <c r="E69" t="s">
        <v>8</v>
      </c>
      <c r="F69">
        <v>40</v>
      </c>
      <c r="G69">
        <v>22</v>
      </c>
      <c r="H69">
        <f t="shared" si="3"/>
        <v>880</v>
      </c>
      <c r="I69">
        <f t="shared" si="4"/>
        <v>10974</v>
      </c>
    </row>
    <row r="70" spans="1:9" x14ac:dyDescent="0.45">
      <c r="A70" s="1">
        <v>42742</v>
      </c>
      <c r="B70" t="s">
        <v>22</v>
      </c>
      <c r="C70">
        <f t="shared" si="5"/>
        <v>10974</v>
      </c>
      <c r="D70" t="s">
        <v>10</v>
      </c>
      <c r="E70" t="s">
        <v>8</v>
      </c>
      <c r="F70">
        <v>42</v>
      </c>
      <c r="G70">
        <v>9</v>
      </c>
      <c r="H70">
        <f t="shared" si="3"/>
        <v>378</v>
      </c>
      <c r="I70">
        <f t="shared" si="4"/>
        <v>10596</v>
      </c>
    </row>
    <row r="71" spans="1:9" x14ac:dyDescent="0.45">
      <c r="A71" s="1">
        <v>42742</v>
      </c>
      <c r="B71" t="s">
        <v>22</v>
      </c>
      <c r="C71">
        <f t="shared" si="5"/>
        <v>10596</v>
      </c>
      <c r="D71" t="s">
        <v>11</v>
      </c>
      <c r="E71" t="s">
        <v>8</v>
      </c>
      <c r="F71">
        <v>42</v>
      </c>
      <c r="G71">
        <v>26</v>
      </c>
      <c r="H71">
        <f t="shared" si="3"/>
        <v>1092</v>
      </c>
      <c r="I71">
        <f t="shared" si="4"/>
        <v>9504</v>
      </c>
    </row>
    <row r="72" spans="1:9" x14ac:dyDescent="0.45">
      <c r="A72" s="1">
        <v>42742</v>
      </c>
      <c r="B72" t="s">
        <v>22</v>
      </c>
      <c r="C72">
        <f t="shared" si="5"/>
        <v>9504</v>
      </c>
      <c r="D72" t="s">
        <v>7</v>
      </c>
      <c r="E72" t="s">
        <v>8</v>
      </c>
      <c r="F72">
        <v>9</v>
      </c>
      <c r="G72">
        <v>70</v>
      </c>
      <c r="H72">
        <f t="shared" si="3"/>
        <v>630</v>
      </c>
      <c r="I72">
        <f t="shared" si="4"/>
        <v>8874</v>
      </c>
    </row>
    <row r="73" spans="1:9" x14ac:dyDescent="0.45">
      <c r="A73" s="1">
        <v>42742</v>
      </c>
      <c r="B73" t="s">
        <v>22</v>
      </c>
      <c r="C73">
        <f t="shared" si="5"/>
        <v>8874</v>
      </c>
      <c r="D73" t="s">
        <v>9</v>
      </c>
      <c r="E73" t="s">
        <v>8</v>
      </c>
      <c r="F73">
        <v>39</v>
      </c>
      <c r="G73">
        <v>44</v>
      </c>
      <c r="H73">
        <f t="shared" si="3"/>
        <v>1716</v>
      </c>
      <c r="I73">
        <f t="shared" si="4"/>
        <v>7158</v>
      </c>
    </row>
    <row r="74" spans="1:9" x14ac:dyDescent="0.45">
      <c r="A74" s="1">
        <v>42759</v>
      </c>
      <c r="B74" t="s">
        <v>6</v>
      </c>
      <c r="C74">
        <f t="shared" si="5"/>
        <v>7158</v>
      </c>
      <c r="D74" t="s">
        <v>9</v>
      </c>
      <c r="E74" t="s">
        <v>14</v>
      </c>
      <c r="F74">
        <v>112</v>
      </c>
      <c r="G74">
        <v>59</v>
      </c>
      <c r="H74">
        <f t="shared" si="3"/>
        <v>6608</v>
      </c>
      <c r="I74">
        <f t="shared" si="4"/>
        <v>13766</v>
      </c>
    </row>
    <row r="75" spans="1:9" x14ac:dyDescent="0.45">
      <c r="A75" s="1">
        <v>42759</v>
      </c>
      <c r="B75" t="s">
        <v>6</v>
      </c>
      <c r="C75">
        <f t="shared" si="5"/>
        <v>13766</v>
      </c>
      <c r="D75" t="s">
        <v>7</v>
      </c>
      <c r="E75" t="s">
        <v>8</v>
      </c>
      <c r="F75">
        <v>34</v>
      </c>
      <c r="G75">
        <v>66</v>
      </c>
      <c r="H75">
        <f t="shared" si="3"/>
        <v>2244</v>
      </c>
      <c r="I75">
        <f t="shared" si="4"/>
        <v>11522</v>
      </c>
    </row>
    <row r="76" spans="1:9" x14ac:dyDescent="0.45">
      <c r="A76" s="1">
        <v>42759</v>
      </c>
      <c r="B76" t="s">
        <v>6</v>
      </c>
      <c r="C76">
        <f t="shared" si="5"/>
        <v>11522</v>
      </c>
      <c r="D76" t="s">
        <v>12</v>
      </c>
      <c r="E76" t="s">
        <v>8</v>
      </c>
      <c r="F76">
        <v>5</v>
      </c>
      <c r="G76">
        <v>21</v>
      </c>
      <c r="H76">
        <f t="shared" si="3"/>
        <v>105</v>
      </c>
      <c r="I76">
        <f t="shared" si="4"/>
        <v>11417</v>
      </c>
    </row>
    <row r="77" spans="1:9" x14ac:dyDescent="0.45">
      <c r="A77" s="1">
        <v>42774</v>
      </c>
      <c r="B77" t="s">
        <v>13</v>
      </c>
      <c r="C77">
        <f t="shared" si="5"/>
        <v>11417</v>
      </c>
      <c r="D77" t="s">
        <v>7</v>
      </c>
      <c r="E77" t="s">
        <v>14</v>
      </c>
      <c r="F77">
        <v>74</v>
      </c>
      <c r="G77">
        <v>92</v>
      </c>
      <c r="H77">
        <f t="shared" si="3"/>
        <v>6808</v>
      </c>
      <c r="I77">
        <f t="shared" si="4"/>
        <v>18225</v>
      </c>
    </row>
    <row r="78" spans="1:9" x14ac:dyDescent="0.45">
      <c r="A78" s="1">
        <v>42774</v>
      </c>
      <c r="B78" t="s">
        <v>13</v>
      </c>
      <c r="C78">
        <f t="shared" si="5"/>
        <v>18225</v>
      </c>
      <c r="D78" t="s">
        <v>11</v>
      </c>
      <c r="E78" t="s">
        <v>8</v>
      </c>
      <c r="F78">
        <v>14</v>
      </c>
      <c r="G78">
        <v>26</v>
      </c>
      <c r="H78">
        <f t="shared" si="3"/>
        <v>364</v>
      </c>
      <c r="I78">
        <f t="shared" si="4"/>
        <v>17861</v>
      </c>
    </row>
    <row r="79" spans="1:9" x14ac:dyDescent="0.45">
      <c r="A79" s="1">
        <v>42793</v>
      </c>
      <c r="B79" t="s">
        <v>15</v>
      </c>
      <c r="C79">
        <f t="shared" si="5"/>
        <v>17861</v>
      </c>
      <c r="D79" t="s">
        <v>9</v>
      </c>
      <c r="E79" t="s">
        <v>14</v>
      </c>
      <c r="F79">
        <v>1</v>
      </c>
      <c r="G79">
        <v>60</v>
      </c>
      <c r="H79">
        <f t="shared" si="3"/>
        <v>60</v>
      </c>
      <c r="I79">
        <f t="shared" si="4"/>
        <v>17921</v>
      </c>
    </row>
    <row r="80" spans="1:9" x14ac:dyDescent="0.45">
      <c r="A80" s="1">
        <v>42793</v>
      </c>
      <c r="B80" t="s">
        <v>15</v>
      </c>
      <c r="C80">
        <f t="shared" si="5"/>
        <v>17921</v>
      </c>
      <c r="D80" t="s">
        <v>11</v>
      </c>
      <c r="E80" t="s">
        <v>14</v>
      </c>
      <c r="F80">
        <v>43</v>
      </c>
      <c r="G80">
        <v>36</v>
      </c>
      <c r="H80">
        <f t="shared" si="3"/>
        <v>1548</v>
      </c>
      <c r="I80">
        <f t="shared" si="4"/>
        <v>19469</v>
      </c>
    </row>
    <row r="81" spans="1:9" x14ac:dyDescent="0.45">
      <c r="A81" s="1">
        <v>42793</v>
      </c>
      <c r="B81" t="s">
        <v>15</v>
      </c>
      <c r="C81">
        <f t="shared" si="5"/>
        <v>19469</v>
      </c>
      <c r="D81" t="s">
        <v>10</v>
      </c>
      <c r="E81" t="s">
        <v>8</v>
      </c>
      <c r="F81">
        <v>30</v>
      </c>
      <c r="G81">
        <v>8</v>
      </c>
      <c r="H81">
        <f t="shared" si="3"/>
        <v>240</v>
      </c>
      <c r="I81">
        <f t="shared" si="4"/>
        <v>19229</v>
      </c>
    </row>
    <row r="82" spans="1:9" x14ac:dyDescent="0.45">
      <c r="A82" s="1">
        <v>42793</v>
      </c>
      <c r="B82" t="s">
        <v>15</v>
      </c>
      <c r="C82">
        <f t="shared" si="5"/>
        <v>19229</v>
      </c>
      <c r="D82" t="s">
        <v>12</v>
      </c>
      <c r="E82" t="s">
        <v>8</v>
      </c>
      <c r="F82">
        <v>14</v>
      </c>
      <c r="G82">
        <v>20</v>
      </c>
      <c r="H82">
        <f t="shared" si="3"/>
        <v>280</v>
      </c>
      <c r="I82">
        <f t="shared" si="4"/>
        <v>18949</v>
      </c>
    </row>
    <row r="83" spans="1:9" x14ac:dyDescent="0.45">
      <c r="A83" s="1">
        <v>42819</v>
      </c>
      <c r="B83" t="s">
        <v>16</v>
      </c>
      <c r="C83">
        <f t="shared" si="5"/>
        <v>18949</v>
      </c>
      <c r="D83" t="s">
        <v>11</v>
      </c>
      <c r="E83" t="s">
        <v>14</v>
      </c>
      <c r="F83">
        <v>33</v>
      </c>
      <c r="G83">
        <v>38</v>
      </c>
      <c r="H83">
        <f t="shared" si="3"/>
        <v>1254</v>
      </c>
      <c r="I83">
        <f t="shared" si="4"/>
        <v>20203</v>
      </c>
    </row>
    <row r="84" spans="1:9" x14ac:dyDescent="0.45">
      <c r="A84" s="1">
        <v>42819</v>
      </c>
      <c r="B84" t="s">
        <v>16</v>
      </c>
      <c r="C84">
        <f t="shared" si="5"/>
        <v>20203</v>
      </c>
      <c r="D84" t="s">
        <v>9</v>
      </c>
      <c r="E84" t="s">
        <v>8</v>
      </c>
      <c r="F84">
        <v>35</v>
      </c>
      <c r="G84">
        <v>37</v>
      </c>
      <c r="H84">
        <f t="shared" si="3"/>
        <v>1295</v>
      </c>
      <c r="I84">
        <f t="shared" si="4"/>
        <v>18908</v>
      </c>
    </row>
    <row r="85" spans="1:9" x14ac:dyDescent="0.45">
      <c r="A85" s="1">
        <v>42819</v>
      </c>
      <c r="B85" t="s">
        <v>16</v>
      </c>
      <c r="C85">
        <f t="shared" si="5"/>
        <v>18908</v>
      </c>
      <c r="D85" t="s">
        <v>12</v>
      </c>
      <c r="E85" t="s">
        <v>8</v>
      </c>
      <c r="F85">
        <v>40</v>
      </c>
      <c r="G85">
        <v>19</v>
      </c>
      <c r="H85">
        <f t="shared" si="3"/>
        <v>760</v>
      </c>
      <c r="I85">
        <f t="shared" si="4"/>
        <v>18148</v>
      </c>
    </row>
    <row r="86" spans="1:9" x14ac:dyDescent="0.45">
      <c r="A86" s="1">
        <v>42840</v>
      </c>
      <c r="B86" t="s">
        <v>17</v>
      </c>
      <c r="C86">
        <f t="shared" si="5"/>
        <v>18148</v>
      </c>
      <c r="D86" t="s">
        <v>11</v>
      </c>
      <c r="E86" t="s">
        <v>14</v>
      </c>
      <c r="F86">
        <v>21</v>
      </c>
      <c r="G86">
        <v>36</v>
      </c>
      <c r="H86">
        <f t="shared" si="3"/>
        <v>756</v>
      </c>
      <c r="I86">
        <f t="shared" si="4"/>
        <v>18904</v>
      </c>
    </row>
    <row r="87" spans="1:9" x14ac:dyDescent="0.45">
      <c r="A87" s="1">
        <v>42840</v>
      </c>
      <c r="B87" t="s">
        <v>17</v>
      </c>
      <c r="C87">
        <f t="shared" si="5"/>
        <v>18904</v>
      </c>
      <c r="D87" t="s">
        <v>7</v>
      </c>
      <c r="E87" t="s">
        <v>14</v>
      </c>
      <c r="F87">
        <v>2</v>
      </c>
      <c r="G87">
        <v>97</v>
      </c>
      <c r="H87">
        <f t="shared" si="3"/>
        <v>194</v>
      </c>
      <c r="I87">
        <f t="shared" si="4"/>
        <v>19098</v>
      </c>
    </row>
    <row r="88" spans="1:9" x14ac:dyDescent="0.45">
      <c r="A88" s="1">
        <v>42840</v>
      </c>
      <c r="B88" t="s">
        <v>17</v>
      </c>
      <c r="C88">
        <f t="shared" si="5"/>
        <v>19098</v>
      </c>
      <c r="D88" t="s">
        <v>12</v>
      </c>
      <c r="E88" t="s">
        <v>8</v>
      </c>
      <c r="F88">
        <v>12</v>
      </c>
      <c r="G88">
        <v>20</v>
      </c>
      <c r="H88">
        <f t="shared" si="3"/>
        <v>240</v>
      </c>
      <c r="I88">
        <f t="shared" si="4"/>
        <v>18858</v>
      </c>
    </row>
    <row r="89" spans="1:9" x14ac:dyDescent="0.45">
      <c r="A89" s="1">
        <v>42840</v>
      </c>
      <c r="B89" t="s">
        <v>17</v>
      </c>
      <c r="C89">
        <f t="shared" si="5"/>
        <v>18858</v>
      </c>
      <c r="D89" t="s">
        <v>10</v>
      </c>
      <c r="E89" t="s">
        <v>8</v>
      </c>
      <c r="F89">
        <v>15</v>
      </c>
      <c r="G89">
        <v>8</v>
      </c>
      <c r="H89">
        <f t="shared" si="3"/>
        <v>120</v>
      </c>
      <c r="I89">
        <f t="shared" si="4"/>
        <v>18738</v>
      </c>
    </row>
    <row r="90" spans="1:9" x14ac:dyDescent="0.45">
      <c r="A90" s="1">
        <v>42840</v>
      </c>
      <c r="B90" t="s">
        <v>17</v>
      </c>
      <c r="C90">
        <f t="shared" si="5"/>
        <v>18738</v>
      </c>
      <c r="D90" t="s">
        <v>9</v>
      </c>
      <c r="E90" t="s">
        <v>8</v>
      </c>
      <c r="F90">
        <v>1</v>
      </c>
      <c r="G90">
        <v>40</v>
      </c>
      <c r="H90">
        <f t="shared" si="3"/>
        <v>40</v>
      </c>
      <c r="I90">
        <f t="shared" si="4"/>
        <v>18698</v>
      </c>
    </row>
    <row r="91" spans="1:9" x14ac:dyDescent="0.45">
      <c r="A91" s="1">
        <v>42864</v>
      </c>
      <c r="B91" t="s">
        <v>18</v>
      </c>
      <c r="C91">
        <f t="shared" si="5"/>
        <v>18698</v>
      </c>
      <c r="D91" t="s">
        <v>10</v>
      </c>
      <c r="E91" t="s">
        <v>14</v>
      </c>
      <c r="F91">
        <v>86</v>
      </c>
      <c r="G91">
        <v>12</v>
      </c>
      <c r="H91">
        <f t="shared" si="3"/>
        <v>1032</v>
      </c>
      <c r="I91">
        <f t="shared" si="4"/>
        <v>19730</v>
      </c>
    </row>
    <row r="92" spans="1:9" x14ac:dyDescent="0.45">
      <c r="A92" s="1">
        <v>42864</v>
      </c>
      <c r="B92" t="s">
        <v>18</v>
      </c>
      <c r="C92">
        <f t="shared" si="5"/>
        <v>19730</v>
      </c>
      <c r="D92" t="s">
        <v>12</v>
      </c>
      <c r="E92" t="s">
        <v>14</v>
      </c>
      <c r="F92">
        <v>110</v>
      </c>
      <c r="G92">
        <v>31</v>
      </c>
      <c r="H92">
        <f t="shared" si="3"/>
        <v>3410</v>
      </c>
      <c r="I92">
        <f t="shared" si="4"/>
        <v>23140</v>
      </c>
    </row>
    <row r="93" spans="1:9" x14ac:dyDescent="0.45">
      <c r="A93" s="1">
        <v>42864</v>
      </c>
      <c r="B93" t="s">
        <v>18</v>
      </c>
      <c r="C93">
        <f t="shared" si="5"/>
        <v>23140</v>
      </c>
      <c r="D93" t="s">
        <v>9</v>
      </c>
      <c r="E93" t="s">
        <v>8</v>
      </c>
      <c r="F93">
        <v>33</v>
      </c>
      <c r="G93">
        <v>38</v>
      </c>
      <c r="H93">
        <f t="shared" si="3"/>
        <v>1254</v>
      </c>
      <c r="I93">
        <f t="shared" si="4"/>
        <v>21886</v>
      </c>
    </row>
    <row r="94" spans="1:9" x14ac:dyDescent="0.45">
      <c r="A94" s="1">
        <v>42864</v>
      </c>
      <c r="B94" t="s">
        <v>18</v>
      </c>
      <c r="C94">
        <f t="shared" si="5"/>
        <v>21886</v>
      </c>
      <c r="D94" t="s">
        <v>11</v>
      </c>
      <c r="E94" t="s">
        <v>8</v>
      </c>
      <c r="F94">
        <v>13</v>
      </c>
      <c r="G94">
        <v>23</v>
      </c>
      <c r="H94">
        <f t="shared" si="3"/>
        <v>299</v>
      </c>
      <c r="I94">
        <f t="shared" si="4"/>
        <v>21587</v>
      </c>
    </row>
    <row r="95" spans="1:9" x14ac:dyDescent="0.45">
      <c r="A95" s="1">
        <v>42864</v>
      </c>
      <c r="B95" t="s">
        <v>18</v>
      </c>
      <c r="C95">
        <f t="shared" si="5"/>
        <v>21587</v>
      </c>
      <c r="D95" t="s">
        <v>7</v>
      </c>
      <c r="E95" t="s">
        <v>8</v>
      </c>
      <c r="F95">
        <v>37</v>
      </c>
      <c r="G95">
        <v>61</v>
      </c>
      <c r="H95">
        <f t="shared" si="3"/>
        <v>2257</v>
      </c>
      <c r="I95">
        <f t="shared" si="4"/>
        <v>19330</v>
      </c>
    </row>
    <row r="96" spans="1:9" x14ac:dyDescent="0.45">
      <c r="A96" s="1">
        <v>42882</v>
      </c>
      <c r="B96" t="s">
        <v>19</v>
      </c>
      <c r="C96">
        <f t="shared" si="5"/>
        <v>19330</v>
      </c>
      <c r="D96" t="s">
        <v>10</v>
      </c>
      <c r="E96" t="s">
        <v>14</v>
      </c>
      <c r="F96">
        <v>1</v>
      </c>
      <c r="G96">
        <v>12</v>
      </c>
      <c r="H96">
        <f t="shared" si="3"/>
        <v>12</v>
      </c>
      <c r="I96">
        <f t="shared" si="4"/>
        <v>19342</v>
      </c>
    </row>
    <row r="97" spans="1:9" x14ac:dyDescent="0.45">
      <c r="A97" s="1">
        <v>42882</v>
      </c>
      <c r="B97" t="s">
        <v>19</v>
      </c>
      <c r="C97">
        <f t="shared" si="5"/>
        <v>19342</v>
      </c>
      <c r="D97" t="s">
        <v>9</v>
      </c>
      <c r="E97" t="s">
        <v>14</v>
      </c>
      <c r="F97">
        <v>68</v>
      </c>
      <c r="G97">
        <v>59</v>
      </c>
      <c r="H97">
        <f t="shared" si="3"/>
        <v>4012</v>
      </c>
      <c r="I97">
        <f t="shared" si="4"/>
        <v>23354</v>
      </c>
    </row>
    <row r="98" spans="1:9" x14ac:dyDescent="0.45">
      <c r="A98" s="1">
        <v>42882</v>
      </c>
      <c r="B98" t="s">
        <v>19</v>
      </c>
      <c r="C98">
        <f t="shared" si="5"/>
        <v>23354</v>
      </c>
      <c r="D98" t="s">
        <v>7</v>
      </c>
      <c r="E98" t="s">
        <v>8</v>
      </c>
      <c r="F98">
        <v>35</v>
      </c>
      <c r="G98">
        <v>66</v>
      </c>
      <c r="H98">
        <f t="shared" si="3"/>
        <v>2310</v>
      </c>
      <c r="I98">
        <f t="shared" si="4"/>
        <v>21044</v>
      </c>
    </row>
    <row r="99" spans="1:9" x14ac:dyDescent="0.45">
      <c r="A99" s="1">
        <v>42882</v>
      </c>
      <c r="B99" t="s">
        <v>19</v>
      </c>
      <c r="C99">
        <f t="shared" si="5"/>
        <v>21044</v>
      </c>
      <c r="D99" t="s">
        <v>12</v>
      </c>
      <c r="E99" t="s">
        <v>8</v>
      </c>
      <c r="F99">
        <v>25</v>
      </c>
      <c r="G99">
        <v>21</v>
      </c>
      <c r="H99">
        <f t="shared" si="3"/>
        <v>525</v>
      </c>
      <c r="I99">
        <f t="shared" si="4"/>
        <v>20519</v>
      </c>
    </row>
    <row r="100" spans="1:9" x14ac:dyDescent="0.45">
      <c r="A100" s="1">
        <v>42882</v>
      </c>
      <c r="B100" t="s">
        <v>19</v>
      </c>
      <c r="C100">
        <f t="shared" si="5"/>
        <v>20519</v>
      </c>
      <c r="D100" t="s">
        <v>11</v>
      </c>
      <c r="E100" t="s">
        <v>8</v>
      </c>
      <c r="F100">
        <v>10</v>
      </c>
      <c r="G100">
        <v>25</v>
      </c>
      <c r="H100">
        <f t="shared" si="3"/>
        <v>250</v>
      </c>
      <c r="I100">
        <f t="shared" si="4"/>
        <v>20269</v>
      </c>
    </row>
    <row r="101" spans="1:9" x14ac:dyDescent="0.45">
      <c r="A101" s="1">
        <v>42904</v>
      </c>
      <c r="B101" t="s">
        <v>20</v>
      </c>
      <c r="C101">
        <f t="shared" si="5"/>
        <v>20269</v>
      </c>
      <c r="D101" t="s">
        <v>11</v>
      </c>
      <c r="E101" t="s">
        <v>14</v>
      </c>
      <c r="F101">
        <v>38</v>
      </c>
      <c r="G101">
        <v>37</v>
      </c>
      <c r="H101">
        <f t="shared" si="3"/>
        <v>1406</v>
      </c>
      <c r="I101">
        <f t="shared" si="4"/>
        <v>21675</v>
      </c>
    </row>
    <row r="102" spans="1:9" x14ac:dyDescent="0.45">
      <c r="A102" s="1">
        <v>42904</v>
      </c>
      <c r="B102" t="s">
        <v>20</v>
      </c>
      <c r="C102">
        <f t="shared" si="5"/>
        <v>21675</v>
      </c>
      <c r="D102" t="s">
        <v>10</v>
      </c>
      <c r="E102" t="s">
        <v>8</v>
      </c>
      <c r="F102">
        <v>22</v>
      </c>
      <c r="G102">
        <v>8</v>
      </c>
      <c r="H102">
        <f t="shared" si="3"/>
        <v>176</v>
      </c>
      <c r="I102">
        <f t="shared" si="4"/>
        <v>21499</v>
      </c>
    </row>
    <row r="103" spans="1:9" x14ac:dyDescent="0.45">
      <c r="A103" s="1">
        <v>42904</v>
      </c>
      <c r="B103" t="s">
        <v>20</v>
      </c>
      <c r="C103">
        <f t="shared" si="5"/>
        <v>21499</v>
      </c>
      <c r="D103" t="s">
        <v>12</v>
      </c>
      <c r="E103" t="s">
        <v>8</v>
      </c>
      <c r="F103">
        <v>25</v>
      </c>
      <c r="G103">
        <v>20</v>
      </c>
      <c r="H103">
        <f t="shared" si="3"/>
        <v>500</v>
      </c>
      <c r="I103">
        <f t="shared" si="4"/>
        <v>20999</v>
      </c>
    </row>
    <row r="104" spans="1:9" x14ac:dyDescent="0.45">
      <c r="A104" s="1">
        <v>42904</v>
      </c>
      <c r="B104" t="s">
        <v>20</v>
      </c>
      <c r="C104">
        <f t="shared" si="5"/>
        <v>20999</v>
      </c>
      <c r="D104" t="s">
        <v>9</v>
      </c>
      <c r="E104" t="s">
        <v>8</v>
      </c>
      <c r="F104">
        <v>8</v>
      </c>
      <c r="G104">
        <v>39</v>
      </c>
      <c r="H104">
        <f t="shared" si="3"/>
        <v>312</v>
      </c>
      <c r="I104">
        <f t="shared" si="4"/>
        <v>20687</v>
      </c>
    </row>
    <row r="105" spans="1:9" x14ac:dyDescent="0.45">
      <c r="A105" s="1">
        <v>42904</v>
      </c>
      <c r="B105" t="s">
        <v>20</v>
      </c>
      <c r="C105">
        <f t="shared" si="5"/>
        <v>20687</v>
      </c>
      <c r="D105" t="s">
        <v>7</v>
      </c>
      <c r="E105" t="s">
        <v>8</v>
      </c>
      <c r="F105">
        <v>45</v>
      </c>
      <c r="G105">
        <v>62</v>
      </c>
      <c r="H105">
        <f t="shared" si="3"/>
        <v>2790</v>
      </c>
      <c r="I105">
        <f t="shared" si="4"/>
        <v>17897</v>
      </c>
    </row>
    <row r="106" spans="1:9" x14ac:dyDescent="0.45">
      <c r="A106" s="1">
        <v>42929</v>
      </c>
      <c r="B106" t="s">
        <v>21</v>
      </c>
      <c r="C106">
        <f t="shared" si="5"/>
        <v>17897</v>
      </c>
      <c r="D106" t="s">
        <v>7</v>
      </c>
      <c r="E106" t="s">
        <v>14</v>
      </c>
      <c r="F106">
        <v>116</v>
      </c>
      <c r="G106">
        <v>100</v>
      </c>
      <c r="H106">
        <f t="shared" si="3"/>
        <v>11600</v>
      </c>
      <c r="I106">
        <f t="shared" si="4"/>
        <v>29497</v>
      </c>
    </row>
    <row r="107" spans="1:9" x14ac:dyDescent="0.45">
      <c r="A107" s="1">
        <v>42929</v>
      </c>
      <c r="B107" t="s">
        <v>21</v>
      </c>
      <c r="C107">
        <f t="shared" si="5"/>
        <v>29497</v>
      </c>
      <c r="D107" t="s">
        <v>12</v>
      </c>
      <c r="E107" t="s">
        <v>8</v>
      </c>
      <c r="F107">
        <v>29</v>
      </c>
      <c r="G107">
        <v>19</v>
      </c>
      <c r="H107">
        <f t="shared" si="3"/>
        <v>551</v>
      </c>
      <c r="I107">
        <f t="shared" si="4"/>
        <v>28946</v>
      </c>
    </row>
    <row r="108" spans="1:9" x14ac:dyDescent="0.45">
      <c r="A108" s="1">
        <v>42942</v>
      </c>
      <c r="B108" t="s">
        <v>22</v>
      </c>
      <c r="C108">
        <f t="shared" si="5"/>
        <v>28946</v>
      </c>
      <c r="D108" t="s">
        <v>11</v>
      </c>
      <c r="E108" t="s">
        <v>14</v>
      </c>
      <c r="F108">
        <v>5</v>
      </c>
      <c r="G108">
        <v>34</v>
      </c>
      <c r="H108">
        <f t="shared" si="3"/>
        <v>170</v>
      </c>
      <c r="I108">
        <f t="shared" si="4"/>
        <v>29116</v>
      </c>
    </row>
    <row r="109" spans="1:9" x14ac:dyDescent="0.45">
      <c r="A109" s="1">
        <v>42942</v>
      </c>
      <c r="B109" t="s">
        <v>22</v>
      </c>
      <c r="C109">
        <f t="shared" si="5"/>
        <v>29116</v>
      </c>
      <c r="D109" t="s">
        <v>10</v>
      </c>
      <c r="E109" t="s">
        <v>14</v>
      </c>
      <c r="F109">
        <v>22</v>
      </c>
      <c r="G109">
        <v>11</v>
      </c>
      <c r="H109">
        <f t="shared" si="3"/>
        <v>242</v>
      </c>
      <c r="I109">
        <f t="shared" si="4"/>
        <v>29358</v>
      </c>
    </row>
    <row r="110" spans="1:9" x14ac:dyDescent="0.45">
      <c r="A110" s="1">
        <v>42942</v>
      </c>
      <c r="B110" t="s">
        <v>22</v>
      </c>
      <c r="C110">
        <f t="shared" si="5"/>
        <v>29358</v>
      </c>
      <c r="D110" t="s">
        <v>12</v>
      </c>
      <c r="E110" t="s">
        <v>8</v>
      </c>
      <c r="F110">
        <v>37</v>
      </c>
      <c r="G110">
        <v>22</v>
      </c>
      <c r="H110">
        <f t="shared" si="3"/>
        <v>814</v>
      </c>
      <c r="I110">
        <f t="shared" si="4"/>
        <v>28544</v>
      </c>
    </row>
    <row r="111" spans="1:9" x14ac:dyDescent="0.45">
      <c r="A111" s="1">
        <v>42942</v>
      </c>
      <c r="B111" t="s">
        <v>22</v>
      </c>
      <c r="C111">
        <f t="shared" si="5"/>
        <v>28544</v>
      </c>
      <c r="D111" t="s">
        <v>7</v>
      </c>
      <c r="E111" t="s">
        <v>8</v>
      </c>
      <c r="F111">
        <v>10</v>
      </c>
      <c r="G111">
        <v>70</v>
      </c>
      <c r="H111">
        <f t="shared" si="3"/>
        <v>700</v>
      </c>
      <c r="I111">
        <f t="shared" si="4"/>
        <v>27844</v>
      </c>
    </row>
    <row r="112" spans="1:9" x14ac:dyDescent="0.45">
      <c r="A112" s="1">
        <v>42942</v>
      </c>
      <c r="B112" t="s">
        <v>22</v>
      </c>
      <c r="C112">
        <f t="shared" si="5"/>
        <v>27844</v>
      </c>
      <c r="D112" t="s">
        <v>9</v>
      </c>
      <c r="E112" t="s">
        <v>8</v>
      </c>
      <c r="F112">
        <v>42</v>
      </c>
      <c r="G112">
        <v>44</v>
      </c>
      <c r="H112">
        <f t="shared" si="3"/>
        <v>1848</v>
      </c>
      <c r="I112">
        <f t="shared" si="4"/>
        <v>25996</v>
      </c>
    </row>
    <row r="113" spans="1:9" x14ac:dyDescent="0.45">
      <c r="A113" s="1">
        <v>42959</v>
      </c>
      <c r="B113" t="s">
        <v>6</v>
      </c>
      <c r="C113">
        <f t="shared" si="5"/>
        <v>25996</v>
      </c>
      <c r="D113" t="s">
        <v>7</v>
      </c>
      <c r="E113" t="s">
        <v>14</v>
      </c>
      <c r="F113">
        <v>11</v>
      </c>
      <c r="G113">
        <v>94</v>
      </c>
      <c r="H113">
        <f t="shared" si="3"/>
        <v>1034</v>
      </c>
      <c r="I113">
        <f t="shared" si="4"/>
        <v>27030</v>
      </c>
    </row>
    <row r="114" spans="1:9" x14ac:dyDescent="0.45">
      <c r="A114" s="1">
        <v>42959</v>
      </c>
      <c r="B114" t="s">
        <v>6</v>
      </c>
      <c r="C114">
        <f t="shared" si="5"/>
        <v>27030</v>
      </c>
      <c r="D114" t="s">
        <v>9</v>
      </c>
      <c r="E114" t="s">
        <v>14</v>
      </c>
      <c r="F114">
        <v>48</v>
      </c>
      <c r="G114">
        <v>59</v>
      </c>
      <c r="H114">
        <f t="shared" si="3"/>
        <v>2832</v>
      </c>
      <c r="I114">
        <f t="shared" si="4"/>
        <v>29862</v>
      </c>
    </row>
    <row r="115" spans="1:9" x14ac:dyDescent="0.45">
      <c r="A115" s="1">
        <v>42959</v>
      </c>
      <c r="B115" t="s">
        <v>6</v>
      </c>
      <c r="C115">
        <f t="shared" si="5"/>
        <v>29862</v>
      </c>
      <c r="D115" t="s">
        <v>12</v>
      </c>
      <c r="E115" t="s">
        <v>8</v>
      </c>
      <c r="F115">
        <v>20</v>
      </c>
      <c r="G115">
        <v>21</v>
      </c>
      <c r="H115">
        <f t="shared" si="3"/>
        <v>420</v>
      </c>
      <c r="I115">
        <f t="shared" si="4"/>
        <v>29442</v>
      </c>
    </row>
    <row r="116" spans="1:9" x14ac:dyDescent="0.45">
      <c r="A116" s="1">
        <v>42959</v>
      </c>
      <c r="B116" t="s">
        <v>6</v>
      </c>
      <c r="C116">
        <f t="shared" si="5"/>
        <v>29442</v>
      </c>
      <c r="D116" t="s">
        <v>11</v>
      </c>
      <c r="E116" t="s">
        <v>8</v>
      </c>
      <c r="F116">
        <v>26</v>
      </c>
      <c r="G116">
        <v>25</v>
      </c>
      <c r="H116">
        <f t="shared" si="3"/>
        <v>650</v>
      </c>
      <c r="I116">
        <f t="shared" si="4"/>
        <v>28792</v>
      </c>
    </row>
    <row r="117" spans="1:9" x14ac:dyDescent="0.45">
      <c r="A117" s="1">
        <v>42974</v>
      </c>
      <c r="B117" t="s">
        <v>13</v>
      </c>
      <c r="C117">
        <f t="shared" si="5"/>
        <v>28792</v>
      </c>
      <c r="D117" t="s">
        <v>10</v>
      </c>
      <c r="E117" t="s">
        <v>8</v>
      </c>
      <c r="F117">
        <v>24</v>
      </c>
      <c r="G117">
        <v>9</v>
      </c>
      <c r="H117">
        <f t="shared" si="3"/>
        <v>216</v>
      </c>
      <c r="I117">
        <f t="shared" si="4"/>
        <v>28576</v>
      </c>
    </row>
    <row r="118" spans="1:9" x14ac:dyDescent="0.45">
      <c r="A118" s="1">
        <v>42974</v>
      </c>
      <c r="B118" t="s">
        <v>13</v>
      </c>
      <c r="C118">
        <f t="shared" si="5"/>
        <v>28576</v>
      </c>
      <c r="D118" t="s">
        <v>7</v>
      </c>
      <c r="E118" t="s">
        <v>8</v>
      </c>
      <c r="F118">
        <v>38</v>
      </c>
      <c r="G118">
        <v>68</v>
      </c>
      <c r="H118">
        <f t="shared" si="3"/>
        <v>2584</v>
      </c>
      <c r="I118">
        <f t="shared" si="4"/>
        <v>25992</v>
      </c>
    </row>
    <row r="119" spans="1:9" x14ac:dyDescent="0.45">
      <c r="A119" s="1">
        <v>42974</v>
      </c>
      <c r="B119" t="s">
        <v>13</v>
      </c>
      <c r="C119">
        <f t="shared" si="5"/>
        <v>25992</v>
      </c>
      <c r="D119" t="s">
        <v>12</v>
      </c>
      <c r="E119" t="s">
        <v>8</v>
      </c>
      <c r="F119">
        <v>14</v>
      </c>
      <c r="G119">
        <v>21</v>
      </c>
      <c r="H119">
        <f t="shared" si="3"/>
        <v>294</v>
      </c>
      <c r="I119">
        <f t="shared" si="4"/>
        <v>25698</v>
      </c>
    </row>
    <row r="120" spans="1:9" x14ac:dyDescent="0.45">
      <c r="A120" s="1">
        <v>42974</v>
      </c>
      <c r="B120" t="s">
        <v>13</v>
      </c>
      <c r="C120">
        <f t="shared" si="5"/>
        <v>25698</v>
      </c>
      <c r="D120" t="s">
        <v>9</v>
      </c>
      <c r="E120" t="s">
        <v>8</v>
      </c>
      <c r="F120">
        <v>4</v>
      </c>
      <c r="G120">
        <v>43</v>
      </c>
      <c r="H120">
        <f t="shared" si="3"/>
        <v>172</v>
      </c>
      <c r="I120">
        <f t="shared" si="4"/>
        <v>25526</v>
      </c>
    </row>
    <row r="121" spans="1:9" x14ac:dyDescent="0.45">
      <c r="A121" s="1">
        <v>42993</v>
      </c>
      <c r="B121" t="s">
        <v>15</v>
      </c>
      <c r="C121">
        <f t="shared" si="5"/>
        <v>25526</v>
      </c>
      <c r="D121" t="s">
        <v>11</v>
      </c>
      <c r="E121" t="s">
        <v>14</v>
      </c>
      <c r="F121">
        <v>19</v>
      </c>
      <c r="G121">
        <v>36</v>
      </c>
      <c r="H121">
        <f t="shared" si="3"/>
        <v>684</v>
      </c>
      <c r="I121">
        <f t="shared" si="4"/>
        <v>26210</v>
      </c>
    </row>
    <row r="122" spans="1:9" x14ac:dyDescent="0.45">
      <c r="A122" s="1">
        <v>42993</v>
      </c>
      <c r="B122" t="s">
        <v>15</v>
      </c>
      <c r="C122">
        <f t="shared" si="5"/>
        <v>26210</v>
      </c>
      <c r="D122" t="s">
        <v>7</v>
      </c>
      <c r="E122" t="s">
        <v>8</v>
      </c>
      <c r="F122">
        <v>30</v>
      </c>
      <c r="G122">
        <v>65</v>
      </c>
      <c r="H122">
        <f t="shared" si="3"/>
        <v>1950</v>
      </c>
      <c r="I122">
        <f t="shared" si="4"/>
        <v>24260</v>
      </c>
    </row>
    <row r="123" spans="1:9" x14ac:dyDescent="0.45">
      <c r="A123" s="1">
        <v>43019</v>
      </c>
      <c r="B123" t="s">
        <v>16</v>
      </c>
      <c r="C123">
        <f t="shared" si="5"/>
        <v>24260</v>
      </c>
      <c r="D123" t="s">
        <v>9</v>
      </c>
      <c r="E123" t="s">
        <v>14</v>
      </c>
      <c r="F123">
        <v>6</v>
      </c>
      <c r="G123">
        <v>63</v>
      </c>
      <c r="H123">
        <f t="shared" si="3"/>
        <v>378</v>
      </c>
      <c r="I123">
        <f t="shared" si="4"/>
        <v>24638</v>
      </c>
    </row>
    <row r="124" spans="1:9" x14ac:dyDescent="0.45">
      <c r="A124" s="1">
        <v>43019</v>
      </c>
      <c r="B124" t="s">
        <v>16</v>
      </c>
      <c r="C124">
        <f t="shared" si="5"/>
        <v>24638</v>
      </c>
      <c r="D124" t="s">
        <v>7</v>
      </c>
      <c r="E124" t="s">
        <v>8</v>
      </c>
      <c r="F124">
        <v>43</v>
      </c>
      <c r="G124">
        <v>59</v>
      </c>
      <c r="H124">
        <f t="shared" si="3"/>
        <v>2537</v>
      </c>
      <c r="I124">
        <f t="shared" si="4"/>
        <v>22101</v>
      </c>
    </row>
    <row r="125" spans="1:9" x14ac:dyDescent="0.45">
      <c r="A125" s="1">
        <v>43040</v>
      </c>
      <c r="B125" t="s">
        <v>17</v>
      </c>
      <c r="C125">
        <f t="shared" si="5"/>
        <v>22101</v>
      </c>
      <c r="D125" t="s">
        <v>9</v>
      </c>
      <c r="E125" t="s">
        <v>14</v>
      </c>
      <c r="F125">
        <v>1</v>
      </c>
      <c r="G125">
        <v>61</v>
      </c>
      <c r="H125">
        <f t="shared" si="3"/>
        <v>61</v>
      </c>
      <c r="I125">
        <f t="shared" si="4"/>
        <v>22162</v>
      </c>
    </row>
    <row r="126" spans="1:9" x14ac:dyDescent="0.45">
      <c r="A126" s="1">
        <v>43040</v>
      </c>
      <c r="B126" t="s">
        <v>17</v>
      </c>
      <c r="C126">
        <f t="shared" si="5"/>
        <v>22162</v>
      </c>
      <c r="D126" t="s">
        <v>12</v>
      </c>
      <c r="E126" t="s">
        <v>14</v>
      </c>
      <c r="F126">
        <v>147</v>
      </c>
      <c r="G126">
        <v>30</v>
      </c>
      <c r="H126">
        <f t="shared" si="3"/>
        <v>4410</v>
      </c>
      <c r="I126">
        <f t="shared" si="4"/>
        <v>26572</v>
      </c>
    </row>
    <row r="127" spans="1:9" x14ac:dyDescent="0.45">
      <c r="A127" s="1">
        <v>43040</v>
      </c>
      <c r="B127" t="s">
        <v>17</v>
      </c>
      <c r="C127">
        <f t="shared" si="5"/>
        <v>26572</v>
      </c>
      <c r="D127" t="s">
        <v>10</v>
      </c>
      <c r="E127" t="s">
        <v>8</v>
      </c>
      <c r="F127">
        <v>15</v>
      </c>
      <c r="G127">
        <v>8</v>
      </c>
      <c r="H127">
        <f t="shared" si="3"/>
        <v>120</v>
      </c>
      <c r="I127">
        <f t="shared" si="4"/>
        <v>26452</v>
      </c>
    </row>
    <row r="128" spans="1:9" x14ac:dyDescent="0.45">
      <c r="A128" s="1">
        <v>43040</v>
      </c>
      <c r="B128" t="s">
        <v>17</v>
      </c>
      <c r="C128">
        <f t="shared" si="5"/>
        <v>26452</v>
      </c>
      <c r="D128" t="s">
        <v>7</v>
      </c>
      <c r="E128" t="s">
        <v>8</v>
      </c>
      <c r="F128">
        <v>24</v>
      </c>
      <c r="G128">
        <v>63</v>
      </c>
      <c r="H128">
        <f t="shared" si="3"/>
        <v>1512</v>
      </c>
      <c r="I128">
        <f t="shared" si="4"/>
        <v>24940</v>
      </c>
    </row>
    <row r="129" spans="1:9" x14ac:dyDescent="0.45">
      <c r="A129" s="1">
        <v>43040</v>
      </c>
      <c r="B129" t="s">
        <v>17</v>
      </c>
      <c r="C129">
        <f t="shared" si="5"/>
        <v>24940</v>
      </c>
      <c r="D129" t="s">
        <v>11</v>
      </c>
      <c r="E129" t="s">
        <v>8</v>
      </c>
      <c r="F129">
        <v>19</v>
      </c>
      <c r="G129">
        <v>24</v>
      </c>
      <c r="H129">
        <f t="shared" si="3"/>
        <v>456</v>
      </c>
      <c r="I129">
        <f t="shared" si="4"/>
        <v>24484</v>
      </c>
    </row>
    <row r="130" spans="1:9" x14ac:dyDescent="0.45">
      <c r="A130" s="1">
        <v>43064</v>
      </c>
      <c r="B130" t="s">
        <v>18</v>
      </c>
      <c r="C130">
        <f t="shared" si="5"/>
        <v>24484</v>
      </c>
      <c r="D130" t="s">
        <v>7</v>
      </c>
      <c r="E130" t="s">
        <v>14</v>
      </c>
      <c r="F130">
        <v>134</v>
      </c>
      <c r="G130">
        <v>99</v>
      </c>
      <c r="H130">
        <f t="shared" si="3"/>
        <v>13266</v>
      </c>
      <c r="I130">
        <f t="shared" si="4"/>
        <v>37750</v>
      </c>
    </row>
    <row r="131" spans="1:9" x14ac:dyDescent="0.45">
      <c r="A131" s="1">
        <v>43064</v>
      </c>
      <c r="B131" t="s">
        <v>18</v>
      </c>
      <c r="C131">
        <f t="shared" si="5"/>
        <v>37750</v>
      </c>
      <c r="D131" t="s">
        <v>9</v>
      </c>
      <c r="E131" t="s">
        <v>8</v>
      </c>
      <c r="F131">
        <v>12</v>
      </c>
      <c r="G131">
        <v>38</v>
      </c>
      <c r="H131">
        <f t="shared" ref="H131:H194" si="6">F131*G131</f>
        <v>456</v>
      </c>
      <c r="I131">
        <f t="shared" ref="I131:I194" si="7">IF(E131="Z",C131-H131, C131+H131)</f>
        <v>37294</v>
      </c>
    </row>
    <row r="132" spans="1:9" x14ac:dyDescent="0.45">
      <c r="A132" s="1">
        <v>43082</v>
      </c>
      <c r="B132" t="s">
        <v>19</v>
      </c>
      <c r="C132">
        <f t="shared" ref="C132:C195" si="8">I131</f>
        <v>37294</v>
      </c>
      <c r="D132" t="s">
        <v>12</v>
      </c>
      <c r="E132" t="s">
        <v>14</v>
      </c>
      <c r="F132">
        <v>4</v>
      </c>
      <c r="G132">
        <v>30</v>
      </c>
      <c r="H132">
        <f t="shared" si="6"/>
        <v>120</v>
      </c>
      <c r="I132">
        <f t="shared" si="7"/>
        <v>37414</v>
      </c>
    </row>
    <row r="133" spans="1:9" x14ac:dyDescent="0.45">
      <c r="A133" s="1">
        <v>43082</v>
      </c>
      <c r="B133" t="s">
        <v>19</v>
      </c>
      <c r="C133">
        <f t="shared" si="8"/>
        <v>37414</v>
      </c>
      <c r="D133" t="s">
        <v>10</v>
      </c>
      <c r="E133" t="s">
        <v>8</v>
      </c>
      <c r="F133">
        <v>26</v>
      </c>
      <c r="G133">
        <v>8</v>
      </c>
      <c r="H133">
        <f t="shared" si="6"/>
        <v>208</v>
      </c>
      <c r="I133">
        <f t="shared" si="7"/>
        <v>37206</v>
      </c>
    </row>
    <row r="134" spans="1:9" x14ac:dyDescent="0.45">
      <c r="A134" s="1">
        <v>43082</v>
      </c>
      <c r="B134" t="s">
        <v>19</v>
      </c>
      <c r="C134">
        <f t="shared" si="8"/>
        <v>37206</v>
      </c>
      <c r="D134" t="s">
        <v>7</v>
      </c>
      <c r="E134" t="s">
        <v>8</v>
      </c>
      <c r="F134">
        <v>38</v>
      </c>
      <c r="G134">
        <v>66</v>
      </c>
      <c r="H134">
        <f t="shared" si="6"/>
        <v>2508</v>
      </c>
      <c r="I134">
        <f t="shared" si="7"/>
        <v>34698</v>
      </c>
    </row>
    <row r="135" spans="1:9" x14ac:dyDescent="0.45">
      <c r="A135" s="1">
        <v>43104</v>
      </c>
      <c r="B135" t="s">
        <v>20</v>
      </c>
      <c r="C135">
        <f t="shared" si="8"/>
        <v>34698</v>
      </c>
      <c r="D135" t="s">
        <v>7</v>
      </c>
      <c r="E135" t="s">
        <v>14</v>
      </c>
      <c r="F135">
        <v>38</v>
      </c>
      <c r="G135">
        <v>98</v>
      </c>
      <c r="H135">
        <f t="shared" si="6"/>
        <v>3724</v>
      </c>
      <c r="I135">
        <f t="shared" si="7"/>
        <v>38422</v>
      </c>
    </row>
    <row r="136" spans="1:9" x14ac:dyDescent="0.45">
      <c r="A136" s="1">
        <v>43104</v>
      </c>
      <c r="B136" t="s">
        <v>20</v>
      </c>
      <c r="C136">
        <f t="shared" si="8"/>
        <v>38422</v>
      </c>
      <c r="D136" t="s">
        <v>11</v>
      </c>
      <c r="E136" t="s">
        <v>14</v>
      </c>
      <c r="F136">
        <v>44</v>
      </c>
      <c r="G136">
        <v>37</v>
      </c>
      <c r="H136">
        <f t="shared" si="6"/>
        <v>1628</v>
      </c>
      <c r="I136">
        <f t="shared" si="7"/>
        <v>40050</v>
      </c>
    </row>
    <row r="137" spans="1:9" x14ac:dyDescent="0.45">
      <c r="A137" s="1">
        <v>43104</v>
      </c>
      <c r="B137" t="s">
        <v>20</v>
      </c>
      <c r="C137">
        <f t="shared" si="8"/>
        <v>40050</v>
      </c>
      <c r="D137" t="s">
        <v>10</v>
      </c>
      <c r="E137" t="s">
        <v>8</v>
      </c>
      <c r="F137">
        <v>21</v>
      </c>
      <c r="G137">
        <v>8</v>
      </c>
      <c r="H137">
        <f t="shared" si="6"/>
        <v>168</v>
      </c>
      <c r="I137">
        <f t="shared" si="7"/>
        <v>39882</v>
      </c>
    </row>
    <row r="138" spans="1:9" x14ac:dyDescent="0.45">
      <c r="A138" s="1">
        <v>43104</v>
      </c>
      <c r="B138" t="s">
        <v>20</v>
      </c>
      <c r="C138">
        <f t="shared" si="8"/>
        <v>39882</v>
      </c>
      <c r="D138" t="s">
        <v>9</v>
      </c>
      <c r="E138" t="s">
        <v>8</v>
      </c>
      <c r="F138">
        <v>10</v>
      </c>
      <c r="G138">
        <v>39</v>
      </c>
      <c r="H138">
        <f t="shared" si="6"/>
        <v>390</v>
      </c>
      <c r="I138">
        <f t="shared" si="7"/>
        <v>39492</v>
      </c>
    </row>
    <row r="139" spans="1:9" x14ac:dyDescent="0.45">
      <c r="A139" s="1">
        <v>43129</v>
      </c>
      <c r="B139" t="s">
        <v>21</v>
      </c>
      <c r="C139">
        <f t="shared" si="8"/>
        <v>39492</v>
      </c>
      <c r="D139" t="s">
        <v>11</v>
      </c>
      <c r="E139" t="s">
        <v>14</v>
      </c>
      <c r="F139">
        <v>15</v>
      </c>
      <c r="G139">
        <v>38</v>
      </c>
      <c r="H139">
        <f t="shared" si="6"/>
        <v>570</v>
      </c>
      <c r="I139">
        <f t="shared" si="7"/>
        <v>40062</v>
      </c>
    </row>
    <row r="140" spans="1:9" x14ac:dyDescent="0.45">
      <c r="A140" s="1">
        <v>43129</v>
      </c>
      <c r="B140" t="s">
        <v>21</v>
      </c>
      <c r="C140">
        <f t="shared" si="8"/>
        <v>40062</v>
      </c>
      <c r="D140" t="s">
        <v>9</v>
      </c>
      <c r="E140" t="s">
        <v>14</v>
      </c>
      <c r="F140">
        <v>22</v>
      </c>
      <c r="G140">
        <v>63</v>
      </c>
      <c r="H140">
        <f t="shared" si="6"/>
        <v>1386</v>
      </c>
      <c r="I140">
        <f t="shared" si="7"/>
        <v>41448</v>
      </c>
    </row>
    <row r="141" spans="1:9" x14ac:dyDescent="0.45">
      <c r="A141" s="1">
        <v>43129</v>
      </c>
      <c r="B141" t="s">
        <v>21</v>
      </c>
      <c r="C141">
        <f t="shared" si="8"/>
        <v>41448</v>
      </c>
      <c r="D141" t="s">
        <v>7</v>
      </c>
      <c r="E141" t="s">
        <v>8</v>
      </c>
      <c r="F141">
        <v>9</v>
      </c>
      <c r="G141">
        <v>60</v>
      </c>
      <c r="H141">
        <f t="shared" si="6"/>
        <v>540</v>
      </c>
      <c r="I141">
        <f t="shared" si="7"/>
        <v>40908</v>
      </c>
    </row>
    <row r="142" spans="1:9" x14ac:dyDescent="0.45">
      <c r="A142" s="1">
        <v>43129</v>
      </c>
      <c r="B142" t="s">
        <v>21</v>
      </c>
      <c r="C142">
        <f t="shared" si="8"/>
        <v>40908</v>
      </c>
      <c r="D142" t="s">
        <v>12</v>
      </c>
      <c r="E142" t="s">
        <v>8</v>
      </c>
      <c r="F142">
        <v>6</v>
      </c>
      <c r="G142">
        <v>19</v>
      </c>
      <c r="H142">
        <f t="shared" si="6"/>
        <v>114</v>
      </c>
      <c r="I142">
        <f t="shared" si="7"/>
        <v>40794</v>
      </c>
    </row>
    <row r="143" spans="1:9" x14ac:dyDescent="0.45">
      <c r="A143" s="1">
        <v>43129</v>
      </c>
      <c r="B143" t="s">
        <v>21</v>
      </c>
      <c r="C143">
        <f t="shared" si="8"/>
        <v>40794</v>
      </c>
      <c r="D143" t="s">
        <v>10</v>
      </c>
      <c r="E143" t="s">
        <v>8</v>
      </c>
      <c r="F143">
        <v>4</v>
      </c>
      <c r="G143">
        <v>8</v>
      </c>
      <c r="H143">
        <f t="shared" si="6"/>
        <v>32</v>
      </c>
      <c r="I143">
        <f t="shared" si="7"/>
        <v>40762</v>
      </c>
    </row>
    <row r="144" spans="1:9" x14ac:dyDescent="0.45">
      <c r="A144" s="1">
        <v>43130</v>
      </c>
      <c r="B144" t="s">
        <v>22</v>
      </c>
      <c r="C144">
        <f t="shared" si="8"/>
        <v>40762</v>
      </c>
      <c r="D144" t="s">
        <v>12</v>
      </c>
      <c r="E144" t="s">
        <v>14</v>
      </c>
      <c r="F144">
        <v>6</v>
      </c>
      <c r="G144">
        <v>25</v>
      </c>
      <c r="H144">
        <f t="shared" si="6"/>
        <v>150</v>
      </c>
      <c r="I144">
        <f t="shared" si="7"/>
        <v>40912</v>
      </c>
    </row>
    <row r="145" spans="1:9" x14ac:dyDescent="0.45">
      <c r="A145" s="1">
        <v>43130</v>
      </c>
      <c r="B145" t="s">
        <v>22</v>
      </c>
      <c r="C145">
        <f t="shared" si="8"/>
        <v>40912</v>
      </c>
      <c r="D145" t="s">
        <v>7</v>
      </c>
      <c r="E145" t="s">
        <v>8</v>
      </c>
      <c r="F145">
        <v>48</v>
      </c>
      <c r="G145">
        <v>79</v>
      </c>
      <c r="H145">
        <f t="shared" si="6"/>
        <v>3792</v>
      </c>
      <c r="I145">
        <f t="shared" si="7"/>
        <v>37120</v>
      </c>
    </row>
    <row r="146" spans="1:9" x14ac:dyDescent="0.45">
      <c r="A146" s="1">
        <v>43147</v>
      </c>
      <c r="B146" t="s">
        <v>6</v>
      </c>
      <c r="C146">
        <f t="shared" si="8"/>
        <v>37120</v>
      </c>
      <c r="D146" t="s">
        <v>9</v>
      </c>
      <c r="E146" t="s">
        <v>8</v>
      </c>
      <c r="F146">
        <v>34</v>
      </c>
      <c r="G146">
        <v>42</v>
      </c>
      <c r="H146">
        <f t="shared" si="6"/>
        <v>1428</v>
      </c>
      <c r="I146">
        <f t="shared" si="7"/>
        <v>35692</v>
      </c>
    </row>
    <row r="147" spans="1:9" x14ac:dyDescent="0.45">
      <c r="A147" s="1">
        <v>43147</v>
      </c>
      <c r="B147" t="s">
        <v>6</v>
      </c>
      <c r="C147">
        <f t="shared" si="8"/>
        <v>35692</v>
      </c>
      <c r="D147" t="s">
        <v>11</v>
      </c>
      <c r="E147" t="s">
        <v>14</v>
      </c>
      <c r="F147">
        <v>49</v>
      </c>
      <c r="G147">
        <v>35</v>
      </c>
      <c r="H147">
        <f t="shared" si="6"/>
        <v>1715</v>
      </c>
      <c r="I147">
        <f t="shared" si="7"/>
        <v>37407</v>
      </c>
    </row>
    <row r="148" spans="1:9" x14ac:dyDescent="0.45">
      <c r="A148" s="1">
        <v>43147</v>
      </c>
      <c r="B148" t="s">
        <v>6</v>
      </c>
      <c r="C148">
        <f t="shared" si="8"/>
        <v>37407</v>
      </c>
      <c r="D148" t="s">
        <v>10</v>
      </c>
      <c r="E148" t="s">
        <v>8</v>
      </c>
      <c r="F148">
        <v>10</v>
      </c>
      <c r="G148">
        <v>8</v>
      </c>
      <c r="H148">
        <f t="shared" si="6"/>
        <v>80</v>
      </c>
      <c r="I148">
        <f t="shared" si="7"/>
        <v>37327</v>
      </c>
    </row>
    <row r="149" spans="1:9" x14ac:dyDescent="0.45">
      <c r="A149" s="1">
        <v>43147</v>
      </c>
      <c r="B149" t="s">
        <v>6</v>
      </c>
      <c r="C149">
        <f t="shared" si="8"/>
        <v>37327</v>
      </c>
      <c r="D149" t="s">
        <v>12</v>
      </c>
      <c r="E149" t="s">
        <v>8</v>
      </c>
      <c r="F149">
        <v>47</v>
      </c>
      <c r="G149">
        <v>21</v>
      </c>
      <c r="H149">
        <f t="shared" si="6"/>
        <v>987</v>
      </c>
      <c r="I149">
        <f t="shared" si="7"/>
        <v>36340</v>
      </c>
    </row>
    <row r="150" spans="1:9" x14ac:dyDescent="0.45">
      <c r="A150" s="1">
        <v>43147</v>
      </c>
      <c r="B150" t="s">
        <v>6</v>
      </c>
      <c r="C150">
        <f t="shared" si="8"/>
        <v>36340</v>
      </c>
      <c r="D150" t="s">
        <v>7</v>
      </c>
      <c r="E150" t="s">
        <v>8</v>
      </c>
      <c r="F150">
        <v>48</v>
      </c>
      <c r="G150">
        <v>66</v>
      </c>
      <c r="H150">
        <f t="shared" si="6"/>
        <v>3168</v>
      </c>
      <c r="I150">
        <f t="shared" si="7"/>
        <v>33172</v>
      </c>
    </row>
    <row r="151" spans="1:9" x14ac:dyDescent="0.45">
      <c r="A151" s="1">
        <v>43162</v>
      </c>
      <c r="B151" t="s">
        <v>13</v>
      </c>
      <c r="C151">
        <f t="shared" si="8"/>
        <v>33172</v>
      </c>
      <c r="D151" t="s">
        <v>9</v>
      </c>
      <c r="E151" t="s">
        <v>14</v>
      </c>
      <c r="F151">
        <v>34</v>
      </c>
      <c r="G151">
        <v>58</v>
      </c>
      <c r="H151">
        <f t="shared" si="6"/>
        <v>1972</v>
      </c>
      <c r="I151">
        <f t="shared" si="7"/>
        <v>35144</v>
      </c>
    </row>
    <row r="152" spans="1:9" x14ac:dyDescent="0.45">
      <c r="A152" s="1">
        <v>43162</v>
      </c>
      <c r="B152" t="s">
        <v>13</v>
      </c>
      <c r="C152">
        <f t="shared" si="8"/>
        <v>35144</v>
      </c>
      <c r="D152" t="s">
        <v>10</v>
      </c>
      <c r="E152" t="s">
        <v>8</v>
      </c>
      <c r="F152">
        <v>5</v>
      </c>
      <c r="G152">
        <v>9</v>
      </c>
      <c r="H152">
        <f t="shared" si="6"/>
        <v>45</v>
      </c>
      <c r="I152">
        <f t="shared" si="7"/>
        <v>35099</v>
      </c>
    </row>
    <row r="153" spans="1:9" x14ac:dyDescent="0.45">
      <c r="A153" s="1">
        <v>43181</v>
      </c>
      <c r="B153" t="s">
        <v>15</v>
      </c>
      <c r="C153">
        <f t="shared" si="8"/>
        <v>35099</v>
      </c>
      <c r="D153" t="s">
        <v>12</v>
      </c>
      <c r="E153" t="s">
        <v>14</v>
      </c>
      <c r="F153">
        <v>46</v>
      </c>
      <c r="G153">
        <v>30</v>
      </c>
      <c r="H153">
        <f t="shared" si="6"/>
        <v>1380</v>
      </c>
      <c r="I153">
        <f t="shared" si="7"/>
        <v>36479</v>
      </c>
    </row>
    <row r="154" spans="1:9" x14ac:dyDescent="0.45">
      <c r="A154" s="1">
        <v>43181</v>
      </c>
      <c r="B154" t="s">
        <v>15</v>
      </c>
      <c r="C154">
        <f t="shared" si="8"/>
        <v>36479</v>
      </c>
      <c r="D154" t="s">
        <v>7</v>
      </c>
      <c r="E154" t="s">
        <v>8</v>
      </c>
      <c r="F154">
        <v>49</v>
      </c>
      <c r="G154">
        <v>65</v>
      </c>
      <c r="H154">
        <f t="shared" si="6"/>
        <v>3185</v>
      </c>
      <c r="I154">
        <f t="shared" si="7"/>
        <v>33294</v>
      </c>
    </row>
    <row r="155" spans="1:9" x14ac:dyDescent="0.45">
      <c r="A155" s="1">
        <v>43181</v>
      </c>
      <c r="B155" t="s">
        <v>15</v>
      </c>
      <c r="C155">
        <f t="shared" si="8"/>
        <v>33294</v>
      </c>
      <c r="D155" t="s">
        <v>10</v>
      </c>
      <c r="E155" t="s">
        <v>8</v>
      </c>
      <c r="F155">
        <v>16</v>
      </c>
      <c r="G155">
        <v>8</v>
      </c>
      <c r="H155">
        <f t="shared" si="6"/>
        <v>128</v>
      </c>
      <c r="I155">
        <f t="shared" si="7"/>
        <v>33166</v>
      </c>
    </row>
    <row r="156" spans="1:9" x14ac:dyDescent="0.45">
      <c r="A156" s="1">
        <v>43207</v>
      </c>
      <c r="B156" t="s">
        <v>16</v>
      </c>
      <c r="C156">
        <f t="shared" si="8"/>
        <v>33166</v>
      </c>
      <c r="D156" t="s">
        <v>9</v>
      </c>
      <c r="E156" t="s">
        <v>8</v>
      </c>
      <c r="F156">
        <v>5</v>
      </c>
      <c r="G156">
        <v>37</v>
      </c>
      <c r="H156">
        <f t="shared" si="6"/>
        <v>185</v>
      </c>
      <c r="I156">
        <f t="shared" si="7"/>
        <v>32981</v>
      </c>
    </row>
    <row r="157" spans="1:9" x14ac:dyDescent="0.45">
      <c r="A157" s="1">
        <v>43207</v>
      </c>
      <c r="B157" t="s">
        <v>16</v>
      </c>
      <c r="C157">
        <f t="shared" si="8"/>
        <v>32981</v>
      </c>
      <c r="D157" t="s">
        <v>12</v>
      </c>
      <c r="E157" t="s">
        <v>14</v>
      </c>
      <c r="F157">
        <v>1</v>
      </c>
      <c r="G157">
        <v>32</v>
      </c>
      <c r="H157">
        <f t="shared" si="6"/>
        <v>32</v>
      </c>
      <c r="I157">
        <f t="shared" si="7"/>
        <v>33013</v>
      </c>
    </row>
    <row r="158" spans="1:9" x14ac:dyDescent="0.45">
      <c r="A158" s="1">
        <v>43207</v>
      </c>
      <c r="B158" t="s">
        <v>16</v>
      </c>
      <c r="C158">
        <f t="shared" si="8"/>
        <v>33013</v>
      </c>
      <c r="D158" t="s">
        <v>10</v>
      </c>
      <c r="E158" t="s">
        <v>8</v>
      </c>
      <c r="F158">
        <v>34</v>
      </c>
      <c r="G158">
        <v>7</v>
      </c>
      <c r="H158">
        <f t="shared" si="6"/>
        <v>238</v>
      </c>
      <c r="I158">
        <f t="shared" si="7"/>
        <v>32775</v>
      </c>
    </row>
    <row r="159" spans="1:9" x14ac:dyDescent="0.45">
      <c r="A159" s="1">
        <v>43207</v>
      </c>
      <c r="B159" t="s">
        <v>16</v>
      </c>
      <c r="C159">
        <f t="shared" si="8"/>
        <v>32775</v>
      </c>
      <c r="D159" t="s">
        <v>7</v>
      </c>
      <c r="E159" t="s">
        <v>8</v>
      </c>
      <c r="F159">
        <v>29</v>
      </c>
      <c r="G159">
        <v>59</v>
      </c>
      <c r="H159">
        <f t="shared" si="6"/>
        <v>1711</v>
      </c>
      <c r="I159">
        <f t="shared" si="7"/>
        <v>31064</v>
      </c>
    </row>
    <row r="160" spans="1:9" x14ac:dyDescent="0.45">
      <c r="A160" s="1">
        <v>43228</v>
      </c>
      <c r="B160" t="s">
        <v>17</v>
      </c>
      <c r="C160">
        <f t="shared" si="8"/>
        <v>31064</v>
      </c>
      <c r="D160" t="s">
        <v>11</v>
      </c>
      <c r="E160" t="s">
        <v>8</v>
      </c>
      <c r="F160">
        <v>34</v>
      </c>
      <c r="G160">
        <v>24</v>
      </c>
      <c r="H160">
        <f t="shared" si="6"/>
        <v>816</v>
      </c>
      <c r="I160">
        <f t="shared" si="7"/>
        <v>30248</v>
      </c>
    </row>
    <row r="161" spans="1:9" x14ac:dyDescent="0.45">
      <c r="A161" s="1">
        <v>43228</v>
      </c>
      <c r="B161" t="s">
        <v>17</v>
      </c>
      <c r="C161">
        <f t="shared" si="8"/>
        <v>30248</v>
      </c>
      <c r="D161" t="s">
        <v>12</v>
      </c>
      <c r="E161" t="s">
        <v>8</v>
      </c>
      <c r="F161">
        <v>27</v>
      </c>
      <c r="G161">
        <v>20</v>
      </c>
      <c r="H161">
        <f t="shared" si="6"/>
        <v>540</v>
      </c>
      <c r="I161">
        <f t="shared" si="7"/>
        <v>29708</v>
      </c>
    </row>
    <row r="162" spans="1:9" x14ac:dyDescent="0.45">
      <c r="A162" s="1">
        <v>43228</v>
      </c>
      <c r="B162" t="s">
        <v>17</v>
      </c>
      <c r="C162">
        <f t="shared" si="8"/>
        <v>29708</v>
      </c>
      <c r="D162" t="s">
        <v>10</v>
      </c>
      <c r="E162" t="s">
        <v>8</v>
      </c>
      <c r="F162">
        <v>40</v>
      </c>
      <c r="G162">
        <v>8</v>
      </c>
      <c r="H162">
        <f t="shared" si="6"/>
        <v>320</v>
      </c>
      <c r="I162">
        <f t="shared" si="7"/>
        <v>29388</v>
      </c>
    </row>
    <row r="163" spans="1:9" x14ac:dyDescent="0.45">
      <c r="A163" s="1">
        <v>43252</v>
      </c>
      <c r="B163" t="s">
        <v>18</v>
      </c>
      <c r="C163">
        <f t="shared" si="8"/>
        <v>29388</v>
      </c>
      <c r="D163" t="s">
        <v>7</v>
      </c>
      <c r="E163" t="s">
        <v>14</v>
      </c>
      <c r="F163">
        <v>184</v>
      </c>
      <c r="G163">
        <v>99</v>
      </c>
      <c r="H163">
        <f t="shared" si="6"/>
        <v>18216</v>
      </c>
      <c r="I163">
        <f t="shared" si="7"/>
        <v>47604</v>
      </c>
    </row>
    <row r="164" spans="1:9" x14ac:dyDescent="0.45">
      <c r="A164" s="1">
        <v>43252</v>
      </c>
      <c r="B164" t="s">
        <v>18</v>
      </c>
      <c r="C164">
        <f t="shared" si="8"/>
        <v>47604</v>
      </c>
      <c r="D164" t="s">
        <v>9</v>
      </c>
      <c r="E164" t="s">
        <v>8</v>
      </c>
      <c r="F164">
        <v>48</v>
      </c>
      <c r="G164">
        <v>38</v>
      </c>
      <c r="H164">
        <f t="shared" si="6"/>
        <v>1824</v>
      </c>
      <c r="I164">
        <f t="shared" si="7"/>
        <v>45780</v>
      </c>
    </row>
    <row r="165" spans="1:9" x14ac:dyDescent="0.45">
      <c r="A165" s="1">
        <v>43252</v>
      </c>
      <c r="B165" t="s">
        <v>18</v>
      </c>
      <c r="C165">
        <f t="shared" si="8"/>
        <v>45780</v>
      </c>
      <c r="D165" t="s">
        <v>11</v>
      </c>
      <c r="E165" t="s">
        <v>8</v>
      </c>
      <c r="F165">
        <v>21</v>
      </c>
      <c r="G165">
        <v>23</v>
      </c>
      <c r="H165">
        <f t="shared" si="6"/>
        <v>483</v>
      </c>
      <c r="I165">
        <f t="shared" si="7"/>
        <v>45297</v>
      </c>
    </row>
    <row r="166" spans="1:9" x14ac:dyDescent="0.45">
      <c r="A166" s="1">
        <v>43270</v>
      </c>
      <c r="B166" t="s">
        <v>19</v>
      </c>
      <c r="C166">
        <f t="shared" si="8"/>
        <v>45297</v>
      </c>
      <c r="D166" t="s">
        <v>7</v>
      </c>
      <c r="E166" t="s">
        <v>8</v>
      </c>
      <c r="F166">
        <v>47</v>
      </c>
      <c r="G166">
        <v>66</v>
      </c>
      <c r="H166">
        <f t="shared" si="6"/>
        <v>3102</v>
      </c>
      <c r="I166">
        <f t="shared" si="7"/>
        <v>42195</v>
      </c>
    </row>
    <row r="167" spans="1:9" x14ac:dyDescent="0.45">
      <c r="A167" s="1">
        <v>43270</v>
      </c>
      <c r="B167" t="s">
        <v>19</v>
      </c>
      <c r="C167">
        <f t="shared" si="8"/>
        <v>42195</v>
      </c>
      <c r="D167" t="s">
        <v>11</v>
      </c>
      <c r="E167" t="s">
        <v>8</v>
      </c>
      <c r="F167">
        <v>6</v>
      </c>
      <c r="G167">
        <v>25</v>
      </c>
      <c r="H167">
        <f t="shared" si="6"/>
        <v>150</v>
      </c>
      <c r="I167">
        <f t="shared" si="7"/>
        <v>42045</v>
      </c>
    </row>
    <row r="168" spans="1:9" x14ac:dyDescent="0.45">
      <c r="A168" s="1">
        <v>43270</v>
      </c>
      <c r="B168" t="s">
        <v>19</v>
      </c>
      <c r="C168">
        <f t="shared" si="8"/>
        <v>42045</v>
      </c>
      <c r="D168" t="s">
        <v>9</v>
      </c>
      <c r="E168" t="s">
        <v>8</v>
      </c>
      <c r="F168">
        <v>47</v>
      </c>
      <c r="G168">
        <v>41</v>
      </c>
      <c r="H168">
        <f t="shared" si="6"/>
        <v>1927</v>
      </c>
      <c r="I168">
        <f t="shared" si="7"/>
        <v>40118</v>
      </c>
    </row>
    <row r="169" spans="1:9" x14ac:dyDescent="0.45">
      <c r="A169" s="1">
        <v>43292</v>
      </c>
      <c r="B169" t="s">
        <v>20</v>
      </c>
      <c r="C169">
        <f t="shared" si="8"/>
        <v>40118</v>
      </c>
      <c r="D169" t="s">
        <v>10</v>
      </c>
      <c r="E169" t="s">
        <v>14</v>
      </c>
      <c r="F169">
        <v>192</v>
      </c>
      <c r="G169">
        <v>12</v>
      </c>
      <c r="H169">
        <f t="shared" si="6"/>
        <v>2304</v>
      </c>
      <c r="I169">
        <f t="shared" si="7"/>
        <v>42422</v>
      </c>
    </row>
    <row r="170" spans="1:9" x14ac:dyDescent="0.45">
      <c r="A170" s="1">
        <v>43292</v>
      </c>
      <c r="B170" t="s">
        <v>20</v>
      </c>
      <c r="C170">
        <f t="shared" si="8"/>
        <v>42422</v>
      </c>
      <c r="D170" t="s">
        <v>11</v>
      </c>
      <c r="E170" t="s">
        <v>14</v>
      </c>
      <c r="F170">
        <v>48</v>
      </c>
      <c r="G170">
        <v>37</v>
      </c>
      <c r="H170">
        <f t="shared" si="6"/>
        <v>1776</v>
      </c>
      <c r="I170">
        <f t="shared" si="7"/>
        <v>44198</v>
      </c>
    </row>
    <row r="171" spans="1:9" x14ac:dyDescent="0.45">
      <c r="A171" s="1">
        <v>43292</v>
      </c>
      <c r="B171" t="s">
        <v>20</v>
      </c>
      <c r="C171">
        <f t="shared" si="8"/>
        <v>44198</v>
      </c>
      <c r="D171" t="s">
        <v>7</v>
      </c>
      <c r="E171" t="s">
        <v>8</v>
      </c>
      <c r="F171">
        <v>18</v>
      </c>
      <c r="G171">
        <v>62</v>
      </c>
      <c r="H171">
        <f t="shared" si="6"/>
        <v>1116</v>
      </c>
      <c r="I171">
        <f t="shared" si="7"/>
        <v>43082</v>
      </c>
    </row>
    <row r="172" spans="1:9" x14ac:dyDescent="0.45">
      <c r="A172" s="1">
        <v>43292</v>
      </c>
      <c r="B172" t="s">
        <v>20</v>
      </c>
      <c r="C172">
        <f t="shared" si="8"/>
        <v>43082</v>
      </c>
      <c r="D172" t="s">
        <v>9</v>
      </c>
      <c r="E172" t="s">
        <v>8</v>
      </c>
      <c r="F172">
        <v>25</v>
      </c>
      <c r="G172">
        <v>39</v>
      </c>
      <c r="H172">
        <f t="shared" si="6"/>
        <v>975</v>
      </c>
      <c r="I172">
        <f t="shared" si="7"/>
        <v>42107</v>
      </c>
    </row>
    <row r="173" spans="1:9" x14ac:dyDescent="0.45">
      <c r="A173" s="1">
        <v>43292</v>
      </c>
      <c r="B173" t="s">
        <v>20</v>
      </c>
      <c r="C173">
        <f t="shared" si="8"/>
        <v>42107</v>
      </c>
      <c r="D173" t="s">
        <v>12</v>
      </c>
      <c r="E173" t="s">
        <v>8</v>
      </c>
      <c r="F173">
        <v>2</v>
      </c>
      <c r="G173">
        <v>20</v>
      </c>
      <c r="H173">
        <f t="shared" si="6"/>
        <v>40</v>
      </c>
      <c r="I173">
        <f t="shared" si="7"/>
        <v>42067</v>
      </c>
    </row>
    <row r="174" spans="1:9" x14ac:dyDescent="0.45">
      <c r="A174" s="1">
        <v>43317</v>
      </c>
      <c r="B174" t="s">
        <v>21</v>
      </c>
      <c r="C174">
        <f t="shared" si="8"/>
        <v>42067</v>
      </c>
      <c r="D174" t="s">
        <v>11</v>
      </c>
      <c r="E174" t="s">
        <v>14</v>
      </c>
      <c r="F174">
        <v>13</v>
      </c>
      <c r="G174">
        <v>38</v>
      </c>
      <c r="H174">
        <f t="shared" si="6"/>
        <v>494</v>
      </c>
      <c r="I174">
        <f t="shared" si="7"/>
        <v>42561</v>
      </c>
    </row>
    <row r="175" spans="1:9" x14ac:dyDescent="0.45">
      <c r="A175" s="1">
        <v>43317</v>
      </c>
      <c r="B175" t="s">
        <v>21</v>
      </c>
      <c r="C175">
        <f t="shared" si="8"/>
        <v>42561</v>
      </c>
      <c r="D175" t="s">
        <v>9</v>
      </c>
      <c r="E175" t="s">
        <v>14</v>
      </c>
      <c r="F175">
        <v>121</v>
      </c>
      <c r="G175">
        <v>63</v>
      </c>
      <c r="H175">
        <f t="shared" si="6"/>
        <v>7623</v>
      </c>
      <c r="I175">
        <f t="shared" si="7"/>
        <v>50184</v>
      </c>
    </row>
    <row r="176" spans="1:9" x14ac:dyDescent="0.45">
      <c r="A176" s="1">
        <v>43317</v>
      </c>
      <c r="B176" t="s">
        <v>21</v>
      </c>
      <c r="C176">
        <f t="shared" si="8"/>
        <v>50184</v>
      </c>
      <c r="D176" t="s">
        <v>12</v>
      </c>
      <c r="E176" t="s">
        <v>8</v>
      </c>
      <c r="F176">
        <v>30</v>
      </c>
      <c r="G176">
        <v>19</v>
      </c>
      <c r="H176">
        <f t="shared" si="6"/>
        <v>570</v>
      </c>
      <c r="I176">
        <f t="shared" si="7"/>
        <v>49614</v>
      </c>
    </row>
    <row r="177" spans="1:9" x14ac:dyDescent="0.45">
      <c r="A177" s="1">
        <v>43317</v>
      </c>
      <c r="B177" t="s">
        <v>21</v>
      </c>
      <c r="C177">
        <f t="shared" si="8"/>
        <v>49614</v>
      </c>
      <c r="D177" t="s">
        <v>10</v>
      </c>
      <c r="E177" t="s">
        <v>8</v>
      </c>
      <c r="F177">
        <v>46</v>
      </c>
      <c r="G177">
        <v>8</v>
      </c>
      <c r="H177">
        <f t="shared" si="6"/>
        <v>368</v>
      </c>
      <c r="I177">
        <f t="shared" si="7"/>
        <v>49246</v>
      </c>
    </row>
    <row r="178" spans="1:9" x14ac:dyDescent="0.45">
      <c r="A178" s="1">
        <v>43330</v>
      </c>
      <c r="B178" t="s">
        <v>22</v>
      </c>
      <c r="C178">
        <f t="shared" si="8"/>
        <v>49246</v>
      </c>
      <c r="D178" t="s">
        <v>10</v>
      </c>
      <c r="E178" t="s">
        <v>14</v>
      </c>
      <c r="F178">
        <v>49</v>
      </c>
      <c r="G178">
        <v>11</v>
      </c>
      <c r="H178">
        <f t="shared" si="6"/>
        <v>539</v>
      </c>
      <c r="I178">
        <f t="shared" si="7"/>
        <v>49785</v>
      </c>
    </row>
    <row r="179" spans="1:9" x14ac:dyDescent="0.45">
      <c r="A179" s="1">
        <v>43330</v>
      </c>
      <c r="B179" t="s">
        <v>22</v>
      </c>
      <c r="C179">
        <f t="shared" si="8"/>
        <v>49785</v>
      </c>
      <c r="D179" t="s">
        <v>7</v>
      </c>
      <c r="E179" t="s">
        <v>14</v>
      </c>
      <c r="F179">
        <v>61</v>
      </c>
      <c r="G179">
        <v>90</v>
      </c>
      <c r="H179">
        <f t="shared" si="6"/>
        <v>5490</v>
      </c>
      <c r="I179">
        <f t="shared" si="7"/>
        <v>55275</v>
      </c>
    </row>
    <row r="180" spans="1:9" x14ac:dyDescent="0.45">
      <c r="A180" s="1">
        <v>43330</v>
      </c>
      <c r="B180" t="s">
        <v>22</v>
      </c>
      <c r="C180">
        <f t="shared" si="8"/>
        <v>55275</v>
      </c>
      <c r="D180" t="s">
        <v>12</v>
      </c>
      <c r="E180" t="s">
        <v>8</v>
      </c>
      <c r="F180">
        <v>19</v>
      </c>
      <c r="G180">
        <v>22</v>
      </c>
      <c r="H180">
        <f t="shared" si="6"/>
        <v>418</v>
      </c>
      <c r="I180">
        <f t="shared" si="7"/>
        <v>54857</v>
      </c>
    </row>
    <row r="181" spans="1:9" x14ac:dyDescent="0.45">
      <c r="A181" s="1">
        <v>43330</v>
      </c>
      <c r="B181" t="s">
        <v>22</v>
      </c>
      <c r="C181">
        <f t="shared" si="8"/>
        <v>54857</v>
      </c>
      <c r="D181" t="s">
        <v>9</v>
      </c>
      <c r="E181" t="s">
        <v>8</v>
      </c>
      <c r="F181">
        <v>22</v>
      </c>
      <c r="G181">
        <v>44</v>
      </c>
      <c r="H181">
        <f t="shared" si="6"/>
        <v>968</v>
      </c>
      <c r="I181">
        <f t="shared" si="7"/>
        <v>53889</v>
      </c>
    </row>
    <row r="182" spans="1:9" x14ac:dyDescent="0.45">
      <c r="A182" s="1">
        <v>43347</v>
      </c>
      <c r="B182" t="s">
        <v>6</v>
      </c>
      <c r="C182">
        <f t="shared" si="8"/>
        <v>53889</v>
      </c>
      <c r="D182" t="s">
        <v>11</v>
      </c>
      <c r="E182" t="s">
        <v>8</v>
      </c>
      <c r="F182">
        <v>9</v>
      </c>
      <c r="G182">
        <v>25</v>
      </c>
      <c r="H182">
        <f t="shared" si="6"/>
        <v>225</v>
      </c>
      <c r="I182">
        <f t="shared" si="7"/>
        <v>53664</v>
      </c>
    </row>
    <row r="183" spans="1:9" x14ac:dyDescent="0.45">
      <c r="A183" s="1">
        <v>43347</v>
      </c>
      <c r="B183" t="s">
        <v>6</v>
      </c>
      <c r="C183">
        <f t="shared" si="8"/>
        <v>53664</v>
      </c>
      <c r="D183" t="s">
        <v>7</v>
      </c>
      <c r="E183" t="s">
        <v>14</v>
      </c>
      <c r="F183">
        <v>4</v>
      </c>
      <c r="G183">
        <v>94</v>
      </c>
      <c r="H183">
        <f t="shared" si="6"/>
        <v>376</v>
      </c>
      <c r="I183">
        <f t="shared" si="7"/>
        <v>54040</v>
      </c>
    </row>
    <row r="184" spans="1:9" x14ac:dyDescent="0.45">
      <c r="A184" s="1">
        <v>43347</v>
      </c>
      <c r="B184" t="s">
        <v>6</v>
      </c>
      <c r="C184">
        <f t="shared" si="8"/>
        <v>54040</v>
      </c>
      <c r="D184" t="s">
        <v>12</v>
      </c>
      <c r="E184" t="s">
        <v>8</v>
      </c>
      <c r="F184">
        <v>8</v>
      </c>
      <c r="G184">
        <v>21</v>
      </c>
      <c r="H184">
        <f t="shared" si="6"/>
        <v>168</v>
      </c>
      <c r="I184">
        <f t="shared" si="7"/>
        <v>53872</v>
      </c>
    </row>
    <row r="185" spans="1:9" x14ac:dyDescent="0.45">
      <c r="A185" s="1">
        <v>43347</v>
      </c>
      <c r="B185" t="s">
        <v>6</v>
      </c>
      <c r="C185">
        <f t="shared" si="8"/>
        <v>53872</v>
      </c>
      <c r="D185" t="s">
        <v>10</v>
      </c>
      <c r="E185" t="s">
        <v>8</v>
      </c>
      <c r="F185">
        <v>47</v>
      </c>
      <c r="G185">
        <v>8</v>
      </c>
      <c r="H185">
        <f t="shared" si="6"/>
        <v>376</v>
      </c>
      <c r="I185">
        <f t="shared" si="7"/>
        <v>53496</v>
      </c>
    </row>
    <row r="186" spans="1:9" x14ac:dyDescent="0.45">
      <c r="A186" s="1">
        <v>43362</v>
      </c>
      <c r="B186" t="s">
        <v>13</v>
      </c>
      <c r="C186">
        <f t="shared" si="8"/>
        <v>53496</v>
      </c>
      <c r="D186" t="s">
        <v>12</v>
      </c>
      <c r="E186" t="s">
        <v>14</v>
      </c>
      <c r="F186">
        <v>82</v>
      </c>
      <c r="G186">
        <v>29</v>
      </c>
      <c r="H186">
        <f t="shared" si="6"/>
        <v>2378</v>
      </c>
      <c r="I186">
        <f t="shared" si="7"/>
        <v>55874</v>
      </c>
    </row>
    <row r="187" spans="1:9" x14ac:dyDescent="0.45">
      <c r="A187" s="1">
        <v>43362</v>
      </c>
      <c r="B187" t="s">
        <v>13</v>
      </c>
      <c r="C187">
        <f t="shared" si="8"/>
        <v>55874</v>
      </c>
      <c r="D187" t="s">
        <v>9</v>
      </c>
      <c r="E187" t="s">
        <v>14</v>
      </c>
      <c r="F187">
        <v>26</v>
      </c>
      <c r="G187">
        <v>58</v>
      </c>
      <c r="H187">
        <f t="shared" si="6"/>
        <v>1508</v>
      </c>
      <c r="I187">
        <f t="shared" si="7"/>
        <v>57382</v>
      </c>
    </row>
    <row r="188" spans="1:9" x14ac:dyDescent="0.45">
      <c r="A188" s="1">
        <v>43362</v>
      </c>
      <c r="B188" t="s">
        <v>13</v>
      </c>
      <c r="C188">
        <f t="shared" si="8"/>
        <v>57382</v>
      </c>
      <c r="D188" t="s">
        <v>10</v>
      </c>
      <c r="E188" t="s">
        <v>8</v>
      </c>
      <c r="F188">
        <v>24</v>
      </c>
      <c r="G188">
        <v>9</v>
      </c>
      <c r="H188">
        <f t="shared" si="6"/>
        <v>216</v>
      </c>
      <c r="I188">
        <f t="shared" si="7"/>
        <v>57166</v>
      </c>
    </row>
    <row r="189" spans="1:9" x14ac:dyDescent="0.45">
      <c r="A189" s="1">
        <v>43362</v>
      </c>
      <c r="B189" t="s">
        <v>13</v>
      </c>
      <c r="C189">
        <f t="shared" si="8"/>
        <v>57166</v>
      </c>
      <c r="D189" t="s">
        <v>11</v>
      </c>
      <c r="E189" t="s">
        <v>8</v>
      </c>
      <c r="F189">
        <v>36</v>
      </c>
      <c r="G189">
        <v>26</v>
      </c>
      <c r="H189">
        <f t="shared" si="6"/>
        <v>936</v>
      </c>
      <c r="I189">
        <f t="shared" si="7"/>
        <v>56230</v>
      </c>
    </row>
    <row r="190" spans="1:9" x14ac:dyDescent="0.45">
      <c r="A190" s="1">
        <v>43362</v>
      </c>
      <c r="B190" t="s">
        <v>13</v>
      </c>
      <c r="C190">
        <f t="shared" si="8"/>
        <v>56230</v>
      </c>
      <c r="D190" t="s">
        <v>7</v>
      </c>
      <c r="E190" t="s">
        <v>8</v>
      </c>
      <c r="F190">
        <v>6</v>
      </c>
      <c r="G190">
        <v>68</v>
      </c>
      <c r="H190">
        <f t="shared" si="6"/>
        <v>408</v>
      </c>
      <c r="I190">
        <f t="shared" si="7"/>
        <v>55822</v>
      </c>
    </row>
    <row r="191" spans="1:9" x14ac:dyDescent="0.45">
      <c r="A191" s="1">
        <v>43381</v>
      </c>
      <c r="B191" t="s">
        <v>15</v>
      </c>
      <c r="C191">
        <f t="shared" si="8"/>
        <v>55822</v>
      </c>
      <c r="D191" t="s">
        <v>11</v>
      </c>
      <c r="E191" t="s">
        <v>14</v>
      </c>
      <c r="F191">
        <v>45</v>
      </c>
      <c r="G191">
        <v>36</v>
      </c>
      <c r="H191">
        <f t="shared" si="6"/>
        <v>1620</v>
      </c>
      <c r="I191">
        <f t="shared" si="7"/>
        <v>57442</v>
      </c>
    </row>
    <row r="192" spans="1:9" x14ac:dyDescent="0.45">
      <c r="A192" s="1">
        <v>43381</v>
      </c>
      <c r="B192" t="s">
        <v>15</v>
      </c>
      <c r="C192">
        <f t="shared" si="8"/>
        <v>57442</v>
      </c>
      <c r="D192" t="s">
        <v>10</v>
      </c>
      <c r="E192" t="s">
        <v>8</v>
      </c>
      <c r="F192">
        <v>18</v>
      </c>
      <c r="G192">
        <v>8</v>
      </c>
      <c r="H192">
        <f t="shared" si="6"/>
        <v>144</v>
      </c>
      <c r="I192">
        <f t="shared" si="7"/>
        <v>57298</v>
      </c>
    </row>
    <row r="193" spans="1:9" x14ac:dyDescent="0.45">
      <c r="A193" s="1">
        <v>43381</v>
      </c>
      <c r="B193" t="s">
        <v>15</v>
      </c>
      <c r="C193">
        <f t="shared" si="8"/>
        <v>57298</v>
      </c>
      <c r="D193" t="s">
        <v>9</v>
      </c>
      <c r="E193" t="s">
        <v>8</v>
      </c>
      <c r="F193">
        <v>20</v>
      </c>
      <c r="G193">
        <v>41</v>
      </c>
      <c r="H193">
        <f t="shared" si="6"/>
        <v>820</v>
      </c>
      <c r="I193">
        <f t="shared" si="7"/>
        <v>56478</v>
      </c>
    </row>
    <row r="194" spans="1:9" x14ac:dyDescent="0.45">
      <c r="A194" s="1">
        <v>43407</v>
      </c>
      <c r="B194" t="s">
        <v>16</v>
      </c>
      <c r="C194">
        <f t="shared" si="8"/>
        <v>56478</v>
      </c>
      <c r="D194" t="s">
        <v>12</v>
      </c>
      <c r="E194" t="s">
        <v>14</v>
      </c>
      <c r="F194">
        <v>4</v>
      </c>
      <c r="G194">
        <v>32</v>
      </c>
      <c r="H194">
        <f t="shared" si="6"/>
        <v>128</v>
      </c>
      <c r="I194">
        <f t="shared" si="7"/>
        <v>56606</v>
      </c>
    </row>
    <row r="195" spans="1:9" x14ac:dyDescent="0.45">
      <c r="A195" s="1">
        <v>43407</v>
      </c>
      <c r="B195" t="s">
        <v>16</v>
      </c>
      <c r="C195">
        <f t="shared" si="8"/>
        <v>56606</v>
      </c>
      <c r="D195" t="s">
        <v>9</v>
      </c>
      <c r="E195" t="s">
        <v>8</v>
      </c>
      <c r="F195">
        <v>48</v>
      </c>
      <c r="G195">
        <v>37</v>
      </c>
      <c r="H195">
        <f t="shared" ref="H195:H203" si="9">F195*G195</f>
        <v>1776</v>
      </c>
      <c r="I195">
        <f t="shared" ref="I195:I203" si="10">IF(E195="Z",C195-H195, C195+H195)</f>
        <v>54830</v>
      </c>
    </row>
    <row r="196" spans="1:9" x14ac:dyDescent="0.45">
      <c r="A196" s="1">
        <v>43428</v>
      </c>
      <c r="B196" t="s">
        <v>17</v>
      </c>
      <c r="C196">
        <f t="shared" ref="C196:C203" si="11">I195</f>
        <v>54830</v>
      </c>
      <c r="D196" t="s">
        <v>9</v>
      </c>
      <c r="E196" t="s">
        <v>14</v>
      </c>
      <c r="F196">
        <v>64</v>
      </c>
      <c r="G196">
        <v>61</v>
      </c>
      <c r="H196">
        <f t="shared" si="9"/>
        <v>3904</v>
      </c>
      <c r="I196">
        <f t="shared" si="10"/>
        <v>58734</v>
      </c>
    </row>
    <row r="197" spans="1:9" x14ac:dyDescent="0.45">
      <c r="A197" s="1">
        <v>43428</v>
      </c>
      <c r="B197" t="s">
        <v>17</v>
      </c>
      <c r="C197">
        <f t="shared" si="11"/>
        <v>58734</v>
      </c>
      <c r="D197" t="s">
        <v>7</v>
      </c>
      <c r="E197" t="s">
        <v>8</v>
      </c>
      <c r="F197">
        <v>43</v>
      </c>
      <c r="G197">
        <v>63</v>
      </c>
      <c r="H197">
        <f t="shared" si="9"/>
        <v>2709</v>
      </c>
      <c r="I197">
        <f t="shared" si="10"/>
        <v>56025</v>
      </c>
    </row>
    <row r="198" spans="1:9" x14ac:dyDescent="0.45">
      <c r="A198" s="1">
        <v>43428</v>
      </c>
      <c r="B198" t="s">
        <v>17</v>
      </c>
      <c r="C198">
        <f t="shared" si="11"/>
        <v>56025</v>
      </c>
      <c r="D198" t="s">
        <v>11</v>
      </c>
      <c r="E198" t="s">
        <v>8</v>
      </c>
      <c r="F198">
        <v>24</v>
      </c>
      <c r="G198">
        <v>24</v>
      </c>
      <c r="H198">
        <f t="shared" si="9"/>
        <v>576</v>
      </c>
      <c r="I198">
        <f t="shared" si="10"/>
        <v>55449</v>
      </c>
    </row>
    <row r="199" spans="1:9" x14ac:dyDescent="0.45">
      <c r="A199" s="1">
        <v>43452</v>
      </c>
      <c r="B199" t="s">
        <v>18</v>
      </c>
      <c r="C199">
        <f t="shared" si="11"/>
        <v>55449</v>
      </c>
      <c r="D199" t="s">
        <v>9</v>
      </c>
      <c r="E199" t="s">
        <v>14</v>
      </c>
      <c r="F199">
        <v>4</v>
      </c>
      <c r="G199">
        <v>62</v>
      </c>
      <c r="H199">
        <f t="shared" si="9"/>
        <v>248</v>
      </c>
      <c r="I199">
        <f t="shared" si="10"/>
        <v>55697</v>
      </c>
    </row>
    <row r="200" spans="1:9" x14ac:dyDescent="0.45">
      <c r="A200" s="1">
        <v>43452</v>
      </c>
      <c r="B200" t="s">
        <v>18</v>
      </c>
      <c r="C200">
        <f t="shared" si="11"/>
        <v>55697</v>
      </c>
      <c r="D200" t="s">
        <v>12</v>
      </c>
      <c r="E200" t="s">
        <v>8</v>
      </c>
      <c r="F200">
        <v>35</v>
      </c>
      <c r="G200">
        <v>19</v>
      </c>
      <c r="H200">
        <f t="shared" si="9"/>
        <v>665</v>
      </c>
      <c r="I200">
        <f t="shared" si="10"/>
        <v>55032</v>
      </c>
    </row>
    <row r="201" spans="1:9" x14ac:dyDescent="0.45">
      <c r="A201" s="1">
        <v>43452</v>
      </c>
      <c r="B201" t="s">
        <v>18</v>
      </c>
      <c r="C201">
        <f t="shared" si="11"/>
        <v>55032</v>
      </c>
      <c r="D201" t="s">
        <v>10</v>
      </c>
      <c r="E201" t="s">
        <v>8</v>
      </c>
      <c r="F201">
        <v>41</v>
      </c>
      <c r="G201">
        <v>8</v>
      </c>
      <c r="H201">
        <f t="shared" si="9"/>
        <v>328</v>
      </c>
      <c r="I201">
        <f t="shared" si="10"/>
        <v>54704</v>
      </c>
    </row>
    <row r="202" spans="1:9" x14ac:dyDescent="0.45">
      <c r="A202" s="1">
        <v>43452</v>
      </c>
      <c r="B202" t="s">
        <v>18</v>
      </c>
      <c r="C202">
        <f t="shared" si="11"/>
        <v>54704</v>
      </c>
      <c r="D202" t="s">
        <v>7</v>
      </c>
      <c r="E202" t="s">
        <v>8</v>
      </c>
      <c r="F202">
        <v>23</v>
      </c>
      <c r="G202">
        <v>61</v>
      </c>
      <c r="H202">
        <f t="shared" si="9"/>
        <v>1403</v>
      </c>
      <c r="I202">
        <f t="shared" si="10"/>
        <v>53301</v>
      </c>
    </row>
    <row r="203" spans="1:9" x14ac:dyDescent="0.45">
      <c r="A203" s="1">
        <v>43452</v>
      </c>
      <c r="B203" t="s">
        <v>18</v>
      </c>
      <c r="C203">
        <f t="shared" si="11"/>
        <v>53301</v>
      </c>
      <c r="D203" t="s">
        <v>11</v>
      </c>
      <c r="E203" t="s">
        <v>8</v>
      </c>
      <c r="F203">
        <v>46</v>
      </c>
      <c r="G203">
        <v>23</v>
      </c>
      <c r="H203">
        <f t="shared" si="9"/>
        <v>1058</v>
      </c>
      <c r="I203">
        <f t="shared" si="10"/>
        <v>52243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Dane</vt:lpstr>
      <vt:lpstr>1</vt:lpstr>
      <vt:lpstr>2</vt:lpstr>
      <vt:lpstr>3</vt:lpstr>
      <vt:lpstr>4a</vt:lpstr>
      <vt:lpstr>4b</vt:lpstr>
      <vt:lpstr>'1'!statek</vt:lpstr>
      <vt:lpstr>'2'!statek</vt:lpstr>
      <vt:lpstr>'3'!statek</vt:lpstr>
      <vt:lpstr>'4a'!statek</vt:lpstr>
      <vt:lpstr>'4b'!statek</vt:lpstr>
      <vt:lpstr>Dane!statek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2024-04-02T14:40:00Z</dcterms:modified>
</cp:coreProperties>
</file>