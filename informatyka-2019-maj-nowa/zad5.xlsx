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ja\Desktop\informatyka-2019-maj-nowa\"/>
    </mc:Choice>
  </mc:AlternateContent>
  <xr:revisionPtr revIDLastSave="0" documentId="13_ncr:1_{0355F149-B409-43BF-ABCE-44E76322E370}" xr6:coauthVersionLast="47" xr6:coauthVersionMax="47" xr10:uidLastSave="{00000000-0000-0000-0000-000000000000}"/>
  <bookViews>
    <workbookView xWindow="-98" yWindow="-98" windowWidth="21795" windowHeight="11625" activeTab="7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5" r:id="rId5"/>
    <sheet name="4 (1)" sheetId="6" r:id="rId6"/>
    <sheet name="4 (2)" sheetId="7" r:id="rId7"/>
    <sheet name="4 (3)" sheetId="8" r:id="rId8"/>
  </sheets>
  <definedNames>
    <definedName name="pogoda" localSheetId="1">'1'!$A$1:$E$501</definedName>
    <definedName name="pogoda" localSheetId="2">'2'!$A$1:$E$501</definedName>
    <definedName name="pogoda" localSheetId="3">'3'!$A$1:$E$501</definedName>
    <definedName name="pogoda" localSheetId="4">'4'!$A$1:$E$501</definedName>
    <definedName name="pogoda" localSheetId="5">'4 (1)'!$A$1:$E$501</definedName>
    <definedName name="pogoda" localSheetId="6">'4 (2)'!$A$1:$E$501</definedName>
    <definedName name="pogoda" localSheetId="7">'4 (3)'!$A$1:$E$501</definedName>
    <definedName name="pogoda" localSheetId="0">Dane!$A$1:$E$501</definedName>
  </definedNames>
  <calcPr calcId="191029"/>
  <pivotCaches>
    <pivotCache cacheId="3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L3" i="8"/>
  <c r="K3" i="8"/>
  <c r="I3" i="8"/>
  <c r="H3" i="8" s="1"/>
  <c r="I4" i="8" s="1"/>
  <c r="M2" i="8"/>
  <c r="Q2" i="7"/>
  <c r="O24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L3" i="7"/>
  <c r="K3" i="7"/>
  <c r="I3" i="7"/>
  <c r="H3" i="7"/>
  <c r="I4" i="7" s="1"/>
  <c r="G3" i="7"/>
  <c r="K4" i="7" s="1"/>
  <c r="M2" i="7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L3" i="6"/>
  <c r="K3" i="6"/>
  <c r="I3" i="6"/>
  <c r="M2" i="6"/>
  <c r="H3" i="5"/>
  <c r="I4" i="5" s="1"/>
  <c r="H4" i="5" s="1"/>
  <c r="I5" i="5" s="1"/>
  <c r="K4" i="5"/>
  <c r="L4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3" i="5"/>
  <c r="G3" i="5" s="1"/>
  <c r="J3" i="5" s="1"/>
  <c r="M2" i="5"/>
  <c r="L3" i="5"/>
  <c r="I3" i="5"/>
  <c r="K3" i="5"/>
  <c r="N5" i="4"/>
  <c r="N6" i="4"/>
  <c r="N7" i="4"/>
  <c r="N8" i="4"/>
  <c r="N9" i="4"/>
  <c r="N10" i="4"/>
  <c r="N11" i="4"/>
  <c r="N12" i="4"/>
  <c r="N13" i="4"/>
  <c r="N14" i="4"/>
  <c r="N4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" i="4"/>
  <c r="F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2" i="3"/>
  <c r="E2" i="3"/>
  <c r="C4" i="3"/>
  <c r="C5" i="3"/>
  <c r="C6" i="3"/>
  <c r="C7" i="3"/>
  <c r="C8" i="3"/>
  <c r="C9" i="3"/>
  <c r="C10" i="3" s="1"/>
  <c r="C11" i="3" s="1"/>
  <c r="C12" i="3" s="1"/>
  <c r="C13" i="3" s="1"/>
  <c r="C14" i="3" s="1"/>
  <c r="C15" i="3" s="1"/>
  <c r="C16" i="3"/>
  <c r="C17" i="3"/>
  <c r="C18" i="3"/>
  <c r="C19" i="3"/>
  <c r="C20" i="3"/>
  <c r="C21" i="3"/>
  <c r="C22" i="3"/>
  <c r="C23" i="3" s="1"/>
  <c r="C24" i="3" s="1"/>
  <c r="C25" i="3" s="1"/>
  <c r="C26" i="3"/>
  <c r="C27" i="3"/>
  <c r="C28" i="3"/>
  <c r="C29" i="3"/>
  <c r="C30" i="3"/>
  <c r="C31" i="3"/>
  <c r="C32" i="3"/>
  <c r="C33" i="3" s="1"/>
  <c r="C34" i="3" s="1"/>
  <c r="C35" i="3" s="1"/>
  <c r="C36" i="3" s="1"/>
  <c r="C37" i="3" s="1"/>
  <c r="C38" i="3"/>
  <c r="C39" i="3"/>
  <c r="C40" i="3"/>
  <c r="C41" i="3"/>
  <c r="C42" i="3"/>
  <c r="C43" i="3" s="1"/>
  <c r="C44" i="3" s="1"/>
  <c r="C45" i="3" s="1"/>
  <c r="C46" i="3" s="1"/>
  <c r="C47" i="3" s="1"/>
  <c r="C48" i="3" s="1"/>
  <c r="C49" i="3"/>
  <c r="C50" i="3"/>
  <c r="C51" i="3"/>
  <c r="C52" i="3"/>
  <c r="C53" i="3"/>
  <c r="C54" i="3"/>
  <c r="C55" i="3" s="1"/>
  <c r="C56" i="3" s="1"/>
  <c r="C57" i="3" s="1"/>
  <c r="C58" i="3" s="1"/>
  <c r="C59" i="3" s="1"/>
  <c r="C60" i="3"/>
  <c r="C61" i="3"/>
  <c r="C62" i="3"/>
  <c r="C63" i="3"/>
  <c r="C64" i="3"/>
  <c r="C65" i="3" s="1"/>
  <c r="C66" i="3" s="1"/>
  <c r="C67" i="3" s="1"/>
  <c r="C68" i="3" s="1"/>
  <c r="C69" i="3" s="1"/>
  <c r="C70" i="3"/>
  <c r="C71" i="3"/>
  <c r="C72" i="3"/>
  <c r="C73" i="3"/>
  <c r="C74" i="3"/>
  <c r="C75" i="3"/>
  <c r="C76" i="3"/>
  <c r="C77" i="3"/>
  <c r="C78" i="3" s="1"/>
  <c r="C79" i="3" s="1"/>
  <c r="C80" i="3" s="1"/>
  <c r="C81" i="3"/>
  <c r="C82" i="3"/>
  <c r="C83" i="3"/>
  <c r="C84" i="3"/>
  <c r="C85" i="3"/>
  <c r="C86" i="3"/>
  <c r="C87" i="3" s="1"/>
  <c r="C88" i="3" s="1"/>
  <c r="C89" i="3" s="1"/>
  <c r="C90" i="3" s="1"/>
  <c r="C91" i="3" s="1"/>
  <c r="C92" i="3" s="1"/>
  <c r="C93" i="3"/>
  <c r="C94" i="3"/>
  <c r="C95" i="3"/>
  <c r="C96" i="3"/>
  <c r="C97" i="3"/>
  <c r="C98" i="3"/>
  <c r="C99" i="3"/>
  <c r="C100" i="3" s="1"/>
  <c r="C101" i="3" s="1"/>
  <c r="C102" i="3" s="1"/>
  <c r="C103" i="3" s="1"/>
  <c r="C104" i="3" s="1"/>
  <c r="C105" i="3"/>
  <c r="C106" i="3"/>
  <c r="C107" i="3"/>
  <c r="C108" i="3"/>
  <c r="C109" i="3"/>
  <c r="C110" i="3" s="1"/>
  <c r="C111" i="3" s="1"/>
  <c r="C112" i="3" s="1"/>
  <c r="C113" i="3" s="1"/>
  <c r="C114" i="3" s="1"/>
  <c r="C115" i="3"/>
  <c r="C116" i="3"/>
  <c r="C117" i="3"/>
  <c r="C118" i="3"/>
  <c r="C119" i="3"/>
  <c r="C120" i="3"/>
  <c r="C121" i="3" s="1"/>
  <c r="C122" i="3" s="1"/>
  <c r="C123" i="3" s="1"/>
  <c r="C124" i="3" s="1"/>
  <c r="C125" i="3"/>
  <c r="C126" i="3"/>
  <c r="C127" i="3"/>
  <c r="C128" i="3"/>
  <c r="C129" i="3"/>
  <c r="C130" i="3"/>
  <c r="C131" i="3"/>
  <c r="C132" i="3" s="1"/>
  <c r="C133" i="3" s="1"/>
  <c r="C134" i="3" s="1"/>
  <c r="C135" i="3" s="1"/>
  <c r="C136" i="3"/>
  <c r="C137" i="3"/>
  <c r="C138" i="3"/>
  <c r="C139" i="3"/>
  <c r="C140" i="3"/>
  <c r="C141" i="3"/>
  <c r="C142" i="3" s="1"/>
  <c r="C143" i="3" s="1"/>
  <c r="C144" i="3" s="1"/>
  <c r="C145" i="3" s="1"/>
  <c r="C146" i="3" s="1"/>
  <c r="C147" i="3" s="1"/>
  <c r="C148" i="3"/>
  <c r="C149" i="3"/>
  <c r="C150" i="3"/>
  <c r="C151" i="3"/>
  <c r="C152" i="3"/>
  <c r="C153" i="3" s="1"/>
  <c r="C154" i="3" s="1"/>
  <c r="C155" i="3" s="1"/>
  <c r="C156" i="3" s="1"/>
  <c r="C157" i="3" s="1"/>
  <c r="C158" i="3" s="1"/>
  <c r="C159" i="3"/>
  <c r="C160" i="3"/>
  <c r="C161" i="3"/>
  <c r="C162" i="3"/>
  <c r="C163" i="3"/>
  <c r="C164" i="3" s="1"/>
  <c r="C165" i="3" s="1"/>
  <c r="C166" i="3" s="1"/>
  <c r="C167" i="3" s="1"/>
  <c r="C168" i="3" s="1"/>
  <c r="C169" i="3"/>
  <c r="C170" i="3"/>
  <c r="C171" i="3"/>
  <c r="C172" i="3"/>
  <c r="C173" i="3"/>
  <c r="C174" i="3"/>
  <c r="C175" i="3"/>
  <c r="C176" i="3"/>
  <c r="C177" i="3" s="1"/>
  <c r="C178" i="3" s="1"/>
  <c r="C179" i="3" s="1"/>
  <c r="C180" i="3"/>
  <c r="C181" i="3"/>
  <c r="C182" i="3"/>
  <c r="C183" i="3"/>
  <c r="C184" i="3"/>
  <c r="C185" i="3"/>
  <c r="C186" i="3"/>
  <c r="C187" i="3" s="1"/>
  <c r="C188" i="3" s="1"/>
  <c r="C189" i="3" s="1"/>
  <c r="C190" i="3" s="1"/>
  <c r="C191" i="3" s="1"/>
  <c r="C192" i="3"/>
  <c r="C193" i="3"/>
  <c r="C194" i="3"/>
  <c r="C195" i="3"/>
  <c r="C196" i="3"/>
  <c r="C197" i="3" s="1"/>
  <c r="C198" i="3" s="1"/>
  <c r="C199" i="3" s="1"/>
  <c r="C200" i="3" s="1"/>
  <c r="C201" i="3" s="1"/>
  <c r="C202" i="3" s="1"/>
  <c r="C203" i="3" s="1"/>
  <c r="C204" i="3"/>
  <c r="C205" i="3"/>
  <c r="C206" i="3"/>
  <c r="C207" i="3"/>
  <c r="C208" i="3"/>
  <c r="C209" i="3" s="1"/>
  <c r="C210" i="3" s="1"/>
  <c r="C211" i="3" s="1"/>
  <c r="C212" i="3" s="1"/>
  <c r="C213" i="3" s="1"/>
  <c r="C214" i="3"/>
  <c r="C215" i="3"/>
  <c r="C216" i="3"/>
  <c r="C217" i="3"/>
  <c r="C218" i="3"/>
  <c r="C219" i="3"/>
  <c r="C220" i="3"/>
  <c r="C221" i="3"/>
  <c r="C222" i="3" s="1"/>
  <c r="C223" i="3" s="1"/>
  <c r="C224" i="3"/>
  <c r="C225" i="3"/>
  <c r="C226" i="3"/>
  <c r="C227" i="3"/>
  <c r="C228" i="3"/>
  <c r="C229" i="3"/>
  <c r="C230" i="3"/>
  <c r="C231" i="3"/>
  <c r="C232" i="3"/>
  <c r="C233" i="3" s="1"/>
  <c r="C234" i="3" s="1"/>
  <c r="C235" i="3"/>
  <c r="C236" i="3"/>
  <c r="C237" i="3"/>
  <c r="C238" i="3"/>
  <c r="C239" i="3"/>
  <c r="C240" i="3"/>
  <c r="C241" i="3" s="1"/>
  <c r="C242" i="3" s="1"/>
  <c r="C243" i="3" s="1"/>
  <c r="C244" i="3" s="1"/>
  <c r="C245" i="3" s="1"/>
  <c r="C246" i="3" s="1"/>
  <c r="C247" i="3"/>
  <c r="C248" i="3"/>
  <c r="C249" i="3"/>
  <c r="C250" i="3"/>
  <c r="C251" i="3" s="1"/>
  <c r="C252" i="3" s="1"/>
  <c r="C253" i="3" s="1"/>
  <c r="C254" i="3" s="1"/>
  <c r="C255" i="3" s="1"/>
  <c r="C256" i="3" s="1"/>
  <c r="C257" i="3" s="1"/>
  <c r="C258" i="3"/>
  <c r="C259" i="3"/>
  <c r="C260" i="3"/>
  <c r="C261" i="3"/>
  <c r="C262" i="3"/>
  <c r="C263" i="3"/>
  <c r="C264" i="3"/>
  <c r="C265" i="3" s="1"/>
  <c r="C266" i="3" s="1"/>
  <c r="C267" i="3" s="1"/>
  <c r="C268" i="3"/>
  <c r="C269" i="3"/>
  <c r="C270" i="3"/>
  <c r="C271" i="3"/>
  <c r="C272" i="3"/>
  <c r="C273" i="3"/>
  <c r="C274" i="3"/>
  <c r="C275" i="3"/>
  <c r="C276" i="3" s="1"/>
  <c r="C277" i="3" s="1"/>
  <c r="C278" i="3" s="1"/>
  <c r="C279" i="3"/>
  <c r="C280" i="3"/>
  <c r="C281" i="3"/>
  <c r="C282" i="3"/>
  <c r="C283" i="3"/>
  <c r="C284" i="3"/>
  <c r="C285" i="3"/>
  <c r="C286" i="3" s="1"/>
  <c r="C287" i="3" s="1"/>
  <c r="C288" i="3" s="1"/>
  <c r="C289" i="3" s="1"/>
  <c r="C290" i="3" s="1"/>
  <c r="C291" i="3"/>
  <c r="C292" i="3"/>
  <c r="C293" i="3"/>
  <c r="C294" i="3"/>
  <c r="C295" i="3"/>
  <c r="C296" i="3"/>
  <c r="C297" i="3" s="1"/>
  <c r="C298" i="3" s="1"/>
  <c r="C299" i="3" s="1"/>
  <c r="C300" i="3" s="1"/>
  <c r="C301" i="3" s="1"/>
  <c r="C302" i="3" s="1"/>
  <c r="C303" i="3"/>
  <c r="C304" i="3"/>
  <c r="C305" i="3"/>
  <c r="C306" i="3"/>
  <c r="C307" i="3"/>
  <c r="C308" i="3" s="1"/>
  <c r="C309" i="3" s="1"/>
  <c r="C310" i="3" s="1"/>
  <c r="C311" i="3" s="1"/>
  <c r="C312" i="3" s="1"/>
  <c r="C313" i="3"/>
  <c r="C314" i="3"/>
  <c r="C315" i="3"/>
  <c r="C316" i="3"/>
  <c r="C317" i="3"/>
  <c r="C318" i="3"/>
  <c r="C319" i="3"/>
  <c r="C320" i="3"/>
  <c r="C321" i="3" s="1"/>
  <c r="C322" i="3" s="1"/>
  <c r="C323" i="3"/>
  <c r="C324" i="3"/>
  <c r="C325" i="3"/>
  <c r="C326" i="3"/>
  <c r="C327" i="3"/>
  <c r="C328" i="3"/>
  <c r="C329" i="3"/>
  <c r="C330" i="3" s="1"/>
  <c r="C331" i="3" s="1"/>
  <c r="C332" i="3" s="1"/>
  <c r="C333" i="3" s="1"/>
  <c r="C334" i="3"/>
  <c r="C335" i="3"/>
  <c r="C336" i="3"/>
  <c r="C337" i="3"/>
  <c r="C338" i="3"/>
  <c r="C339" i="3"/>
  <c r="C340" i="3" s="1"/>
  <c r="C341" i="3" s="1"/>
  <c r="C342" i="3" s="1"/>
  <c r="C343" i="3" s="1"/>
  <c r="C344" i="3" s="1"/>
  <c r="C345" i="3" s="1"/>
  <c r="C346" i="3"/>
  <c r="C347" i="3"/>
  <c r="C348" i="3"/>
  <c r="C349" i="3"/>
  <c r="C350" i="3" s="1"/>
  <c r="C351" i="3" s="1"/>
  <c r="C352" i="3" s="1"/>
  <c r="C353" i="3" s="1"/>
  <c r="C354" i="3" s="1"/>
  <c r="C355" i="3" s="1"/>
  <c r="C356" i="3" s="1"/>
  <c r="C357" i="3"/>
  <c r="C358" i="3"/>
  <c r="C359" i="3"/>
  <c r="C360" i="3"/>
  <c r="C361" i="3"/>
  <c r="C362" i="3" s="1"/>
  <c r="C363" i="3" s="1"/>
  <c r="C364" i="3" s="1"/>
  <c r="C365" i="3" s="1"/>
  <c r="C366" i="3" s="1"/>
  <c r="C367" i="3"/>
  <c r="C368" i="3"/>
  <c r="C369" i="3"/>
  <c r="C370" i="3"/>
  <c r="C371" i="3"/>
  <c r="C372" i="3"/>
  <c r="C373" i="3"/>
  <c r="C374" i="3"/>
  <c r="C375" i="3"/>
  <c r="C376" i="3"/>
  <c r="C377" i="3" s="1"/>
  <c r="C378" i="3"/>
  <c r="C379" i="3"/>
  <c r="C380" i="3"/>
  <c r="C381" i="3"/>
  <c r="C382" i="3"/>
  <c r="C383" i="3"/>
  <c r="C384" i="3"/>
  <c r="C385" i="3" s="1"/>
  <c r="C386" i="3" s="1"/>
  <c r="C387" i="3" s="1"/>
  <c r="C388" i="3" s="1"/>
  <c r="C389" i="3" s="1"/>
  <c r="C390" i="3"/>
  <c r="C391" i="3"/>
  <c r="C392" i="3"/>
  <c r="C393" i="3"/>
  <c r="C394" i="3"/>
  <c r="C395" i="3" s="1"/>
  <c r="C396" i="3" s="1"/>
  <c r="C397" i="3" s="1"/>
  <c r="C398" i="3" s="1"/>
  <c r="C399" i="3" s="1"/>
  <c r="C400" i="3" s="1"/>
  <c r="C401" i="3" s="1"/>
  <c r="C402" i="3"/>
  <c r="C403" i="3"/>
  <c r="C404" i="3"/>
  <c r="C405" i="3"/>
  <c r="C406" i="3"/>
  <c r="C407" i="3"/>
  <c r="C408" i="3"/>
  <c r="C409" i="3" s="1"/>
  <c r="C410" i="3" s="1"/>
  <c r="C411" i="3" s="1"/>
  <c r="C412" i="3"/>
  <c r="C413" i="3"/>
  <c r="C414" i="3"/>
  <c r="C415" i="3"/>
  <c r="C416" i="3"/>
  <c r="C417" i="3"/>
  <c r="C418" i="3"/>
  <c r="C419" i="3"/>
  <c r="C420" i="3" s="1"/>
  <c r="C421" i="3" s="1"/>
  <c r="C422" i="3"/>
  <c r="C423" i="3"/>
  <c r="C424" i="3"/>
  <c r="C425" i="3"/>
  <c r="C426" i="3"/>
  <c r="C427" i="3"/>
  <c r="C428" i="3"/>
  <c r="C429" i="3"/>
  <c r="C430" i="3" s="1"/>
  <c r="C431" i="3" s="1"/>
  <c r="C432" i="3" s="1"/>
  <c r="C433" i="3"/>
  <c r="C434" i="3"/>
  <c r="C435" i="3"/>
  <c r="C436" i="3"/>
  <c r="C437" i="3"/>
  <c r="C438" i="3"/>
  <c r="C439" i="3"/>
  <c r="C440" i="3"/>
  <c r="C441" i="3" s="1"/>
  <c r="C442" i="3" s="1"/>
  <c r="C443" i="3" s="1"/>
  <c r="C444" i="3" s="1"/>
  <c r="C445" i="3"/>
  <c r="C446" i="3"/>
  <c r="C447" i="3"/>
  <c r="C448" i="3"/>
  <c r="C449" i="3" s="1"/>
  <c r="C450" i="3" s="1"/>
  <c r="C451" i="3" s="1"/>
  <c r="C452" i="3" s="1"/>
  <c r="C453" i="3" s="1"/>
  <c r="C454" i="3" s="1"/>
  <c r="C455" i="3" s="1"/>
  <c r="C456" i="3" s="1"/>
  <c r="C457" i="3"/>
  <c r="C458" i="3"/>
  <c r="C459" i="3"/>
  <c r="C460" i="3"/>
  <c r="C461" i="3"/>
  <c r="C462" i="3" s="1"/>
  <c r="C463" i="3" s="1"/>
  <c r="C464" i="3" s="1"/>
  <c r="C465" i="3" s="1"/>
  <c r="C466" i="3" s="1"/>
  <c r="C467" i="3"/>
  <c r="C468" i="3"/>
  <c r="C469" i="3"/>
  <c r="C470" i="3"/>
  <c r="C471" i="3"/>
  <c r="C472" i="3"/>
  <c r="C473" i="3" s="1"/>
  <c r="C474" i="3" s="1"/>
  <c r="C475" i="3" s="1"/>
  <c r="C476" i="3" s="1"/>
  <c r="C477" i="3"/>
  <c r="C478" i="3"/>
  <c r="C479" i="3"/>
  <c r="C480" i="3"/>
  <c r="C481" i="3"/>
  <c r="C482" i="3"/>
  <c r="C483" i="3"/>
  <c r="C484" i="3" s="1"/>
  <c r="C485" i="3" s="1"/>
  <c r="C486" i="3" s="1"/>
  <c r="C487" i="3" s="1"/>
  <c r="C488" i="3" s="1"/>
  <c r="C489" i="3"/>
  <c r="C490" i="3"/>
  <c r="C491" i="3"/>
  <c r="C492" i="3"/>
  <c r="C493" i="3"/>
  <c r="C494" i="3" s="1"/>
  <c r="C495" i="3" s="1"/>
  <c r="C496" i="3" s="1"/>
  <c r="C497" i="3" s="1"/>
  <c r="C498" i="3" s="1"/>
  <c r="C499" i="3" s="1"/>
  <c r="C500" i="3"/>
  <c r="C501" i="3"/>
  <c r="C3" i="3"/>
  <c r="K3" i="2"/>
  <c r="F3" i="2"/>
  <c r="G3" i="2"/>
  <c r="H3" i="2"/>
  <c r="F4" i="2"/>
  <c r="H4" i="2" s="1"/>
  <c r="G4" i="2"/>
  <c r="F5" i="2"/>
  <c r="G5" i="2"/>
  <c r="H5" i="2"/>
  <c r="F6" i="2"/>
  <c r="H6" i="2" s="1"/>
  <c r="G6" i="2"/>
  <c r="F7" i="2"/>
  <c r="G7" i="2"/>
  <c r="H7" i="2"/>
  <c r="F8" i="2"/>
  <c r="H8" i="2" s="1"/>
  <c r="G8" i="2"/>
  <c r="F9" i="2"/>
  <c r="H9" i="2" s="1"/>
  <c r="G9" i="2"/>
  <c r="F10" i="2"/>
  <c r="H10" i="2" s="1"/>
  <c r="G10" i="2"/>
  <c r="F11" i="2"/>
  <c r="G11" i="2"/>
  <c r="H11" i="2"/>
  <c r="F12" i="2"/>
  <c r="H12" i="2" s="1"/>
  <c r="G12" i="2"/>
  <c r="F13" i="2"/>
  <c r="H13" i="2" s="1"/>
  <c r="G13" i="2"/>
  <c r="F14" i="2"/>
  <c r="G14" i="2"/>
  <c r="H14" i="2"/>
  <c r="F15" i="2"/>
  <c r="H15" i="2" s="1"/>
  <c r="G15" i="2"/>
  <c r="F16" i="2"/>
  <c r="G16" i="2"/>
  <c r="H16" i="2"/>
  <c r="F17" i="2"/>
  <c r="H17" i="2" s="1"/>
  <c r="G17" i="2"/>
  <c r="F18" i="2"/>
  <c r="G18" i="2"/>
  <c r="H18" i="2"/>
  <c r="F19" i="2"/>
  <c r="G19" i="2"/>
  <c r="H19" i="2"/>
  <c r="F20" i="2"/>
  <c r="H20" i="2" s="1"/>
  <c r="G20" i="2"/>
  <c r="F21" i="2"/>
  <c r="H21" i="2" s="1"/>
  <c r="G21" i="2"/>
  <c r="F22" i="2"/>
  <c r="H22" i="2" s="1"/>
  <c r="G22" i="2"/>
  <c r="F23" i="2"/>
  <c r="G23" i="2"/>
  <c r="H23" i="2"/>
  <c r="F24" i="2"/>
  <c r="H24" i="2" s="1"/>
  <c r="G24" i="2"/>
  <c r="F25" i="2"/>
  <c r="H25" i="2" s="1"/>
  <c r="G25" i="2"/>
  <c r="F26" i="2"/>
  <c r="H26" i="2" s="1"/>
  <c r="G26" i="2"/>
  <c r="F27" i="2"/>
  <c r="G27" i="2"/>
  <c r="H27" i="2"/>
  <c r="F28" i="2"/>
  <c r="H28" i="2" s="1"/>
  <c r="G28" i="2"/>
  <c r="F29" i="2"/>
  <c r="H29" i="2" s="1"/>
  <c r="G29" i="2"/>
  <c r="F30" i="2"/>
  <c r="G30" i="2"/>
  <c r="H30" i="2"/>
  <c r="F31" i="2"/>
  <c r="H31" i="2" s="1"/>
  <c r="G31" i="2"/>
  <c r="F32" i="2"/>
  <c r="G32" i="2"/>
  <c r="H32" i="2"/>
  <c r="F33" i="2"/>
  <c r="H33" i="2" s="1"/>
  <c r="G33" i="2"/>
  <c r="F34" i="2"/>
  <c r="G34" i="2"/>
  <c r="H34" i="2"/>
  <c r="F35" i="2"/>
  <c r="G35" i="2"/>
  <c r="H35" i="2"/>
  <c r="F36" i="2"/>
  <c r="H36" i="2" s="1"/>
  <c r="G36" i="2"/>
  <c r="F37" i="2"/>
  <c r="H37" i="2" s="1"/>
  <c r="G37" i="2"/>
  <c r="F38" i="2"/>
  <c r="H38" i="2" s="1"/>
  <c r="G38" i="2"/>
  <c r="F39" i="2"/>
  <c r="G39" i="2"/>
  <c r="H39" i="2"/>
  <c r="F40" i="2"/>
  <c r="H40" i="2" s="1"/>
  <c r="G40" i="2"/>
  <c r="F41" i="2"/>
  <c r="H41" i="2" s="1"/>
  <c r="G41" i="2"/>
  <c r="F42" i="2"/>
  <c r="H42" i="2" s="1"/>
  <c r="G42" i="2"/>
  <c r="F43" i="2"/>
  <c r="G43" i="2"/>
  <c r="H43" i="2"/>
  <c r="F44" i="2"/>
  <c r="H44" i="2" s="1"/>
  <c r="G44" i="2"/>
  <c r="F45" i="2"/>
  <c r="H45" i="2" s="1"/>
  <c r="G45" i="2"/>
  <c r="F46" i="2"/>
  <c r="G46" i="2"/>
  <c r="H46" i="2"/>
  <c r="F47" i="2"/>
  <c r="H47" i="2" s="1"/>
  <c r="G47" i="2"/>
  <c r="F48" i="2"/>
  <c r="G48" i="2"/>
  <c r="H48" i="2"/>
  <c r="F49" i="2"/>
  <c r="H49" i="2" s="1"/>
  <c r="G49" i="2"/>
  <c r="F50" i="2"/>
  <c r="G50" i="2"/>
  <c r="H50" i="2"/>
  <c r="F51" i="2"/>
  <c r="G51" i="2"/>
  <c r="H51" i="2"/>
  <c r="F52" i="2"/>
  <c r="H52" i="2" s="1"/>
  <c r="G52" i="2"/>
  <c r="F53" i="2"/>
  <c r="H53" i="2" s="1"/>
  <c r="G53" i="2"/>
  <c r="F54" i="2"/>
  <c r="H54" i="2" s="1"/>
  <c r="G54" i="2"/>
  <c r="F55" i="2"/>
  <c r="G55" i="2"/>
  <c r="H55" i="2"/>
  <c r="F56" i="2"/>
  <c r="H56" i="2" s="1"/>
  <c r="G56" i="2"/>
  <c r="F57" i="2"/>
  <c r="H57" i="2" s="1"/>
  <c r="G57" i="2"/>
  <c r="F58" i="2"/>
  <c r="H58" i="2" s="1"/>
  <c r="G58" i="2"/>
  <c r="F59" i="2"/>
  <c r="G59" i="2"/>
  <c r="H59" i="2"/>
  <c r="F60" i="2"/>
  <c r="H60" i="2" s="1"/>
  <c r="G60" i="2"/>
  <c r="F61" i="2"/>
  <c r="H61" i="2" s="1"/>
  <c r="G61" i="2"/>
  <c r="F62" i="2"/>
  <c r="G62" i="2"/>
  <c r="H62" i="2"/>
  <c r="F63" i="2"/>
  <c r="H63" i="2" s="1"/>
  <c r="G63" i="2"/>
  <c r="F64" i="2"/>
  <c r="G64" i="2"/>
  <c r="H64" i="2"/>
  <c r="F65" i="2"/>
  <c r="H65" i="2" s="1"/>
  <c r="G65" i="2"/>
  <c r="F66" i="2"/>
  <c r="G66" i="2"/>
  <c r="H66" i="2"/>
  <c r="F67" i="2"/>
  <c r="G67" i="2"/>
  <c r="H67" i="2"/>
  <c r="F68" i="2"/>
  <c r="H68" i="2" s="1"/>
  <c r="G68" i="2"/>
  <c r="F69" i="2"/>
  <c r="H69" i="2" s="1"/>
  <c r="G69" i="2"/>
  <c r="F70" i="2"/>
  <c r="H70" i="2" s="1"/>
  <c r="G70" i="2"/>
  <c r="F71" i="2"/>
  <c r="G71" i="2"/>
  <c r="H71" i="2"/>
  <c r="F72" i="2"/>
  <c r="H72" i="2" s="1"/>
  <c r="G72" i="2"/>
  <c r="F73" i="2"/>
  <c r="H73" i="2" s="1"/>
  <c r="G73" i="2"/>
  <c r="F74" i="2"/>
  <c r="H74" i="2" s="1"/>
  <c r="G74" i="2"/>
  <c r="F75" i="2"/>
  <c r="G75" i="2"/>
  <c r="H75" i="2"/>
  <c r="F76" i="2"/>
  <c r="H76" i="2" s="1"/>
  <c r="G76" i="2"/>
  <c r="F77" i="2"/>
  <c r="H77" i="2" s="1"/>
  <c r="G77" i="2"/>
  <c r="F78" i="2"/>
  <c r="G78" i="2"/>
  <c r="H78" i="2"/>
  <c r="F79" i="2"/>
  <c r="H79" i="2" s="1"/>
  <c r="G79" i="2"/>
  <c r="F80" i="2"/>
  <c r="G80" i="2"/>
  <c r="H80" i="2"/>
  <c r="F81" i="2"/>
  <c r="H81" i="2" s="1"/>
  <c r="G81" i="2"/>
  <c r="F82" i="2"/>
  <c r="G82" i="2"/>
  <c r="H82" i="2"/>
  <c r="F83" i="2"/>
  <c r="G83" i="2"/>
  <c r="H83" i="2"/>
  <c r="F84" i="2"/>
  <c r="H84" i="2" s="1"/>
  <c r="G84" i="2"/>
  <c r="F85" i="2"/>
  <c r="H85" i="2" s="1"/>
  <c r="G85" i="2"/>
  <c r="F86" i="2"/>
  <c r="H86" i="2" s="1"/>
  <c r="G86" i="2"/>
  <c r="F87" i="2"/>
  <c r="G87" i="2"/>
  <c r="H87" i="2"/>
  <c r="F88" i="2"/>
  <c r="H88" i="2" s="1"/>
  <c r="G88" i="2"/>
  <c r="F89" i="2"/>
  <c r="H89" i="2" s="1"/>
  <c r="G89" i="2"/>
  <c r="F90" i="2"/>
  <c r="H90" i="2" s="1"/>
  <c r="G90" i="2"/>
  <c r="F91" i="2"/>
  <c r="G91" i="2"/>
  <c r="H91" i="2"/>
  <c r="F92" i="2"/>
  <c r="H92" i="2" s="1"/>
  <c r="G92" i="2"/>
  <c r="F93" i="2"/>
  <c r="H93" i="2" s="1"/>
  <c r="G93" i="2"/>
  <c r="F94" i="2"/>
  <c r="G94" i="2"/>
  <c r="H94" i="2"/>
  <c r="F95" i="2"/>
  <c r="H95" i="2" s="1"/>
  <c r="G95" i="2"/>
  <c r="F96" i="2"/>
  <c r="G96" i="2"/>
  <c r="H96" i="2"/>
  <c r="F97" i="2"/>
  <c r="H97" i="2" s="1"/>
  <c r="G97" i="2"/>
  <c r="F98" i="2"/>
  <c r="G98" i="2"/>
  <c r="H98" i="2"/>
  <c r="F99" i="2"/>
  <c r="G99" i="2"/>
  <c r="H99" i="2"/>
  <c r="F100" i="2"/>
  <c r="H100" i="2" s="1"/>
  <c r="G100" i="2"/>
  <c r="F101" i="2"/>
  <c r="H101" i="2" s="1"/>
  <c r="G101" i="2"/>
  <c r="F102" i="2"/>
  <c r="H102" i="2" s="1"/>
  <c r="G102" i="2"/>
  <c r="F103" i="2"/>
  <c r="G103" i="2"/>
  <c r="H103" i="2"/>
  <c r="F104" i="2"/>
  <c r="H104" i="2" s="1"/>
  <c r="G104" i="2"/>
  <c r="F105" i="2"/>
  <c r="H105" i="2" s="1"/>
  <c r="G105" i="2"/>
  <c r="F106" i="2"/>
  <c r="H106" i="2" s="1"/>
  <c r="G106" i="2"/>
  <c r="F107" i="2"/>
  <c r="G107" i="2"/>
  <c r="H107" i="2"/>
  <c r="F108" i="2"/>
  <c r="H108" i="2" s="1"/>
  <c r="G108" i="2"/>
  <c r="F109" i="2"/>
  <c r="H109" i="2" s="1"/>
  <c r="G109" i="2"/>
  <c r="F110" i="2"/>
  <c r="G110" i="2"/>
  <c r="H110" i="2"/>
  <c r="F111" i="2"/>
  <c r="H111" i="2" s="1"/>
  <c r="G111" i="2"/>
  <c r="F112" i="2"/>
  <c r="G112" i="2"/>
  <c r="H112" i="2"/>
  <c r="F113" i="2"/>
  <c r="H113" i="2" s="1"/>
  <c r="G113" i="2"/>
  <c r="F114" i="2"/>
  <c r="G114" i="2"/>
  <c r="H114" i="2"/>
  <c r="F115" i="2"/>
  <c r="G115" i="2"/>
  <c r="H115" i="2"/>
  <c r="F116" i="2"/>
  <c r="H116" i="2" s="1"/>
  <c r="G116" i="2"/>
  <c r="F117" i="2"/>
  <c r="H117" i="2" s="1"/>
  <c r="G117" i="2"/>
  <c r="F118" i="2"/>
  <c r="H118" i="2" s="1"/>
  <c r="G118" i="2"/>
  <c r="F119" i="2"/>
  <c r="G119" i="2"/>
  <c r="H119" i="2"/>
  <c r="F120" i="2"/>
  <c r="H120" i="2" s="1"/>
  <c r="G120" i="2"/>
  <c r="F121" i="2"/>
  <c r="H121" i="2" s="1"/>
  <c r="G121" i="2"/>
  <c r="F122" i="2"/>
  <c r="H122" i="2" s="1"/>
  <c r="G122" i="2"/>
  <c r="F123" i="2"/>
  <c r="G123" i="2"/>
  <c r="H123" i="2"/>
  <c r="F124" i="2"/>
  <c r="H124" i="2" s="1"/>
  <c r="G124" i="2"/>
  <c r="F125" i="2"/>
  <c r="H125" i="2" s="1"/>
  <c r="G125" i="2"/>
  <c r="F126" i="2"/>
  <c r="G126" i="2"/>
  <c r="H126" i="2"/>
  <c r="F127" i="2"/>
  <c r="H127" i="2" s="1"/>
  <c r="G127" i="2"/>
  <c r="F128" i="2"/>
  <c r="G128" i="2"/>
  <c r="H128" i="2"/>
  <c r="F129" i="2"/>
  <c r="H129" i="2" s="1"/>
  <c r="G129" i="2"/>
  <c r="F130" i="2"/>
  <c r="G130" i="2"/>
  <c r="H130" i="2"/>
  <c r="F131" i="2"/>
  <c r="G131" i="2"/>
  <c r="H131" i="2"/>
  <c r="F132" i="2"/>
  <c r="H132" i="2" s="1"/>
  <c r="G132" i="2"/>
  <c r="F133" i="2"/>
  <c r="G133" i="2"/>
  <c r="H133" i="2"/>
  <c r="F134" i="2"/>
  <c r="H134" i="2" s="1"/>
  <c r="G134" i="2"/>
  <c r="F135" i="2"/>
  <c r="G135" i="2"/>
  <c r="H135" i="2"/>
  <c r="F136" i="2"/>
  <c r="H136" i="2" s="1"/>
  <c r="G136" i="2"/>
  <c r="F137" i="2"/>
  <c r="H137" i="2" s="1"/>
  <c r="G137" i="2"/>
  <c r="F138" i="2"/>
  <c r="H138" i="2" s="1"/>
  <c r="G138" i="2"/>
  <c r="F139" i="2"/>
  <c r="G139" i="2"/>
  <c r="H139" i="2"/>
  <c r="F140" i="2"/>
  <c r="H140" i="2" s="1"/>
  <c r="G140" i="2"/>
  <c r="F141" i="2"/>
  <c r="H141" i="2" s="1"/>
  <c r="G141" i="2"/>
  <c r="F142" i="2"/>
  <c r="G142" i="2"/>
  <c r="H142" i="2"/>
  <c r="F143" i="2"/>
  <c r="H143" i="2" s="1"/>
  <c r="G143" i="2"/>
  <c r="F144" i="2"/>
  <c r="G144" i="2"/>
  <c r="H144" i="2"/>
  <c r="F145" i="2"/>
  <c r="H145" i="2" s="1"/>
  <c r="G145" i="2"/>
  <c r="F146" i="2"/>
  <c r="G146" i="2"/>
  <c r="H146" i="2"/>
  <c r="F147" i="2"/>
  <c r="G147" i="2"/>
  <c r="H147" i="2"/>
  <c r="F148" i="2"/>
  <c r="H148" i="2" s="1"/>
  <c r="G148" i="2"/>
  <c r="F149" i="2"/>
  <c r="G149" i="2"/>
  <c r="H149" i="2"/>
  <c r="F150" i="2"/>
  <c r="H150" i="2" s="1"/>
  <c r="G150" i="2"/>
  <c r="F151" i="2"/>
  <c r="G151" i="2"/>
  <c r="H151" i="2"/>
  <c r="F152" i="2"/>
  <c r="H152" i="2" s="1"/>
  <c r="G152" i="2"/>
  <c r="F153" i="2"/>
  <c r="H153" i="2" s="1"/>
  <c r="G153" i="2"/>
  <c r="F154" i="2"/>
  <c r="H154" i="2" s="1"/>
  <c r="G154" i="2"/>
  <c r="F155" i="2"/>
  <c r="G155" i="2"/>
  <c r="H155" i="2"/>
  <c r="F156" i="2"/>
  <c r="H156" i="2" s="1"/>
  <c r="G156" i="2"/>
  <c r="F157" i="2"/>
  <c r="H157" i="2" s="1"/>
  <c r="G157" i="2"/>
  <c r="F158" i="2"/>
  <c r="G158" i="2"/>
  <c r="H158" i="2"/>
  <c r="F159" i="2"/>
  <c r="H159" i="2" s="1"/>
  <c r="G159" i="2"/>
  <c r="F160" i="2"/>
  <c r="G160" i="2"/>
  <c r="H160" i="2"/>
  <c r="F161" i="2"/>
  <c r="H161" i="2" s="1"/>
  <c r="G161" i="2"/>
  <c r="F162" i="2"/>
  <c r="G162" i="2"/>
  <c r="H162" i="2"/>
  <c r="F163" i="2"/>
  <c r="G163" i="2"/>
  <c r="H163" i="2"/>
  <c r="F164" i="2"/>
  <c r="H164" i="2" s="1"/>
  <c r="G164" i="2"/>
  <c r="F165" i="2"/>
  <c r="H165" i="2" s="1"/>
  <c r="G165" i="2"/>
  <c r="F166" i="2"/>
  <c r="H166" i="2" s="1"/>
  <c r="G166" i="2"/>
  <c r="F167" i="2"/>
  <c r="G167" i="2"/>
  <c r="H167" i="2"/>
  <c r="F168" i="2"/>
  <c r="H168" i="2" s="1"/>
  <c r="G168" i="2"/>
  <c r="F169" i="2"/>
  <c r="H169" i="2" s="1"/>
  <c r="G169" i="2"/>
  <c r="F170" i="2"/>
  <c r="H170" i="2" s="1"/>
  <c r="G170" i="2"/>
  <c r="F171" i="2"/>
  <c r="G171" i="2"/>
  <c r="H171" i="2"/>
  <c r="F172" i="2"/>
  <c r="H172" i="2" s="1"/>
  <c r="G172" i="2"/>
  <c r="F173" i="2"/>
  <c r="H173" i="2" s="1"/>
  <c r="G173" i="2"/>
  <c r="F174" i="2"/>
  <c r="G174" i="2"/>
  <c r="H174" i="2"/>
  <c r="F175" i="2"/>
  <c r="H175" i="2" s="1"/>
  <c r="G175" i="2"/>
  <c r="F176" i="2"/>
  <c r="G176" i="2"/>
  <c r="H176" i="2"/>
  <c r="F177" i="2"/>
  <c r="H177" i="2" s="1"/>
  <c r="G177" i="2"/>
  <c r="F178" i="2"/>
  <c r="G178" i="2"/>
  <c r="H178" i="2"/>
  <c r="F179" i="2"/>
  <c r="G179" i="2"/>
  <c r="H179" i="2"/>
  <c r="F180" i="2"/>
  <c r="H180" i="2" s="1"/>
  <c r="G180" i="2"/>
  <c r="F181" i="2"/>
  <c r="H181" i="2" s="1"/>
  <c r="G181" i="2"/>
  <c r="F182" i="2"/>
  <c r="H182" i="2" s="1"/>
  <c r="G182" i="2"/>
  <c r="F183" i="2"/>
  <c r="G183" i="2"/>
  <c r="H183" i="2"/>
  <c r="F184" i="2"/>
  <c r="H184" i="2" s="1"/>
  <c r="G184" i="2"/>
  <c r="F185" i="2"/>
  <c r="H185" i="2" s="1"/>
  <c r="G185" i="2"/>
  <c r="F186" i="2"/>
  <c r="H186" i="2" s="1"/>
  <c r="G186" i="2"/>
  <c r="F187" i="2"/>
  <c r="G187" i="2"/>
  <c r="H187" i="2"/>
  <c r="F188" i="2"/>
  <c r="H188" i="2" s="1"/>
  <c r="G188" i="2"/>
  <c r="F189" i="2"/>
  <c r="H189" i="2" s="1"/>
  <c r="G189" i="2"/>
  <c r="F190" i="2"/>
  <c r="G190" i="2"/>
  <c r="H190" i="2"/>
  <c r="F191" i="2"/>
  <c r="H191" i="2" s="1"/>
  <c r="G191" i="2"/>
  <c r="F192" i="2"/>
  <c r="G192" i="2"/>
  <c r="H192" i="2"/>
  <c r="F193" i="2"/>
  <c r="H193" i="2" s="1"/>
  <c r="G193" i="2"/>
  <c r="F194" i="2"/>
  <c r="G194" i="2"/>
  <c r="H194" i="2"/>
  <c r="F195" i="2"/>
  <c r="G195" i="2"/>
  <c r="H195" i="2"/>
  <c r="F196" i="2"/>
  <c r="H196" i="2" s="1"/>
  <c r="G196" i="2"/>
  <c r="F197" i="2"/>
  <c r="H197" i="2" s="1"/>
  <c r="G197" i="2"/>
  <c r="F198" i="2"/>
  <c r="H198" i="2" s="1"/>
  <c r="G198" i="2"/>
  <c r="F199" i="2"/>
  <c r="G199" i="2"/>
  <c r="H199" i="2"/>
  <c r="F200" i="2"/>
  <c r="H200" i="2" s="1"/>
  <c r="G200" i="2"/>
  <c r="F201" i="2"/>
  <c r="H201" i="2" s="1"/>
  <c r="G201" i="2"/>
  <c r="F202" i="2"/>
  <c r="H202" i="2" s="1"/>
  <c r="G202" i="2"/>
  <c r="F203" i="2"/>
  <c r="G203" i="2"/>
  <c r="H203" i="2"/>
  <c r="F204" i="2"/>
  <c r="H204" i="2" s="1"/>
  <c r="G204" i="2"/>
  <c r="F205" i="2"/>
  <c r="H205" i="2" s="1"/>
  <c r="G205" i="2"/>
  <c r="F206" i="2"/>
  <c r="G206" i="2"/>
  <c r="H206" i="2"/>
  <c r="F207" i="2"/>
  <c r="H207" i="2" s="1"/>
  <c r="G207" i="2"/>
  <c r="F208" i="2"/>
  <c r="G208" i="2"/>
  <c r="H208" i="2"/>
  <c r="F209" i="2"/>
  <c r="H209" i="2" s="1"/>
  <c r="G209" i="2"/>
  <c r="F210" i="2"/>
  <c r="G210" i="2"/>
  <c r="H210" i="2"/>
  <c r="F211" i="2"/>
  <c r="G211" i="2"/>
  <c r="H211" i="2"/>
  <c r="F212" i="2"/>
  <c r="H212" i="2" s="1"/>
  <c r="G212" i="2"/>
  <c r="F213" i="2"/>
  <c r="G213" i="2"/>
  <c r="H213" i="2" s="1"/>
  <c r="F214" i="2"/>
  <c r="H214" i="2" s="1"/>
  <c r="G214" i="2"/>
  <c r="F215" i="2"/>
  <c r="G215" i="2"/>
  <c r="H215" i="2"/>
  <c r="F216" i="2"/>
  <c r="H216" i="2" s="1"/>
  <c r="G216" i="2"/>
  <c r="F217" i="2"/>
  <c r="H217" i="2" s="1"/>
  <c r="G217" i="2"/>
  <c r="F218" i="2"/>
  <c r="G218" i="2"/>
  <c r="H218" i="2"/>
  <c r="F219" i="2"/>
  <c r="G219" i="2"/>
  <c r="H219" i="2"/>
  <c r="F220" i="2"/>
  <c r="H220" i="2" s="1"/>
  <c r="G220" i="2"/>
  <c r="F221" i="2"/>
  <c r="H221" i="2" s="1"/>
  <c r="G221" i="2"/>
  <c r="F222" i="2"/>
  <c r="G222" i="2"/>
  <c r="H222" i="2"/>
  <c r="F223" i="2"/>
  <c r="H223" i="2" s="1"/>
  <c r="G223" i="2"/>
  <c r="F224" i="2"/>
  <c r="G224" i="2"/>
  <c r="H224" i="2"/>
  <c r="F225" i="2"/>
  <c r="H225" i="2" s="1"/>
  <c r="G225" i="2"/>
  <c r="F226" i="2"/>
  <c r="G226" i="2"/>
  <c r="H226" i="2"/>
  <c r="F227" i="2"/>
  <c r="G227" i="2"/>
  <c r="H227" i="2"/>
  <c r="F228" i="2"/>
  <c r="H228" i="2" s="1"/>
  <c r="G228" i="2"/>
  <c r="F229" i="2"/>
  <c r="G229" i="2"/>
  <c r="H229" i="2" s="1"/>
  <c r="F230" i="2"/>
  <c r="H230" i="2" s="1"/>
  <c r="G230" i="2"/>
  <c r="F231" i="2"/>
  <c r="G231" i="2"/>
  <c r="H231" i="2"/>
  <c r="F232" i="2"/>
  <c r="H232" i="2" s="1"/>
  <c r="G232" i="2"/>
  <c r="F233" i="2"/>
  <c r="H233" i="2" s="1"/>
  <c r="G233" i="2"/>
  <c r="F234" i="2"/>
  <c r="G234" i="2"/>
  <c r="H234" i="2"/>
  <c r="F235" i="2"/>
  <c r="G235" i="2"/>
  <c r="H235" i="2"/>
  <c r="F236" i="2"/>
  <c r="H236" i="2" s="1"/>
  <c r="G236" i="2"/>
  <c r="F237" i="2"/>
  <c r="H237" i="2" s="1"/>
  <c r="G237" i="2"/>
  <c r="F238" i="2"/>
  <c r="G238" i="2"/>
  <c r="H238" i="2"/>
  <c r="F239" i="2"/>
  <c r="H239" i="2" s="1"/>
  <c r="G239" i="2"/>
  <c r="F240" i="2"/>
  <c r="G240" i="2"/>
  <c r="H240" i="2"/>
  <c r="F241" i="2"/>
  <c r="H241" i="2" s="1"/>
  <c r="G241" i="2"/>
  <c r="F242" i="2"/>
  <c r="G242" i="2"/>
  <c r="H242" i="2"/>
  <c r="F243" i="2"/>
  <c r="G243" i="2"/>
  <c r="H243" i="2"/>
  <c r="F244" i="2"/>
  <c r="H244" i="2" s="1"/>
  <c r="G244" i="2"/>
  <c r="F245" i="2"/>
  <c r="G245" i="2"/>
  <c r="H245" i="2" s="1"/>
  <c r="F246" i="2"/>
  <c r="H246" i="2" s="1"/>
  <c r="G246" i="2"/>
  <c r="F247" i="2"/>
  <c r="G247" i="2"/>
  <c r="H247" i="2"/>
  <c r="F248" i="2"/>
  <c r="H248" i="2" s="1"/>
  <c r="G248" i="2"/>
  <c r="F249" i="2"/>
  <c r="H249" i="2" s="1"/>
  <c r="G249" i="2"/>
  <c r="F250" i="2"/>
  <c r="G250" i="2"/>
  <c r="H250" i="2"/>
  <c r="F251" i="2"/>
  <c r="G251" i="2"/>
  <c r="H251" i="2"/>
  <c r="F252" i="2"/>
  <c r="H252" i="2" s="1"/>
  <c r="G252" i="2"/>
  <c r="F253" i="2"/>
  <c r="H253" i="2" s="1"/>
  <c r="G253" i="2"/>
  <c r="F254" i="2"/>
  <c r="G254" i="2"/>
  <c r="H254" i="2"/>
  <c r="F255" i="2"/>
  <c r="H255" i="2" s="1"/>
  <c r="G255" i="2"/>
  <c r="F256" i="2"/>
  <c r="G256" i="2"/>
  <c r="H256" i="2"/>
  <c r="F257" i="2"/>
  <c r="H257" i="2" s="1"/>
  <c r="G257" i="2"/>
  <c r="F258" i="2"/>
  <c r="G258" i="2"/>
  <c r="H258" i="2"/>
  <c r="F259" i="2"/>
  <c r="G259" i="2"/>
  <c r="H259" i="2"/>
  <c r="F260" i="2"/>
  <c r="H260" i="2" s="1"/>
  <c r="G260" i="2"/>
  <c r="F261" i="2"/>
  <c r="H261" i="2" s="1"/>
  <c r="G261" i="2"/>
  <c r="F262" i="2"/>
  <c r="H262" i="2" s="1"/>
  <c r="G262" i="2"/>
  <c r="F263" i="2"/>
  <c r="G263" i="2"/>
  <c r="H263" i="2"/>
  <c r="F264" i="2"/>
  <c r="H264" i="2" s="1"/>
  <c r="G264" i="2"/>
  <c r="F265" i="2"/>
  <c r="H265" i="2" s="1"/>
  <c r="G265" i="2"/>
  <c r="F266" i="2"/>
  <c r="G266" i="2"/>
  <c r="H266" i="2"/>
  <c r="F267" i="2"/>
  <c r="G267" i="2"/>
  <c r="H267" i="2"/>
  <c r="F268" i="2"/>
  <c r="H268" i="2" s="1"/>
  <c r="G268" i="2"/>
  <c r="F269" i="2"/>
  <c r="H269" i="2" s="1"/>
  <c r="G269" i="2"/>
  <c r="F270" i="2"/>
  <c r="G270" i="2"/>
  <c r="H270" i="2"/>
  <c r="F271" i="2"/>
  <c r="H271" i="2" s="1"/>
  <c r="G271" i="2"/>
  <c r="F272" i="2"/>
  <c r="G272" i="2"/>
  <c r="H272" i="2"/>
  <c r="F273" i="2"/>
  <c r="H273" i="2" s="1"/>
  <c r="G273" i="2"/>
  <c r="F274" i="2"/>
  <c r="G274" i="2"/>
  <c r="H274" i="2"/>
  <c r="F275" i="2"/>
  <c r="G275" i="2"/>
  <c r="H275" i="2"/>
  <c r="F276" i="2"/>
  <c r="H276" i="2" s="1"/>
  <c r="G276" i="2"/>
  <c r="F277" i="2"/>
  <c r="H277" i="2" s="1"/>
  <c r="G277" i="2"/>
  <c r="F278" i="2"/>
  <c r="H278" i="2" s="1"/>
  <c r="G278" i="2"/>
  <c r="F279" i="2"/>
  <c r="G279" i="2"/>
  <c r="H279" i="2"/>
  <c r="F280" i="2"/>
  <c r="H280" i="2" s="1"/>
  <c r="G280" i="2"/>
  <c r="F281" i="2"/>
  <c r="H281" i="2" s="1"/>
  <c r="G281" i="2"/>
  <c r="F282" i="2"/>
  <c r="H282" i="2" s="1"/>
  <c r="G282" i="2"/>
  <c r="F283" i="2"/>
  <c r="G283" i="2"/>
  <c r="H283" i="2"/>
  <c r="F284" i="2"/>
  <c r="H284" i="2" s="1"/>
  <c r="G284" i="2"/>
  <c r="F285" i="2"/>
  <c r="H285" i="2" s="1"/>
  <c r="G285" i="2"/>
  <c r="F286" i="2"/>
  <c r="G286" i="2"/>
  <c r="H286" i="2"/>
  <c r="F287" i="2"/>
  <c r="H287" i="2" s="1"/>
  <c r="G287" i="2"/>
  <c r="F288" i="2"/>
  <c r="G288" i="2"/>
  <c r="H288" i="2"/>
  <c r="F289" i="2"/>
  <c r="H289" i="2" s="1"/>
  <c r="G289" i="2"/>
  <c r="F290" i="2"/>
  <c r="G290" i="2"/>
  <c r="H290" i="2"/>
  <c r="F291" i="2"/>
  <c r="G291" i="2"/>
  <c r="H291" i="2"/>
  <c r="F292" i="2"/>
  <c r="H292" i="2" s="1"/>
  <c r="G292" i="2"/>
  <c r="F293" i="2"/>
  <c r="G293" i="2"/>
  <c r="H293" i="2" s="1"/>
  <c r="F294" i="2"/>
  <c r="H294" i="2" s="1"/>
  <c r="G294" i="2"/>
  <c r="F295" i="2"/>
  <c r="G295" i="2"/>
  <c r="H295" i="2"/>
  <c r="F296" i="2"/>
  <c r="H296" i="2" s="1"/>
  <c r="G296" i="2"/>
  <c r="F297" i="2"/>
  <c r="H297" i="2" s="1"/>
  <c r="G297" i="2"/>
  <c r="F298" i="2"/>
  <c r="G298" i="2"/>
  <c r="H298" i="2"/>
  <c r="F299" i="2"/>
  <c r="G299" i="2"/>
  <c r="H299" i="2"/>
  <c r="F300" i="2"/>
  <c r="H300" i="2" s="1"/>
  <c r="G300" i="2"/>
  <c r="F301" i="2"/>
  <c r="H301" i="2" s="1"/>
  <c r="G301" i="2"/>
  <c r="F302" i="2"/>
  <c r="G302" i="2"/>
  <c r="H302" i="2"/>
  <c r="F303" i="2"/>
  <c r="H303" i="2" s="1"/>
  <c r="G303" i="2"/>
  <c r="F304" i="2"/>
  <c r="G304" i="2"/>
  <c r="H304" i="2"/>
  <c r="F305" i="2"/>
  <c r="H305" i="2" s="1"/>
  <c r="G305" i="2"/>
  <c r="F306" i="2"/>
  <c r="G306" i="2"/>
  <c r="H306" i="2"/>
  <c r="F307" i="2"/>
  <c r="G307" i="2"/>
  <c r="H307" i="2"/>
  <c r="F308" i="2"/>
  <c r="H308" i="2" s="1"/>
  <c r="G308" i="2"/>
  <c r="F309" i="2"/>
  <c r="G309" i="2"/>
  <c r="H309" i="2" s="1"/>
  <c r="F310" i="2"/>
  <c r="H310" i="2" s="1"/>
  <c r="G310" i="2"/>
  <c r="F311" i="2"/>
  <c r="G311" i="2"/>
  <c r="H311" i="2"/>
  <c r="F312" i="2"/>
  <c r="H312" i="2" s="1"/>
  <c r="G312" i="2"/>
  <c r="F313" i="2"/>
  <c r="H313" i="2" s="1"/>
  <c r="G313" i="2"/>
  <c r="F314" i="2"/>
  <c r="G314" i="2"/>
  <c r="H314" i="2"/>
  <c r="F315" i="2"/>
  <c r="G315" i="2"/>
  <c r="H315" i="2"/>
  <c r="F316" i="2"/>
  <c r="H316" i="2" s="1"/>
  <c r="G316" i="2"/>
  <c r="F317" i="2"/>
  <c r="H317" i="2" s="1"/>
  <c r="G317" i="2"/>
  <c r="F318" i="2"/>
  <c r="G318" i="2"/>
  <c r="H318" i="2"/>
  <c r="F319" i="2"/>
  <c r="H319" i="2" s="1"/>
  <c r="G319" i="2"/>
  <c r="F320" i="2"/>
  <c r="G320" i="2"/>
  <c r="H320" i="2"/>
  <c r="F321" i="2"/>
  <c r="H321" i="2" s="1"/>
  <c r="G321" i="2"/>
  <c r="F322" i="2"/>
  <c r="G322" i="2"/>
  <c r="H322" i="2"/>
  <c r="F323" i="2"/>
  <c r="G323" i="2"/>
  <c r="H323" i="2"/>
  <c r="F324" i="2"/>
  <c r="H324" i="2" s="1"/>
  <c r="G324" i="2"/>
  <c r="F325" i="2"/>
  <c r="G325" i="2"/>
  <c r="H325" i="2" s="1"/>
  <c r="F326" i="2"/>
  <c r="H326" i="2" s="1"/>
  <c r="G326" i="2"/>
  <c r="F327" i="2"/>
  <c r="G327" i="2"/>
  <c r="H327" i="2"/>
  <c r="F328" i="2"/>
  <c r="H328" i="2" s="1"/>
  <c r="G328" i="2"/>
  <c r="F329" i="2"/>
  <c r="H329" i="2" s="1"/>
  <c r="G329" i="2"/>
  <c r="F330" i="2"/>
  <c r="G330" i="2"/>
  <c r="H330" i="2"/>
  <c r="F331" i="2"/>
  <c r="G331" i="2"/>
  <c r="H331" i="2"/>
  <c r="F332" i="2"/>
  <c r="H332" i="2" s="1"/>
  <c r="G332" i="2"/>
  <c r="F333" i="2"/>
  <c r="H333" i="2" s="1"/>
  <c r="G333" i="2"/>
  <c r="F334" i="2"/>
  <c r="G334" i="2"/>
  <c r="H334" i="2"/>
  <c r="F335" i="2"/>
  <c r="H335" i="2" s="1"/>
  <c r="G335" i="2"/>
  <c r="F336" i="2"/>
  <c r="G336" i="2"/>
  <c r="H336" i="2"/>
  <c r="F337" i="2"/>
  <c r="H337" i="2" s="1"/>
  <c r="G337" i="2"/>
  <c r="F338" i="2"/>
  <c r="G338" i="2"/>
  <c r="H338" i="2"/>
  <c r="F339" i="2"/>
  <c r="G339" i="2"/>
  <c r="H339" i="2"/>
  <c r="F340" i="2"/>
  <c r="H340" i="2" s="1"/>
  <c r="G340" i="2"/>
  <c r="F341" i="2"/>
  <c r="H341" i="2" s="1"/>
  <c r="G341" i="2"/>
  <c r="F342" i="2"/>
  <c r="H342" i="2" s="1"/>
  <c r="G342" i="2"/>
  <c r="F343" i="2"/>
  <c r="G343" i="2"/>
  <c r="H343" i="2"/>
  <c r="F344" i="2"/>
  <c r="H344" i="2" s="1"/>
  <c r="G344" i="2"/>
  <c r="F345" i="2"/>
  <c r="H345" i="2" s="1"/>
  <c r="G345" i="2"/>
  <c r="F346" i="2"/>
  <c r="G346" i="2"/>
  <c r="H346" i="2"/>
  <c r="F347" i="2"/>
  <c r="G347" i="2"/>
  <c r="H347" i="2"/>
  <c r="F348" i="2"/>
  <c r="H348" i="2" s="1"/>
  <c r="G348" i="2"/>
  <c r="F349" i="2"/>
  <c r="H349" i="2" s="1"/>
  <c r="G349" i="2"/>
  <c r="F350" i="2"/>
  <c r="G350" i="2"/>
  <c r="H350" i="2"/>
  <c r="F351" i="2"/>
  <c r="H351" i="2" s="1"/>
  <c r="G351" i="2"/>
  <c r="F352" i="2"/>
  <c r="G352" i="2"/>
  <c r="H352" i="2"/>
  <c r="F353" i="2"/>
  <c r="H353" i="2" s="1"/>
  <c r="G353" i="2"/>
  <c r="F354" i="2"/>
  <c r="G354" i="2"/>
  <c r="H354" i="2"/>
  <c r="F355" i="2"/>
  <c r="G355" i="2"/>
  <c r="H355" i="2"/>
  <c r="F356" i="2"/>
  <c r="H356" i="2" s="1"/>
  <c r="G356" i="2"/>
  <c r="F357" i="2"/>
  <c r="H357" i="2" s="1"/>
  <c r="G357" i="2"/>
  <c r="F358" i="2"/>
  <c r="H358" i="2" s="1"/>
  <c r="G358" i="2"/>
  <c r="F359" i="2"/>
  <c r="G359" i="2"/>
  <c r="H359" i="2"/>
  <c r="F360" i="2"/>
  <c r="H360" i="2" s="1"/>
  <c r="G360" i="2"/>
  <c r="F361" i="2"/>
  <c r="H361" i="2" s="1"/>
  <c r="G361" i="2"/>
  <c r="F362" i="2"/>
  <c r="G362" i="2"/>
  <c r="H362" i="2"/>
  <c r="F363" i="2"/>
  <c r="G363" i="2"/>
  <c r="H363" i="2"/>
  <c r="F364" i="2"/>
  <c r="H364" i="2" s="1"/>
  <c r="G364" i="2"/>
  <c r="F365" i="2"/>
  <c r="H365" i="2" s="1"/>
  <c r="G365" i="2"/>
  <c r="F366" i="2"/>
  <c r="G366" i="2"/>
  <c r="H366" i="2"/>
  <c r="F367" i="2"/>
  <c r="H367" i="2" s="1"/>
  <c r="G367" i="2"/>
  <c r="F368" i="2"/>
  <c r="G368" i="2"/>
  <c r="H368" i="2"/>
  <c r="F369" i="2"/>
  <c r="H369" i="2" s="1"/>
  <c r="G369" i="2"/>
  <c r="F370" i="2"/>
  <c r="G370" i="2"/>
  <c r="H370" i="2"/>
  <c r="F371" i="2"/>
  <c r="G371" i="2"/>
  <c r="H371" i="2"/>
  <c r="F372" i="2"/>
  <c r="H372" i="2" s="1"/>
  <c r="G372" i="2"/>
  <c r="F373" i="2"/>
  <c r="H373" i="2" s="1"/>
  <c r="G373" i="2"/>
  <c r="F374" i="2"/>
  <c r="H374" i="2" s="1"/>
  <c r="G374" i="2"/>
  <c r="F375" i="2"/>
  <c r="G375" i="2"/>
  <c r="H375" i="2"/>
  <c r="F376" i="2"/>
  <c r="H376" i="2" s="1"/>
  <c r="G376" i="2"/>
  <c r="F377" i="2"/>
  <c r="H377" i="2" s="1"/>
  <c r="G377" i="2"/>
  <c r="F378" i="2"/>
  <c r="G378" i="2"/>
  <c r="H378" i="2"/>
  <c r="F379" i="2"/>
  <c r="G379" i="2"/>
  <c r="H379" i="2"/>
  <c r="F380" i="2"/>
  <c r="H380" i="2" s="1"/>
  <c r="G380" i="2"/>
  <c r="F381" i="2"/>
  <c r="H381" i="2" s="1"/>
  <c r="G381" i="2"/>
  <c r="F382" i="2"/>
  <c r="G382" i="2"/>
  <c r="H382" i="2"/>
  <c r="F383" i="2"/>
  <c r="H383" i="2" s="1"/>
  <c r="G383" i="2"/>
  <c r="F384" i="2"/>
  <c r="G384" i="2"/>
  <c r="H384" i="2"/>
  <c r="F385" i="2"/>
  <c r="H385" i="2" s="1"/>
  <c r="G385" i="2"/>
  <c r="F386" i="2"/>
  <c r="G386" i="2"/>
  <c r="H386" i="2"/>
  <c r="F387" i="2"/>
  <c r="G387" i="2"/>
  <c r="H387" i="2"/>
  <c r="F388" i="2"/>
  <c r="H388" i="2" s="1"/>
  <c r="G388" i="2"/>
  <c r="F389" i="2"/>
  <c r="H389" i="2" s="1"/>
  <c r="G389" i="2"/>
  <c r="F390" i="2"/>
  <c r="H390" i="2" s="1"/>
  <c r="G390" i="2"/>
  <c r="F391" i="2"/>
  <c r="G391" i="2"/>
  <c r="H391" i="2"/>
  <c r="F392" i="2"/>
  <c r="H392" i="2" s="1"/>
  <c r="G392" i="2"/>
  <c r="F393" i="2"/>
  <c r="H393" i="2" s="1"/>
  <c r="G393" i="2"/>
  <c r="F394" i="2"/>
  <c r="G394" i="2"/>
  <c r="H394" i="2"/>
  <c r="F395" i="2"/>
  <c r="G395" i="2"/>
  <c r="H395" i="2"/>
  <c r="F396" i="2"/>
  <c r="H396" i="2" s="1"/>
  <c r="G396" i="2"/>
  <c r="F397" i="2"/>
  <c r="H397" i="2" s="1"/>
  <c r="G397" i="2"/>
  <c r="F398" i="2"/>
  <c r="G398" i="2"/>
  <c r="H398" i="2"/>
  <c r="F399" i="2"/>
  <c r="H399" i="2" s="1"/>
  <c r="G399" i="2"/>
  <c r="F400" i="2"/>
  <c r="G400" i="2"/>
  <c r="H400" i="2"/>
  <c r="F401" i="2"/>
  <c r="H401" i="2" s="1"/>
  <c r="G401" i="2"/>
  <c r="F402" i="2"/>
  <c r="G402" i="2"/>
  <c r="H402" i="2"/>
  <c r="F403" i="2"/>
  <c r="G403" i="2"/>
  <c r="H403" i="2"/>
  <c r="F404" i="2"/>
  <c r="H404" i="2" s="1"/>
  <c r="G404" i="2"/>
  <c r="F405" i="2"/>
  <c r="H405" i="2" s="1"/>
  <c r="G405" i="2"/>
  <c r="F406" i="2"/>
  <c r="G406" i="2"/>
  <c r="H406" i="2" s="1"/>
  <c r="F407" i="2"/>
  <c r="G407" i="2"/>
  <c r="H407" i="2"/>
  <c r="F408" i="2"/>
  <c r="H408" i="2" s="1"/>
  <c r="G408" i="2"/>
  <c r="F409" i="2"/>
  <c r="H409" i="2" s="1"/>
  <c r="G409" i="2"/>
  <c r="F410" i="2"/>
  <c r="G410" i="2"/>
  <c r="H410" i="2" s="1"/>
  <c r="F411" i="2"/>
  <c r="G411" i="2"/>
  <c r="H411" i="2"/>
  <c r="F412" i="2"/>
  <c r="H412" i="2" s="1"/>
  <c r="G412" i="2"/>
  <c r="F413" i="2"/>
  <c r="H413" i="2" s="1"/>
  <c r="G413" i="2"/>
  <c r="F414" i="2"/>
  <c r="G414" i="2"/>
  <c r="H414" i="2"/>
  <c r="F415" i="2"/>
  <c r="H415" i="2" s="1"/>
  <c r="G415" i="2"/>
  <c r="F416" i="2"/>
  <c r="G416" i="2"/>
  <c r="H416" i="2"/>
  <c r="F417" i="2"/>
  <c r="H417" i="2" s="1"/>
  <c r="G417" i="2"/>
  <c r="F418" i="2"/>
  <c r="G418" i="2"/>
  <c r="H418" i="2"/>
  <c r="F419" i="2"/>
  <c r="G419" i="2"/>
  <c r="H419" i="2"/>
  <c r="F420" i="2"/>
  <c r="H420" i="2" s="1"/>
  <c r="G420" i="2"/>
  <c r="F421" i="2"/>
  <c r="H421" i="2" s="1"/>
  <c r="G421" i="2"/>
  <c r="F422" i="2"/>
  <c r="G422" i="2"/>
  <c r="H422" i="2" s="1"/>
  <c r="F423" i="2"/>
  <c r="G423" i="2"/>
  <c r="H423" i="2"/>
  <c r="F424" i="2"/>
  <c r="H424" i="2" s="1"/>
  <c r="G424" i="2"/>
  <c r="F425" i="2"/>
  <c r="H425" i="2" s="1"/>
  <c r="G425" i="2"/>
  <c r="F426" i="2"/>
  <c r="G426" i="2"/>
  <c r="H426" i="2"/>
  <c r="F427" i="2"/>
  <c r="G427" i="2"/>
  <c r="H427" i="2"/>
  <c r="F428" i="2"/>
  <c r="H428" i="2" s="1"/>
  <c r="G428" i="2"/>
  <c r="F429" i="2"/>
  <c r="H429" i="2" s="1"/>
  <c r="G429" i="2"/>
  <c r="F430" i="2"/>
  <c r="G430" i="2"/>
  <c r="H430" i="2"/>
  <c r="F431" i="2"/>
  <c r="H431" i="2" s="1"/>
  <c r="G431" i="2"/>
  <c r="F432" i="2"/>
  <c r="G432" i="2"/>
  <c r="H432" i="2"/>
  <c r="F433" i="2"/>
  <c r="H433" i="2" s="1"/>
  <c r="G433" i="2"/>
  <c r="F434" i="2"/>
  <c r="G434" i="2"/>
  <c r="H434" i="2"/>
  <c r="F435" i="2"/>
  <c r="G435" i="2"/>
  <c r="H435" i="2"/>
  <c r="F436" i="2"/>
  <c r="H436" i="2" s="1"/>
  <c r="G436" i="2"/>
  <c r="F437" i="2"/>
  <c r="H437" i="2" s="1"/>
  <c r="G437" i="2"/>
  <c r="F438" i="2"/>
  <c r="G438" i="2"/>
  <c r="H438" i="2" s="1"/>
  <c r="F439" i="2"/>
  <c r="G439" i="2"/>
  <c r="H439" i="2"/>
  <c r="F440" i="2"/>
  <c r="H440" i="2" s="1"/>
  <c r="G440" i="2"/>
  <c r="F441" i="2"/>
  <c r="H441" i="2" s="1"/>
  <c r="G441" i="2"/>
  <c r="F442" i="2"/>
  <c r="H442" i="2" s="1"/>
  <c r="G442" i="2"/>
  <c r="F443" i="2"/>
  <c r="G443" i="2"/>
  <c r="H443" i="2"/>
  <c r="F444" i="2"/>
  <c r="H444" i="2" s="1"/>
  <c r="G444" i="2"/>
  <c r="F445" i="2"/>
  <c r="H445" i="2" s="1"/>
  <c r="G445" i="2"/>
  <c r="F446" i="2"/>
  <c r="G446" i="2"/>
  <c r="H446" i="2"/>
  <c r="F447" i="2"/>
  <c r="H447" i="2" s="1"/>
  <c r="G447" i="2"/>
  <c r="F448" i="2"/>
  <c r="G448" i="2"/>
  <c r="H448" i="2"/>
  <c r="F449" i="2"/>
  <c r="H449" i="2" s="1"/>
  <c r="G449" i="2"/>
  <c r="F450" i="2"/>
  <c r="G450" i="2"/>
  <c r="H450" i="2"/>
  <c r="F451" i="2"/>
  <c r="G451" i="2"/>
  <c r="H451" i="2"/>
  <c r="F452" i="2"/>
  <c r="H452" i="2" s="1"/>
  <c r="G452" i="2"/>
  <c r="F453" i="2"/>
  <c r="H453" i="2" s="1"/>
  <c r="G453" i="2"/>
  <c r="F454" i="2"/>
  <c r="G454" i="2"/>
  <c r="H454" i="2" s="1"/>
  <c r="F455" i="2"/>
  <c r="G455" i="2"/>
  <c r="H455" i="2"/>
  <c r="F456" i="2"/>
  <c r="H456" i="2" s="1"/>
  <c r="G456" i="2"/>
  <c r="F457" i="2"/>
  <c r="H457" i="2" s="1"/>
  <c r="G457" i="2"/>
  <c r="F458" i="2"/>
  <c r="H458" i="2" s="1"/>
  <c r="G458" i="2"/>
  <c r="F459" i="2"/>
  <c r="G459" i="2"/>
  <c r="H459" i="2"/>
  <c r="F460" i="2"/>
  <c r="H460" i="2" s="1"/>
  <c r="G460" i="2"/>
  <c r="F461" i="2"/>
  <c r="H461" i="2" s="1"/>
  <c r="G461" i="2"/>
  <c r="F462" i="2"/>
  <c r="G462" i="2"/>
  <c r="H462" i="2"/>
  <c r="F463" i="2"/>
  <c r="H463" i="2" s="1"/>
  <c r="G463" i="2"/>
  <c r="F464" i="2"/>
  <c r="G464" i="2"/>
  <c r="H464" i="2"/>
  <c r="F465" i="2"/>
  <c r="H465" i="2" s="1"/>
  <c r="G465" i="2"/>
  <c r="F466" i="2"/>
  <c r="G466" i="2"/>
  <c r="H466" i="2"/>
  <c r="F467" i="2"/>
  <c r="G467" i="2"/>
  <c r="H467" i="2"/>
  <c r="F468" i="2"/>
  <c r="H468" i="2" s="1"/>
  <c r="G468" i="2"/>
  <c r="F469" i="2"/>
  <c r="H469" i="2" s="1"/>
  <c r="G469" i="2"/>
  <c r="F470" i="2"/>
  <c r="G470" i="2"/>
  <c r="H470" i="2" s="1"/>
  <c r="F471" i="2"/>
  <c r="G471" i="2"/>
  <c r="H471" i="2"/>
  <c r="F472" i="2"/>
  <c r="H472" i="2" s="1"/>
  <c r="G472" i="2"/>
  <c r="F473" i="2"/>
  <c r="H473" i="2" s="1"/>
  <c r="G473" i="2"/>
  <c r="F474" i="2"/>
  <c r="H474" i="2" s="1"/>
  <c r="G474" i="2"/>
  <c r="F475" i="2"/>
  <c r="G475" i="2"/>
  <c r="H475" i="2"/>
  <c r="F476" i="2"/>
  <c r="H476" i="2" s="1"/>
  <c r="G476" i="2"/>
  <c r="F477" i="2"/>
  <c r="H477" i="2" s="1"/>
  <c r="G477" i="2"/>
  <c r="F478" i="2"/>
  <c r="G478" i="2"/>
  <c r="H478" i="2"/>
  <c r="F479" i="2"/>
  <c r="H479" i="2" s="1"/>
  <c r="G479" i="2"/>
  <c r="F480" i="2"/>
  <c r="G480" i="2"/>
  <c r="H480" i="2"/>
  <c r="F481" i="2"/>
  <c r="H481" i="2" s="1"/>
  <c r="G481" i="2"/>
  <c r="F482" i="2"/>
  <c r="G482" i="2"/>
  <c r="H482" i="2"/>
  <c r="F483" i="2"/>
  <c r="G483" i="2"/>
  <c r="H483" i="2"/>
  <c r="F484" i="2"/>
  <c r="H484" i="2" s="1"/>
  <c r="G484" i="2"/>
  <c r="F485" i="2"/>
  <c r="H485" i="2" s="1"/>
  <c r="G485" i="2"/>
  <c r="F486" i="2"/>
  <c r="G486" i="2"/>
  <c r="H486" i="2" s="1"/>
  <c r="F487" i="2"/>
  <c r="G487" i="2"/>
  <c r="H487" i="2"/>
  <c r="F488" i="2"/>
  <c r="H488" i="2" s="1"/>
  <c r="G488" i="2"/>
  <c r="F489" i="2"/>
  <c r="H489" i="2" s="1"/>
  <c r="G489" i="2"/>
  <c r="F490" i="2"/>
  <c r="H490" i="2" s="1"/>
  <c r="G490" i="2"/>
  <c r="F491" i="2"/>
  <c r="G491" i="2"/>
  <c r="H491" i="2"/>
  <c r="F492" i="2"/>
  <c r="H492" i="2" s="1"/>
  <c r="G492" i="2"/>
  <c r="F493" i="2"/>
  <c r="H493" i="2" s="1"/>
  <c r="G493" i="2"/>
  <c r="F494" i="2"/>
  <c r="G494" i="2"/>
  <c r="H494" i="2"/>
  <c r="F495" i="2"/>
  <c r="H495" i="2" s="1"/>
  <c r="G495" i="2"/>
  <c r="F496" i="2"/>
  <c r="G496" i="2"/>
  <c r="H496" i="2"/>
  <c r="F497" i="2"/>
  <c r="H497" i="2" s="1"/>
  <c r="G497" i="2"/>
  <c r="F498" i="2"/>
  <c r="G498" i="2"/>
  <c r="H498" i="2"/>
  <c r="F499" i="2"/>
  <c r="G499" i="2"/>
  <c r="H499" i="2"/>
  <c r="F500" i="2"/>
  <c r="H500" i="2" s="1"/>
  <c r="G500" i="2"/>
  <c r="F501" i="2"/>
  <c r="H501" i="2" s="1"/>
  <c r="G501" i="2"/>
  <c r="H2" i="2"/>
  <c r="G2" i="2"/>
  <c r="F2" i="2"/>
  <c r="G3" i="8" l="1"/>
  <c r="J3" i="7"/>
  <c r="L4" i="7" s="1"/>
  <c r="H4" i="7"/>
  <c r="I5" i="7" s="1"/>
  <c r="G4" i="7"/>
  <c r="H3" i="6"/>
  <c r="I4" i="6" s="1"/>
  <c r="G3" i="6"/>
  <c r="G4" i="5"/>
  <c r="K4" i="8" l="1"/>
  <c r="J3" i="8"/>
  <c r="L4" i="8" s="1"/>
  <c r="J4" i="7"/>
  <c r="L5" i="7" s="1"/>
  <c r="K5" i="7"/>
  <c r="H5" i="7"/>
  <c r="I6" i="7" s="1"/>
  <c r="G5" i="7"/>
  <c r="K4" i="6"/>
  <c r="J3" i="6"/>
  <c r="L4" i="6" s="1"/>
  <c r="H4" i="6"/>
  <c r="I5" i="6" s="1"/>
  <c r="G4" i="6"/>
  <c r="J4" i="5"/>
  <c r="L5" i="5" s="1"/>
  <c r="K5" i="5"/>
  <c r="G5" i="5" s="1"/>
  <c r="H4" i="8" l="1"/>
  <c r="I5" i="8" s="1"/>
  <c r="G4" i="8"/>
  <c r="K6" i="7"/>
  <c r="H6" i="7" s="1"/>
  <c r="I7" i="7" s="1"/>
  <c r="J5" i="7"/>
  <c r="L6" i="7" s="1"/>
  <c r="J4" i="6"/>
  <c r="L5" i="6" s="1"/>
  <c r="K5" i="6"/>
  <c r="H5" i="6" s="1"/>
  <c r="I6" i="6" s="1"/>
  <c r="H5" i="5"/>
  <c r="I6" i="5" s="1"/>
  <c r="H6" i="5" s="1"/>
  <c r="I7" i="5" s="1"/>
  <c r="J5" i="5"/>
  <c r="L6" i="5" s="1"/>
  <c r="K6" i="5"/>
  <c r="J4" i="8" l="1"/>
  <c r="L5" i="8" s="1"/>
  <c r="K5" i="8"/>
  <c r="G5" i="8"/>
  <c r="G6" i="7"/>
  <c r="G5" i="6"/>
  <c r="G6" i="5"/>
  <c r="J5" i="8" l="1"/>
  <c r="L6" i="8" s="1"/>
  <c r="H5" i="8"/>
  <c r="I6" i="8" s="1"/>
  <c r="J6" i="7"/>
  <c r="L7" i="7" s="1"/>
  <c r="K7" i="7"/>
  <c r="K6" i="6"/>
  <c r="J5" i="6"/>
  <c r="L6" i="6" s="1"/>
  <c r="K7" i="5"/>
  <c r="J6" i="5"/>
  <c r="L7" i="5" s="1"/>
  <c r="G7" i="5"/>
  <c r="K6" i="8" l="1"/>
  <c r="H6" i="8"/>
  <c r="I7" i="8" s="1"/>
  <c r="G6" i="8"/>
  <c r="G7" i="7"/>
  <c r="H7" i="7"/>
  <c r="I8" i="7" s="1"/>
  <c r="G6" i="6"/>
  <c r="H6" i="6"/>
  <c r="I7" i="6" s="1"/>
  <c r="H7" i="5"/>
  <c r="I8" i="5" s="1"/>
  <c r="J7" i="5"/>
  <c r="L8" i="5" s="1"/>
  <c r="J6" i="8" l="1"/>
  <c r="L7" i="8" s="1"/>
  <c r="K7" i="8"/>
  <c r="H7" i="8" s="1"/>
  <c r="I8" i="8" s="1"/>
  <c r="J7" i="7"/>
  <c r="L8" i="7" s="1"/>
  <c r="K8" i="7"/>
  <c r="G8" i="7" s="1"/>
  <c r="K7" i="6"/>
  <c r="H7" i="6" s="1"/>
  <c r="I8" i="6" s="1"/>
  <c r="J6" i="6"/>
  <c r="L7" i="6" s="1"/>
  <c r="K8" i="5"/>
  <c r="G7" i="8" l="1"/>
  <c r="J8" i="7"/>
  <c r="L9" i="7" s="1"/>
  <c r="H8" i="7"/>
  <c r="I9" i="7" s="1"/>
  <c r="G7" i="6"/>
  <c r="H8" i="5"/>
  <c r="I9" i="5" s="1"/>
  <c r="G8" i="5"/>
  <c r="J7" i="8" l="1"/>
  <c r="L8" i="8" s="1"/>
  <c r="K8" i="8"/>
  <c r="K9" i="7"/>
  <c r="H9" i="7" s="1"/>
  <c r="I10" i="7" s="1"/>
  <c r="J7" i="6"/>
  <c r="L8" i="6" s="1"/>
  <c r="K8" i="6"/>
  <c r="J8" i="5"/>
  <c r="L9" i="5" s="1"/>
  <c r="K9" i="5"/>
  <c r="G8" i="8" l="1"/>
  <c r="H8" i="8"/>
  <c r="I9" i="8" s="1"/>
  <c r="G9" i="7"/>
  <c r="H8" i="6"/>
  <c r="I9" i="6" s="1"/>
  <c r="G8" i="6"/>
  <c r="H9" i="5"/>
  <c r="I10" i="5" s="1"/>
  <c r="G9" i="5"/>
  <c r="K9" i="8" l="1"/>
  <c r="G9" i="8" s="1"/>
  <c r="J8" i="8"/>
  <c r="L9" i="8" s="1"/>
  <c r="K10" i="7"/>
  <c r="J9" i="7"/>
  <c r="L10" i="7" s="1"/>
  <c r="J8" i="6"/>
  <c r="L9" i="6" s="1"/>
  <c r="K9" i="6"/>
  <c r="H9" i="6"/>
  <c r="I10" i="6" s="1"/>
  <c r="G9" i="6"/>
  <c r="K10" i="5"/>
  <c r="J9" i="5"/>
  <c r="L10" i="5" s="1"/>
  <c r="J9" i="8" l="1"/>
  <c r="L10" i="8" s="1"/>
  <c r="H9" i="8"/>
  <c r="I10" i="8" s="1"/>
  <c r="H10" i="7"/>
  <c r="I11" i="7" s="1"/>
  <c r="G10" i="7"/>
  <c r="J9" i="6"/>
  <c r="L10" i="6" s="1"/>
  <c r="K10" i="6"/>
  <c r="H10" i="6"/>
  <c r="I11" i="6" s="1"/>
  <c r="G10" i="6"/>
  <c r="H10" i="5"/>
  <c r="I11" i="5" s="1"/>
  <c r="G10" i="5"/>
  <c r="K10" i="8" l="1"/>
  <c r="H10" i="8" s="1"/>
  <c r="I11" i="8" s="1"/>
  <c r="K11" i="7"/>
  <c r="J10" i="7"/>
  <c r="L11" i="7" s="1"/>
  <c r="G11" i="7"/>
  <c r="H11" i="7"/>
  <c r="I12" i="7" s="1"/>
  <c r="K11" i="6"/>
  <c r="J10" i="6"/>
  <c r="L11" i="6" s="1"/>
  <c r="G11" i="6"/>
  <c r="K11" i="5"/>
  <c r="J10" i="5"/>
  <c r="L11" i="5" s="1"/>
  <c r="G10" i="8" l="1"/>
  <c r="J11" i="7"/>
  <c r="L12" i="7" s="1"/>
  <c r="K12" i="7"/>
  <c r="H12" i="7" s="1"/>
  <c r="I13" i="7" s="1"/>
  <c r="J11" i="6"/>
  <c r="L12" i="6" s="1"/>
  <c r="H11" i="6"/>
  <c r="I12" i="6" s="1"/>
  <c r="H11" i="5"/>
  <c r="I12" i="5"/>
  <c r="G11" i="5"/>
  <c r="K11" i="8" l="1"/>
  <c r="J10" i="8"/>
  <c r="L11" i="8" s="1"/>
  <c r="G12" i="7"/>
  <c r="K12" i="6"/>
  <c r="H12" i="6"/>
  <c r="I13" i="6" s="1"/>
  <c r="G12" i="6"/>
  <c r="J11" i="5"/>
  <c r="L12" i="5" s="1"/>
  <c r="K12" i="5"/>
  <c r="H12" i="5" s="1"/>
  <c r="G11" i="8" l="1"/>
  <c r="H11" i="8"/>
  <c r="I12" i="8" s="1"/>
  <c r="K13" i="7"/>
  <c r="J12" i="7"/>
  <c r="L13" i="7" s="1"/>
  <c r="K13" i="6"/>
  <c r="H13" i="6" s="1"/>
  <c r="I14" i="6" s="1"/>
  <c r="J12" i="6"/>
  <c r="L13" i="6" s="1"/>
  <c r="I13" i="5"/>
  <c r="G12" i="5"/>
  <c r="J11" i="8" l="1"/>
  <c r="L12" i="8" s="1"/>
  <c r="K12" i="8"/>
  <c r="G12" i="8" s="1"/>
  <c r="H13" i="7"/>
  <c r="I14" i="7" s="1"/>
  <c r="G13" i="7"/>
  <c r="G13" i="6"/>
  <c r="K13" i="5"/>
  <c r="H13" i="5" s="1"/>
  <c r="J12" i="5"/>
  <c r="L13" i="5" s="1"/>
  <c r="J12" i="8" l="1"/>
  <c r="L13" i="8" s="1"/>
  <c r="H12" i="8"/>
  <c r="I13" i="8" s="1"/>
  <c r="J13" i="7"/>
  <c r="L14" i="7" s="1"/>
  <c r="K14" i="7"/>
  <c r="H14" i="7" s="1"/>
  <c r="I15" i="7" s="1"/>
  <c r="J13" i="6"/>
  <c r="L14" i="6" s="1"/>
  <c r="K14" i="6"/>
  <c r="G13" i="5"/>
  <c r="J13" i="5" s="1"/>
  <c r="L14" i="5" s="1"/>
  <c r="I14" i="5"/>
  <c r="K13" i="8" l="1"/>
  <c r="H13" i="8" s="1"/>
  <c r="I14" i="8" s="1"/>
  <c r="G14" i="7"/>
  <c r="G14" i="6"/>
  <c r="H14" i="6"/>
  <c r="I15" i="6" s="1"/>
  <c r="K14" i="5"/>
  <c r="G14" i="5" s="1"/>
  <c r="G13" i="8" l="1"/>
  <c r="K15" i="7"/>
  <c r="J14" i="7"/>
  <c r="L15" i="7" s="1"/>
  <c r="K15" i="6"/>
  <c r="H15" i="6" s="1"/>
  <c r="I16" i="6" s="1"/>
  <c r="J14" i="6"/>
  <c r="L15" i="6" s="1"/>
  <c r="H14" i="5"/>
  <c r="I15" i="5" s="1"/>
  <c r="J14" i="5"/>
  <c r="L15" i="5" s="1"/>
  <c r="J13" i="8" l="1"/>
  <c r="L14" i="8" s="1"/>
  <c r="K14" i="8"/>
  <c r="H15" i="7"/>
  <c r="I16" i="7" s="1"/>
  <c r="G15" i="7"/>
  <c r="G15" i="6"/>
  <c r="K15" i="5"/>
  <c r="H15" i="5" s="1"/>
  <c r="I16" i="5" s="1"/>
  <c r="H14" i="8" l="1"/>
  <c r="I15" i="8" s="1"/>
  <c r="G14" i="8"/>
  <c r="K16" i="7"/>
  <c r="J15" i="7"/>
  <c r="L16" i="7" s="1"/>
  <c r="H16" i="7"/>
  <c r="I17" i="7" s="1"/>
  <c r="G16" i="7"/>
  <c r="J15" i="6"/>
  <c r="L16" i="6" s="1"/>
  <c r="K16" i="6"/>
  <c r="G15" i="5"/>
  <c r="J15" i="5" s="1"/>
  <c r="L16" i="5" s="1"/>
  <c r="K15" i="8" l="1"/>
  <c r="J14" i="8"/>
  <c r="L15" i="8" s="1"/>
  <c r="G15" i="8"/>
  <c r="H15" i="8"/>
  <c r="I16" i="8" s="1"/>
  <c r="J16" i="7"/>
  <c r="L17" i="7" s="1"/>
  <c r="K17" i="7"/>
  <c r="H17" i="7"/>
  <c r="I18" i="7" s="1"/>
  <c r="G17" i="7"/>
  <c r="H16" i="6"/>
  <c r="I17" i="6" s="1"/>
  <c r="G16" i="6"/>
  <c r="K16" i="5"/>
  <c r="H16" i="5" s="1"/>
  <c r="I17" i="5" s="1"/>
  <c r="H17" i="5" s="1"/>
  <c r="K16" i="8" l="1"/>
  <c r="J15" i="8"/>
  <c r="L16" i="8" s="1"/>
  <c r="G16" i="8"/>
  <c r="J17" i="7"/>
  <c r="L18" i="7" s="1"/>
  <c r="K18" i="7"/>
  <c r="H18" i="7" s="1"/>
  <c r="I19" i="7" s="1"/>
  <c r="K17" i="6"/>
  <c r="J16" i="6"/>
  <c r="L17" i="6" s="1"/>
  <c r="G17" i="6"/>
  <c r="H17" i="6"/>
  <c r="I18" i="6" s="1"/>
  <c r="G16" i="5"/>
  <c r="K17" i="5" s="1"/>
  <c r="I18" i="5"/>
  <c r="G17" i="5"/>
  <c r="J16" i="8" l="1"/>
  <c r="L17" i="8" s="1"/>
  <c r="H16" i="8"/>
  <c r="I17" i="8" s="1"/>
  <c r="G18" i="7"/>
  <c r="K18" i="6"/>
  <c r="H18" i="6" s="1"/>
  <c r="I19" i="6" s="1"/>
  <c r="J17" i="6"/>
  <c r="L18" i="6" s="1"/>
  <c r="J16" i="5"/>
  <c r="L17" i="5" s="1"/>
  <c r="J17" i="5"/>
  <c r="L18" i="5" s="1"/>
  <c r="K18" i="5"/>
  <c r="H17" i="8" l="1"/>
  <c r="I18" i="8" s="1"/>
  <c r="G17" i="8"/>
  <c r="K17" i="8"/>
  <c r="J18" i="7"/>
  <c r="L19" i="7" s="1"/>
  <c r="K19" i="7"/>
  <c r="G18" i="6"/>
  <c r="H18" i="5"/>
  <c r="I19" i="5" s="1"/>
  <c r="G18" i="5"/>
  <c r="K18" i="8" l="1"/>
  <c r="J17" i="8"/>
  <c r="L18" i="8" s="1"/>
  <c r="H18" i="8"/>
  <c r="I19" i="8" s="1"/>
  <c r="G18" i="8"/>
  <c r="H19" i="7"/>
  <c r="I20" i="7" s="1"/>
  <c r="G19" i="7"/>
  <c r="J18" i="6"/>
  <c r="L19" i="6" s="1"/>
  <c r="K19" i="6"/>
  <c r="K19" i="5"/>
  <c r="J18" i="5"/>
  <c r="L19" i="5" s="1"/>
  <c r="J18" i="8" l="1"/>
  <c r="L19" i="8" s="1"/>
  <c r="K19" i="8"/>
  <c r="H19" i="8" s="1"/>
  <c r="I20" i="8" s="1"/>
  <c r="K20" i="7"/>
  <c r="J19" i="7"/>
  <c r="L20" i="7" s="1"/>
  <c r="G20" i="7"/>
  <c r="H19" i="6"/>
  <c r="I20" i="6" s="1"/>
  <c r="G19" i="6"/>
  <c r="H19" i="5"/>
  <c r="I20" i="5"/>
  <c r="G19" i="5"/>
  <c r="G19" i="8" l="1"/>
  <c r="J20" i="7"/>
  <c r="L21" i="7" s="1"/>
  <c r="H20" i="7"/>
  <c r="I21" i="7" s="1"/>
  <c r="K20" i="6"/>
  <c r="J19" i="6"/>
  <c r="L20" i="6" s="1"/>
  <c r="G20" i="6"/>
  <c r="H20" i="6"/>
  <c r="I21" i="6" s="1"/>
  <c r="K20" i="5"/>
  <c r="J19" i="5"/>
  <c r="L20" i="5" s="1"/>
  <c r="K20" i="8" l="1"/>
  <c r="J19" i="8"/>
  <c r="L20" i="8" s="1"/>
  <c r="K21" i="7"/>
  <c r="H21" i="7" s="1"/>
  <c r="I22" i="7" s="1"/>
  <c r="J20" i="6"/>
  <c r="L21" i="6" s="1"/>
  <c r="K21" i="6"/>
  <c r="H21" i="6" s="1"/>
  <c r="I22" i="6" s="1"/>
  <c r="H20" i="5"/>
  <c r="I21" i="5" s="1"/>
  <c r="G20" i="5"/>
  <c r="H20" i="8" l="1"/>
  <c r="I21" i="8" s="1"/>
  <c r="G20" i="8"/>
  <c r="G21" i="7"/>
  <c r="G21" i="6"/>
  <c r="J20" i="5"/>
  <c r="L21" i="5" s="1"/>
  <c r="K21" i="5"/>
  <c r="G21" i="5" s="1"/>
  <c r="J20" i="8" l="1"/>
  <c r="L21" i="8" s="1"/>
  <c r="K21" i="8"/>
  <c r="H21" i="8"/>
  <c r="I22" i="8" s="1"/>
  <c r="G21" i="8"/>
  <c r="K22" i="7"/>
  <c r="J21" i="7"/>
  <c r="L22" i="7" s="1"/>
  <c r="K22" i="6"/>
  <c r="J21" i="6"/>
  <c r="L22" i="6" s="1"/>
  <c r="H21" i="5"/>
  <c r="J21" i="5"/>
  <c r="L22" i="5" s="1"/>
  <c r="I22" i="5"/>
  <c r="J21" i="8" l="1"/>
  <c r="L22" i="8" s="1"/>
  <c r="K22" i="8"/>
  <c r="G22" i="8" s="1"/>
  <c r="G22" i="7"/>
  <c r="H22" i="7"/>
  <c r="I23" i="7" s="1"/>
  <c r="H22" i="6"/>
  <c r="I23" i="6" s="1"/>
  <c r="G22" i="6"/>
  <c r="K22" i="5"/>
  <c r="G22" i="5" s="1"/>
  <c r="J22" i="8" l="1"/>
  <c r="L23" i="8" s="1"/>
  <c r="H22" i="8"/>
  <c r="I23" i="8" s="1"/>
  <c r="J22" i="7"/>
  <c r="L23" i="7" s="1"/>
  <c r="K23" i="7"/>
  <c r="G23" i="7" s="1"/>
  <c r="J22" i="6"/>
  <c r="L23" i="6" s="1"/>
  <c r="K23" i="6"/>
  <c r="H23" i="6" s="1"/>
  <c r="I24" i="6" s="1"/>
  <c r="H22" i="5"/>
  <c r="J22" i="5"/>
  <c r="L23" i="5" s="1"/>
  <c r="I23" i="5"/>
  <c r="K23" i="8" l="1"/>
  <c r="H23" i="8"/>
  <c r="I24" i="8" s="1"/>
  <c r="G23" i="8"/>
  <c r="J23" i="7"/>
  <c r="L24" i="7" s="1"/>
  <c r="H23" i="7"/>
  <c r="I24" i="7" s="1"/>
  <c r="G23" i="6"/>
  <c r="K23" i="5"/>
  <c r="J23" i="8" l="1"/>
  <c r="L24" i="8" s="1"/>
  <c r="K24" i="8"/>
  <c r="H24" i="8" s="1"/>
  <c r="I25" i="8" s="1"/>
  <c r="K24" i="7"/>
  <c r="G24" i="7" s="1"/>
  <c r="K24" i="6"/>
  <c r="J23" i="6"/>
  <c r="L24" i="6" s="1"/>
  <c r="H23" i="5"/>
  <c r="I24" i="5" s="1"/>
  <c r="G23" i="5"/>
  <c r="G24" i="8" l="1"/>
  <c r="J24" i="7"/>
  <c r="L25" i="7" s="1"/>
  <c r="H24" i="7"/>
  <c r="I25" i="7" s="1"/>
  <c r="H24" i="6"/>
  <c r="I25" i="6" s="1"/>
  <c r="G24" i="6"/>
  <c r="J23" i="5"/>
  <c r="L24" i="5" s="1"/>
  <c r="K24" i="5"/>
  <c r="H24" i="5" s="1"/>
  <c r="K25" i="8" l="1"/>
  <c r="J24" i="8"/>
  <c r="L25" i="8" s="1"/>
  <c r="K25" i="7"/>
  <c r="H25" i="7" s="1"/>
  <c r="I26" i="7" s="1"/>
  <c r="K25" i="6"/>
  <c r="J24" i="6"/>
  <c r="L25" i="6" s="1"/>
  <c r="G25" i="6"/>
  <c r="G24" i="5"/>
  <c r="I25" i="5"/>
  <c r="J24" i="5"/>
  <c r="L25" i="5" s="1"/>
  <c r="G25" i="8" l="1"/>
  <c r="H25" i="8"/>
  <c r="I26" i="8" s="1"/>
  <c r="G25" i="7"/>
  <c r="J25" i="6"/>
  <c r="L26" i="6" s="1"/>
  <c r="H25" i="6"/>
  <c r="I26" i="6" s="1"/>
  <c r="K25" i="5"/>
  <c r="G25" i="5"/>
  <c r="J25" i="8" l="1"/>
  <c r="L26" i="8" s="1"/>
  <c r="K26" i="8"/>
  <c r="H26" i="8" s="1"/>
  <c r="I27" i="8" s="1"/>
  <c r="J25" i="7"/>
  <c r="L26" i="7" s="1"/>
  <c r="K26" i="7"/>
  <c r="K26" i="6"/>
  <c r="G26" i="6"/>
  <c r="H26" i="6"/>
  <c r="I27" i="6" s="1"/>
  <c r="H25" i="5"/>
  <c r="I26" i="5" s="1"/>
  <c r="J25" i="5"/>
  <c r="L26" i="5" s="1"/>
  <c r="G26" i="8" l="1"/>
  <c r="H26" i="7"/>
  <c r="I27" i="7" s="1"/>
  <c r="G26" i="7"/>
  <c r="K27" i="6"/>
  <c r="J26" i="6"/>
  <c r="L27" i="6" s="1"/>
  <c r="G27" i="6"/>
  <c r="K26" i="5"/>
  <c r="H26" i="5"/>
  <c r="I27" i="5"/>
  <c r="G26" i="5"/>
  <c r="K27" i="8" l="1"/>
  <c r="J26" i="8"/>
  <c r="L27" i="8" s="1"/>
  <c r="K27" i="7"/>
  <c r="J26" i="7"/>
  <c r="L27" i="7" s="1"/>
  <c r="G27" i="7"/>
  <c r="H27" i="7"/>
  <c r="I28" i="7" s="1"/>
  <c r="J27" i="6"/>
  <c r="L28" i="6" s="1"/>
  <c r="H27" i="6"/>
  <c r="I28" i="6" s="1"/>
  <c r="K27" i="5"/>
  <c r="J26" i="5"/>
  <c r="L27" i="5" s="1"/>
  <c r="G27" i="8" l="1"/>
  <c r="H27" i="8"/>
  <c r="I28" i="8" s="1"/>
  <c r="J27" i="7"/>
  <c r="L28" i="7" s="1"/>
  <c r="K28" i="7"/>
  <c r="H28" i="7" s="1"/>
  <c r="I29" i="7" s="1"/>
  <c r="K28" i="6"/>
  <c r="H28" i="6"/>
  <c r="I29" i="6" s="1"/>
  <c r="G28" i="6"/>
  <c r="H27" i="5"/>
  <c r="I28" i="5"/>
  <c r="G27" i="5"/>
  <c r="J27" i="8" l="1"/>
  <c r="L28" i="8" s="1"/>
  <c r="K28" i="8"/>
  <c r="G28" i="8" s="1"/>
  <c r="G28" i="7"/>
  <c r="K29" i="6"/>
  <c r="J28" i="6"/>
  <c r="L29" i="6" s="1"/>
  <c r="H29" i="6"/>
  <c r="I30" i="6" s="1"/>
  <c r="G29" i="6"/>
  <c r="J27" i="5"/>
  <c r="L28" i="5" s="1"/>
  <c r="K28" i="5"/>
  <c r="G28" i="5" s="1"/>
  <c r="J28" i="8" l="1"/>
  <c r="L29" i="8" s="1"/>
  <c r="H28" i="8"/>
  <c r="I29" i="8" s="1"/>
  <c r="K29" i="7"/>
  <c r="J28" i="7"/>
  <c r="L29" i="7" s="1"/>
  <c r="J29" i="6"/>
  <c r="L30" i="6" s="1"/>
  <c r="K30" i="6"/>
  <c r="G30" i="6" s="1"/>
  <c r="H28" i="5"/>
  <c r="J28" i="5"/>
  <c r="L29" i="5" s="1"/>
  <c r="I29" i="5"/>
  <c r="K29" i="8" l="1"/>
  <c r="H29" i="8" s="1"/>
  <c r="I30" i="8" s="1"/>
  <c r="H29" i="7"/>
  <c r="I30" i="7" s="1"/>
  <c r="G29" i="7"/>
  <c r="J30" i="6"/>
  <c r="L31" i="6" s="1"/>
  <c r="H30" i="6"/>
  <c r="I31" i="6" s="1"/>
  <c r="K29" i="5"/>
  <c r="H29" i="5" s="1"/>
  <c r="I30" i="5" s="1"/>
  <c r="G29" i="8" l="1"/>
  <c r="K30" i="7"/>
  <c r="J29" i="7"/>
  <c r="L30" i="7" s="1"/>
  <c r="G30" i="7"/>
  <c r="K31" i="6"/>
  <c r="H31" i="6" s="1"/>
  <c r="I32" i="6" s="1"/>
  <c r="G29" i="5"/>
  <c r="K30" i="8" l="1"/>
  <c r="J29" i="8"/>
  <c r="L30" i="8" s="1"/>
  <c r="J30" i="7"/>
  <c r="L31" i="7" s="1"/>
  <c r="H30" i="7"/>
  <c r="I31" i="7" s="1"/>
  <c r="G31" i="6"/>
  <c r="K30" i="5"/>
  <c r="J29" i="5"/>
  <c r="L30" i="5" s="1"/>
  <c r="H30" i="8" l="1"/>
  <c r="I31" i="8" s="1"/>
  <c r="G30" i="8"/>
  <c r="K31" i="7"/>
  <c r="H31" i="7" s="1"/>
  <c r="I32" i="7" s="1"/>
  <c r="J31" i="6"/>
  <c r="L32" i="6" s="1"/>
  <c r="K32" i="6"/>
  <c r="H30" i="5"/>
  <c r="G30" i="5"/>
  <c r="J30" i="5"/>
  <c r="L31" i="5" s="1"/>
  <c r="I31" i="5"/>
  <c r="K31" i="8" l="1"/>
  <c r="G31" i="8" s="1"/>
  <c r="J30" i="8"/>
  <c r="L31" i="8" s="1"/>
  <c r="G31" i="7"/>
  <c r="H32" i="6"/>
  <c r="I33" i="6" s="1"/>
  <c r="G32" i="6"/>
  <c r="K31" i="5"/>
  <c r="J31" i="8" l="1"/>
  <c r="L32" i="8" s="1"/>
  <c r="H31" i="8"/>
  <c r="I32" i="8" s="1"/>
  <c r="J31" i="7"/>
  <c r="L32" i="7" s="1"/>
  <c r="K32" i="7"/>
  <c r="K33" i="6"/>
  <c r="J32" i="6"/>
  <c r="L33" i="6" s="1"/>
  <c r="G33" i="6"/>
  <c r="H31" i="5"/>
  <c r="I32" i="5" s="1"/>
  <c r="G31" i="5"/>
  <c r="K32" i="8" l="1"/>
  <c r="H32" i="8" s="1"/>
  <c r="I33" i="8" s="1"/>
  <c r="H32" i="7"/>
  <c r="I33" i="7" s="1"/>
  <c r="G32" i="7"/>
  <c r="J33" i="6"/>
  <c r="L34" i="6" s="1"/>
  <c r="H33" i="6"/>
  <c r="I34" i="6" s="1"/>
  <c r="K32" i="5"/>
  <c r="J31" i="5"/>
  <c r="L32" i="5" s="1"/>
  <c r="G32" i="8" l="1"/>
  <c r="K33" i="7"/>
  <c r="J32" i="7"/>
  <c r="L33" i="7" s="1"/>
  <c r="H33" i="7"/>
  <c r="I34" i="7" s="1"/>
  <c r="G33" i="7"/>
  <c r="K34" i="6"/>
  <c r="H34" i="6" s="1"/>
  <c r="I35" i="6" s="1"/>
  <c r="H32" i="5"/>
  <c r="I33" i="5" s="1"/>
  <c r="G32" i="5"/>
  <c r="J32" i="8" l="1"/>
  <c r="L33" i="8" s="1"/>
  <c r="K33" i="8"/>
  <c r="J33" i="7"/>
  <c r="L34" i="7" s="1"/>
  <c r="K34" i="7"/>
  <c r="H34" i="7" s="1"/>
  <c r="I35" i="7" s="1"/>
  <c r="G34" i="6"/>
  <c r="K33" i="5"/>
  <c r="H33" i="5" s="1"/>
  <c r="J32" i="5"/>
  <c r="L33" i="5" s="1"/>
  <c r="G33" i="5"/>
  <c r="G33" i="8" l="1"/>
  <c r="H33" i="8"/>
  <c r="I34" i="8" s="1"/>
  <c r="G34" i="7"/>
  <c r="J34" i="6"/>
  <c r="L35" i="6" s="1"/>
  <c r="K35" i="6"/>
  <c r="J33" i="5"/>
  <c r="L34" i="5" s="1"/>
  <c r="I34" i="5"/>
  <c r="K34" i="8" l="1"/>
  <c r="H34" i="8" s="1"/>
  <c r="I35" i="8" s="1"/>
  <c r="J33" i="8"/>
  <c r="L34" i="8" s="1"/>
  <c r="J34" i="7"/>
  <c r="L35" i="7" s="1"/>
  <c r="K35" i="7"/>
  <c r="G35" i="6"/>
  <c r="H35" i="6"/>
  <c r="I36" i="6" s="1"/>
  <c r="K34" i="5"/>
  <c r="G34" i="8" l="1"/>
  <c r="G35" i="7"/>
  <c r="H35" i="7"/>
  <c r="I36" i="7" s="1"/>
  <c r="G36" i="6"/>
  <c r="H36" i="6"/>
  <c r="I37" i="6" s="1"/>
  <c r="K36" i="6"/>
  <c r="J35" i="6"/>
  <c r="L36" i="6" s="1"/>
  <c r="H34" i="5"/>
  <c r="I35" i="5" s="1"/>
  <c r="G34" i="5"/>
  <c r="J34" i="8" l="1"/>
  <c r="L35" i="8" s="1"/>
  <c r="K35" i="8"/>
  <c r="H36" i="7"/>
  <c r="I37" i="7" s="1"/>
  <c r="G36" i="7"/>
  <c r="K36" i="7"/>
  <c r="J35" i="7"/>
  <c r="L36" i="7" s="1"/>
  <c r="J36" i="6"/>
  <c r="L37" i="6" s="1"/>
  <c r="K37" i="6"/>
  <c r="H37" i="6" s="1"/>
  <c r="I38" i="6" s="1"/>
  <c r="J34" i="5"/>
  <c r="L35" i="5" s="1"/>
  <c r="K35" i="5"/>
  <c r="G35" i="5" s="1"/>
  <c r="H35" i="8" l="1"/>
  <c r="I36" i="8" s="1"/>
  <c r="G35" i="8"/>
  <c r="J36" i="7"/>
  <c r="L37" i="7" s="1"/>
  <c r="K37" i="7"/>
  <c r="H37" i="7"/>
  <c r="I38" i="7" s="1"/>
  <c r="G37" i="7"/>
  <c r="G37" i="6"/>
  <c r="H35" i="5"/>
  <c r="J35" i="5"/>
  <c r="L36" i="5" s="1"/>
  <c r="I36" i="5"/>
  <c r="H36" i="5" s="1"/>
  <c r="K36" i="8" l="1"/>
  <c r="J35" i="8"/>
  <c r="L36" i="8" s="1"/>
  <c r="H36" i="8"/>
  <c r="I37" i="8" s="1"/>
  <c r="G36" i="8"/>
  <c r="K38" i="7"/>
  <c r="J37" i="7"/>
  <c r="L38" i="7" s="1"/>
  <c r="G38" i="7"/>
  <c r="H38" i="7"/>
  <c r="I39" i="7" s="1"/>
  <c r="K38" i="6"/>
  <c r="J37" i="6"/>
  <c r="L38" i="6" s="1"/>
  <c r="K36" i="5"/>
  <c r="I37" i="5" s="1"/>
  <c r="J36" i="8" l="1"/>
  <c r="L37" i="8" s="1"/>
  <c r="K37" i="8"/>
  <c r="H37" i="8"/>
  <c r="I38" i="8" s="1"/>
  <c r="G37" i="8"/>
  <c r="J38" i="7"/>
  <c r="L39" i="7" s="1"/>
  <c r="K39" i="7"/>
  <c r="G39" i="7" s="1"/>
  <c r="H38" i="6"/>
  <c r="I39" i="6" s="1"/>
  <c r="G38" i="6"/>
  <c r="G36" i="5"/>
  <c r="J36" i="5"/>
  <c r="L37" i="5" s="1"/>
  <c r="K37" i="5"/>
  <c r="H37" i="5" s="1"/>
  <c r="I38" i="5" s="1"/>
  <c r="J37" i="8" l="1"/>
  <c r="L38" i="8" s="1"/>
  <c r="K38" i="8"/>
  <c r="H38" i="8"/>
  <c r="I39" i="8" s="1"/>
  <c r="G38" i="8"/>
  <c r="J39" i="7"/>
  <c r="L40" i="7" s="1"/>
  <c r="H39" i="7"/>
  <c r="I40" i="7" s="1"/>
  <c r="K39" i="6"/>
  <c r="J38" i="6"/>
  <c r="L39" i="6" s="1"/>
  <c r="H39" i="6"/>
  <c r="I40" i="6" s="1"/>
  <c r="G39" i="6"/>
  <c r="G37" i="5"/>
  <c r="J38" i="8" l="1"/>
  <c r="L39" i="8" s="1"/>
  <c r="K39" i="8"/>
  <c r="H39" i="8" s="1"/>
  <c r="I40" i="8" s="1"/>
  <c r="K40" i="7"/>
  <c r="G40" i="7" s="1"/>
  <c r="K40" i="6"/>
  <c r="J39" i="6"/>
  <c r="L40" i="6" s="1"/>
  <c r="G40" i="6"/>
  <c r="J37" i="5"/>
  <c r="L38" i="5" s="1"/>
  <c r="K38" i="5"/>
  <c r="H38" i="5" s="1"/>
  <c r="G38" i="5"/>
  <c r="G39" i="8" l="1"/>
  <c r="J40" i="7"/>
  <c r="L41" i="7" s="1"/>
  <c r="H40" i="7"/>
  <c r="I41" i="7" s="1"/>
  <c r="J40" i="6"/>
  <c r="L41" i="6" s="1"/>
  <c r="H40" i="6"/>
  <c r="I41" i="6" s="1"/>
  <c r="J38" i="5"/>
  <c r="L39" i="5" s="1"/>
  <c r="I39" i="5"/>
  <c r="J39" i="8" l="1"/>
  <c r="L40" i="8" s="1"/>
  <c r="K40" i="8"/>
  <c r="K41" i="7"/>
  <c r="H41" i="7" s="1"/>
  <c r="I42" i="7" s="1"/>
  <c r="K41" i="6"/>
  <c r="H41" i="6" s="1"/>
  <c r="I42" i="6" s="1"/>
  <c r="K39" i="5"/>
  <c r="H39" i="5" s="1"/>
  <c r="G39" i="5"/>
  <c r="H40" i="8" l="1"/>
  <c r="I41" i="8" s="1"/>
  <c r="G40" i="8"/>
  <c r="G41" i="7"/>
  <c r="G41" i="6"/>
  <c r="J39" i="5"/>
  <c r="L40" i="5" s="1"/>
  <c r="I40" i="5"/>
  <c r="K41" i="8" l="1"/>
  <c r="J40" i="8"/>
  <c r="L41" i="8" s="1"/>
  <c r="G41" i="8"/>
  <c r="H41" i="8"/>
  <c r="I42" i="8" s="1"/>
  <c r="K42" i="7"/>
  <c r="J41" i="7"/>
  <c r="L42" i="7" s="1"/>
  <c r="J41" i="6"/>
  <c r="L42" i="6" s="1"/>
  <c r="K42" i="6"/>
  <c r="K40" i="5"/>
  <c r="G40" i="5" s="1"/>
  <c r="J41" i="8" l="1"/>
  <c r="L42" i="8" s="1"/>
  <c r="K42" i="8"/>
  <c r="H42" i="8" s="1"/>
  <c r="I43" i="8" s="1"/>
  <c r="H42" i="7"/>
  <c r="I43" i="7" s="1"/>
  <c r="G42" i="7"/>
  <c r="H42" i="6"/>
  <c r="I43" i="6" s="1"/>
  <c r="G42" i="6"/>
  <c r="H40" i="5"/>
  <c r="I41" i="5" s="1"/>
  <c r="J40" i="5"/>
  <c r="L41" i="5" s="1"/>
  <c r="G42" i="8" l="1"/>
  <c r="K43" i="7"/>
  <c r="J42" i="7"/>
  <c r="L43" i="7" s="1"/>
  <c r="G43" i="7"/>
  <c r="H43" i="7"/>
  <c r="I44" i="7" s="1"/>
  <c r="K43" i="6"/>
  <c r="J42" i="6"/>
  <c r="L43" i="6" s="1"/>
  <c r="H43" i="6"/>
  <c r="I44" i="6" s="1"/>
  <c r="G43" i="6"/>
  <c r="K41" i="5"/>
  <c r="G41" i="5" s="1"/>
  <c r="K43" i="8" l="1"/>
  <c r="J42" i="8"/>
  <c r="L43" i="8" s="1"/>
  <c r="J43" i="7"/>
  <c r="L44" i="7" s="1"/>
  <c r="K44" i="7"/>
  <c r="H44" i="7" s="1"/>
  <c r="I45" i="7" s="1"/>
  <c r="J43" i="6"/>
  <c r="L44" i="6" s="1"/>
  <c r="K44" i="6"/>
  <c r="H44" i="6"/>
  <c r="I45" i="6" s="1"/>
  <c r="G44" i="6"/>
  <c r="H41" i="5"/>
  <c r="J41" i="5"/>
  <c r="L42" i="5" s="1"/>
  <c r="I42" i="5"/>
  <c r="G43" i="8" l="1"/>
  <c r="H43" i="8"/>
  <c r="I44" i="8" s="1"/>
  <c r="G44" i="7"/>
  <c r="K45" i="6"/>
  <c r="J44" i="6"/>
  <c r="L45" i="6" s="1"/>
  <c r="H45" i="6"/>
  <c r="I46" i="6" s="1"/>
  <c r="G45" i="6"/>
  <c r="K42" i="5"/>
  <c r="H42" i="5" s="1"/>
  <c r="J43" i="8" l="1"/>
  <c r="L44" i="8" s="1"/>
  <c r="K44" i="8"/>
  <c r="G44" i="8" s="1"/>
  <c r="K45" i="7"/>
  <c r="J44" i="7"/>
  <c r="L45" i="7" s="1"/>
  <c r="J45" i="6"/>
  <c r="L46" i="6" s="1"/>
  <c r="K46" i="6"/>
  <c r="G46" i="6"/>
  <c r="H46" i="6"/>
  <c r="I47" i="6" s="1"/>
  <c r="G42" i="5"/>
  <c r="J42" i="5"/>
  <c r="L43" i="5" s="1"/>
  <c r="I43" i="5"/>
  <c r="J44" i="8" l="1"/>
  <c r="L45" i="8" s="1"/>
  <c r="H44" i="8"/>
  <c r="I45" i="8" s="1"/>
  <c r="G45" i="7"/>
  <c r="H45" i="7"/>
  <c r="I46" i="7" s="1"/>
  <c r="K47" i="6"/>
  <c r="J46" i="6"/>
  <c r="L47" i="6" s="1"/>
  <c r="H47" i="6"/>
  <c r="I48" i="6" s="1"/>
  <c r="G47" i="6"/>
  <c r="K43" i="5"/>
  <c r="G43" i="5" s="1"/>
  <c r="K45" i="8" l="1"/>
  <c r="H45" i="8" s="1"/>
  <c r="I46" i="8" s="1"/>
  <c r="J45" i="7"/>
  <c r="L46" i="7" s="1"/>
  <c r="K46" i="7"/>
  <c r="H46" i="7" s="1"/>
  <c r="I47" i="7" s="1"/>
  <c r="J47" i="6"/>
  <c r="L48" i="6" s="1"/>
  <c r="K48" i="6"/>
  <c r="H48" i="6"/>
  <c r="I49" i="6" s="1"/>
  <c r="G48" i="6"/>
  <c r="H43" i="5"/>
  <c r="I44" i="5" s="1"/>
  <c r="J43" i="5"/>
  <c r="L44" i="5" s="1"/>
  <c r="K44" i="5"/>
  <c r="G44" i="5"/>
  <c r="G45" i="8" l="1"/>
  <c r="G46" i="7"/>
  <c r="J48" i="6"/>
  <c r="L49" i="6" s="1"/>
  <c r="K49" i="6"/>
  <c r="H49" i="6" s="1"/>
  <c r="I50" i="6" s="1"/>
  <c r="H44" i="5"/>
  <c r="I45" i="5" s="1"/>
  <c r="J44" i="5"/>
  <c r="L45" i="5" s="1"/>
  <c r="J45" i="8" l="1"/>
  <c r="L46" i="8" s="1"/>
  <c r="K46" i="8"/>
  <c r="K47" i="7"/>
  <c r="J46" i="7"/>
  <c r="L47" i="7" s="1"/>
  <c r="H50" i="6"/>
  <c r="I51" i="6" s="1"/>
  <c r="G50" i="6"/>
  <c r="G49" i="6"/>
  <c r="K45" i="5"/>
  <c r="H46" i="8" l="1"/>
  <c r="I47" i="8" s="1"/>
  <c r="G46" i="8"/>
  <c r="H47" i="7"/>
  <c r="I48" i="7" s="1"/>
  <c r="G47" i="7"/>
  <c r="K50" i="6"/>
  <c r="J49" i="6"/>
  <c r="L50" i="6" s="1"/>
  <c r="J50" i="6"/>
  <c r="L51" i="6" s="1"/>
  <c r="K51" i="6"/>
  <c r="G51" i="6" s="1"/>
  <c r="H51" i="6"/>
  <c r="I52" i="6" s="1"/>
  <c r="H45" i="5"/>
  <c r="I46" i="5" s="1"/>
  <c r="G45" i="5"/>
  <c r="K46" i="5" s="1"/>
  <c r="K47" i="8" l="1"/>
  <c r="J46" i="8"/>
  <c r="L47" i="8" s="1"/>
  <c r="G47" i="8"/>
  <c r="H47" i="8"/>
  <c r="I48" i="8" s="1"/>
  <c r="K48" i="7"/>
  <c r="J47" i="7"/>
  <c r="L48" i="7" s="1"/>
  <c r="H48" i="7"/>
  <c r="I49" i="7" s="1"/>
  <c r="G48" i="7"/>
  <c r="K52" i="6"/>
  <c r="J51" i="6"/>
  <c r="L52" i="6" s="1"/>
  <c r="H52" i="6"/>
  <c r="I53" i="6" s="1"/>
  <c r="G52" i="6"/>
  <c r="G46" i="5"/>
  <c r="J45" i="5"/>
  <c r="L46" i="5" s="1"/>
  <c r="K48" i="8" l="1"/>
  <c r="H48" i="8" s="1"/>
  <c r="I49" i="8" s="1"/>
  <c r="J47" i="8"/>
  <c r="L48" i="8" s="1"/>
  <c r="J48" i="7"/>
  <c r="L49" i="7" s="1"/>
  <c r="K49" i="7"/>
  <c r="G49" i="7"/>
  <c r="H49" i="7"/>
  <c r="I50" i="7" s="1"/>
  <c r="J52" i="6"/>
  <c r="L53" i="6" s="1"/>
  <c r="K53" i="6"/>
  <c r="H53" i="6"/>
  <c r="I54" i="6" s="1"/>
  <c r="G53" i="6"/>
  <c r="J46" i="5"/>
  <c r="L47" i="5" s="1"/>
  <c r="H46" i="5"/>
  <c r="I47" i="5" s="1"/>
  <c r="G48" i="8" l="1"/>
  <c r="H50" i="7"/>
  <c r="I51" i="7" s="1"/>
  <c r="G50" i="7"/>
  <c r="K50" i="7"/>
  <c r="J49" i="7"/>
  <c r="L50" i="7" s="1"/>
  <c r="K54" i="6"/>
  <c r="G54" i="6" s="1"/>
  <c r="J53" i="6"/>
  <c r="L54" i="6" s="1"/>
  <c r="K47" i="5"/>
  <c r="H47" i="5" s="1"/>
  <c r="I48" i="5" s="1"/>
  <c r="J48" i="8" l="1"/>
  <c r="L49" i="8" s="1"/>
  <c r="K49" i="8"/>
  <c r="J50" i="7"/>
  <c r="L51" i="7" s="1"/>
  <c r="K51" i="7"/>
  <c r="H51" i="7" s="1"/>
  <c r="I52" i="7" s="1"/>
  <c r="G51" i="7"/>
  <c r="J54" i="6"/>
  <c r="L55" i="6" s="1"/>
  <c r="H54" i="6"/>
  <c r="I55" i="6" s="1"/>
  <c r="G47" i="5"/>
  <c r="H49" i="8" l="1"/>
  <c r="I50" i="8" s="1"/>
  <c r="G49" i="8"/>
  <c r="K52" i="7"/>
  <c r="H52" i="7" s="1"/>
  <c r="I53" i="7" s="1"/>
  <c r="J51" i="7"/>
  <c r="L52" i="7" s="1"/>
  <c r="K55" i="6"/>
  <c r="G55" i="6" s="1"/>
  <c r="K48" i="5"/>
  <c r="J47" i="5"/>
  <c r="L48" i="5" s="1"/>
  <c r="K50" i="8" l="1"/>
  <c r="J49" i="8"/>
  <c r="L50" i="8" s="1"/>
  <c r="H50" i="8"/>
  <c r="I51" i="8" s="1"/>
  <c r="G50" i="8"/>
  <c r="G52" i="7"/>
  <c r="J55" i="6"/>
  <c r="L56" i="6" s="1"/>
  <c r="H55" i="6"/>
  <c r="I56" i="6" s="1"/>
  <c r="H48" i="5"/>
  <c r="I49" i="5" s="1"/>
  <c r="G48" i="5"/>
  <c r="J50" i="8" l="1"/>
  <c r="L51" i="8" s="1"/>
  <c r="K51" i="8"/>
  <c r="G51" i="8" s="1"/>
  <c r="H51" i="8"/>
  <c r="I52" i="8" s="1"/>
  <c r="J52" i="7"/>
  <c r="L53" i="7" s="1"/>
  <c r="K53" i="7"/>
  <c r="K56" i="6"/>
  <c r="H56" i="6" s="1"/>
  <c r="I57" i="6" s="1"/>
  <c r="K49" i="5"/>
  <c r="J48" i="5"/>
  <c r="L49" i="5" s="1"/>
  <c r="H49" i="5"/>
  <c r="I50" i="5" s="1"/>
  <c r="G49" i="5"/>
  <c r="K52" i="8" l="1"/>
  <c r="J51" i="8"/>
  <c r="L52" i="8" s="1"/>
  <c r="G52" i="8"/>
  <c r="G53" i="7"/>
  <c r="H53" i="7"/>
  <c r="I54" i="7" s="1"/>
  <c r="G56" i="6"/>
  <c r="H50" i="5"/>
  <c r="I51" i="5" s="1"/>
  <c r="G50" i="5"/>
  <c r="K50" i="5"/>
  <c r="J49" i="5"/>
  <c r="L50" i="5" s="1"/>
  <c r="J52" i="8" l="1"/>
  <c r="L53" i="8" s="1"/>
  <c r="H52" i="8"/>
  <c r="I53" i="8" s="1"/>
  <c r="K54" i="7"/>
  <c r="H54" i="7" s="1"/>
  <c r="I55" i="7" s="1"/>
  <c r="J53" i="7"/>
  <c r="L54" i="7" s="1"/>
  <c r="K57" i="6"/>
  <c r="J56" i="6"/>
  <c r="L57" i="6" s="1"/>
  <c r="J50" i="5"/>
  <c r="L51" i="5" s="1"/>
  <c r="K51" i="5"/>
  <c r="H51" i="5"/>
  <c r="I52" i="5" s="1"/>
  <c r="G51" i="5"/>
  <c r="K53" i="8" l="1"/>
  <c r="H53" i="8"/>
  <c r="I54" i="8" s="1"/>
  <c r="G53" i="8"/>
  <c r="G54" i="7"/>
  <c r="H57" i="6"/>
  <c r="I58" i="6" s="1"/>
  <c r="G57" i="6"/>
  <c r="K52" i="5"/>
  <c r="G52" i="5" s="1"/>
  <c r="J51" i="5"/>
  <c r="L52" i="5" s="1"/>
  <c r="J53" i="8" l="1"/>
  <c r="L54" i="8" s="1"/>
  <c r="K54" i="8"/>
  <c r="G54" i="8" s="1"/>
  <c r="J54" i="7"/>
  <c r="L55" i="7" s="1"/>
  <c r="K55" i="7"/>
  <c r="K58" i="6"/>
  <c r="J57" i="6"/>
  <c r="L58" i="6" s="1"/>
  <c r="H58" i="6"/>
  <c r="I59" i="6" s="1"/>
  <c r="G58" i="6"/>
  <c r="J52" i="5"/>
  <c r="L53" i="5" s="1"/>
  <c r="H52" i="5"/>
  <c r="I53" i="5" s="1"/>
  <c r="J54" i="8" l="1"/>
  <c r="L55" i="8" s="1"/>
  <c r="H54" i="8"/>
  <c r="I55" i="8" s="1"/>
  <c r="G55" i="7"/>
  <c r="H55" i="7"/>
  <c r="I56" i="7" s="1"/>
  <c r="K59" i="6"/>
  <c r="H59" i="6" s="1"/>
  <c r="I60" i="6" s="1"/>
  <c r="J58" i="6"/>
  <c r="L59" i="6" s="1"/>
  <c r="K53" i="5"/>
  <c r="G53" i="5" s="1"/>
  <c r="J53" i="5" s="1"/>
  <c r="L54" i="5" s="1"/>
  <c r="K55" i="8" l="1"/>
  <c r="H55" i="8"/>
  <c r="I56" i="8" s="1"/>
  <c r="G55" i="8"/>
  <c r="K56" i="7"/>
  <c r="G56" i="7" s="1"/>
  <c r="J55" i="7"/>
  <c r="L56" i="7" s="1"/>
  <c r="G59" i="6"/>
  <c r="H53" i="5"/>
  <c r="J55" i="8" l="1"/>
  <c r="L56" i="8" s="1"/>
  <c r="K56" i="8"/>
  <c r="H56" i="8" s="1"/>
  <c r="I57" i="8" s="1"/>
  <c r="J56" i="7"/>
  <c r="L57" i="7" s="1"/>
  <c r="H56" i="7"/>
  <c r="I57" i="7" s="1"/>
  <c r="K60" i="6"/>
  <c r="J59" i="6"/>
  <c r="L60" i="6" s="1"/>
  <c r="I54" i="5"/>
  <c r="K54" i="5"/>
  <c r="G54" i="5" s="1"/>
  <c r="G56" i="8" l="1"/>
  <c r="K57" i="7"/>
  <c r="H57" i="7" s="1"/>
  <c r="I58" i="7" s="1"/>
  <c r="H60" i="6"/>
  <c r="I61" i="6" s="1"/>
  <c r="G60" i="6"/>
  <c r="J54" i="5"/>
  <c r="L55" i="5" s="1"/>
  <c r="H54" i="5"/>
  <c r="I55" i="5" s="1"/>
  <c r="K57" i="8" l="1"/>
  <c r="J56" i="8"/>
  <c r="L57" i="8" s="1"/>
  <c r="G57" i="7"/>
  <c r="K61" i="6"/>
  <c r="J60" i="6"/>
  <c r="L61" i="6" s="1"/>
  <c r="H61" i="6"/>
  <c r="I62" i="6" s="1"/>
  <c r="G61" i="6"/>
  <c r="K55" i="5"/>
  <c r="H55" i="5" s="1"/>
  <c r="I56" i="5" s="1"/>
  <c r="G57" i="8" l="1"/>
  <c r="H57" i="8"/>
  <c r="I58" i="8" s="1"/>
  <c r="J57" i="7"/>
  <c r="L58" i="7" s="1"/>
  <c r="K58" i="7"/>
  <c r="J61" i="6"/>
  <c r="L62" i="6" s="1"/>
  <c r="K62" i="6"/>
  <c r="H62" i="6" s="1"/>
  <c r="I63" i="6" s="1"/>
  <c r="G55" i="5"/>
  <c r="J57" i="8" l="1"/>
  <c r="L58" i="8" s="1"/>
  <c r="K58" i="8"/>
  <c r="H58" i="8" s="1"/>
  <c r="I59" i="8" s="1"/>
  <c r="G58" i="7"/>
  <c r="H58" i="7"/>
  <c r="I59" i="7" s="1"/>
  <c r="G62" i="6"/>
  <c r="J55" i="5"/>
  <c r="L56" i="5" s="1"/>
  <c r="K56" i="5"/>
  <c r="G58" i="8" l="1"/>
  <c r="K59" i="7"/>
  <c r="G59" i="7" s="1"/>
  <c r="J58" i="7"/>
  <c r="L59" i="7" s="1"/>
  <c r="J62" i="6"/>
  <c r="L63" i="6" s="1"/>
  <c r="K63" i="6"/>
  <c r="G56" i="5"/>
  <c r="H56" i="5"/>
  <c r="I57" i="5" s="1"/>
  <c r="K59" i="8" l="1"/>
  <c r="J58" i="8"/>
  <c r="L59" i="8" s="1"/>
  <c r="J59" i="7"/>
  <c r="L60" i="7" s="1"/>
  <c r="H59" i="7"/>
  <c r="I60" i="7" s="1"/>
  <c r="H63" i="6"/>
  <c r="I64" i="6" s="1"/>
  <c r="G63" i="6"/>
  <c r="K57" i="5"/>
  <c r="J56" i="5"/>
  <c r="L57" i="5" s="1"/>
  <c r="G59" i="8" l="1"/>
  <c r="H59" i="8"/>
  <c r="I60" i="8" s="1"/>
  <c r="K60" i="7"/>
  <c r="H60" i="7"/>
  <c r="I61" i="7" s="1"/>
  <c r="G60" i="7"/>
  <c r="J63" i="6"/>
  <c r="L64" i="6" s="1"/>
  <c r="K64" i="6"/>
  <c r="H64" i="6"/>
  <c r="I65" i="6" s="1"/>
  <c r="G64" i="6"/>
  <c r="H57" i="5"/>
  <c r="I58" i="5" s="1"/>
  <c r="G57" i="5"/>
  <c r="J59" i="8" l="1"/>
  <c r="L60" i="8" s="1"/>
  <c r="K60" i="8"/>
  <c r="G60" i="8" s="1"/>
  <c r="K61" i="7"/>
  <c r="J60" i="7"/>
  <c r="L61" i="7" s="1"/>
  <c r="H61" i="7"/>
  <c r="I62" i="7" s="1"/>
  <c r="G61" i="7"/>
  <c r="K65" i="6"/>
  <c r="J64" i="6"/>
  <c r="L65" i="6" s="1"/>
  <c r="G65" i="6"/>
  <c r="H65" i="6"/>
  <c r="I66" i="6" s="1"/>
  <c r="J57" i="5"/>
  <c r="L58" i="5" s="1"/>
  <c r="K58" i="5"/>
  <c r="J60" i="8" l="1"/>
  <c r="L61" i="8" s="1"/>
  <c r="H60" i="8"/>
  <c r="I61" i="8" s="1"/>
  <c r="K62" i="7"/>
  <c r="J61" i="7"/>
  <c r="L62" i="7" s="1"/>
  <c r="H62" i="7"/>
  <c r="I63" i="7" s="1"/>
  <c r="G62" i="7"/>
  <c r="K66" i="6"/>
  <c r="H66" i="6" s="1"/>
  <c r="I67" i="6" s="1"/>
  <c r="J65" i="6"/>
  <c r="L66" i="6" s="1"/>
  <c r="H58" i="5"/>
  <c r="I59" i="5" s="1"/>
  <c r="G58" i="5"/>
  <c r="K61" i="8" l="1"/>
  <c r="H61" i="8" s="1"/>
  <c r="I62" i="8" s="1"/>
  <c r="K63" i="7"/>
  <c r="H63" i="7" s="1"/>
  <c r="I64" i="7" s="1"/>
  <c r="J62" i="7"/>
  <c r="L63" i="7" s="1"/>
  <c r="G66" i="6"/>
  <c r="K59" i="5"/>
  <c r="J58" i="5"/>
  <c r="L59" i="5" s="1"/>
  <c r="H59" i="5"/>
  <c r="I60" i="5" s="1"/>
  <c r="G59" i="5"/>
  <c r="G61" i="8" l="1"/>
  <c r="H64" i="7"/>
  <c r="I65" i="7" s="1"/>
  <c r="G64" i="7"/>
  <c r="G63" i="7"/>
  <c r="K67" i="6"/>
  <c r="J66" i="6"/>
  <c r="L67" i="6" s="1"/>
  <c r="J59" i="5"/>
  <c r="L60" i="5" s="1"/>
  <c r="K60" i="5"/>
  <c r="H60" i="5" s="1"/>
  <c r="G60" i="5"/>
  <c r="K62" i="8" l="1"/>
  <c r="J61" i="8"/>
  <c r="L62" i="8" s="1"/>
  <c r="K64" i="7"/>
  <c r="J63" i="7"/>
  <c r="L64" i="7" s="1"/>
  <c r="K65" i="7"/>
  <c r="J64" i="7"/>
  <c r="L65" i="7" s="1"/>
  <c r="H65" i="7"/>
  <c r="I66" i="7" s="1"/>
  <c r="G65" i="7"/>
  <c r="H67" i="6"/>
  <c r="I68" i="6" s="1"/>
  <c r="G67" i="6"/>
  <c r="I61" i="5"/>
  <c r="J60" i="5"/>
  <c r="L61" i="5" s="1"/>
  <c r="K61" i="5"/>
  <c r="H62" i="8" l="1"/>
  <c r="I63" i="8" s="1"/>
  <c r="G62" i="8"/>
  <c r="J65" i="7"/>
  <c r="L66" i="7" s="1"/>
  <c r="K66" i="7"/>
  <c r="H66" i="7"/>
  <c r="I67" i="7" s="1"/>
  <c r="G66" i="7"/>
  <c r="K68" i="6"/>
  <c r="J67" i="6"/>
  <c r="L68" i="6" s="1"/>
  <c r="G68" i="6"/>
  <c r="H68" i="6"/>
  <c r="I69" i="6" s="1"/>
  <c r="H61" i="5"/>
  <c r="I62" i="5" s="1"/>
  <c r="G61" i="5"/>
  <c r="K63" i="8" l="1"/>
  <c r="J62" i="8"/>
  <c r="L63" i="8" s="1"/>
  <c r="G63" i="8"/>
  <c r="H63" i="8"/>
  <c r="I64" i="8" s="1"/>
  <c r="J66" i="7"/>
  <c r="L67" i="7" s="1"/>
  <c r="K67" i="7"/>
  <c r="H67" i="7" s="1"/>
  <c r="I68" i="7" s="1"/>
  <c r="K69" i="6"/>
  <c r="G69" i="6" s="1"/>
  <c r="J68" i="6"/>
  <c r="L69" i="6" s="1"/>
  <c r="K62" i="5"/>
  <c r="J61" i="5"/>
  <c r="L62" i="5" s="1"/>
  <c r="H62" i="5"/>
  <c r="I63" i="5" s="1"/>
  <c r="G62" i="5"/>
  <c r="H64" i="8" l="1"/>
  <c r="I65" i="8" s="1"/>
  <c r="G64" i="8"/>
  <c r="K64" i="8"/>
  <c r="J63" i="8"/>
  <c r="L64" i="8" s="1"/>
  <c r="G67" i="7"/>
  <c r="J69" i="6"/>
  <c r="L70" i="6" s="1"/>
  <c r="H69" i="6"/>
  <c r="I70" i="6" s="1"/>
  <c r="J62" i="5"/>
  <c r="L63" i="5" s="1"/>
  <c r="K63" i="5"/>
  <c r="G63" i="5" s="1"/>
  <c r="J64" i="8" l="1"/>
  <c r="L65" i="8" s="1"/>
  <c r="K65" i="8"/>
  <c r="H65" i="8"/>
  <c r="I66" i="8" s="1"/>
  <c r="G65" i="8"/>
  <c r="K68" i="7"/>
  <c r="J67" i="7"/>
  <c r="L68" i="7" s="1"/>
  <c r="K70" i="6"/>
  <c r="H70" i="6" s="1"/>
  <c r="I71" i="6" s="1"/>
  <c r="J63" i="5"/>
  <c r="L64" i="5" s="1"/>
  <c r="H63" i="5"/>
  <c r="I64" i="5" s="1"/>
  <c r="H64" i="5" s="1"/>
  <c r="I65" i="5" s="1"/>
  <c r="G64" i="5"/>
  <c r="K66" i="8" l="1"/>
  <c r="J65" i="8"/>
  <c r="L66" i="8" s="1"/>
  <c r="H66" i="8"/>
  <c r="I67" i="8" s="1"/>
  <c r="G66" i="8"/>
  <c r="H68" i="7"/>
  <c r="I69" i="7" s="1"/>
  <c r="G68" i="7"/>
  <c r="G70" i="6"/>
  <c r="K64" i="5"/>
  <c r="K65" i="5"/>
  <c r="H65" i="5" s="1"/>
  <c r="J64" i="5"/>
  <c r="L65" i="5" s="1"/>
  <c r="G65" i="5"/>
  <c r="J66" i="8" l="1"/>
  <c r="L67" i="8" s="1"/>
  <c r="K67" i="8"/>
  <c r="H67" i="8"/>
  <c r="I68" i="8" s="1"/>
  <c r="G67" i="8"/>
  <c r="J68" i="7"/>
  <c r="L69" i="7" s="1"/>
  <c r="K69" i="7"/>
  <c r="H69" i="7"/>
  <c r="I70" i="7" s="1"/>
  <c r="G69" i="7"/>
  <c r="K71" i="6"/>
  <c r="J70" i="6"/>
  <c r="L71" i="6" s="1"/>
  <c r="J65" i="5"/>
  <c r="L66" i="5" s="1"/>
  <c r="I66" i="5"/>
  <c r="K68" i="8" l="1"/>
  <c r="J67" i="8"/>
  <c r="L68" i="8" s="1"/>
  <c r="H68" i="8"/>
  <c r="I69" i="8" s="1"/>
  <c r="G68" i="8"/>
  <c r="J69" i="7"/>
  <c r="L70" i="7" s="1"/>
  <c r="K70" i="7"/>
  <c r="H70" i="7"/>
  <c r="I71" i="7" s="1"/>
  <c r="G70" i="7"/>
  <c r="H71" i="6"/>
  <c r="I72" i="6" s="1"/>
  <c r="G71" i="6"/>
  <c r="K66" i="5"/>
  <c r="H66" i="5" s="1"/>
  <c r="J68" i="8" l="1"/>
  <c r="L69" i="8" s="1"/>
  <c r="K69" i="8"/>
  <c r="H69" i="8"/>
  <c r="I70" i="8" s="1"/>
  <c r="G69" i="8"/>
  <c r="J70" i="7"/>
  <c r="L71" i="7" s="1"/>
  <c r="K71" i="7"/>
  <c r="G71" i="7" s="1"/>
  <c r="J71" i="6"/>
  <c r="L72" i="6" s="1"/>
  <c r="K72" i="6"/>
  <c r="H72" i="6"/>
  <c r="I73" i="6" s="1"/>
  <c r="G72" i="6"/>
  <c r="G66" i="5"/>
  <c r="J66" i="5" s="1"/>
  <c r="L67" i="5" s="1"/>
  <c r="I67" i="5"/>
  <c r="K70" i="8" l="1"/>
  <c r="G70" i="8" s="1"/>
  <c r="J69" i="8"/>
  <c r="L70" i="8" s="1"/>
  <c r="J71" i="7"/>
  <c r="L72" i="7" s="1"/>
  <c r="H71" i="7"/>
  <c r="I72" i="7" s="1"/>
  <c r="K73" i="6"/>
  <c r="J72" i="6"/>
  <c r="L73" i="6" s="1"/>
  <c r="G73" i="6"/>
  <c r="H73" i="6"/>
  <c r="I74" i="6" s="1"/>
  <c r="K67" i="5"/>
  <c r="G67" i="5" s="1"/>
  <c r="J70" i="8" l="1"/>
  <c r="L71" i="8" s="1"/>
  <c r="H70" i="8"/>
  <c r="I71" i="8" s="1"/>
  <c r="K72" i="7"/>
  <c r="G72" i="7" s="1"/>
  <c r="K74" i="6"/>
  <c r="H74" i="6" s="1"/>
  <c r="I75" i="6" s="1"/>
  <c r="J73" i="6"/>
  <c r="L74" i="6" s="1"/>
  <c r="H67" i="5"/>
  <c r="I68" i="5" s="1"/>
  <c r="J67" i="5"/>
  <c r="L68" i="5" s="1"/>
  <c r="K71" i="8" l="1"/>
  <c r="H71" i="8"/>
  <c r="I72" i="8" s="1"/>
  <c r="G71" i="8"/>
  <c r="J72" i="7"/>
  <c r="L73" i="7" s="1"/>
  <c r="H72" i="7"/>
  <c r="I73" i="7" s="1"/>
  <c r="G74" i="6"/>
  <c r="K68" i="5"/>
  <c r="H68" i="5" s="1"/>
  <c r="G68" i="5"/>
  <c r="J71" i="8" l="1"/>
  <c r="L72" i="8" s="1"/>
  <c r="K72" i="8"/>
  <c r="H72" i="8" s="1"/>
  <c r="I73" i="8" s="1"/>
  <c r="K73" i="7"/>
  <c r="H73" i="7" s="1"/>
  <c r="I74" i="7" s="1"/>
  <c r="J74" i="6"/>
  <c r="L75" i="6" s="1"/>
  <c r="K75" i="6"/>
  <c r="J68" i="5"/>
  <c r="L69" i="5" s="1"/>
  <c r="I69" i="5"/>
  <c r="G72" i="8" l="1"/>
  <c r="G73" i="7"/>
  <c r="H75" i="6"/>
  <c r="I76" i="6" s="1"/>
  <c r="G75" i="6"/>
  <c r="K69" i="5"/>
  <c r="H69" i="5" s="1"/>
  <c r="G69" i="5"/>
  <c r="K73" i="8" l="1"/>
  <c r="J72" i="8"/>
  <c r="L73" i="8" s="1"/>
  <c r="K74" i="7"/>
  <c r="J73" i="7"/>
  <c r="L74" i="7" s="1"/>
  <c r="K76" i="6"/>
  <c r="J75" i="6"/>
  <c r="L76" i="6" s="1"/>
  <c r="H76" i="6"/>
  <c r="I77" i="6" s="1"/>
  <c r="G76" i="6"/>
  <c r="J69" i="5"/>
  <c r="L70" i="5" s="1"/>
  <c r="I70" i="5"/>
  <c r="G73" i="8" l="1"/>
  <c r="H73" i="8"/>
  <c r="I74" i="8" s="1"/>
  <c r="H74" i="7"/>
  <c r="I75" i="7" s="1"/>
  <c r="G74" i="7"/>
  <c r="J76" i="6"/>
  <c r="L77" i="6" s="1"/>
  <c r="K77" i="6"/>
  <c r="G77" i="6" s="1"/>
  <c r="K70" i="5"/>
  <c r="G70" i="5" s="1"/>
  <c r="J73" i="8" l="1"/>
  <c r="L74" i="8" s="1"/>
  <c r="K74" i="8"/>
  <c r="H74" i="8" s="1"/>
  <c r="I75" i="8" s="1"/>
  <c r="K75" i="7"/>
  <c r="J74" i="7"/>
  <c r="L75" i="7" s="1"/>
  <c r="G75" i="7"/>
  <c r="H75" i="7"/>
  <c r="I76" i="7" s="1"/>
  <c r="J77" i="6"/>
  <c r="L78" i="6" s="1"/>
  <c r="H77" i="6"/>
  <c r="I78" i="6" s="1"/>
  <c r="H70" i="5"/>
  <c r="J70" i="5"/>
  <c r="L71" i="5" s="1"/>
  <c r="I71" i="5"/>
  <c r="G74" i="8" l="1"/>
  <c r="J75" i="7"/>
  <c r="L76" i="7" s="1"/>
  <c r="K76" i="7"/>
  <c r="H76" i="7" s="1"/>
  <c r="I77" i="7" s="1"/>
  <c r="G78" i="6"/>
  <c r="H78" i="6"/>
  <c r="I79" i="6" s="1"/>
  <c r="K78" i="6"/>
  <c r="K71" i="5"/>
  <c r="H71" i="5" s="1"/>
  <c r="I72" i="5" s="1"/>
  <c r="G71" i="5"/>
  <c r="K75" i="8" l="1"/>
  <c r="J74" i="8"/>
  <c r="L75" i="8" s="1"/>
  <c r="G76" i="7"/>
  <c r="J78" i="6"/>
  <c r="L79" i="6" s="1"/>
  <c r="K79" i="6"/>
  <c r="G79" i="6" s="1"/>
  <c r="J71" i="5"/>
  <c r="L72" i="5" s="1"/>
  <c r="K72" i="5"/>
  <c r="G75" i="8" l="1"/>
  <c r="H75" i="8"/>
  <c r="I76" i="8" s="1"/>
  <c r="K77" i="7"/>
  <c r="J76" i="7"/>
  <c r="L77" i="7" s="1"/>
  <c r="J79" i="6"/>
  <c r="L80" i="6" s="1"/>
  <c r="H79" i="6"/>
  <c r="I80" i="6" s="1"/>
  <c r="H72" i="5"/>
  <c r="I73" i="5" s="1"/>
  <c r="G72" i="5"/>
  <c r="J75" i="8" l="1"/>
  <c r="L76" i="8" s="1"/>
  <c r="K76" i="8"/>
  <c r="G76" i="8" s="1"/>
  <c r="H77" i="7"/>
  <c r="I78" i="7" s="1"/>
  <c r="G77" i="7"/>
  <c r="K80" i="6"/>
  <c r="G80" i="6"/>
  <c r="H80" i="6"/>
  <c r="I81" i="6" s="1"/>
  <c r="J72" i="5"/>
  <c r="L73" i="5" s="1"/>
  <c r="K73" i="5"/>
  <c r="G73" i="5" s="1"/>
  <c r="J76" i="8" l="1"/>
  <c r="L77" i="8" s="1"/>
  <c r="H76" i="8"/>
  <c r="I77" i="8" s="1"/>
  <c r="J77" i="7"/>
  <c r="L78" i="7" s="1"/>
  <c r="K78" i="7"/>
  <c r="H78" i="7"/>
  <c r="I79" i="7" s="1"/>
  <c r="G78" i="7"/>
  <c r="K81" i="6"/>
  <c r="J80" i="6"/>
  <c r="L81" i="6" s="1"/>
  <c r="G81" i="6"/>
  <c r="H81" i="6"/>
  <c r="I82" i="6" s="1"/>
  <c r="H73" i="5"/>
  <c r="J73" i="5"/>
  <c r="L74" i="5" s="1"/>
  <c r="I74" i="5"/>
  <c r="K77" i="8" l="1"/>
  <c r="H77" i="8" s="1"/>
  <c r="I78" i="8" s="1"/>
  <c r="K79" i="7"/>
  <c r="H79" i="7" s="1"/>
  <c r="I80" i="7" s="1"/>
  <c r="J78" i="7"/>
  <c r="L79" i="7" s="1"/>
  <c r="K82" i="6"/>
  <c r="G82" i="6" s="1"/>
  <c r="J81" i="6"/>
  <c r="L82" i="6" s="1"/>
  <c r="K74" i="5"/>
  <c r="G74" i="5" s="1"/>
  <c r="H78" i="8" l="1"/>
  <c r="I79" i="8" s="1"/>
  <c r="G78" i="8"/>
  <c r="G77" i="8"/>
  <c r="G79" i="7"/>
  <c r="J82" i="6"/>
  <c r="L83" i="6" s="1"/>
  <c r="H82" i="6"/>
  <c r="I83" i="6" s="1"/>
  <c r="H74" i="5"/>
  <c r="J74" i="5"/>
  <c r="L75" i="5" s="1"/>
  <c r="I75" i="5"/>
  <c r="K79" i="8" l="1"/>
  <c r="J78" i="8"/>
  <c r="L79" i="8" s="1"/>
  <c r="K78" i="8"/>
  <c r="J77" i="8"/>
  <c r="L78" i="8" s="1"/>
  <c r="G79" i="8"/>
  <c r="H79" i="8"/>
  <c r="I80" i="8" s="1"/>
  <c r="K80" i="7"/>
  <c r="J79" i="7"/>
  <c r="L80" i="7" s="1"/>
  <c r="K83" i="6"/>
  <c r="H83" i="6" s="1"/>
  <c r="I84" i="6" s="1"/>
  <c r="K75" i="5"/>
  <c r="K80" i="8" l="1"/>
  <c r="H80" i="8" s="1"/>
  <c r="I81" i="8" s="1"/>
  <c r="J79" i="8"/>
  <c r="L80" i="8" s="1"/>
  <c r="H80" i="7"/>
  <c r="I81" i="7" s="1"/>
  <c r="G80" i="7"/>
  <c r="G83" i="6"/>
  <c r="H75" i="5"/>
  <c r="I76" i="5" s="1"/>
  <c r="G75" i="5"/>
  <c r="G80" i="8" l="1"/>
  <c r="J80" i="7"/>
  <c r="L81" i="7" s="1"/>
  <c r="K81" i="7"/>
  <c r="G81" i="7"/>
  <c r="H81" i="7"/>
  <c r="I82" i="7" s="1"/>
  <c r="K84" i="6"/>
  <c r="J83" i="6"/>
  <c r="L84" i="6" s="1"/>
  <c r="J75" i="5"/>
  <c r="L76" i="5" s="1"/>
  <c r="K76" i="5"/>
  <c r="H76" i="5" s="1"/>
  <c r="J80" i="8" l="1"/>
  <c r="L81" i="8" s="1"/>
  <c r="K81" i="8"/>
  <c r="J81" i="7"/>
  <c r="L82" i="7" s="1"/>
  <c r="K82" i="7"/>
  <c r="H82" i="7" s="1"/>
  <c r="I83" i="7" s="1"/>
  <c r="H84" i="6"/>
  <c r="I85" i="6" s="1"/>
  <c r="G84" i="6"/>
  <c r="I77" i="5"/>
  <c r="G76" i="5"/>
  <c r="H81" i="8" l="1"/>
  <c r="I82" i="8" s="1"/>
  <c r="G81" i="8"/>
  <c r="G82" i="7"/>
  <c r="K85" i="6"/>
  <c r="J84" i="6"/>
  <c r="L85" i="6" s="1"/>
  <c r="G85" i="6"/>
  <c r="H85" i="6"/>
  <c r="I86" i="6" s="1"/>
  <c r="K77" i="5"/>
  <c r="G77" i="5" s="1"/>
  <c r="J76" i="5"/>
  <c r="L77" i="5" s="1"/>
  <c r="K82" i="8" l="1"/>
  <c r="J81" i="8"/>
  <c r="L82" i="8" s="1"/>
  <c r="H82" i="8"/>
  <c r="I83" i="8" s="1"/>
  <c r="G82" i="8"/>
  <c r="J82" i="7"/>
  <c r="L83" i="7" s="1"/>
  <c r="K83" i="7"/>
  <c r="J85" i="6"/>
  <c r="L86" i="6" s="1"/>
  <c r="K86" i="6"/>
  <c r="H86" i="6" s="1"/>
  <c r="I87" i="6" s="1"/>
  <c r="H77" i="5"/>
  <c r="I78" i="5" s="1"/>
  <c r="H78" i="5" s="1"/>
  <c r="I79" i="5" s="1"/>
  <c r="K78" i="5"/>
  <c r="G78" i="5" s="1"/>
  <c r="J77" i="5"/>
  <c r="L78" i="5" s="1"/>
  <c r="J82" i="8" l="1"/>
  <c r="L83" i="8" s="1"/>
  <c r="K83" i="8"/>
  <c r="H83" i="8"/>
  <c r="I84" i="8" s="1"/>
  <c r="G83" i="8"/>
  <c r="H83" i="7"/>
  <c r="I84" i="7" s="1"/>
  <c r="G83" i="7"/>
  <c r="G86" i="6"/>
  <c r="J78" i="5"/>
  <c r="L79" i="5" s="1"/>
  <c r="K79" i="5"/>
  <c r="G79" i="5" s="1"/>
  <c r="K84" i="8" l="1"/>
  <c r="H84" i="8" s="1"/>
  <c r="I85" i="8" s="1"/>
  <c r="J83" i="8"/>
  <c r="L84" i="8" s="1"/>
  <c r="K84" i="7"/>
  <c r="J83" i="7"/>
  <c r="L84" i="7" s="1"/>
  <c r="H84" i="7"/>
  <c r="I85" i="7" s="1"/>
  <c r="G84" i="7"/>
  <c r="K87" i="6"/>
  <c r="J86" i="6"/>
  <c r="L87" i="6" s="1"/>
  <c r="H79" i="5"/>
  <c r="J79" i="5"/>
  <c r="L80" i="5" s="1"/>
  <c r="I80" i="5"/>
  <c r="G84" i="8" l="1"/>
  <c r="J84" i="7"/>
  <c r="L85" i="7" s="1"/>
  <c r="K85" i="7"/>
  <c r="G85" i="7" s="1"/>
  <c r="H87" i="6"/>
  <c r="I88" i="6" s="1"/>
  <c r="G87" i="6"/>
  <c r="K80" i="5"/>
  <c r="G80" i="5" s="1"/>
  <c r="J84" i="8" l="1"/>
  <c r="L85" i="8" s="1"/>
  <c r="K85" i="8"/>
  <c r="J85" i="7"/>
  <c r="L86" i="7" s="1"/>
  <c r="H85" i="7"/>
  <c r="I86" i="7" s="1"/>
  <c r="J87" i="6"/>
  <c r="L88" i="6" s="1"/>
  <c r="K88" i="6"/>
  <c r="H88" i="6"/>
  <c r="I89" i="6" s="1"/>
  <c r="G88" i="6"/>
  <c r="H80" i="5"/>
  <c r="I81" i="5" s="1"/>
  <c r="J80" i="5"/>
  <c r="L81" i="5" s="1"/>
  <c r="H85" i="8" l="1"/>
  <c r="I86" i="8" s="1"/>
  <c r="G85" i="8"/>
  <c r="K86" i="7"/>
  <c r="H86" i="7" s="1"/>
  <c r="I87" i="7" s="1"/>
  <c r="J88" i="6"/>
  <c r="L89" i="6" s="1"/>
  <c r="K89" i="6"/>
  <c r="G89" i="6" s="1"/>
  <c r="K81" i="5"/>
  <c r="G81" i="5" s="1"/>
  <c r="J81" i="5" s="1"/>
  <c r="L82" i="5" s="1"/>
  <c r="K86" i="8" l="1"/>
  <c r="J85" i="8"/>
  <c r="L86" i="8" s="1"/>
  <c r="G86" i="8"/>
  <c r="H86" i="8"/>
  <c r="I87" i="8" s="1"/>
  <c r="G86" i="7"/>
  <c r="J89" i="6"/>
  <c r="L90" i="6" s="1"/>
  <c r="H89" i="6"/>
  <c r="I90" i="6" s="1"/>
  <c r="H81" i="5"/>
  <c r="I82" i="5" s="1"/>
  <c r="K82" i="5"/>
  <c r="G82" i="5" s="1"/>
  <c r="J86" i="8" l="1"/>
  <c r="L87" i="8" s="1"/>
  <c r="K87" i="8"/>
  <c r="H87" i="8" s="1"/>
  <c r="I88" i="8" s="1"/>
  <c r="J86" i="7"/>
  <c r="L87" i="7" s="1"/>
  <c r="K87" i="7"/>
  <c r="K90" i="6"/>
  <c r="H90" i="6"/>
  <c r="I91" i="6" s="1"/>
  <c r="G90" i="6"/>
  <c r="H82" i="5"/>
  <c r="J82" i="5"/>
  <c r="L83" i="5" s="1"/>
  <c r="I83" i="5"/>
  <c r="G87" i="8" l="1"/>
  <c r="G87" i="7"/>
  <c r="H87" i="7"/>
  <c r="I88" i="7" s="1"/>
  <c r="K91" i="6"/>
  <c r="J90" i="6"/>
  <c r="L91" i="6" s="1"/>
  <c r="G91" i="6"/>
  <c r="K83" i="5"/>
  <c r="H83" i="5" s="1"/>
  <c r="I84" i="5" s="1"/>
  <c r="G83" i="5"/>
  <c r="J87" i="8" l="1"/>
  <c r="L88" i="8" s="1"/>
  <c r="K88" i="8"/>
  <c r="K88" i="7"/>
  <c r="H88" i="7" s="1"/>
  <c r="I89" i="7" s="1"/>
  <c r="J87" i="7"/>
  <c r="L88" i="7" s="1"/>
  <c r="J91" i="6"/>
  <c r="L92" i="6" s="1"/>
  <c r="H91" i="6"/>
  <c r="I92" i="6" s="1"/>
  <c r="K84" i="5"/>
  <c r="J83" i="5"/>
  <c r="L84" i="5" s="1"/>
  <c r="H88" i="8" l="1"/>
  <c r="I89" i="8" s="1"/>
  <c r="G88" i="8"/>
  <c r="G88" i="7"/>
  <c r="K92" i="6"/>
  <c r="H92" i="6" s="1"/>
  <c r="I93" i="6" s="1"/>
  <c r="H84" i="5"/>
  <c r="I85" i="5" s="1"/>
  <c r="G84" i="5"/>
  <c r="K89" i="8" l="1"/>
  <c r="J88" i="8"/>
  <c r="L89" i="8" s="1"/>
  <c r="G89" i="8"/>
  <c r="H89" i="8"/>
  <c r="I90" i="8" s="1"/>
  <c r="K89" i="7"/>
  <c r="J88" i="7"/>
  <c r="L89" i="7" s="1"/>
  <c r="G93" i="6"/>
  <c r="H93" i="6"/>
  <c r="I94" i="6" s="1"/>
  <c r="G92" i="6"/>
  <c r="J84" i="5"/>
  <c r="L85" i="5" s="1"/>
  <c r="K85" i="5"/>
  <c r="H85" i="5" s="1"/>
  <c r="J89" i="8" l="1"/>
  <c r="L90" i="8" s="1"/>
  <c r="K90" i="8"/>
  <c r="H90" i="8" s="1"/>
  <c r="I91" i="8" s="1"/>
  <c r="H89" i="7"/>
  <c r="I90" i="7" s="1"/>
  <c r="G89" i="7"/>
  <c r="J92" i="6"/>
  <c r="L93" i="6" s="1"/>
  <c r="K93" i="6"/>
  <c r="K94" i="6"/>
  <c r="G94" i="6" s="1"/>
  <c r="J93" i="6"/>
  <c r="L94" i="6" s="1"/>
  <c r="G85" i="5"/>
  <c r="J85" i="5" s="1"/>
  <c r="L86" i="5" s="1"/>
  <c r="I86" i="5"/>
  <c r="G90" i="8" l="1"/>
  <c r="J89" i="7"/>
  <c r="L90" i="7" s="1"/>
  <c r="K90" i="7"/>
  <c r="G90" i="7" s="1"/>
  <c r="J94" i="6"/>
  <c r="L95" i="6" s="1"/>
  <c r="H94" i="6"/>
  <c r="I95" i="6" s="1"/>
  <c r="K86" i="5"/>
  <c r="K91" i="8" l="1"/>
  <c r="J90" i="8"/>
  <c r="L91" i="8" s="1"/>
  <c r="J90" i="7"/>
  <c r="L91" i="7" s="1"/>
  <c r="H90" i="7"/>
  <c r="I91" i="7" s="1"/>
  <c r="K95" i="6"/>
  <c r="G95" i="6" s="1"/>
  <c r="G86" i="5"/>
  <c r="H86" i="5"/>
  <c r="I87" i="5" s="1"/>
  <c r="J86" i="5"/>
  <c r="L87" i="5" s="1"/>
  <c r="G91" i="8" l="1"/>
  <c r="H91" i="8"/>
  <c r="I92" i="8" s="1"/>
  <c r="K91" i="7"/>
  <c r="G91" i="7" s="1"/>
  <c r="J95" i="6"/>
  <c r="L96" i="6" s="1"/>
  <c r="H95" i="6"/>
  <c r="I96" i="6" s="1"/>
  <c r="K87" i="5"/>
  <c r="J91" i="8" l="1"/>
  <c r="L92" i="8" s="1"/>
  <c r="K92" i="8"/>
  <c r="G92" i="8" s="1"/>
  <c r="J91" i="7"/>
  <c r="L92" i="7" s="1"/>
  <c r="H91" i="7"/>
  <c r="I92" i="7" s="1"/>
  <c r="K96" i="6"/>
  <c r="G96" i="6" s="1"/>
  <c r="G87" i="5"/>
  <c r="H87" i="5"/>
  <c r="I88" i="5" s="1"/>
  <c r="J87" i="5"/>
  <c r="L88" i="5" s="1"/>
  <c r="K88" i="5"/>
  <c r="J92" i="8" l="1"/>
  <c r="L93" i="8" s="1"/>
  <c r="H92" i="8"/>
  <c r="I93" i="8" s="1"/>
  <c r="K92" i="7"/>
  <c r="H92" i="7" s="1"/>
  <c r="I93" i="7" s="1"/>
  <c r="J96" i="6"/>
  <c r="L97" i="6" s="1"/>
  <c r="H96" i="6"/>
  <c r="I97" i="6" s="1"/>
  <c r="H88" i="5"/>
  <c r="I89" i="5" s="1"/>
  <c r="G88" i="5"/>
  <c r="J88" i="5" s="1"/>
  <c r="L89" i="5" s="1"/>
  <c r="H93" i="8" l="1"/>
  <c r="I94" i="8" s="1"/>
  <c r="G93" i="8"/>
  <c r="K93" i="8"/>
  <c r="G93" i="7"/>
  <c r="H93" i="7"/>
  <c r="I94" i="7" s="1"/>
  <c r="G92" i="7"/>
  <c r="K97" i="6"/>
  <c r="G97" i="6" s="1"/>
  <c r="K89" i="5"/>
  <c r="G89" i="5" s="1"/>
  <c r="H89" i="5"/>
  <c r="I90" i="5" s="1"/>
  <c r="J89" i="5"/>
  <c r="L90" i="5" s="1"/>
  <c r="J93" i="8" l="1"/>
  <c r="L94" i="8" s="1"/>
  <c r="K94" i="8"/>
  <c r="H94" i="8"/>
  <c r="I95" i="8" s="1"/>
  <c r="G94" i="8"/>
  <c r="K93" i="7"/>
  <c r="J92" i="7"/>
  <c r="L93" i="7" s="1"/>
  <c r="K94" i="7"/>
  <c r="G94" i="7" s="1"/>
  <c r="J93" i="7"/>
  <c r="L94" i="7" s="1"/>
  <c r="J97" i="6"/>
  <c r="L98" i="6" s="1"/>
  <c r="H97" i="6"/>
  <c r="I98" i="6" s="1"/>
  <c r="K90" i="5"/>
  <c r="G90" i="5" s="1"/>
  <c r="J90" i="5" s="1"/>
  <c r="L91" i="5" s="1"/>
  <c r="J94" i="8" l="1"/>
  <c r="L95" i="8" s="1"/>
  <c r="K95" i="8"/>
  <c r="G95" i="8" s="1"/>
  <c r="J94" i="7"/>
  <c r="L95" i="7" s="1"/>
  <c r="H94" i="7"/>
  <c r="I95" i="7" s="1"/>
  <c r="K98" i="6"/>
  <c r="H98" i="6" s="1"/>
  <c r="I99" i="6" s="1"/>
  <c r="H90" i="5"/>
  <c r="I91" i="5" s="1"/>
  <c r="J95" i="8" l="1"/>
  <c r="L96" i="8" s="1"/>
  <c r="H95" i="8"/>
  <c r="I96" i="8" s="1"/>
  <c r="K95" i="7"/>
  <c r="H95" i="7" s="1"/>
  <c r="I96" i="7" s="1"/>
  <c r="G98" i="6"/>
  <c r="K91" i="5"/>
  <c r="G91" i="5" s="1"/>
  <c r="H91" i="5"/>
  <c r="J91" i="5"/>
  <c r="L92" i="5" s="1"/>
  <c r="I92" i="5"/>
  <c r="K96" i="8" l="1"/>
  <c r="G96" i="8" s="1"/>
  <c r="G95" i="7"/>
  <c r="K99" i="6"/>
  <c r="J98" i="6"/>
  <c r="L99" i="6" s="1"/>
  <c r="K92" i="5"/>
  <c r="H92" i="5" s="1"/>
  <c r="J96" i="8" l="1"/>
  <c r="L97" i="8" s="1"/>
  <c r="H96" i="8"/>
  <c r="I97" i="8" s="1"/>
  <c r="K96" i="7"/>
  <c r="J95" i="7"/>
  <c r="L96" i="7" s="1"/>
  <c r="H99" i="6"/>
  <c r="I100" i="6" s="1"/>
  <c r="G99" i="6"/>
  <c r="G92" i="5"/>
  <c r="J92" i="5"/>
  <c r="L93" i="5" s="1"/>
  <c r="I93" i="5"/>
  <c r="H93" i="5" s="1"/>
  <c r="K97" i="8" l="1"/>
  <c r="H97" i="8" s="1"/>
  <c r="I98" i="8" s="1"/>
  <c r="H96" i="7"/>
  <c r="I97" i="7" s="1"/>
  <c r="G96" i="7"/>
  <c r="K100" i="6"/>
  <c r="J99" i="6"/>
  <c r="L100" i="6" s="1"/>
  <c r="G100" i="6"/>
  <c r="K93" i="5"/>
  <c r="I94" i="5" s="1"/>
  <c r="G93" i="5"/>
  <c r="G97" i="8" l="1"/>
  <c r="K97" i="7"/>
  <c r="J96" i="7"/>
  <c r="L97" i="7" s="1"/>
  <c r="G97" i="7"/>
  <c r="H97" i="7"/>
  <c r="I98" i="7" s="1"/>
  <c r="J100" i="6"/>
  <c r="L101" i="6" s="1"/>
  <c r="H100" i="6"/>
  <c r="I101" i="6" s="1"/>
  <c r="K94" i="5"/>
  <c r="H94" i="5" s="1"/>
  <c r="I95" i="5" s="1"/>
  <c r="J93" i="5"/>
  <c r="L94" i="5" s="1"/>
  <c r="K98" i="8" l="1"/>
  <c r="J97" i="8"/>
  <c r="L98" i="8" s="1"/>
  <c r="J97" i="7"/>
  <c r="L98" i="7" s="1"/>
  <c r="K98" i="7"/>
  <c r="H98" i="7" s="1"/>
  <c r="I99" i="7" s="1"/>
  <c r="K101" i="6"/>
  <c r="G101" i="6" s="1"/>
  <c r="G94" i="5"/>
  <c r="H98" i="8" l="1"/>
  <c r="I99" i="8" s="1"/>
  <c r="G98" i="8"/>
  <c r="G98" i="7"/>
  <c r="J101" i="6"/>
  <c r="L102" i="6" s="1"/>
  <c r="H101" i="6"/>
  <c r="I102" i="6" s="1"/>
  <c r="J94" i="5"/>
  <c r="L95" i="5" s="1"/>
  <c r="K95" i="5"/>
  <c r="J98" i="8" l="1"/>
  <c r="L99" i="8" s="1"/>
  <c r="K99" i="8"/>
  <c r="H99" i="8" s="1"/>
  <c r="I100" i="8" s="1"/>
  <c r="J98" i="7"/>
  <c r="L99" i="7" s="1"/>
  <c r="K99" i="7"/>
  <c r="K102" i="6"/>
  <c r="H102" i="6" s="1"/>
  <c r="I103" i="6" s="1"/>
  <c r="G95" i="5"/>
  <c r="J95" i="5" s="1"/>
  <c r="L96" i="5" s="1"/>
  <c r="H95" i="5"/>
  <c r="I96" i="5" s="1"/>
  <c r="G99" i="8" l="1"/>
  <c r="H99" i="7"/>
  <c r="I100" i="7" s="1"/>
  <c r="G99" i="7"/>
  <c r="G102" i="6"/>
  <c r="K96" i="5"/>
  <c r="H96" i="5" s="1"/>
  <c r="G96" i="5"/>
  <c r="K100" i="8" l="1"/>
  <c r="J99" i="8"/>
  <c r="L100" i="8" s="1"/>
  <c r="K100" i="7"/>
  <c r="J99" i="7"/>
  <c r="L100" i="7" s="1"/>
  <c r="G100" i="7"/>
  <c r="K103" i="6"/>
  <c r="J102" i="6"/>
  <c r="L103" i="6" s="1"/>
  <c r="J96" i="5"/>
  <c r="L97" i="5" s="1"/>
  <c r="I97" i="5"/>
  <c r="H100" i="8" l="1"/>
  <c r="I101" i="8" s="1"/>
  <c r="G100" i="8"/>
  <c r="J100" i="7"/>
  <c r="L101" i="7" s="1"/>
  <c r="H100" i="7"/>
  <c r="I101" i="7" s="1"/>
  <c r="H103" i="6"/>
  <c r="I104" i="6" s="1"/>
  <c r="G103" i="6"/>
  <c r="K97" i="5"/>
  <c r="G97" i="5" s="1"/>
  <c r="J100" i="8" l="1"/>
  <c r="L101" i="8" s="1"/>
  <c r="K101" i="8"/>
  <c r="G101" i="8"/>
  <c r="H101" i="8"/>
  <c r="I102" i="8" s="1"/>
  <c r="K101" i="7"/>
  <c r="H101" i="7" s="1"/>
  <c r="I102" i="7" s="1"/>
  <c r="K104" i="6"/>
  <c r="J103" i="6"/>
  <c r="L104" i="6" s="1"/>
  <c r="G104" i="6"/>
  <c r="H97" i="5"/>
  <c r="J97" i="5"/>
  <c r="L98" i="5" s="1"/>
  <c r="I98" i="5"/>
  <c r="K102" i="8" l="1"/>
  <c r="G102" i="8" s="1"/>
  <c r="J101" i="8"/>
  <c r="L102" i="8" s="1"/>
  <c r="G101" i="7"/>
  <c r="J104" i="6"/>
  <c r="L105" i="6" s="1"/>
  <c r="H104" i="6"/>
  <c r="I105" i="6" s="1"/>
  <c r="K98" i="5"/>
  <c r="H98" i="5" s="1"/>
  <c r="G98" i="5"/>
  <c r="J102" i="8" l="1"/>
  <c r="L103" i="8" s="1"/>
  <c r="H102" i="8"/>
  <c r="I103" i="8" s="1"/>
  <c r="J101" i="7"/>
  <c r="L102" i="7" s="1"/>
  <c r="K102" i="7"/>
  <c r="K105" i="6"/>
  <c r="G105" i="6" s="1"/>
  <c r="J98" i="5"/>
  <c r="L99" i="5" s="1"/>
  <c r="I99" i="5"/>
  <c r="K103" i="8" l="1"/>
  <c r="H103" i="8" s="1"/>
  <c r="I104" i="8" s="1"/>
  <c r="H102" i="7"/>
  <c r="I103" i="7" s="1"/>
  <c r="G102" i="7"/>
  <c r="J105" i="6"/>
  <c r="L106" i="6" s="1"/>
  <c r="H105" i="6"/>
  <c r="I106" i="6" s="1"/>
  <c r="K99" i="5"/>
  <c r="H99" i="5" s="1"/>
  <c r="G103" i="8" l="1"/>
  <c r="J102" i="7"/>
  <c r="L103" i="7" s="1"/>
  <c r="K103" i="7"/>
  <c r="G103" i="7"/>
  <c r="H103" i="7"/>
  <c r="I104" i="7" s="1"/>
  <c r="K106" i="6"/>
  <c r="H106" i="6" s="1"/>
  <c r="I107" i="6" s="1"/>
  <c r="G99" i="5"/>
  <c r="J99" i="5"/>
  <c r="L100" i="5" s="1"/>
  <c r="I100" i="5"/>
  <c r="J103" i="8" l="1"/>
  <c r="L104" i="8" s="1"/>
  <c r="K104" i="8"/>
  <c r="J103" i="7"/>
  <c r="L104" i="7" s="1"/>
  <c r="K104" i="7"/>
  <c r="G104" i="7" s="1"/>
  <c r="H107" i="6"/>
  <c r="I108" i="6" s="1"/>
  <c r="G107" i="6"/>
  <c r="G106" i="6"/>
  <c r="K100" i="5"/>
  <c r="G100" i="5" s="1"/>
  <c r="H104" i="8" l="1"/>
  <c r="I105" i="8" s="1"/>
  <c r="G104" i="8"/>
  <c r="J104" i="7"/>
  <c r="L105" i="7" s="1"/>
  <c r="H104" i="7"/>
  <c r="I105" i="7" s="1"/>
  <c r="J106" i="6"/>
  <c r="L107" i="6" s="1"/>
  <c r="K107" i="6"/>
  <c r="J107" i="6"/>
  <c r="L108" i="6" s="1"/>
  <c r="K108" i="6"/>
  <c r="G108" i="6"/>
  <c r="H108" i="6"/>
  <c r="I109" i="6" s="1"/>
  <c r="H100" i="5"/>
  <c r="I101" i="5" s="1"/>
  <c r="J100" i="5"/>
  <c r="L101" i="5" s="1"/>
  <c r="K101" i="5"/>
  <c r="J104" i="8" l="1"/>
  <c r="L105" i="8" s="1"/>
  <c r="K105" i="8"/>
  <c r="H105" i="8"/>
  <c r="I106" i="8" s="1"/>
  <c r="G105" i="8"/>
  <c r="K105" i="7"/>
  <c r="H105" i="7" s="1"/>
  <c r="I106" i="7" s="1"/>
  <c r="J108" i="6"/>
  <c r="L109" i="6" s="1"/>
  <c r="K109" i="6"/>
  <c r="H109" i="6" s="1"/>
  <c r="I110" i="6" s="1"/>
  <c r="H101" i="5"/>
  <c r="G101" i="5"/>
  <c r="J101" i="5" s="1"/>
  <c r="L102" i="5" s="1"/>
  <c r="I102" i="5"/>
  <c r="J105" i="8" l="1"/>
  <c r="L106" i="8" s="1"/>
  <c r="K106" i="8"/>
  <c r="H106" i="8"/>
  <c r="I107" i="8" s="1"/>
  <c r="G106" i="8"/>
  <c r="G105" i="7"/>
  <c r="G109" i="6"/>
  <c r="K102" i="5"/>
  <c r="G102" i="5" s="1"/>
  <c r="H107" i="8" l="1"/>
  <c r="I108" i="8" s="1"/>
  <c r="G107" i="8"/>
  <c r="K107" i="8"/>
  <c r="J106" i="8"/>
  <c r="L107" i="8" s="1"/>
  <c r="K106" i="7"/>
  <c r="J105" i="7"/>
  <c r="L106" i="7" s="1"/>
  <c r="K110" i="6"/>
  <c r="J109" i="6"/>
  <c r="L110" i="6" s="1"/>
  <c r="H102" i="5"/>
  <c r="I103" i="5" s="1"/>
  <c r="K103" i="5"/>
  <c r="J102" i="5"/>
  <c r="L103" i="5" s="1"/>
  <c r="J107" i="8" l="1"/>
  <c r="L108" i="8" s="1"/>
  <c r="K108" i="8"/>
  <c r="G108" i="8" s="1"/>
  <c r="H106" i="7"/>
  <c r="I107" i="7" s="1"/>
  <c r="G106" i="7"/>
  <c r="G110" i="6"/>
  <c r="H110" i="6"/>
  <c r="I111" i="6" s="1"/>
  <c r="H103" i="5"/>
  <c r="I104" i="5" s="1"/>
  <c r="G103" i="5"/>
  <c r="J108" i="8" l="1"/>
  <c r="L109" i="8" s="1"/>
  <c r="H108" i="8"/>
  <c r="I109" i="8" s="1"/>
  <c r="K107" i="7"/>
  <c r="J106" i="7"/>
  <c r="L107" i="7" s="1"/>
  <c r="G107" i="7"/>
  <c r="H107" i="7"/>
  <c r="I108" i="7" s="1"/>
  <c r="J110" i="6"/>
  <c r="L111" i="6" s="1"/>
  <c r="K111" i="6"/>
  <c r="H111" i="6" s="1"/>
  <c r="I112" i="6" s="1"/>
  <c r="J103" i="5"/>
  <c r="L104" i="5" s="1"/>
  <c r="K104" i="5"/>
  <c r="H104" i="5" s="1"/>
  <c r="G104" i="5"/>
  <c r="K109" i="8" l="1"/>
  <c r="H109" i="8" s="1"/>
  <c r="I110" i="8" s="1"/>
  <c r="J107" i="7"/>
  <c r="L108" i="7" s="1"/>
  <c r="K108" i="7"/>
  <c r="G108" i="7" s="1"/>
  <c r="H108" i="7"/>
  <c r="I109" i="7" s="1"/>
  <c r="G111" i="6"/>
  <c r="J104" i="5"/>
  <c r="L105" i="5" s="1"/>
  <c r="I105" i="5"/>
  <c r="G109" i="8" l="1"/>
  <c r="K109" i="7"/>
  <c r="J108" i="7"/>
  <c r="L109" i="7" s="1"/>
  <c r="G109" i="7"/>
  <c r="J111" i="6"/>
  <c r="L112" i="6" s="1"/>
  <c r="K112" i="6"/>
  <c r="K105" i="5"/>
  <c r="H105" i="5" s="1"/>
  <c r="I106" i="5" s="1"/>
  <c r="J109" i="8" l="1"/>
  <c r="L110" i="8" s="1"/>
  <c r="K110" i="8"/>
  <c r="J109" i="7"/>
  <c r="L110" i="7" s="1"/>
  <c r="H109" i="7"/>
  <c r="I110" i="7" s="1"/>
  <c r="G112" i="6"/>
  <c r="H112" i="6"/>
  <c r="I113" i="6" s="1"/>
  <c r="G105" i="5"/>
  <c r="H110" i="8" l="1"/>
  <c r="I111" i="8" s="1"/>
  <c r="G110" i="8"/>
  <c r="K110" i="7"/>
  <c r="H110" i="7"/>
  <c r="I111" i="7" s="1"/>
  <c r="G110" i="7"/>
  <c r="J112" i="6"/>
  <c r="L113" i="6" s="1"/>
  <c r="K113" i="6"/>
  <c r="G113" i="6" s="1"/>
  <c r="K106" i="5"/>
  <c r="J105" i="5"/>
  <c r="L106" i="5" s="1"/>
  <c r="G106" i="5"/>
  <c r="K111" i="8" l="1"/>
  <c r="J110" i="8"/>
  <c r="L111" i="8" s="1"/>
  <c r="H111" i="8"/>
  <c r="I112" i="8" s="1"/>
  <c r="G111" i="8"/>
  <c r="K111" i="7"/>
  <c r="H111" i="7" s="1"/>
  <c r="I112" i="7" s="1"/>
  <c r="J110" i="7"/>
  <c r="L111" i="7" s="1"/>
  <c r="J113" i="6"/>
  <c r="L114" i="6" s="1"/>
  <c r="H113" i="6"/>
  <c r="I114" i="6" s="1"/>
  <c r="H106" i="5"/>
  <c r="I107" i="5" s="1"/>
  <c r="H107" i="5" s="1"/>
  <c r="I108" i="5" s="1"/>
  <c r="J106" i="5"/>
  <c r="L107" i="5" s="1"/>
  <c r="K112" i="8" l="1"/>
  <c r="J111" i="8"/>
  <c r="L112" i="8" s="1"/>
  <c r="H112" i="8"/>
  <c r="I113" i="8" s="1"/>
  <c r="G112" i="8"/>
  <c r="G111" i="7"/>
  <c r="K114" i="6"/>
  <c r="G114" i="6" s="1"/>
  <c r="K107" i="5"/>
  <c r="G107" i="5"/>
  <c r="J112" i="8" l="1"/>
  <c r="L113" i="8" s="1"/>
  <c r="K113" i="8"/>
  <c r="H113" i="8" s="1"/>
  <c r="I114" i="8" s="1"/>
  <c r="K112" i="7"/>
  <c r="J111" i="7"/>
  <c r="L112" i="7" s="1"/>
  <c r="J114" i="6"/>
  <c r="L115" i="6" s="1"/>
  <c r="H114" i="6"/>
  <c r="I115" i="6" s="1"/>
  <c r="J107" i="5"/>
  <c r="L108" i="5" s="1"/>
  <c r="K108" i="5"/>
  <c r="H108" i="5" s="1"/>
  <c r="I109" i="5" s="1"/>
  <c r="G108" i="5"/>
  <c r="G113" i="8" l="1"/>
  <c r="H112" i="7"/>
  <c r="I113" i="7" s="1"/>
  <c r="G112" i="7"/>
  <c r="K115" i="6"/>
  <c r="H115" i="6"/>
  <c r="I116" i="6" s="1"/>
  <c r="G115" i="6"/>
  <c r="J108" i="5"/>
  <c r="L109" i="5" s="1"/>
  <c r="K109" i="5"/>
  <c r="H109" i="5" s="1"/>
  <c r="I110" i="5" s="1"/>
  <c r="K114" i="8" l="1"/>
  <c r="J113" i="8"/>
  <c r="L114" i="8" s="1"/>
  <c r="J112" i="7"/>
  <c r="L113" i="7" s="1"/>
  <c r="K113" i="7"/>
  <c r="G113" i="7"/>
  <c r="H113" i="7"/>
  <c r="I114" i="7" s="1"/>
  <c r="K116" i="6"/>
  <c r="J115" i="6"/>
  <c r="L116" i="6" s="1"/>
  <c r="H116" i="6"/>
  <c r="I117" i="6" s="1"/>
  <c r="G116" i="6"/>
  <c r="G109" i="5"/>
  <c r="H114" i="8" l="1"/>
  <c r="I115" i="8" s="1"/>
  <c r="G114" i="8"/>
  <c r="K114" i="7"/>
  <c r="H114" i="7" s="1"/>
  <c r="I115" i="7" s="1"/>
  <c r="J113" i="7"/>
  <c r="L114" i="7" s="1"/>
  <c r="K117" i="6"/>
  <c r="J116" i="6"/>
  <c r="L117" i="6" s="1"/>
  <c r="H117" i="6"/>
  <c r="I118" i="6" s="1"/>
  <c r="G117" i="6"/>
  <c r="K110" i="5"/>
  <c r="G110" i="5" s="1"/>
  <c r="J109" i="5"/>
  <c r="L110" i="5" s="1"/>
  <c r="J114" i="8" l="1"/>
  <c r="L115" i="8" s="1"/>
  <c r="K115" i="8"/>
  <c r="H115" i="8" s="1"/>
  <c r="I116" i="8" s="1"/>
  <c r="G114" i="7"/>
  <c r="J117" i="6"/>
  <c r="L118" i="6" s="1"/>
  <c r="K118" i="6"/>
  <c r="G118" i="6"/>
  <c r="H118" i="6"/>
  <c r="I119" i="6" s="1"/>
  <c r="H110" i="5"/>
  <c r="J110" i="5"/>
  <c r="L111" i="5" s="1"/>
  <c r="I111" i="5"/>
  <c r="G115" i="8" l="1"/>
  <c r="J114" i="7"/>
  <c r="L115" i="7" s="1"/>
  <c r="K115" i="7"/>
  <c r="K119" i="6"/>
  <c r="H119" i="6" s="1"/>
  <c r="I120" i="6" s="1"/>
  <c r="J118" i="6"/>
  <c r="L119" i="6" s="1"/>
  <c r="K111" i="5"/>
  <c r="G111" i="5" s="1"/>
  <c r="K116" i="8" l="1"/>
  <c r="J115" i="8"/>
  <c r="L116" i="8" s="1"/>
  <c r="H115" i="7"/>
  <c r="I116" i="7" s="1"/>
  <c r="G115" i="7"/>
  <c r="G119" i="6"/>
  <c r="H111" i="5"/>
  <c r="I112" i="5" s="1"/>
  <c r="J111" i="5"/>
  <c r="L112" i="5" s="1"/>
  <c r="G116" i="8" l="1"/>
  <c r="H116" i="8"/>
  <c r="I117" i="8" s="1"/>
  <c r="K116" i="7"/>
  <c r="J115" i="7"/>
  <c r="L116" i="7" s="1"/>
  <c r="H116" i="7"/>
  <c r="I117" i="7" s="1"/>
  <c r="G116" i="7"/>
  <c r="K120" i="6"/>
  <c r="J119" i="6"/>
  <c r="L120" i="6" s="1"/>
  <c r="K112" i="5"/>
  <c r="H112" i="5" s="1"/>
  <c r="I113" i="5" s="1"/>
  <c r="J116" i="8" l="1"/>
  <c r="L117" i="8" s="1"/>
  <c r="K117" i="8"/>
  <c r="H117" i="8" s="1"/>
  <c r="I118" i="8" s="1"/>
  <c r="J116" i="7"/>
  <c r="L117" i="7" s="1"/>
  <c r="K117" i="7"/>
  <c r="G117" i="7"/>
  <c r="H117" i="7"/>
  <c r="I118" i="7" s="1"/>
  <c r="H120" i="6"/>
  <c r="I121" i="6" s="1"/>
  <c r="G120" i="6"/>
  <c r="G112" i="5"/>
  <c r="J112" i="5" s="1"/>
  <c r="L113" i="5" s="1"/>
  <c r="G117" i="8" l="1"/>
  <c r="K118" i="7"/>
  <c r="J117" i="7"/>
  <c r="L118" i="7" s="1"/>
  <c r="G118" i="7"/>
  <c r="H118" i="7"/>
  <c r="I119" i="7" s="1"/>
  <c r="J120" i="6"/>
  <c r="L121" i="6" s="1"/>
  <c r="K121" i="6"/>
  <c r="G121" i="6"/>
  <c r="H121" i="6"/>
  <c r="I122" i="6" s="1"/>
  <c r="K113" i="5"/>
  <c r="K118" i="8" l="1"/>
  <c r="J117" i="8"/>
  <c r="L118" i="8" s="1"/>
  <c r="J118" i="7"/>
  <c r="L119" i="7" s="1"/>
  <c r="K119" i="7"/>
  <c r="G119" i="7" s="1"/>
  <c r="J121" i="6"/>
  <c r="L122" i="6" s="1"/>
  <c r="K122" i="6"/>
  <c r="H122" i="6" s="1"/>
  <c r="I123" i="6" s="1"/>
  <c r="H113" i="5"/>
  <c r="I114" i="5" s="1"/>
  <c r="G113" i="5"/>
  <c r="G118" i="8" l="1"/>
  <c r="H118" i="8"/>
  <c r="I119" i="8" s="1"/>
  <c r="J119" i="7"/>
  <c r="L120" i="7" s="1"/>
  <c r="H119" i="7"/>
  <c r="I120" i="7" s="1"/>
  <c r="G122" i="6"/>
  <c r="J113" i="5"/>
  <c r="L114" i="5" s="1"/>
  <c r="K114" i="5"/>
  <c r="H114" i="5"/>
  <c r="J118" i="8" l="1"/>
  <c r="L119" i="8" s="1"/>
  <c r="K119" i="8"/>
  <c r="H119" i="8" s="1"/>
  <c r="I120" i="8" s="1"/>
  <c r="K120" i="7"/>
  <c r="G120" i="7" s="1"/>
  <c r="K123" i="6"/>
  <c r="J122" i="6"/>
  <c r="L123" i="6" s="1"/>
  <c r="I115" i="5"/>
  <c r="G114" i="5"/>
  <c r="G119" i="8" l="1"/>
  <c r="J120" i="7"/>
  <c r="L121" i="7" s="1"/>
  <c r="H120" i="7"/>
  <c r="I121" i="7" s="1"/>
  <c r="H123" i="6"/>
  <c r="I124" i="6" s="1"/>
  <c r="G123" i="6"/>
  <c r="J114" i="5"/>
  <c r="L115" i="5" s="1"/>
  <c r="K115" i="5"/>
  <c r="G115" i="5" s="1"/>
  <c r="J115" i="5" s="1"/>
  <c r="L116" i="5" s="1"/>
  <c r="H115" i="5"/>
  <c r="I116" i="5" s="1"/>
  <c r="K120" i="8" l="1"/>
  <c r="J119" i="8"/>
  <c r="L120" i="8" s="1"/>
  <c r="H121" i="7"/>
  <c r="I122" i="7" s="1"/>
  <c r="G121" i="7"/>
  <c r="K121" i="7"/>
  <c r="J123" i="6"/>
  <c r="L124" i="6" s="1"/>
  <c r="K124" i="6"/>
  <c r="G124" i="6"/>
  <c r="H124" i="6"/>
  <c r="I125" i="6" s="1"/>
  <c r="K116" i="5"/>
  <c r="H116" i="5" s="1"/>
  <c r="I117" i="5" s="1"/>
  <c r="G116" i="5"/>
  <c r="J116" i="5" s="1"/>
  <c r="L117" i="5" s="1"/>
  <c r="G120" i="8" l="1"/>
  <c r="H120" i="8"/>
  <c r="I121" i="8" s="1"/>
  <c r="J121" i="7"/>
  <c r="L122" i="7" s="1"/>
  <c r="K122" i="7"/>
  <c r="H122" i="7"/>
  <c r="I123" i="7" s="1"/>
  <c r="G122" i="7"/>
  <c r="J124" i="6"/>
  <c r="L125" i="6" s="1"/>
  <c r="K125" i="6"/>
  <c r="G125" i="6" s="1"/>
  <c r="K117" i="5"/>
  <c r="H117" i="5" s="1"/>
  <c r="I118" i="5" s="1"/>
  <c r="G117" i="5"/>
  <c r="H121" i="8" l="1"/>
  <c r="I122" i="8" s="1"/>
  <c r="G121" i="8"/>
  <c r="K121" i="8"/>
  <c r="J120" i="8"/>
  <c r="L121" i="8" s="1"/>
  <c r="K123" i="7"/>
  <c r="G123" i="7" s="1"/>
  <c r="J122" i="7"/>
  <c r="L123" i="7" s="1"/>
  <c r="J125" i="6"/>
  <c r="L126" i="6" s="1"/>
  <c r="H125" i="6"/>
  <c r="I126" i="6" s="1"/>
  <c r="J117" i="5"/>
  <c r="L118" i="5" s="1"/>
  <c r="K118" i="5"/>
  <c r="H118" i="5" s="1"/>
  <c r="I119" i="5" s="1"/>
  <c r="J121" i="8" l="1"/>
  <c r="L122" i="8" s="1"/>
  <c r="K122" i="8"/>
  <c r="H122" i="8"/>
  <c r="I123" i="8" s="1"/>
  <c r="G122" i="8"/>
  <c r="J123" i="7"/>
  <c r="L124" i="7" s="1"/>
  <c r="H123" i="7"/>
  <c r="I124" i="7" s="1"/>
  <c r="K126" i="6"/>
  <c r="G126" i="6" s="1"/>
  <c r="G118" i="5"/>
  <c r="K123" i="8" l="1"/>
  <c r="J122" i="8"/>
  <c r="L123" i="8" s="1"/>
  <c r="H123" i="8"/>
  <c r="I124" i="8" s="1"/>
  <c r="G123" i="8"/>
  <c r="K124" i="7"/>
  <c r="H124" i="7"/>
  <c r="I125" i="7" s="1"/>
  <c r="G124" i="7"/>
  <c r="J126" i="6"/>
  <c r="L127" i="6" s="1"/>
  <c r="H126" i="6"/>
  <c r="I127" i="6" s="1"/>
  <c r="K119" i="5"/>
  <c r="J118" i="5"/>
  <c r="L119" i="5" s="1"/>
  <c r="G119" i="5"/>
  <c r="J123" i="8" l="1"/>
  <c r="L124" i="8" s="1"/>
  <c r="K124" i="8"/>
  <c r="H124" i="8" s="1"/>
  <c r="I125" i="8" s="1"/>
  <c r="K125" i="7"/>
  <c r="G125" i="7" s="1"/>
  <c r="J124" i="7"/>
  <c r="L125" i="7" s="1"/>
  <c r="K127" i="6"/>
  <c r="H127" i="6"/>
  <c r="I128" i="6" s="1"/>
  <c r="G127" i="6"/>
  <c r="H119" i="5"/>
  <c r="I120" i="5" s="1"/>
  <c r="J119" i="5"/>
  <c r="L120" i="5" s="1"/>
  <c r="G124" i="8" l="1"/>
  <c r="J125" i="7"/>
  <c r="L126" i="7" s="1"/>
  <c r="H125" i="7"/>
  <c r="I126" i="7" s="1"/>
  <c r="K128" i="6"/>
  <c r="H128" i="6" s="1"/>
  <c r="I129" i="6" s="1"/>
  <c r="J127" i="6"/>
  <c r="L128" i="6" s="1"/>
  <c r="K120" i="5"/>
  <c r="G120" i="5" s="1"/>
  <c r="K125" i="8" l="1"/>
  <c r="J124" i="8"/>
  <c r="L125" i="8" s="1"/>
  <c r="K126" i="7"/>
  <c r="H126" i="7" s="1"/>
  <c r="I127" i="7" s="1"/>
  <c r="G128" i="6"/>
  <c r="H120" i="5"/>
  <c r="J120" i="5"/>
  <c r="L121" i="5" s="1"/>
  <c r="I121" i="5"/>
  <c r="H121" i="5" s="1"/>
  <c r="H125" i="8" l="1"/>
  <c r="I126" i="8" s="1"/>
  <c r="G125" i="8"/>
  <c r="G126" i="7"/>
  <c r="J128" i="6"/>
  <c r="L129" i="6" s="1"/>
  <c r="K129" i="6"/>
  <c r="K121" i="5"/>
  <c r="G121" i="5" s="1"/>
  <c r="J125" i="8" l="1"/>
  <c r="L126" i="8" s="1"/>
  <c r="K126" i="8"/>
  <c r="G126" i="8" s="1"/>
  <c r="H126" i="8"/>
  <c r="I127" i="8" s="1"/>
  <c r="K127" i="7"/>
  <c r="J126" i="7"/>
  <c r="L127" i="7" s="1"/>
  <c r="G129" i="6"/>
  <c r="H129" i="6"/>
  <c r="I130" i="6" s="1"/>
  <c r="J121" i="5"/>
  <c r="L122" i="5" s="1"/>
  <c r="I122" i="5"/>
  <c r="K127" i="8" l="1"/>
  <c r="J126" i="8"/>
  <c r="L127" i="8" s="1"/>
  <c r="G127" i="8"/>
  <c r="H127" i="8"/>
  <c r="I128" i="8" s="1"/>
  <c r="H127" i="7"/>
  <c r="I128" i="7" s="1"/>
  <c r="G127" i="7"/>
  <c r="K130" i="6"/>
  <c r="H130" i="6" s="1"/>
  <c r="I131" i="6" s="1"/>
  <c r="J129" i="6"/>
  <c r="L130" i="6" s="1"/>
  <c r="K122" i="5"/>
  <c r="G122" i="5" s="1"/>
  <c r="K128" i="8" l="1"/>
  <c r="H128" i="8" s="1"/>
  <c r="I129" i="8" s="1"/>
  <c r="J127" i="8"/>
  <c r="L128" i="8" s="1"/>
  <c r="J127" i="7"/>
  <c r="L128" i="7" s="1"/>
  <c r="K128" i="7"/>
  <c r="H128" i="7" s="1"/>
  <c r="I129" i="7" s="1"/>
  <c r="G128" i="7"/>
  <c r="G130" i="6"/>
  <c r="H122" i="5"/>
  <c r="J122" i="5"/>
  <c r="L123" i="5" s="1"/>
  <c r="I123" i="5"/>
  <c r="G128" i="8" l="1"/>
  <c r="K129" i="7"/>
  <c r="H129" i="7" s="1"/>
  <c r="I130" i="7" s="1"/>
  <c r="J128" i="7"/>
  <c r="L129" i="7" s="1"/>
  <c r="K131" i="6"/>
  <c r="J130" i="6"/>
  <c r="L131" i="6" s="1"/>
  <c r="K123" i="5"/>
  <c r="G123" i="5" s="1"/>
  <c r="J128" i="8" l="1"/>
  <c r="L129" i="8" s="1"/>
  <c r="K129" i="8"/>
  <c r="G129" i="7"/>
  <c r="H131" i="6"/>
  <c r="I132" i="6" s="1"/>
  <c r="G131" i="6"/>
  <c r="H123" i="5"/>
  <c r="I124" i="5" s="1"/>
  <c r="J123" i="5"/>
  <c r="L124" i="5" s="1"/>
  <c r="H129" i="8" l="1"/>
  <c r="I130" i="8" s="1"/>
  <c r="G129" i="8"/>
  <c r="J129" i="7"/>
  <c r="L130" i="7" s="1"/>
  <c r="K130" i="7"/>
  <c r="K132" i="6"/>
  <c r="J131" i="6"/>
  <c r="L132" i="6" s="1"/>
  <c r="H132" i="6"/>
  <c r="I133" i="6" s="1"/>
  <c r="G132" i="6"/>
  <c r="K124" i="5"/>
  <c r="G124" i="5"/>
  <c r="K130" i="8" l="1"/>
  <c r="J129" i="8"/>
  <c r="L130" i="8" s="1"/>
  <c r="H130" i="8"/>
  <c r="I131" i="8" s="1"/>
  <c r="G130" i="8"/>
  <c r="H130" i="7"/>
  <c r="I131" i="7" s="1"/>
  <c r="G130" i="7"/>
  <c r="K133" i="6"/>
  <c r="H133" i="6" s="1"/>
  <c r="I134" i="6" s="1"/>
  <c r="J132" i="6"/>
  <c r="L133" i="6" s="1"/>
  <c r="H124" i="5"/>
  <c r="I125" i="5" s="1"/>
  <c r="J124" i="5"/>
  <c r="L125" i="5" s="1"/>
  <c r="K125" i="5"/>
  <c r="J130" i="8" l="1"/>
  <c r="L131" i="8" s="1"/>
  <c r="K131" i="8"/>
  <c r="H131" i="8" s="1"/>
  <c r="I132" i="8" s="1"/>
  <c r="G131" i="8"/>
  <c r="J130" i="7"/>
  <c r="L131" i="7" s="1"/>
  <c r="K131" i="7"/>
  <c r="H131" i="7" s="1"/>
  <c r="I132" i="7" s="1"/>
  <c r="G131" i="7"/>
  <c r="G133" i="6"/>
  <c r="H125" i="5"/>
  <c r="I126" i="5"/>
  <c r="G125" i="5"/>
  <c r="K132" i="8" l="1"/>
  <c r="G132" i="8" s="1"/>
  <c r="J131" i="8"/>
  <c r="L132" i="8" s="1"/>
  <c r="K132" i="7"/>
  <c r="H132" i="7" s="1"/>
  <c r="I133" i="7" s="1"/>
  <c r="J131" i="7"/>
  <c r="L132" i="7" s="1"/>
  <c r="J133" i="6"/>
  <c r="L134" i="6" s="1"/>
  <c r="K134" i="6"/>
  <c r="K126" i="5"/>
  <c r="J125" i="5"/>
  <c r="L126" i="5" s="1"/>
  <c r="J132" i="8" l="1"/>
  <c r="L133" i="8" s="1"/>
  <c r="H132" i="8"/>
  <c r="I133" i="8" s="1"/>
  <c r="G132" i="7"/>
  <c r="H134" i="6"/>
  <c r="I135" i="6" s="1"/>
  <c r="G134" i="6"/>
  <c r="H126" i="5"/>
  <c r="G126" i="5"/>
  <c r="I127" i="5"/>
  <c r="K133" i="8" l="1"/>
  <c r="H133" i="8"/>
  <c r="I134" i="8" s="1"/>
  <c r="G133" i="8"/>
  <c r="J132" i="7"/>
  <c r="L133" i="7" s="1"/>
  <c r="K133" i="7"/>
  <c r="K135" i="6"/>
  <c r="J134" i="6"/>
  <c r="L135" i="6" s="1"/>
  <c r="H135" i="6"/>
  <c r="I136" i="6" s="1"/>
  <c r="G135" i="6"/>
  <c r="J126" i="5"/>
  <c r="L127" i="5" s="1"/>
  <c r="K127" i="5"/>
  <c r="G127" i="5" s="1"/>
  <c r="K134" i="8" l="1"/>
  <c r="H134" i="8" s="1"/>
  <c r="I135" i="8" s="1"/>
  <c r="J133" i="8"/>
  <c r="L134" i="8" s="1"/>
  <c r="H133" i="7"/>
  <c r="I134" i="7" s="1"/>
  <c r="G133" i="7"/>
  <c r="K136" i="6"/>
  <c r="J135" i="6"/>
  <c r="L136" i="6" s="1"/>
  <c r="H136" i="6"/>
  <c r="I137" i="6" s="1"/>
  <c r="G136" i="6"/>
  <c r="H127" i="5"/>
  <c r="J127" i="5"/>
  <c r="L128" i="5" s="1"/>
  <c r="I128" i="5"/>
  <c r="G134" i="8" l="1"/>
  <c r="J133" i="7"/>
  <c r="L134" i="7" s="1"/>
  <c r="K134" i="7"/>
  <c r="H134" i="7"/>
  <c r="I135" i="7" s="1"/>
  <c r="G134" i="7"/>
  <c r="J136" i="6"/>
  <c r="L137" i="6" s="1"/>
  <c r="K137" i="6"/>
  <c r="H137" i="6"/>
  <c r="I138" i="6" s="1"/>
  <c r="G137" i="6"/>
  <c r="K128" i="5"/>
  <c r="H128" i="5" s="1"/>
  <c r="J134" i="8" l="1"/>
  <c r="L135" i="8" s="1"/>
  <c r="K135" i="8"/>
  <c r="J134" i="7"/>
  <c r="L135" i="7" s="1"/>
  <c r="K135" i="7"/>
  <c r="G135" i="7" s="1"/>
  <c r="J137" i="6"/>
  <c r="L138" i="6" s="1"/>
  <c r="K138" i="6"/>
  <c r="H138" i="6"/>
  <c r="I139" i="6" s="1"/>
  <c r="G138" i="6"/>
  <c r="I129" i="5"/>
  <c r="G128" i="5"/>
  <c r="H135" i="8" l="1"/>
  <c r="I136" i="8" s="1"/>
  <c r="G135" i="8"/>
  <c r="J135" i="7"/>
  <c r="L136" i="7" s="1"/>
  <c r="H135" i="7"/>
  <c r="I136" i="7" s="1"/>
  <c r="K139" i="6"/>
  <c r="H139" i="6" s="1"/>
  <c r="I140" i="6" s="1"/>
  <c r="J138" i="6"/>
  <c r="L139" i="6" s="1"/>
  <c r="K129" i="5"/>
  <c r="J128" i="5"/>
  <c r="L129" i="5" s="1"/>
  <c r="K136" i="8" l="1"/>
  <c r="J135" i="8"/>
  <c r="L136" i="8" s="1"/>
  <c r="H136" i="8"/>
  <c r="I137" i="8" s="1"/>
  <c r="G136" i="8"/>
  <c r="G136" i="7"/>
  <c r="H136" i="7"/>
  <c r="I137" i="7" s="1"/>
  <c r="K136" i="7"/>
  <c r="G139" i="6"/>
  <c r="H129" i="5"/>
  <c r="G129" i="5"/>
  <c r="I130" i="5"/>
  <c r="K137" i="8" l="1"/>
  <c r="H137" i="8" s="1"/>
  <c r="I138" i="8" s="1"/>
  <c r="J136" i="8"/>
  <c r="L137" i="8" s="1"/>
  <c r="J136" i="7"/>
  <c r="L137" i="7" s="1"/>
  <c r="K137" i="7"/>
  <c r="H137" i="7" s="1"/>
  <c r="I138" i="7" s="1"/>
  <c r="J139" i="6"/>
  <c r="L140" i="6" s="1"/>
  <c r="K140" i="6"/>
  <c r="J129" i="5"/>
  <c r="L130" i="5" s="1"/>
  <c r="K130" i="5"/>
  <c r="G137" i="8" l="1"/>
  <c r="G137" i="7"/>
  <c r="G140" i="6"/>
  <c r="H140" i="6"/>
  <c r="I141" i="6" s="1"/>
  <c r="H130" i="5"/>
  <c r="I131" i="5" s="1"/>
  <c r="G130" i="5"/>
  <c r="J137" i="8" l="1"/>
  <c r="L138" i="8" s="1"/>
  <c r="K138" i="8"/>
  <c r="K138" i="7"/>
  <c r="J137" i="7"/>
  <c r="L138" i="7" s="1"/>
  <c r="J140" i="6"/>
  <c r="L141" i="6" s="1"/>
  <c r="K141" i="6"/>
  <c r="H141" i="6" s="1"/>
  <c r="I142" i="6" s="1"/>
  <c r="K131" i="5"/>
  <c r="J130" i="5"/>
  <c r="L131" i="5" s="1"/>
  <c r="H138" i="8" l="1"/>
  <c r="I139" i="8" s="1"/>
  <c r="G138" i="8"/>
  <c r="H138" i="7"/>
  <c r="I139" i="7" s="1"/>
  <c r="G138" i="7"/>
  <c r="G141" i="6"/>
  <c r="H131" i="5"/>
  <c r="G131" i="5"/>
  <c r="I132" i="5"/>
  <c r="K139" i="8" l="1"/>
  <c r="J138" i="8"/>
  <c r="L139" i="8" s="1"/>
  <c r="H139" i="8"/>
  <c r="I140" i="8" s="1"/>
  <c r="G139" i="8"/>
  <c r="K139" i="7"/>
  <c r="J138" i="7"/>
  <c r="L139" i="7" s="1"/>
  <c r="G139" i="7"/>
  <c r="H139" i="7"/>
  <c r="I140" i="7" s="1"/>
  <c r="K142" i="6"/>
  <c r="J141" i="6"/>
  <c r="L142" i="6" s="1"/>
  <c r="K132" i="5"/>
  <c r="J131" i="5"/>
  <c r="L132" i="5" s="1"/>
  <c r="J139" i="8" l="1"/>
  <c r="L140" i="8" s="1"/>
  <c r="K140" i="8"/>
  <c r="H140" i="8" s="1"/>
  <c r="I141" i="8" s="1"/>
  <c r="J139" i="7"/>
  <c r="L140" i="7" s="1"/>
  <c r="K140" i="7"/>
  <c r="G140" i="7" s="1"/>
  <c r="G142" i="6"/>
  <c r="H142" i="6"/>
  <c r="I143" i="6" s="1"/>
  <c r="H132" i="5"/>
  <c r="I133" i="5" s="1"/>
  <c r="G132" i="5"/>
  <c r="G140" i="8" l="1"/>
  <c r="J140" i="7"/>
  <c r="L141" i="7" s="1"/>
  <c r="H140" i="7"/>
  <c r="I141" i="7" s="1"/>
  <c r="J142" i="6"/>
  <c r="L143" i="6" s="1"/>
  <c r="K143" i="6"/>
  <c r="H143" i="6" s="1"/>
  <c r="I144" i="6" s="1"/>
  <c r="J132" i="5"/>
  <c r="L133" i="5" s="1"/>
  <c r="K133" i="5"/>
  <c r="H133" i="5" s="1"/>
  <c r="K141" i="8" l="1"/>
  <c r="J140" i="8"/>
  <c r="L141" i="8" s="1"/>
  <c r="K141" i="7"/>
  <c r="H141" i="7" s="1"/>
  <c r="I142" i="7" s="1"/>
  <c r="G143" i="6"/>
  <c r="G133" i="5"/>
  <c r="I134" i="5"/>
  <c r="H141" i="8" l="1"/>
  <c r="I142" i="8" s="1"/>
  <c r="G141" i="8"/>
  <c r="G141" i="7"/>
  <c r="K144" i="6"/>
  <c r="J143" i="6"/>
  <c r="L144" i="6" s="1"/>
  <c r="J133" i="5"/>
  <c r="L134" i="5" s="1"/>
  <c r="K134" i="5"/>
  <c r="G134" i="5" s="1"/>
  <c r="J141" i="8" l="1"/>
  <c r="L142" i="8" s="1"/>
  <c r="K142" i="8"/>
  <c r="G142" i="8" s="1"/>
  <c r="J141" i="7"/>
  <c r="L142" i="7" s="1"/>
  <c r="K142" i="7"/>
  <c r="H144" i="6"/>
  <c r="I145" i="6" s="1"/>
  <c r="G144" i="6"/>
  <c r="H134" i="5"/>
  <c r="J134" i="5"/>
  <c r="L135" i="5" s="1"/>
  <c r="I135" i="5"/>
  <c r="J142" i="8" l="1"/>
  <c r="L143" i="8" s="1"/>
  <c r="H142" i="8"/>
  <c r="I143" i="8" s="1"/>
  <c r="H142" i="7"/>
  <c r="I143" i="7" s="1"/>
  <c r="G142" i="7"/>
  <c r="K145" i="6"/>
  <c r="J144" i="6"/>
  <c r="L145" i="6" s="1"/>
  <c r="H145" i="6"/>
  <c r="I146" i="6" s="1"/>
  <c r="G145" i="6"/>
  <c r="K135" i="5"/>
  <c r="G135" i="5" s="1"/>
  <c r="K143" i="8" l="1"/>
  <c r="H143" i="8" s="1"/>
  <c r="I144" i="8" s="1"/>
  <c r="K143" i="7"/>
  <c r="J142" i="7"/>
  <c r="L143" i="7" s="1"/>
  <c r="H143" i="7"/>
  <c r="I144" i="7" s="1"/>
  <c r="G143" i="7"/>
  <c r="K146" i="6"/>
  <c r="J145" i="6"/>
  <c r="L146" i="6" s="1"/>
  <c r="H146" i="6"/>
  <c r="I147" i="6" s="1"/>
  <c r="G146" i="6"/>
  <c r="H135" i="5"/>
  <c r="J135" i="5"/>
  <c r="L136" i="5" s="1"/>
  <c r="I136" i="5"/>
  <c r="H136" i="5" s="1"/>
  <c r="G143" i="8" l="1"/>
  <c r="K144" i="7"/>
  <c r="J143" i="7"/>
  <c r="L144" i="7" s="1"/>
  <c r="H144" i="7"/>
  <c r="I145" i="7" s="1"/>
  <c r="G144" i="7"/>
  <c r="J146" i="6"/>
  <c r="L147" i="6" s="1"/>
  <c r="K147" i="6"/>
  <c r="H147" i="6"/>
  <c r="I148" i="6" s="1"/>
  <c r="G147" i="6"/>
  <c r="K136" i="5"/>
  <c r="I137" i="5" s="1"/>
  <c r="J143" i="8" l="1"/>
  <c r="L144" i="8" s="1"/>
  <c r="K144" i="8"/>
  <c r="J144" i="7"/>
  <c r="L145" i="7" s="1"/>
  <c r="K145" i="7"/>
  <c r="G145" i="7"/>
  <c r="H145" i="7"/>
  <c r="I146" i="7" s="1"/>
  <c r="J147" i="6"/>
  <c r="L148" i="6" s="1"/>
  <c r="K148" i="6"/>
  <c r="H148" i="6" s="1"/>
  <c r="I149" i="6" s="1"/>
  <c r="G136" i="5"/>
  <c r="H144" i="8" l="1"/>
  <c r="I145" i="8" s="1"/>
  <c r="G144" i="8"/>
  <c r="J145" i="7"/>
  <c r="L146" i="7" s="1"/>
  <c r="K146" i="7"/>
  <c r="H146" i="7" s="1"/>
  <c r="I147" i="7" s="1"/>
  <c r="G148" i="6"/>
  <c r="J136" i="5"/>
  <c r="L137" i="5" s="1"/>
  <c r="K137" i="5"/>
  <c r="H137" i="5" s="1"/>
  <c r="K145" i="8" l="1"/>
  <c r="J144" i="8"/>
  <c r="L145" i="8" s="1"/>
  <c r="H145" i="8"/>
  <c r="I146" i="8" s="1"/>
  <c r="G145" i="8"/>
  <c r="G146" i="7"/>
  <c r="K149" i="6"/>
  <c r="J148" i="6"/>
  <c r="L149" i="6" s="1"/>
  <c r="I138" i="5"/>
  <c r="G137" i="5"/>
  <c r="K146" i="8" l="1"/>
  <c r="H146" i="8" s="1"/>
  <c r="I147" i="8" s="1"/>
  <c r="J145" i="8"/>
  <c r="L146" i="8" s="1"/>
  <c r="J146" i="7"/>
  <c r="L147" i="7" s="1"/>
  <c r="K147" i="7"/>
  <c r="H149" i="6"/>
  <c r="I150" i="6" s="1"/>
  <c r="G149" i="6"/>
  <c r="K138" i="5"/>
  <c r="J137" i="5"/>
  <c r="L138" i="5" s="1"/>
  <c r="G146" i="8" l="1"/>
  <c r="H147" i="7"/>
  <c r="I148" i="7" s="1"/>
  <c r="G147" i="7"/>
  <c r="J149" i="6"/>
  <c r="L150" i="6" s="1"/>
  <c r="K150" i="6"/>
  <c r="G150" i="6"/>
  <c r="H150" i="6"/>
  <c r="I151" i="6" s="1"/>
  <c r="H138" i="5"/>
  <c r="I139" i="5"/>
  <c r="G138" i="5"/>
  <c r="J146" i="8" l="1"/>
  <c r="L147" i="8" s="1"/>
  <c r="K147" i="8"/>
  <c r="K148" i="7"/>
  <c r="J147" i="7"/>
  <c r="L148" i="7" s="1"/>
  <c r="H148" i="7"/>
  <c r="I149" i="7" s="1"/>
  <c r="G148" i="7"/>
  <c r="H151" i="6"/>
  <c r="I152" i="6" s="1"/>
  <c r="G151" i="6"/>
  <c r="J150" i="6"/>
  <c r="L151" i="6" s="1"/>
  <c r="K151" i="6"/>
  <c r="K139" i="5"/>
  <c r="J138" i="5"/>
  <c r="L139" i="5" s="1"/>
  <c r="H147" i="8" l="1"/>
  <c r="I148" i="8" s="1"/>
  <c r="G147" i="8"/>
  <c r="J148" i="7"/>
  <c r="L149" i="7" s="1"/>
  <c r="K149" i="7"/>
  <c r="H149" i="7"/>
  <c r="I150" i="7" s="1"/>
  <c r="G149" i="7"/>
  <c r="K152" i="6"/>
  <c r="J151" i="6"/>
  <c r="L152" i="6" s="1"/>
  <c r="H152" i="6"/>
  <c r="I153" i="6" s="1"/>
  <c r="G152" i="6"/>
  <c r="H139" i="5"/>
  <c r="I140" i="5"/>
  <c r="G139" i="5"/>
  <c r="K148" i="8" l="1"/>
  <c r="J147" i="8"/>
  <c r="L148" i="8" s="1"/>
  <c r="H148" i="8"/>
  <c r="I149" i="8" s="1"/>
  <c r="G148" i="8"/>
  <c r="K150" i="7"/>
  <c r="J149" i="7"/>
  <c r="L150" i="7" s="1"/>
  <c r="G150" i="7"/>
  <c r="H150" i="7"/>
  <c r="I151" i="7" s="1"/>
  <c r="K153" i="6"/>
  <c r="H153" i="6" s="1"/>
  <c r="I154" i="6" s="1"/>
  <c r="J152" i="6"/>
  <c r="L153" i="6" s="1"/>
  <c r="J139" i="5"/>
  <c r="L140" i="5" s="1"/>
  <c r="K140" i="5"/>
  <c r="G140" i="5" s="1"/>
  <c r="J148" i="8" l="1"/>
  <c r="L149" i="8" s="1"/>
  <c r="K149" i="8"/>
  <c r="H149" i="8" s="1"/>
  <c r="I150" i="8" s="1"/>
  <c r="G151" i="7"/>
  <c r="H151" i="7"/>
  <c r="I152" i="7" s="1"/>
  <c r="J150" i="7"/>
  <c r="L151" i="7" s="1"/>
  <c r="K151" i="7"/>
  <c r="G153" i="6"/>
  <c r="H140" i="5"/>
  <c r="I141" i="5" s="1"/>
  <c r="J140" i="5"/>
  <c r="L141" i="5" s="1"/>
  <c r="G149" i="8" l="1"/>
  <c r="K152" i="7"/>
  <c r="H152" i="7" s="1"/>
  <c r="I153" i="7" s="1"/>
  <c r="J151" i="7"/>
  <c r="L152" i="7" s="1"/>
  <c r="J153" i="6"/>
  <c r="L154" i="6" s="1"/>
  <c r="K154" i="6"/>
  <c r="K141" i="5"/>
  <c r="G141" i="5" s="1"/>
  <c r="H141" i="5"/>
  <c r="I142" i="5" s="1"/>
  <c r="J141" i="5"/>
  <c r="L142" i="5" s="1"/>
  <c r="K150" i="8" l="1"/>
  <c r="J149" i="8"/>
  <c r="L150" i="8" s="1"/>
  <c r="G152" i="7"/>
  <c r="H154" i="6"/>
  <c r="I155" i="6" s="1"/>
  <c r="G154" i="6"/>
  <c r="K142" i="5"/>
  <c r="H142" i="5" s="1"/>
  <c r="I143" i="5" s="1"/>
  <c r="G142" i="5"/>
  <c r="H150" i="8" l="1"/>
  <c r="I151" i="8" s="1"/>
  <c r="G150" i="8"/>
  <c r="K153" i="7"/>
  <c r="J152" i="7"/>
  <c r="L153" i="7" s="1"/>
  <c r="J154" i="6"/>
  <c r="L155" i="6" s="1"/>
  <c r="K155" i="6"/>
  <c r="G155" i="6"/>
  <c r="H155" i="6"/>
  <c r="I156" i="6" s="1"/>
  <c r="J142" i="5"/>
  <c r="L143" i="5" s="1"/>
  <c r="K143" i="5"/>
  <c r="H143" i="5" s="1"/>
  <c r="J150" i="8" l="1"/>
  <c r="L151" i="8" s="1"/>
  <c r="K151" i="8"/>
  <c r="H151" i="8"/>
  <c r="I152" i="8" s="1"/>
  <c r="G151" i="8"/>
  <c r="H153" i="7"/>
  <c r="I154" i="7" s="1"/>
  <c r="G153" i="7"/>
  <c r="K156" i="6"/>
  <c r="H156" i="6" s="1"/>
  <c r="I157" i="6" s="1"/>
  <c r="J155" i="6"/>
  <c r="L156" i="6" s="1"/>
  <c r="I144" i="5"/>
  <c r="G143" i="5"/>
  <c r="K152" i="8" l="1"/>
  <c r="G152" i="8" s="1"/>
  <c r="J151" i="8"/>
  <c r="L152" i="8" s="1"/>
  <c r="J153" i="7"/>
  <c r="L154" i="7" s="1"/>
  <c r="K154" i="7"/>
  <c r="H154" i="7" s="1"/>
  <c r="I155" i="7" s="1"/>
  <c r="G154" i="7"/>
  <c r="G156" i="6"/>
  <c r="J143" i="5"/>
  <c r="L144" i="5" s="1"/>
  <c r="K144" i="5"/>
  <c r="H144" i="5" s="1"/>
  <c r="I145" i="5" s="1"/>
  <c r="J152" i="8" l="1"/>
  <c r="L153" i="8" s="1"/>
  <c r="H152" i="8"/>
  <c r="I153" i="8" s="1"/>
  <c r="K155" i="7"/>
  <c r="G155" i="7" s="1"/>
  <c r="J154" i="7"/>
  <c r="L155" i="7" s="1"/>
  <c r="J156" i="6"/>
  <c r="L157" i="6" s="1"/>
  <c r="K157" i="6"/>
  <c r="G144" i="5"/>
  <c r="K145" i="5" s="1"/>
  <c r="K153" i="8" l="1"/>
  <c r="H153" i="8" s="1"/>
  <c r="I154" i="8" s="1"/>
  <c r="J155" i="7"/>
  <c r="L156" i="7" s="1"/>
  <c r="H155" i="7"/>
  <c r="I156" i="7" s="1"/>
  <c r="H157" i="6"/>
  <c r="I158" i="6" s="1"/>
  <c r="G157" i="6"/>
  <c r="G145" i="5"/>
  <c r="J144" i="5"/>
  <c r="L145" i="5" s="1"/>
  <c r="J145" i="5"/>
  <c r="L146" i="5" s="1"/>
  <c r="G153" i="8" l="1"/>
  <c r="K156" i="7"/>
  <c r="H156" i="7"/>
  <c r="I157" i="7" s="1"/>
  <c r="G156" i="7"/>
  <c r="K158" i="6"/>
  <c r="J157" i="6"/>
  <c r="L158" i="6" s="1"/>
  <c r="G158" i="6"/>
  <c r="H158" i="6"/>
  <c r="I159" i="6" s="1"/>
  <c r="H145" i="5"/>
  <c r="I146" i="5" s="1"/>
  <c r="J153" i="8" l="1"/>
  <c r="L154" i="8" s="1"/>
  <c r="K154" i="8"/>
  <c r="K157" i="7"/>
  <c r="J156" i="7"/>
  <c r="L157" i="7" s="1"/>
  <c r="H157" i="7"/>
  <c r="I158" i="7" s="1"/>
  <c r="G157" i="7"/>
  <c r="K159" i="6"/>
  <c r="G159" i="6" s="1"/>
  <c r="J158" i="6"/>
  <c r="L159" i="6" s="1"/>
  <c r="K146" i="5"/>
  <c r="G146" i="5" s="1"/>
  <c r="J146" i="5" s="1"/>
  <c r="L147" i="5" s="1"/>
  <c r="H146" i="5"/>
  <c r="I147" i="5"/>
  <c r="H154" i="8" l="1"/>
  <c r="I155" i="8" s="1"/>
  <c r="G154" i="8"/>
  <c r="K158" i="7"/>
  <c r="G158" i="7" s="1"/>
  <c r="J157" i="7"/>
  <c r="L158" i="7" s="1"/>
  <c r="J159" i="6"/>
  <c r="L160" i="6" s="1"/>
  <c r="H159" i="6"/>
  <c r="I160" i="6" s="1"/>
  <c r="K147" i="5"/>
  <c r="G147" i="5" s="1"/>
  <c r="K155" i="8" l="1"/>
  <c r="G155" i="8" s="1"/>
  <c r="J154" i="8"/>
  <c r="L155" i="8" s="1"/>
  <c r="J158" i="7"/>
  <c r="L159" i="7" s="1"/>
  <c r="H158" i="7"/>
  <c r="I159" i="7" s="1"/>
  <c r="K160" i="6"/>
  <c r="G160" i="6" s="1"/>
  <c r="H147" i="5"/>
  <c r="J147" i="5"/>
  <c r="L148" i="5" s="1"/>
  <c r="I148" i="5"/>
  <c r="J155" i="8" l="1"/>
  <c r="L156" i="8" s="1"/>
  <c r="H155" i="8"/>
  <c r="I156" i="8" s="1"/>
  <c r="K159" i="7"/>
  <c r="H159" i="7" s="1"/>
  <c r="I160" i="7" s="1"/>
  <c r="J160" i="6"/>
  <c r="L161" i="6" s="1"/>
  <c r="H160" i="6"/>
  <c r="I161" i="6" s="1"/>
  <c r="K148" i="5"/>
  <c r="K156" i="8" l="1"/>
  <c r="H156" i="8" s="1"/>
  <c r="I157" i="8" s="1"/>
  <c r="G159" i="7"/>
  <c r="K161" i="6"/>
  <c r="H161" i="6" s="1"/>
  <c r="I162" i="6" s="1"/>
  <c r="H148" i="5"/>
  <c r="I149" i="5" s="1"/>
  <c r="G148" i="5"/>
  <c r="G156" i="8" l="1"/>
  <c r="J159" i="7"/>
  <c r="L160" i="7" s="1"/>
  <c r="K160" i="7"/>
  <c r="G161" i="6"/>
  <c r="J148" i="5"/>
  <c r="L149" i="5" s="1"/>
  <c r="K149" i="5"/>
  <c r="H149" i="5" s="1"/>
  <c r="K157" i="8" l="1"/>
  <c r="J156" i="8"/>
  <c r="L157" i="8" s="1"/>
  <c r="H160" i="7"/>
  <c r="I161" i="7" s="1"/>
  <c r="G160" i="7"/>
  <c r="K162" i="6"/>
  <c r="J161" i="6"/>
  <c r="L162" i="6" s="1"/>
  <c r="G149" i="5"/>
  <c r="I150" i="5"/>
  <c r="G157" i="8" l="1"/>
  <c r="H157" i="8"/>
  <c r="I158" i="8" s="1"/>
  <c r="K161" i="7"/>
  <c r="J160" i="7"/>
  <c r="L161" i="7" s="1"/>
  <c r="H161" i="7"/>
  <c r="I162" i="7" s="1"/>
  <c r="G161" i="7"/>
  <c r="H162" i="6"/>
  <c r="I163" i="6" s="1"/>
  <c r="G162" i="6"/>
  <c r="J149" i="5"/>
  <c r="L150" i="5" s="1"/>
  <c r="K150" i="5"/>
  <c r="G150" i="5" s="1"/>
  <c r="J157" i="8" l="1"/>
  <c r="L158" i="8" s="1"/>
  <c r="K158" i="8"/>
  <c r="G158" i="8" s="1"/>
  <c r="J161" i="7"/>
  <c r="L162" i="7" s="1"/>
  <c r="K162" i="7"/>
  <c r="H162" i="7"/>
  <c r="I163" i="7" s="1"/>
  <c r="G162" i="7"/>
  <c r="K163" i="6"/>
  <c r="J162" i="6"/>
  <c r="L163" i="6" s="1"/>
  <c r="G163" i="6"/>
  <c r="H150" i="5"/>
  <c r="I151" i="5" s="1"/>
  <c r="K151" i="5"/>
  <c r="J150" i="5"/>
  <c r="L151" i="5" s="1"/>
  <c r="J158" i="8" l="1"/>
  <c r="L159" i="8" s="1"/>
  <c r="H158" i="8"/>
  <c r="I159" i="8" s="1"/>
  <c r="J162" i="7"/>
  <c r="L163" i="7" s="1"/>
  <c r="K163" i="7"/>
  <c r="H163" i="7" s="1"/>
  <c r="I164" i="7" s="1"/>
  <c r="G163" i="7"/>
  <c r="J163" i="6"/>
  <c r="L164" i="6" s="1"/>
  <c r="H163" i="6"/>
  <c r="I164" i="6" s="1"/>
  <c r="H151" i="5"/>
  <c r="G151" i="5"/>
  <c r="J151" i="5" s="1"/>
  <c r="L152" i="5" s="1"/>
  <c r="I152" i="5"/>
  <c r="K159" i="8" l="1"/>
  <c r="H159" i="8"/>
  <c r="I160" i="8" s="1"/>
  <c r="G159" i="8"/>
  <c r="K164" i="7"/>
  <c r="H164" i="7" s="1"/>
  <c r="I165" i="7" s="1"/>
  <c r="J163" i="7"/>
  <c r="L164" i="7" s="1"/>
  <c r="K164" i="6"/>
  <c r="H164" i="6"/>
  <c r="I165" i="6" s="1"/>
  <c r="G164" i="6"/>
  <c r="K152" i="5"/>
  <c r="H152" i="5" s="1"/>
  <c r="I153" i="5" s="1"/>
  <c r="J159" i="8" l="1"/>
  <c r="L160" i="8" s="1"/>
  <c r="K160" i="8"/>
  <c r="H160" i="8" s="1"/>
  <c r="I161" i="8" s="1"/>
  <c r="H165" i="7"/>
  <c r="I166" i="7" s="1"/>
  <c r="G165" i="7"/>
  <c r="G164" i="7"/>
  <c r="K165" i="6"/>
  <c r="J164" i="6"/>
  <c r="L165" i="6" s="1"/>
  <c r="H165" i="6"/>
  <c r="I166" i="6" s="1"/>
  <c r="G165" i="6"/>
  <c r="G152" i="5"/>
  <c r="J152" i="5" s="1"/>
  <c r="L153" i="5" s="1"/>
  <c r="G160" i="8" l="1"/>
  <c r="J165" i="7"/>
  <c r="L166" i="7" s="1"/>
  <c r="K166" i="7"/>
  <c r="J164" i="7"/>
  <c r="L165" i="7" s="1"/>
  <c r="K165" i="7"/>
  <c r="H166" i="7"/>
  <c r="I167" i="7" s="1"/>
  <c r="G166" i="7"/>
  <c r="J165" i="6"/>
  <c r="L166" i="6" s="1"/>
  <c r="K166" i="6"/>
  <c r="H166" i="6" s="1"/>
  <c r="I167" i="6" s="1"/>
  <c r="K153" i="5"/>
  <c r="K161" i="8" l="1"/>
  <c r="J160" i="8"/>
  <c r="L161" i="8" s="1"/>
  <c r="J166" i="7"/>
  <c r="L167" i="7" s="1"/>
  <c r="K167" i="7"/>
  <c r="G167" i="7"/>
  <c r="H167" i="7"/>
  <c r="I168" i="7" s="1"/>
  <c r="G166" i="6"/>
  <c r="H153" i="5"/>
  <c r="I154" i="5" s="1"/>
  <c r="G153" i="5"/>
  <c r="H161" i="8" l="1"/>
  <c r="I162" i="8" s="1"/>
  <c r="G161" i="8"/>
  <c r="J167" i="7"/>
  <c r="L168" i="7" s="1"/>
  <c r="K168" i="7"/>
  <c r="H168" i="7" s="1"/>
  <c r="I169" i="7" s="1"/>
  <c r="G168" i="7"/>
  <c r="K167" i="6"/>
  <c r="J166" i="6"/>
  <c r="L167" i="6" s="1"/>
  <c r="K154" i="5"/>
  <c r="G154" i="5" s="1"/>
  <c r="J153" i="5"/>
  <c r="L154" i="5" s="1"/>
  <c r="K162" i="8" l="1"/>
  <c r="J161" i="8"/>
  <c r="L162" i="8" s="1"/>
  <c r="H162" i="8"/>
  <c r="I163" i="8" s="1"/>
  <c r="G162" i="8"/>
  <c r="J168" i="7"/>
  <c r="L169" i="7" s="1"/>
  <c r="K169" i="7"/>
  <c r="H169" i="7" s="1"/>
  <c r="I170" i="7" s="1"/>
  <c r="H167" i="6"/>
  <c r="I168" i="6" s="1"/>
  <c r="G167" i="6"/>
  <c r="H154" i="5"/>
  <c r="I155" i="5" s="1"/>
  <c r="K155" i="5"/>
  <c r="J154" i="5"/>
  <c r="L155" i="5" s="1"/>
  <c r="H155" i="5"/>
  <c r="I156" i="5" s="1"/>
  <c r="G155" i="5"/>
  <c r="J162" i="8" l="1"/>
  <c r="L163" i="8" s="1"/>
  <c r="K163" i="8"/>
  <c r="G163" i="8"/>
  <c r="H163" i="8"/>
  <c r="I164" i="8" s="1"/>
  <c r="G169" i="7"/>
  <c r="J167" i="6"/>
  <c r="L168" i="6" s="1"/>
  <c r="K168" i="6"/>
  <c r="H168" i="6"/>
  <c r="I169" i="6" s="1"/>
  <c r="G168" i="6"/>
  <c r="J155" i="5"/>
  <c r="L156" i="5" s="1"/>
  <c r="K156" i="5"/>
  <c r="K164" i="8" l="1"/>
  <c r="J163" i="8"/>
  <c r="L164" i="8" s="1"/>
  <c r="G164" i="8"/>
  <c r="J169" i="7"/>
  <c r="L170" i="7" s="1"/>
  <c r="K170" i="7"/>
  <c r="K169" i="6"/>
  <c r="J168" i="6"/>
  <c r="L169" i="6" s="1"/>
  <c r="H169" i="6"/>
  <c r="I170" i="6" s="1"/>
  <c r="G169" i="6"/>
  <c r="H156" i="5"/>
  <c r="I157" i="5" s="1"/>
  <c r="G156" i="5"/>
  <c r="J164" i="8" l="1"/>
  <c r="L165" i="8" s="1"/>
  <c r="H164" i="8"/>
  <c r="I165" i="8" s="1"/>
  <c r="H170" i="7"/>
  <c r="I171" i="7" s="1"/>
  <c r="G170" i="7"/>
  <c r="J169" i="6"/>
  <c r="L170" i="6" s="1"/>
  <c r="K170" i="6"/>
  <c r="H170" i="6" s="1"/>
  <c r="I171" i="6" s="1"/>
  <c r="K157" i="5"/>
  <c r="J156" i="5"/>
  <c r="L157" i="5" s="1"/>
  <c r="K165" i="8" l="1"/>
  <c r="H165" i="8"/>
  <c r="I166" i="8" s="1"/>
  <c r="G165" i="8"/>
  <c r="J170" i="7"/>
  <c r="L171" i="7" s="1"/>
  <c r="K171" i="7"/>
  <c r="H171" i="7" s="1"/>
  <c r="I172" i="7" s="1"/>
  <c r="G171" i="7"/>
  <c r="G170" i="6"/>
  <c r="H157" i="5"/>
  <c r="I158" i="5" s="1"/>
  <c r="G157" i="5"/>
  <c r="K166" i="8" l="1"/>
  <c r="J165" i="8"/>
  <c r="L166" i="8" s="1"/>
  <c r="H166" i="8"/>
  <c r="I167" i="8" s="1"/>
  <c r="G166" i="8"/>
  <c r="J171" i="7"/>
  <c r="L172" i="7" s="1"/>
  <c r="K172" i="7"/>
  <c r="G172" i="7" s="1"/>
  <c r="J170" i="6"/>
  <c r="L171" i="6" s="1"/>
  <c r="K171" i="6"/>
  <c r="K158" i="5"/>
  <c r="J157" i="5"/>
  <c r="L158" i="5" s="1"/>
  <c r="G158" i="5"/>
  <c r="K167" i="8" l="1"/>
  <c r="H167" i="8" s="1"/>
  <c r="I168" i="8" s="1"/>
  <c r="J166" i="8"/>
  <c r="L167" i="8" s="1"/>
  <c r="J172" i="7"/>
  <c r="L173" i="7" s="1"/>
  <c r="H172" i="7"/>
  <c r="I173" i="7" s="1"/>
  <c r="H171" i="6"/>
  <c r="I172" i="6" s="1"/>
  <c r="G171" i="6"/>
  <c r="H158" i="5"/>
  <c r="I159" i="5" s="1"/>
  <c r="J158" i="5"/>
  <c r="L159" i="5" s="1"/>
  <c r="K159" i="5"/>
  <c r="G167" i="8" l="1"/>
  <c r="K173" i="7"/>
  <c r="H173" i="7"/>
  <c r="I174" i="7" s="1"/>
  <c r="G173" i="7"/>
  <c r="K172" i="6"/>
  <c r="J171" i="6"/>
  <c r="L172" i="6" s="1"/>
  <c r="H172" i="6"/>
  <c r="I173" i="6" s="1"/>
  <c r="G172" i="6"/>
  <c r="H159" i="5"/>
  <c r="I160" i="5" s="1"/>
  <c r="G159" i="5"/>
  <c r="K168" i="8" l="1"/>
  <c r="J167" i="8"/>
  <c r="L168" i="8" s="1"/>
  <c r="K174" i="7"/>
  <c r="G174" i="7" s="1"/>
  <c r="J173" i="7"/>
  <c r="L174" i="7" s="1"/>
  <c r="J172" i="6"/>
  <c r="L173" i="6" s="1"/>
  <c r="K173" i="6"/>
  <c r="H173" i="6" s="1"/>
  <c r="I174" i="6" s="1"/>
  <c r="K160" i="5"/>
  <c r="J159" i="5"/>
  <c r="L160" i="5" s="1"/>
  <c r="G168" i="8" l="1"/>
  <c r="H168" i="8"/>
  <c r="I169" i="8" s="1"/>
  <c r="J174" i="7"/>
  <c r="L175" i="7" s="1"/>
  <c r="H174" i="7"/>
  <c r="I175" i="7" s="1"/>
  <c r="G173" i="6"/>
  <c r="H160" i="5"/>
  <c r="G160" i="5"/>
  <c r="I161" i="5"/>
  <c r="J168" i="8" l="1"/>
  <c r="L169" i="8" s="1"/>
  <c r="K169" i="8"/>
  <c r="H169" i="8" s="1"/>
  <c r="I170" i="8" s="1"/>
  <c r="K175" i="7"/>
  <c r="G175" i="7" s="1"/>
  <c r="K174" i="6"/>
  <c r="J173" i="6"/>
  <c r="L174" i="6" s="1"/>
  <c r="K161" i="5"/>
  <c r="J160" i="5"/>
  <c r="L161" i="5" s="1"/>
  <c r="G169" i="8" l="1"/>
  <c r="J175" i="7"/>
  <c r="L176" i="7" s="1"/>
  <c r="H175" i="7"/>
  <c r="I176" i="7" s="1"/>
  <c r="G174" i="6"/>
  <c r="H174" i="6"/>
  <c r="I175" i="6" s="1"/>
  <c r="H161" i="5"/>
  <c r="I162" i="5"/>
  <c r="G161" i="5"/>
  <c r="J169" i="8" l="1"/>
  <c r="L170" i="8" s="1"/>
  <c r="K170" i="8"/>
  <c r="K176" i="7"/>
  <c r="G176" i="7" s="1"/>
  <c r="K175" i="6"/>
  <c r="G175" i="6" s="1"/>
  <c r="J174" i="6"/>
  <c r="L175" i="6" s="1"/>
  <c r="J161" i="5"/>
  <c r="L162" i="5" s="1"/>
  <c r="K162" i="5"/>
  <c r="H162" i="5" s="1"/>
  <c r="G170" i="8" l="1"/>
  <c r="H170" i="8"/>
  <c r="I171" i="8" s="1"/>
  <c r="J176" i="7"/>
  <c r="L177" i="7" s="1"/>
  <c r="H176" i="7"/>
  <c r="I177" i="7" s="1"/>
  <c r="J175" i="6"/>
  <c r="L176" i="6" s="1"/>
  <c r="H175" i="6"/>
  <c r="I176" i="6" s="1"/>
  <c r="I163" i="5"/>
  <c r="G162" i="5"/>
  <c r="K171" i="8" l="1"/>
  <c r="H171" i="8" s="1"/>
  <c r="I172" i="8" s="1"/>
  <c r="J170" i="8"/>
  <c r="L171" i="8" s="1"/>
  <c r="K177" i="7"/>
  <c r="H177" i="7" s="1"/>
  <c r="I178" i="7" s="1"/>
  <c r="K176" i="6"/>
  <c r="G176" i="6" s="1"/>
  <c r="J162" i="5"/>
  <c r="L163" i="5" s="1"/>
  <c r="K163" i="5"/>
  <c r="H163" i="5" s="1"/>
  <c r="G163" i="5"/>
  <c r="G171" i="8" l="1"/>
  <c r="G177" i="7"/>
  <c r="J176" i="6"/>
  <c r="L177" i="6" s="1"/>
  <c r="H176" i="6"/>
  <c r="I177" i="6" s="1"/>
  <c r="J163" i="5"/>
  <c r="L164" i="5" s="1"/>
  <c r="I164" i="5"/>
  <c r="J171" i="8" l="1"/>
  <c r="L172" i="8" s="1"/>
  <c r="K172" i="8"/>
  <c r="J177" i="7"/>
  <c r="L178" i="7" s="1"/>
  <c r="K178" i="7"/>
  <c r="K177" i="6"/>
  <c r="H177" i="6"/>
  <c r="I178" i="6" s="1"/>
  <c r="G177" i="6"/>
  <c r="K164" i="5"/>
  <c r="H164" i="5" s="1"/>
  <c r="H172" i="8" l="1"/>
  <c r="I173" i="8" s="1"/>
  <c r="G172" i="8"/>
  <c r="H178" i="7"/>
  <c r="I179" i="7" s="1"/>
  <c r="G178" i="7"/>
  <c r="K178" i="6"/>
  <c r="J177" i="6"/>
  <c r="L178" i="6" s="1"/>
  <c r="G178" i="6"/>
  <c r="I165" i="5"/>
  <c r="H165" i="5" s="1"/>
  <c r="G164" i="5"/>
  <c r="K173" i="8" l="1"/>
  <c r="J172" i="8"/>
  <c r="L173" i="8" s="1"/>
  <c r="G173" i="8"/>
  <c r="K179" i="7"/>
  <c r="J178" i="7"/>
  <c r="L179" i="7" s="1"/>
  <c r="H179" i="7"/>
  <c r="I180" i="7" s="1"/>
  <c r="G179" i="7"/>
  <c r="J178" i="6"/>
  <c r="L179" i="6" s="1"/>
  <c r="H178" i="6"/>
  <c r="I179" i="6" s="1"/>
  <c r="J164" i="5"/>
  <c r="L165" i="5" s="1"/>
  <c r="K165" i="5"/>
  <c r="J173" i="8" l="1"/>
  <c r="L174" i="8" s="1"/>
  <c r="H173" i="8"/>
  <c r="I174" i="8" s="1"/>
  <c r="J179" i="7"/>
  <c r="L180" i="7" s="1"/>
  <c r="K180" i="7"/>
  <c r="H180" i="7" s="1"/>
  <c r="I181" i="7" s="1"/>
  <c r="G180" i="7"/>
  <c r="H179" i="6"/>
  <c r="I180" i="6" s="1"/>
  <c r="G179" i="6"/>
  <c r="K179" i="6"/>
  <c r="G165" i="5"/>
  <c r="I166" i="5"/>
  <c r="K174" i="8" l="1"/>
  <c r="G174" i="8" s="1"/>
  <c r="K181" i="7"/>
  <c r="H181" i="7" s="1"/>
  <c r="I182" i="7" s="1"/>
  <c r="J180" i="7"/>
  <c r="L181" i="7" s="1"/>
  <c r="J179" i="6"/>
  <c r="L180" i="6" s="1"/>
  <c r="K180" i="6"/>
  <c r="G180" i="6"/>
  <c r="H180" i="6"/>
  <c r="I181" i="6" s="1"/>
  <c r="J165" i="5"/>
  <c r="L166" i="5" s="1"/>
  <c r="K166" i="5"/>
  <c r="J174" i="8" l="1"/>
  <c r="L175" i="8" s="1"/>
  <c r="H174" i="8"/>
  <c r="I175" i="8" s="1"/>
  <c r="G181" i="7"/>
  <c r="K181" i="6"/>
  <c r="J180" i="6"/>
  <c r="L181" i="6" s="1"/>
  <c r="H181" i="6"/>
  <c r="I182" i="6" s="1"/>
  <c r="G181" i="6"/>
  <c r="H166" i="5"/>
  <c r="I167" i="5" s="1"/>
  <c r="G166" i="5"/>
  <c r="K175" i="8" l="1"/>
  <c r="H175" i="8" s="1"/>
  <c r="I176" i="8" s="1"/>
  <c r="G175" i="8"/>
  <c r="K182" i="7"/>
  <c r="J181" i="7"/>
  <c r="L182" i="7" s="1"/>
  <c r="J181" i="6"/>
  <c r="L182" i="6" s="1"/>
  <c r="K182" i="6"/>
  <c r="H182" i="6"/>
  <c r="I183" i="6" s="1"/>
  <c r="G182" i="6"/>
  <c r="K167" i="5"/>
  <c r="J166" i="5"/>
  <c r="L167" i="5" s="1"/>
  <c r="J175" i="8" l="1"/>
  <c r="L176" i="8" s="1"/>
  <c r="K176" i="8"/>
  <c r="H176" i="8" s="1"/>
  <c r="I177" i="8" s="1"/>
  <c r="H182" i="7"/>
  <c r="I183" i="7" s="1"/>
  <c r="G182" i="7"/>
  <c r="J182" i="6"/>
  <c r="L183" i="6" s="1"/>
  <c r="K183" i="6"/>
  <c r="H183" i="6" s="1"/>
  <c r="I184" i="6" s="1"/>
  <c r="H167" i="5"/>
  <c r="G167" i="5"/>
  <c r="I168" i="5"/>
  <c r="G176" i="8" l="1"/>
  <c r="K183" i="7"/>
  <c r="J182" i="7"/>
  <c r="L183" i="7" s="1"/>
  <c r="G183" i="7"/>
  <c r="H183" i="7"/>
  <c r="I184" i="7" s="1"/>
  <c r="G183" i="6"/>
  <c r="J167" i="5"/>
  <c r="L168" i="5" s="1"/>
  <c r="K168" i="5"/>
  <c r="G168" i="5" s="1"/>
  <c r="K177" i="8" l="1"/>
  <c r="J176" i="8"/>
  <c r="L177" i="8" s="1"/>
  <c r="K184" i="7"/>
  <c r="H184" i="7" s="1"/>
  <c r="I185" i="7" s="1"/>
  <c r="J183" i="7"/>
  <c r="L184" i="7" s="1"/>
  <c r="J183" i="6"/>
  <c r="L184" i="6" s="1"/>
  <c r="K184" i="6"/>
  <c r="H168" i="5"/>
  <c r="J168" i="5"/>
  <c r="L169" i="5" s="1"/>
  <c r="I169" i="5"/>
  <c r="G177" i="8" l="1"/>
  <c r="H177" i="8"/>
  <c r="I178" i="8" s="1"/>
  <c r="G184" i="7"/>
  <c r="H184" i="6"/>
  <c r="I185" i="6" s="1"/>
  <c r="G184" i="6"/>
  <c r="K169" i="5"/>
  <c r="G169" i="5" s="1"/>
  <c r="K178" i="8" l="1"/>
  <c r="H178" i="8" s="1"/>
  <c r="I179" i="8" s="1"/>
  <c r="J177" i="8"/>
  <c r="L178" i="8" s="1"/>
  <c r="J184" i="7"/>
  <c r="L185" i="7" s="1"/>
  <c r="K185" i="7"/>
  <c r="K185" i="6"/>
  <c r="J184" i="6"/>
  <c r="L185" i="6" s="1"/>
  <c r="H185" i="6"/>
  <c r="I186" i="6" s="1"/>
  <c r="G185" i="6"/>
  <c r="H169" i="5"/>
  <c r="J169" i="5"/>
  <c r="L170" i="5" s="1"/>
  <c r="I170" i="5"/>
  <c r="H179" i="8" l="1"/>
  <c r="I180" i="8" s="1"/>
  <c r="G179" i="8"/>
  <c r="G178" i="8"/>
  <c r="G185" i="7"/>
  <c r="H185" i="7"/>
  <c r="I186" i="7" s="1"/>
  <c r="J185" i="6"/>
  <c r="L186" i="6" s="1"/>
  <c r="K186" i="6"/>
  <c r="H186" i="6" s="1"/>
  <c r="I187" i="6" s="1"/>
  <c r="K170" i="5"/>
  <c r="J178" i="8" l="1"/>
  <c r="L179" i="8" s="1"/>
  <c r="K179" i="8"/>
  <c r="K180" i="8"/>
  <c r="J179" i="8"/>
  <c r="L180" i="8" s="1"/>
  <c r="G180" i="8"/>
  <c r="H180" i="8"/>
  <c r="I181" i="8" s="1"/>
  <c r="J185" i="7"/>
  <c r="L186" i="7" s="1"/>
  <c r="K186" i="7"/>
  <c r="H186" i="7" s="1"/>
  <c r="I187" i="7" s="1"/>
  <c r="G186" i="6"/>
  <c r="H170" i="5"/>
  <c r="I171" i="5" s="1"/>
  <c r="G170" i="5"/>
  <c r="J180" i="8" l="1"/>
  <c r="L181" i="8" s="1"/>
  <c r="K181" i="8"/>
  <c r="H181" i="8" s="1"/>
  <c r="I182" i="8" s="1"/>
  <c r="G186" i="7"/>
  <c r="J186" i="6"/>
  <c r="L187" i="6" s="1"/>
  <c r="K187" i="6"/>
  <c r="K171" i="5"/>
  <c r="J170" i="5"/>
  <c r="L171" i="5" s="1"/>
  <c r="G181" i="8" l="1"/>
  <c r="J186" i="7"/>
  <c r="L187" i="7" s="1"/>
  <c r="K187" i="7"/>
  <c r="G187" i="6"/>
  <c r="H187" i="6"/>
  <c r="I188" i="6" s="1"/>
  <c r="H171" i="5"/>
  <c r="I172" i="5" s="1"/>
  <c r="G171" i="5"/>
  <c r="K182" i="8" l="1"/>
  <c r="J181" i="8"/>
  <c r="L182" i="8" s="1"/>
  <c r="H187" i="7"/>
  <c r="I188" i="7" s="1"/>
  <c r="G187" i="7"/>
  <c r="K188" i="6"/>
  <c r="H188" i="6" s="1"/>
  <c r="I189" i="6" s="1"/>
  <c r="J187" i="6"/>
  <c r="L188" i="6" s="1"/>
  <c r="J171" i="5"/>
  <c r="L172" i="5" s="1"/>
  <c r="K172" i="5"/>
  <c r="H172" i="5" s="1"/>
  <c r="I173" i="5" s="1"/>
  <c r="G172" i="5"/>
  <c r="G182" i="8" l="1"/>
  <c r="H182" i="8"/>
  <c r="I183" i="8" s="1"/>
  <c r="K188" i="7"/>
  <c r="J187" i="7"/>
  <c r="L188" i="7" s="1"/>
  <c r="G188" i="7"/>
  <c r="G188" i="6"/>
  <c r="J172" i="5"/>
  <c r="L173" i="5" s="1"/>
  <c r="K173" i="5"/>
  <c r="K183" i="8" l="1"/>
  <c r="H183" i="8" s="1"/>
  <c r="I184" i="8" s="1"/>
  <c r="J182" i="8"/>
  <c r="L183" i="8" s="1"/>
  <c r="J188" i="7"/>
  <c r="L189" i="7" s="1"/>
  <c r="H188" i="7"/>
  <c r="I189" i="7" s="1"/>
  <c r="J188" i="6"/>
  <c r="L189" i="6" s="1"/>
  <c r="K189" i="6"/>
  <c r="H173" i="5"/>
  <c r="I174" i="5" s="1"/>
  <c r="G173" i="5"/>
  <c r="G183" i="8" l="1"/>
  <c r="K189" i="7"/>
  <c r="G189" i="7" s="1"/>
  <c r="H189" i="7"/>
  <c r="I190" i="7" s="1"/>
  <c r="H189" i="6"/>
  <c r="I190" i="6" s="1"/>
  <c r="G189" i="6"/>
  <c r="K174" i="5"/>
  <c r="J173" i="5"/>
  <c r="L174" i="5" s="1"/>
  <c r="J183" i="8" l="1"/>
  <c r="L184" i="8" s="1"/>
  <c r="K184" i="8"/>
  <c r="K190" i="7"/>
  <c r="J189" i="7"/>
  <c r="L190" i="7" s="1"/>
  <c r="H190" i="7"/>
  <c r="I191" i="7" s="1"/>
  <c r="G190" i="7"/>
  <c r="K190" i="6"/>
  <c r="J189" i="6"/>
  <c r="L190" i="6" s="1"/>
  <c r="G190" i="6"/>
  <c r="H190" i="6"/>
  <c r="I191" i="6" s="1"/>
  <c r="H174" i="5"/>
  <c r="I175" i="5" s="1"/>
  <c r="G174" i="5"/>
  <c r="H184" i="8" l="1"/>
  <c r="I185" i="8" s="1"/>
  <c r="G184" i="8"/>
  <c r="J190" i="7"/>
  <c r="L191" i="7" s="1"/>
  <c r="K191" i="7"/>
  <c r="G191" i="7"/>
  <c r="H191" i="7"/>
  <c r="I192" i="7" s="1"/>
  <c r="K191" i="6"/>
  <c r="G191" i="6" s="1"/>
  <c r="J190" i="6"/>
  <c r="L191" i="6" s="1"/>
  <c r="J174" i="5"/>
  <c r="L175" i="5" s="1"/>
  <c r="K175" i="5"/>
  <c r="J184" i="8" l="1"/>
  <c r="L185" i="8" s="1"/>
  <c r="K185" i="8"/>
  <c r="H185" i="8"/>
  <c r="I186" i="8" s="1"/>
  <c r="G185" i="8"/>
  <c r="J191" i="7"/>
  <c r="L192" i="7" s="1"/>
  <c r="K192" i="7"/>
  <c r="H192" i="7"/>
  <c r="I193" i="7" s="1"/>
  <c r="G192" i="7"/>
  <c r="J191" i="6"/>
  <c r="L192" i="6" s="1"/>
  <c r="H191" i="6"/>
  <c r="I192" i="6" s="1"/>
  <c r="H175" i="5"/>
  <c r="I176" i="5" s="1"/>
  <c r="G175" i="5"/>
  <c r="J185" i="8" l="1"/>
  <c r="L186" i="8" s="1"/>
  <c r="K186" i="8"/>
  <c r="H186" i="8"/>
  <c r="I187" i="8" s="1"/>
  <c r="G186" i="8"/>
  <c r="K193" i="7"/>
  <c r="J192" i="7"/>
  <c r="L193" i="7" s="1"/>
  <c r="H193" i="7"/>
  <c r="I194" i="7" s="1"/>
  <c r="G193" i="7"/>
  <c r="K192" i="6"/>
  <c r="G192" i="6" s="1"/>
  <c r="K176" i="5"/>
  <c r="J175" i="5"/>
  <c r="L176" i="5" s="1"/>
  <c r="K187" i="8" l="1"/>
  <c r="J186" i="8"/>
  <c r="L187" i="8" s="1"/>
  <c r="H187" i="8"/>
  <c r="I188" i="8" s="1"/>
  <c r="G187" i="8"/>
  <c r="K194" i="7"/>
  <c r="H194" i="7" s="1"/>
  <c r="I195" i="7" s="1"/>
  <c r="J193" i="7"/>
  <c r="L194" i="7" s="1"/>
  <c r="J192" i="6"/>
  <c r="L193" i="6" s="1"/>
  <c r="H192" i="6"/>
  <c r="I193" i="6" s="1"/>
  <c r="H176" i="5"/>
  <c r="I177" i="5" s="1"/>
  <c r="G176" i="5"/>
  <c r="K188" i="8" l="1"/>
  <c r="H188" i="8" s="1"/>
  <c r="I189" i="8" s="1"/>
  <c r="J187" i="8"/>
  <c r="L188" i="8" s="1"/>
  <c r="G194" i="7"/>
  <c r="H193" i="6"/>
  <c r="I194" i="6" s="1"/>
  <c r="G193" i="6"/>
  <c r="K193" i="6"/>
  <c r="K177" i="5"/>
  <c r="J176" i="5"/>
  <c r="L177" i="5" s="1"/>
  <c r="G188" i="8" l="1"/>
  <c r="K195" i="7"/>
  <c r="J194" i="7"/>
  <c r="L195" i="7" s="1"/>
  <c r="K194" i="6"/>
  <c r="J193" i="6"/>
  <c r="L194" i="6" s="1"/>
  <c r="H194" i="6"/>
  <c r="I195" i="6" s="1"/>
  <c r="G194" i="6"/>
  <c r="H177" i="5"/>
  <c r="I178" i="5" s="1"/>
  <c r="G177" i="5"/>
  <c r="J188" i="8" l="1"/>
  <c r="L189" i="8" s="1"/>
  <c r="K189" i="8"/>
  <c r="G195" i="7"/>
  <c r="H195" i="7"/>
  <c r="I196" i="7" s="1"/>
  <c r="K195" i="6"/>
  <c r="G195" i="6" s="1"/>
  <c r="J194" i="6"/>
  <c r="L195" i="6" s="1"/>
  <c r="J177" i="5"/>
  <c r="L178" i="5" s="1"/>
  <c r="K178" i="5"/>
  <c r="H178" i="5" s="1"/>
  <c r="H189" i="8" l="1"/>
  <c r="I190" i="8" s="1"/>
  <c r="G189" i="8"/>
  <c r="J195" i="7"/>
  <c r="L196" i="7" s="1"/>
  <c r="K196" i="7"/>
  <c r="H196" i="7" s="1"/>
  <c r="I197" i="7" s="1"/>
  <c r="J195" i="6"/>
  <c r="L196" i="6" s="1"/>
  <c r="H195" i="6"/>
  <c r="I196" i="6" s="1"/>
  <c r="I179" i="5"/>
  <c r="H179" i="5" s="1"/>
  <c r="G178" i="5"/>
  <c r="K190" i="8" l="1"/>
  <c r="J189" i="8"/>
  <c r="L190" i="8" s="1"/>
  <c r="H190" i="8"/>
  <c r="I191" i="8" s="1"/>
  <c r="G190" i="8"/>
  <c r="G196" i="7"/>
  <c r="K196" i="6"/>
  <c r="G196" i="6" s="1"/>
  <c r="J178" i="5"/>
  <c r="L179" i="5" s="1"/>
  <c r="K179" i="5"/>
  <c r="I180" i="5" s="1"/>
  <c r="G179" i="5"/>
  <c r="J190" i="8" l="1"/>
  <c r="L191" i="8" s="1"/>
  <c r="K191" i="8"/>
  <c r="H191" i="8" s="1"/>
  <c r="I192" i="8" s="1"/>
  <c r="K197" i="7"/>
  <c r="J196" i="7"/>
  <c r="L197" i="7" s="1"/>
  <c r="J196" i="6"/>
  <c r="L197" i="6" s="1"/>
  <c r="H196" i="6"/>
  <c r="I197" i="6" s="1"/>
  <c r="K180" i="5"/>
  <c r="H180" i="5" s="1"/>
  <c r="J179" i="5"/>
  <c r="L180" i="5" s="1"/>
  <c r="G180" i="5"/>
  <c r="G191" i="8" l="1"/>
  <c r="G197" i="7"/>
  <c r="H197" i="7"/>
  <c r="I198" i="7" s="1"/>
  <c r="K197" i="6"/>
  <c r="H197" i="6" s="1"/>
  <c r="I198" i="6" s="1"/>
  <c r="J180" i="5"/>
  <c r="L181" i="5" s="1"/>
  <c r="I181" i="5"/>
  <c r="K192" i="8" l="1"/>
  <c r="J191" i="8"/>
  <c r="L192" i="8" s="1"/>
  <c r="J197" i="7"/>
  <c r="L198" i="7" s="1"/>
  <c r="K198" i="7"/>
  <c r="G198" i="7" s="1"/>
  <c r="G197" i="6"/>
  <c r="K181" i="5"/>
  <c r="H192" i="8" l="1"/>
  <c r="I193" i="8" s="1"/>
  <c r="G192" i="8"/>
  <c r="J198" i="7"/>
  <c r="L199" i="7" s="1"/>
  <c r="H198" i="7"/>
  <c r="I199" i="7" s="1"/>
  <c r="J197" i="6"/>
  <c r="L198" i="6" s="1"/>
  <c r="K198" i="6"/>
  <c r="H181" i="5"/>
  <c r="I182" i="5" s="1"/>
  <c r="G181" i="5"/>
  <c r="J192" i="8" l="1"/>
  <c r="L193" i="8" s="1"/>
  <c r="K193" i="8"/>
  <c r="H193" i="8"/>
  <c r="I194" i="8" s="1"/>
  <c r="G193" i="8"/>
  <c r="K199" i="7"/>
  <c r="H199" i="7" s="1"/>
  <c r="I200" i="7" s="1"/>
  <c r="H198" i="6"/>
  <c r="I199" i="6" s="1"/>
  <c r="G198" i="6"/>
  <c r="J181" i="5"/>
  <c r="L182" i="5" s="1"/>
  <c r="K182" i="5"/>
  <c r="H182" i="5" s="1"/>
  <c r="K194" i="8" l="1"/>
  <c r="H194" i="8" s="1"/>
  <c r="I195" i="8" s="1"/>
  <c r="J193" i="8"/>
  <c r="L194" i="8" s="1"/>
  <c r="G199" i="7"/>
  <c r="K199" i="6"/>
  <c r="J198" i="6"/>
  <c r="L199" i="6" s="1"/>
  <c r="H199" i="6"/>
  <c r="I200" i="6" s="1"/>
  <c r="G199" i="6"/>
  <c r="I183" i="5"/>
  <c r="G182" i="5"/>
  <c r="G194" i="8" l="1"/>
  <c r="J199" i="7"/>
  <c r="L200" i="7" s="1"/>
  <c r="K200" i="7"/>
  <c r="J199" i="6"/>
  <c r="L200" i="6" s="1"/>
  <c r="K200" i="6"/>
  <c r="G200" i="6" s="1"/>
  <c r="K183" i="5"/>
  <c r="J182" i="5"/>
  <c r="L183" i="5" s="1"/>
  <c r="G183" i="5"/>
  <c r="J194" i="8" l="1"/>
  <c r="L195" i="8" s="1"/>
  <c r="K195" i="8"/>
  <c r="H200" i="7"/>
  <c r="I201" i="7" s="1"/>
  <c r="G200" i="7"/>
  <c r="J200" i="6"/>
  <c r="L201" i="6" s="1"/>
  <c r="H200" i="6"/>
  <c r="I201" i="6" s="1"/>
  <c r="H183" i="5"/>
  <c r="I184" i="5" s="1"/>
  <c r="J183" i="5"/>
  <c r="L184" i="5" s="1"/>
  <c r="K184" i="5"/>
  <c r="G184" i="5" s="1"/>
  <c r="H195" i="8" l="1"/>
  <c r="I196" i="8" s="1"/>
  <c r="G195" i="8"/>
  <c r="J200" i="7"/>
  <c r="L201" i="7" s="1"/>
  <c r="K201" i="7"/>
  <c r="G201" i="7" s="1"/>
  <c r="H201" i="7"/>
  <c r="I202" i="7" s="1"/>
  <c r="K201" i="6"/>
  <c r="H201" i="6" s="1"/>
  <c r="I202" i="6" s="1"/>
  <c r="H184" i="5"/>
  <c r="J184" i="5"/>
  <c r="L185" i="5" s="1"/>
  <c r="I185" i="5"/>
  <c r="J195" i="8" l="1"/>
  <c r="L196" i="8" s="1"/>
  <c r="K196" i="8"/>
  <c r="H196" i="8" s="1"/>
  <c r="I197" i="8" s="1"/>
  <c r="K202" i="7"/>
  <c r="J201" i="7"/>
  <c r="L202" i="7" s="1"/>
  <c r="H202" i="7"/>
  <c r="I203" i="7" s="1"/>
  <c r="G202" i="7"/>
  <c r="G201" i="6"/>
  <c r="K185" i="5"/>
  <c r="G185" i="5" s="1"/>
  <c r="G196" i="8" l="1"/>
  <c r="J202" i="7"/>
  <c r="L203" i="7" s="1"/>
  <c r="K203" i="7"/>
  <c r="H203" i="7" s="1"/>
  <c r="I204" i="7" s="1"/>
  <c r="K202" i="6"/>
  <c r="J201" i="6"/>
  <c r="L202" i="6" s="1"/>
  <c r="H185" i="5"/>
  <c r="J185" i="5"/>
  <c r="L186" i="5" s="1"/>
  <c r="I186" i="5"/>
  <c r="K197" i="8" l="1"/>
  <c r="J196" i="8"/>
  <c r="L197" i="8" s="1"/>
  <c r="G203" i="7"/>
  <c r="H202" i="6"/>
  <c r="I203" i="6" s="1"/>
  <c r="G202" i="6"/>
  <c r="K186" i="5"/>
  <c r="H197" i="8" l="1"/>
  <c r="I198" i="8" s="1"/>
  <c r="G197" i="8"/>
  <c r="K204" i="7"/>
  <c r="J203" i="7"/>
  <c r="L204" i="7" s="1"/>
  <c r="K203" i="6"/>
  <c r="J202" i="6"/>
  <c r="L203" i="6" s="1"/>
  <c r="H203" i="6"/>
  <c r="I204" i="6" s="1"/>
  <c r="G203" i="6"/>
  <c r="H186" i="5"/>
  <c r="I187" i="5" s="1"/>
  <c r="G186" i="5"/>
  <c r="J197" i="8" l="1"/>
  <c r="L198" i="8" s="1"/>
  <c r="K198" i="8"/>
  <c r="H198" i="8" s="1"/>
  <c r="I199" i="8" s="1"/>
  <c r="H204" i="7"/>
  <c r="I205" i="7" s="1"/>
  <c r="G204" i="7"/>
  <c r="J203" i="6"/>
  <c r="L204" i="6" s="1"/>
  <c r="K204" i="6"/>
  <c r="H204" i="6"/>
  <c r="I205" i="6" s="1"/>
  <c r="G204" i="6"/>
  <c r="K187" i="5"/>
  <c r="J186" i="5"/>
  <c r="L187" i="5" s="1"/>
  <c r="G198" i="8" l="1"/>
  <c r="J204" i="7"/>
  <c r="L205" i="7" s="1"/>
  <c r="K205" i="7"/>
  <c r="H205" i="7"/>
  <c r="I206" i="7" s="1"/>
  <c r="G205" i="7"/>
  <c r="K205" i="6"/>
  <c r="J204" i="6"/>
  <c r="L205" i="6" s="1"/>
  <c r="H205" i="6"/>
  <c r="I206" i="6" s="1"/>
  <c r="G205" i="6"/>
  <c r="H187" i="5"/>
  <c r="I188" i="5"/>
  <c r="G187" i="5"/>
  <c r="K199" i="8" l="1"/>
  <c r="J198" i="8"/>
  <c r="L199" i="8" s="1"/>
  <c r="J205" i="7"/>
  <c r="L206" i="7" s="1"/>
  <c r="K206" i="7"/>
  <c r="G206" i="7" s="1"/>
  <c r="K206" i="6"/>
  <c r="J205" i="6"/>
  <c r="L206" i="6" s="1"/>
  <c r="H206" i="6"/>
  <c r="I207" i="6" s="1"/>
  <c r="G206" i="6"/>
  <c r="J187" i="5"/>
  <c r="L188" i="5" s="1"/>
  <c r="K188" i="5"/>
  <c r="H188" i="5" s="1"/>
  <c r="I189" i="5" s="1"/>
  <c r="G199" i="8" l="1"/>
  <c r="H199" i="8"/>
  <c r="I200" i="8" s="1"/>
  <c r="J206" i="7"/>
  <c r="L207" i="7" s="1"/>
  <c r="H206" i="7"/>
  <c r="I207" i="7" s="1"/>
  <c r="J206" i="6"/>
  <c r="L207" i="6" s="1"/>
  <c r="K207" i="6"/>
  <c r="H207" i="6"/>
  <c r="I208" i="6" s="1"/>
  <c r="G207" i="6"/>
  <c r="G188" i="5"/>
  <c r="J188" i="5" s="1"/>
  <c r="L189" i="5" s="1"/>
  <c r="K189" i="5"/>
  <c r="J199" i="8" l="1"/>
  <c r="L200" i="8" s="1"/>
  <c r="K200" i="8"/>
  <c r="G200" i="8" s="1"/>
  <c r="K207" i="7"/>
  <c r="G207" i="7"/>
  <c r="H207" i="7"/>
  <c r="I208" i="7" s="1"/>
  <c r="K208" i="6"/>
  <c r="J207" i="6"/>
  <c r="L208" i="6" s="1"/>
  <c r="G208" i="6"/>
  <c r="H208" i="6"/>
  <c r="I209" i="6" s="1"/>
  <c r="H189" i="5"/>
  <c r="I190" i="5" s="1"/>
  <c r="G189" i="5"/>
  <c r="J200" i="8" l="1"/>
  <c r="L201" i="8" s="1"/>
  <c r="H200" i="8"/>
  <c r="I201" i="8" s="1"/>
  <c r="J207" i="7"/>
  <c r="L208" i="7" s="1"/>
  <c r="K208" i="7"/>
  <c r="G208" i="7" s="1"/>
  <c r="H208" i="7"/>
  <c r="I209" i="7" s="1"/>
  <c r="J208" i="6"/>
  <c r="L209" i="6" s="1"/>
  <c r="K209" i="6"/>
  <c r="H209" i="6" s="1"/>
  <c r="I210" i="6" s="1"/>
  <c r="K190" i="5"/>
  <c r="J189" i="5"/>
  <c r="L190" i="5" s="1"/>
  <c r="K201" i="8" l="1"/>
  <c r="H201" i="8" s="1"/>
  <c r="I202" i="8" s="1"/>
  <c r="J208" i="7"/>
  <c r="L209" i="7" s="1"/>
  <c r="K209" i="7"/>
  <c r="H209" i="7" s="1"/>
  <c r="I210" i="7" s="1"/>
  <c r="G209" i="6"/>
  <c r="H190" i="5"/>
  <c r="G190" i="5"/>
  <c r="I191" i="5"/>
  <c r="G201" i="8" l="1"/>
  <c r="G209" i="7"/>
  <c r="J209" i="6"/>
  <c r="L210" i="6" s="1"/>
  <c r="K210" i="6"/>
  <c r="J190" i="5"/>
  <c r="L191" i="5" s="1"/>
  <c r="K191" i="5"/>
  <c r="G191" i="5" s="1"/>
  <c r="J201" i="8" l="1"/>
  <c r="L202" i="8" s="1"/>
  <c r="K202" i="8"/>
  <c r="K210" i="7"/>
  <c r="J209" i="7"/>
  <c r="L210" i="7" s="1"/>
  <c r="H210" i="6"/>
  <c r="I211" i="6" s="1"/>
  <c r="G210" i="6"/>
  <c r="H191" i="5"/>
  <c r="J191" i="5"/>
  <c r="L192" i="5" s="1"/>
  <c r="I192" i="5"/>
  <c r="H202" i="8" l="1"/>
  <c r="I203" i="8" s="1"/>
  <c r="G202" i="8"/>
  <c r="G210" i="7"/>
  <c r="H210" i="7"/>
  <c r="I211" i="7" s="1"/>
  <c r="J210" i="6"/>
  <c r="L211" i="6" s="1"/>
  <c r="K211" i="6"/>
  <c r="G211" i="6"/>
  <c r="H211" i="6"/>
  <c r="I212" i="6" s="1"/>
  <c r="K192" i="5"/>
  <c r="K203" i="8" l="1"/>
  <c r="J202" i="8"/>
  <c r="L203" i="8" s="1"/>
  <c r="H203" i="8"/>
  <c r="I204" i="8" s="1"/>
  <c r="G203" i="8"/>
  <c r="K211" i="7"/>
  <c r="G211" i="7" s="1"/>
  <c r="J210" i="7"/>
  <c r="L211" i="7" s="1"/>
  <c r="H212" i="6"/>
  <c r="I213" i="6" s="1"/>
  <c r="G212" i="6"/>
  <c r="K212" i="6"/>
  <c r="J211" i="6"/>
  <c r="L212" i="6" s="1"/>
  <c r="H192" i="5"/>
  <c r="I193" i="5" s="1"/>
  <c r="H193" i="5" s="1"/>
  <c r="G192" i="5"/>
  <c r="K204" i="8" l="1"/>
  <c r="H204" i="8" s="1"/>
  <c r="I205" i="8" s="1"/>
  <c r="J203" i="8"/>
  <c r="L204" i="8" s="1"/>
  <c r="J211" i="7"/>
  <c r="L212" i="7" s="1"/>
  <c r="H211" i="7"/>
  <c r="I212" i="7" s="1"/>
  <c r="J212" i="6"/>
  <c r="L213" i="6" s="1"/>
  <c r="K213" i="6"/>
  <c r="H213" i="6"/>
  <c r="I214" i="6" s="1"/>
  <c r="G213" i="6"/>
  <c r="K193" i="5"/>
  <c r="J192" i="5"/>
  <c r="L193" i="5" s="1"/>
  <c r="G204" i="8" l="1"/>
  <c r="K212" i="7"/>
  <c r="H212" i="7"/>
  <c r="I213" i="7" s="1"/>
  <c r="G212" i="7"/>
  <c r="K214" i="6"/>
  <c r="J213" i="6"/>
  <c r="L214" i="6" s="1"/>
  <c r="H214" i="6"/>
  <c r="I215" i="6" s="1"/>
  <c r="G214" i="6"/>
  <c r="G193" i="5"/>
  <c r="I194" i="5"/>
  <c r="J204" i="8" l="1"/>
  <c r="L205" i="8" s="1"/>
  <c r="K205" i="8"/>
  <c r="K213" i="7"/>
  <c r="H213" i="7" s="1"/>
  <c r="I214" i="7" s="1"/>
  <c r="J212" i="7"/>
  <c r="L213" i="7" s="1"/>
  <c r="K215" i="6"/>
  <c r="J214" i="6"/>
  <c r="L215" i="6" s="1"/>
  <c r="H215" i="6"/>
  <c r="I216" i="6" s="1"/>
  <c r="G215" i="6"/>
  <c r="J193" i="5"/>
  <c r="L194" i="5" s="1"/>
  <c r="K194" i="5"/>
  <c r="H205" i="8" l="1"/>
  <c r="I206" i="8" s="1"/>
  <c r="G205" i="8"/>
  <c r="G213" i="7"/>
  <c r="J215" i="6"/>
  <c r="L216" i="6" s="1"/>
  <c r="K216" i="6"/>
  <c r="H216" i="6"/>
  <c r="I217" i="6" s="1"/>
  <c r="G216" i="6"/>
  <c r="H194" i="5"/>
  <c r="I195" i="5" s="1"/>
  <c r="G194" i="5"/>
  <c r="K206" i="8" l="1"/>
  <c r="J205" i="8"/>
  <c r="L206" i="8" s="1"/>
  <c r="H206" i="8"/>
  <c r="I207" i="8" s="1"/>
  <c r="G206" i="8"/>
  <c r="K214" i="7"/>
  <c r="J213" i="7"/>
  <c r="L214" i="7" s="1"/>
  <c r="K217" i="6"/>
  <c r="J216" i="6"/>
  <c r="L217" i="6" s="1"/>
  <c r="H217" i="6"/>
  <c r="I218" i="6" s="1"/>
  <c r="G217" i="6"/>
  <c r="K195" i="5"/>
  <c r="H195" i="5" s="1"/>
  <c r="J194" i="5"/>
  <c r="L195" i="5" s="1"/>
  <c r="J206" i="8" l="1"/>
  <c r="L207" i="8" s="1"/>
  <c r="K207" i="8"/>
  <c r="H207" i="8" s="1"/>
  <c r="I208" i="8" s="1"/>
  <c r="G207" i="8"/>
  <c r="G214" i="7"/>
  <c r="H214" i="7"/>
  <c r="I215" i="7" s="1"/>
  <c r="K218" i="6"/>
  <c r="J217" i="6"/>
  <c r="L218" i="6" s="1"/>
  <c r="H218" i="6"/>
  <c r="I219" i="6" s="1"/>
  <c r="G218" i="6"/>
  <c r="G195" i="5"/>
  <c r="I196" i="5"/>
  <c r="K208" i="8" l="1"/>
  <c r="H208" i="8" s="1"/>
  <c r="I209" i="8" s="1"/>
  <c r="J207" i="8"/>
  <c r="L208" i="8" s="1"/>
  <c r="J214" i="7"/>
  <c r="L215" i="7" s="1"/>
  <c r="K215" i="7"/>
  <c r="H215" i="7" s="1"/>
  <c r="I216" i="7" s="1"/>
  <c r="J218" i="6"/>
  <c r="L219" i="6" s="1"/>
  <c r="K219" i="6"/>
  <c r="H219" i="6"/>
  <c r="I220" i="6" s="1"/>
  <c r="G219" i="6"/>
  <c r="K196" i="5"/>
  <c r="G196" i="5" s="1"/>
  <c r="J195" i="5"/>
  <c r="L196" i="5" s="1"/>
  <c r="G208" i="8" l="1"/>
  <c r="G215" i="7"/>
  <c r="J219" i="6"/>
  <c r="L220" i="6" s="1"/>
  <c r="K220" i="6"/>
  <c r="H220" i="6" s="1"/>
  <c r="I221" i="6" s="1"/>
  <c r="H196" i="5"/>
  <c r="J196" i="5"/>
  <c r="L197" i="5" s="1"/>
  <c r="I197" i="5"/>
  <c r="K209" i="8" l="1"/>
  <c r="J208" i="8"/>
  <c r="L209" i="8" s="1"/>
  <c r="J215" i="7"/>
  <c r="L216" i="7" s="1"/>
  <c r="K216" i="7"/>
  <c r="G220" i="6"/>
  <c r="K197" i="5"/>
  <c r="H209" i="8" l="1"/>
  <c r="I210" i="8" s="1"/>
  <c r="G209" i="8"/>
  <c r="H216" i="7"/>
  <c r="I217" i="7" s="1"/>
  <c r="G216" i="7"/>
  <c r="K221" i="6"/>
  <c r="J220" i="6"/>
  <c r="L221" i="6" s="1"/>
  <c r="H197" i="5"/>
  <c r="I198" i="5" s="1"/>
  <c r="G197" i="5"/>
  <c r="K210" i="8" l="1"/>
  <c r="J209" i="8"/>
  <c r="L210" i="8" s="1"/>
  <c r="H210" i="8"/>
  <c r="I211" i="8" s="1"/>
  <c r="G210" i="8"/>
  <c r="K217" i="7"/>
  <c r="J216" i="7"/>
  <c r="L217" i="7" s="1"/>
  <c r="H217" i="7"/>
  <c r="I218" i="7" s="1"/>
  <c r="G217" i="7"/>
  <c r="H221" i="6"/>
  <c r="I222" i="6" s="1"/>
  <c r="G221" i="6"/>
  <c r="J197" i="5"/>
  <c r="L198" i="5" s="1"/>
  <c r="K198" i="5"/>
  <c r="H198" i="5" s="1"/>
  <c r="J210" i="8" l="1"/>
  <c r="L211" i="8" s="1"/>
  <c r="K211" i="8"/>
  <c r="H211" i="8" s="1"/>
  <c r="I212" i="8" s="1"/>
  <c r="K218" i="7"/>
  <c r="J217" i="7"/>
  <c r="L218" i="7" s="1"/>
  <c r="H218" i="7"/>
  <c r="I219" i="7" s="1"/>
  <c r="G218" i="7"/>
  <c r="K222" i="6"/>
  <c r="J221" i="6"/>
  <c r="L222" i="6" s="1"/>
  <c r="H222" i="6"/>
  <c r="I223" i="6" s="1"/>
  <c r="G222" i="6"/>
  <c r="G198" i="5"/>
  <c r="I199" i="5"/>
  <c r="H212" i="8" l="1"/>
  <c r="I213" i="8" s="1"/>
  <c r="G212" i="8"/>
  <c r="G211" i="8"/>
  <c r="J218" i="7"/>
  <c r="L219" i="7" s="1"/>
  <c r="K219" i="7"/>
  <c r="H219" i="7" s="1"/>
  <c r="I220" i="7" s="1"/>
  <c r="J222" i="6"/>
  <c r="L223" i="6" s="1"/>
  <c r="K223" i="6"/>
  <c r="G223" i="6"/>
  <c r="H223" i="6"/>
  <c r="I224" i="6" s="1"/>
  <c r="K199" i="5"/>
  <c r="J198" i="5"/>
  <c r="L199" i="5" s="1"/>
  <c r="K213" i="8" l="1"/>
  <c r="J212" i="8"/>
  <c r="L213" i="8" s="1"/>
  <c r="J211" i="8"/>
  <c r="L212" i="8" s="1"/>
  <c r="K212" i="8"/>
  <c r="H213" i="8"/>
  <c r="I214" i="8" s="1"/>
  <c r="G213" i="8"/>
  <c r="G219" i="7"/>
  <c r="K224" i="6"/>
  <c r="G224" i="6" s="1"/>
  <c r="J223" i="6"/>
  <c r="L224" i="6" s="1"/>
  <c r="H199" i="5"/>
  <c r="I200" i="5"/>
  <c r="G199" i="5"/>
  <c r="J213" i="8" l="1"/>
  <c r="L214" i="8" s="1"/>
  <c r="K214" i="8"/>
  <c r="G214" i="8" s="1"/>
  <c r="K220" i="7"/>
  <c r="J219" i="7"/>
  <c r="L220" i="7" s="1"/>
  <c r="J224" i="6"/>
  <c r="L225" i="6" s="1"/>
  <c r="H224" i="6"/>
  <c r="I225" i="6" s="1"/>
  <c r="J199" i="5"/>
  <c r="L200" i="5" s="1"/>
  <c r="K200" i="5"/>
  <c r="H200" i="5" s="1"/>
  <c r="J214" i="8" l="1"/>
  <c r="L215" i="8" s="1"/>
  <c r="H214" i="8"/>
  <c r="I215" i="8" s="1"/>
  <c r="H220" i="7"/>
  <c r="I221" i="7" s="1"/>
  <c r="G220" i="7"/>
  <c r="K225" i="6"/>
  <c r="H225" i="6" s="1"/>
  <c r="I226" i="6" s="1"/>
  <c r="G200" i="5"/>
  <c r="I201" i="5"/>
  <c r="K215" i="8" l="1"/>
  <c r="G215" i="8" s="1"/>
  <c r="J220" i="7"/>
  <c r="L221" i="7" s="1"/>
  <c r="K221" i="7"/>
  <c r="H221" i="7" s="1"/>
  <c r="I222" i="7" s="1"/>
  <c r="G225" i="6"/>
  <c r="J200" i="5"/>
  <c r="L201" i="5" s="1"/>
  <c r="K201" i="5"/>
  <c r="G201" i="5" s="1"/>
  <c r="J215" i="8" l="1"/>
  <c r="L216" i="8" s="1"/>
  <c r="H215" i="8"/>
  <c r="I216" i="8" s="1"/>
  <c r="G221" i="7"/>
  <c r="K226" i="6"/>
  <c r="J225" i="6"/>
  <c r="L226" i="6" s="1"/>
  <c r="H201" i="5"/>
  <c r="J201" i="5"/>
  <c r="L202" i="5" s="1"/>
  <c r="K216" i="8" l="1"/>
  <c r="G216" i="8" s="1"/>
  <c r="K222" i="7"/>
  <c r="J221" i="7"/>
  <c r="L222" i="7" s="1"/>
  <c r="G226" i="6"/>
  <c r="H226" i="6"/>
  <c r="I227" i="6" s="1"/>
  <c r="I202" i="5"/>
  <c r="K202" i="5"/>
  <c r="J216" i="8" l="1"/>
  <c r="L217" i="8" s="1"/>
  <c r="H216" i="8"/>
  <c r="I217" i="8" s="1"/>
  <c r="H222" i="7"/>
  <c r="I223" i="7" s="1"/>
  <c r="G222" i="7"/>
  <c r="G227" i="6"/>
  <c r="H227" i="6"/>
  <c r="I228" i="6" s="1"/>
  <c r="K227" i="6"/>
  <c r="J226" i="6"/>
  <c r="L227" i="6" s="1"/>
  <c r="H202" i="5"/>
  <c r="G202" i="5"/>
  <c r="I203" i="5"/>
  <c r="K217" i="8" l="1"/>
  <c r="H217" i="8" s="1"/>
  <c r="I218" i="8" s="1"/>
  <c r="K223" i="7"/>
  <c r="J222" i="7"/>
  <c r="L223" i="7" s="1"/>
  <c r="G223" i="7"/>
  <c r="H223" i="7"/>
  <c r="I224" i="7" s="1"/>
  <c r="K228" i="6"/>
  <c r="H228" i="6" s="1"/>
  <c r="I229" i="6" s="1"/>
  <c r="J227" i="6"/>
  <c r="L228" i="6" s="1"/>
  <c r="K203" i="5"/>
  <c r="G203" i="5" s="1"/>
  <c r="J202" i="5"/>
  <c r="L203" i="5" s="1"/>
  <c r="G217" i="8" l="1"/>
  <c r="J223" i="7"/>
  <c r="L224" i="7" s="1"/>
  <c r="K224" i="7"/>
  <c r="H224" i="7" s="1"/>
  <c r="I225" i="7" s="1"/>
  <c r="G228" i="6"/>
  <c r="H203" i="5"/>
  <c r="I204" i="5" s="1"/>
  <c r="J203" i="5"/>
  <c r="L204" i="5" s="1"/>
  <c r="K218" i="8" l="1"/>
  <c r="J217" i="8"/>
  <c r="L218" i="8" s="1"/>
  <c r="G224" i="7"/>
  <c r="K229" i="6"/>
  <c r="J228" i="6"/>
  <c r="L229" i="6" s="1"/>
  <c r="K204" i="5"/>
  <c r="G204" i="5" s="1"/>
  <c r="H218" i="8" l="1"/>
  <c r="I219" i="8" s="1"/>
  <c r="G218" i="8"/>
  <c r="J224" i="7"/>
  <c r="L225" i="7" s="1"/>
  <c r="K225" i="7"/>
  <c r="H229" i="6"/>
  <c r="I230" i="6" s="1"/>
  <c r="G229" i="6"/>
  <c r="H204" i="5"/>
  <c r="J204" i="5"/>
  <c r="L205" i="5" s="1"/>
  <c r="I205" i="5"/>
  <c r="K219" i="8" l="1"/>
  <c r="J218" i="8"/>
  <c r="L219" i="8" s="1"/>
  <c r="H219" i="8"/>
  <c r="I220" i="8" s="1"/>
  <c r="G219" i="8"/>
  <c r="G225" i="7"/>
  <c r="H225" i="7"/>
  <c r="I226" i="7" s="1"/>
  <c r="J229" i="6"/>
  <c r="L230" i="6" s="1"/>
  <c r="K230" i="6"/>
  <c r="H230" i="6" s="1"/>
  <c r="I231" i="6" s="1"/>
  <c r="G230" i="6"/>
  <c r="K205" i="5"/>
  <c r="K220" i="8" l="1"/>
  <c r="J219" i="8"/>
  <c r="L220" i="8" s="1"/>
  <c r="H220" i="8"/>
  <c r="I221" i="8" s="1"/>
  <c r="G220" i="8"/>
  <c r="J225" i="7"/>
  <c r="L226" i="7" s="1"/>
  <c r="K226" i="7"/>
  <c r="G226" i="7" s="1"/>
  <c r="K231" i="6"/>
  <c r="H231" i="6" s="1"/>
  <c r="I232" i="6" s="1"/>
  <c r="J230" i="6"/>
  <c r="L231" i="6" s="1"/>
  <c r="H205" i="5"/>
  <c r="I206" i="5" s="1"/>
  <c r="G205" i="5"/>
  <c r="J220" i="8" l="1"/>
  <c r="L221" i="8" s="1"/>
  <c r="K221" i="8"/>
  <c r="H221" i="8" s="1"/>
  <c r="I222" i="8" s="1"/>
  <c r="J226" i="7"/>
  <c r="L227" i="7" s="1"/>
  <c r="H226" i="7"/>
  <c r="I227" i="7" s="1"/>
  <c r="G231" i="6"/>
  <c r="K206" i="5"/>
  <c r="J205" i="5"/>
  <c r="L206" i="5" s="1"/>
  <c r="G221" i="8" l="1"/>
  <c r="G227" i="7"/>
  <c r="H227" i="7"/>
  <c r="I228" i="7" s="1"/>
  <c r="K227" i="7"/>
  <c r="J231" i="6"/>
  <c r="L232" i="6" s="1"/>
  <c r="K232" i="6"/>
  <c r="H206" i="5"/>
  <c r="I207" i="5"/>
  <c r="G206" i="5"/>
  <c r="K222" i="8" l="1"/>
  <c r="J221" i="8"/>
  <c r="L222" i="8" s="1"/>
  <c r="K228" i="7"/>
  <c r="H228" i="7" s="1"/>
  <c r="I229" i="7" s="1"/>
  <c r="J227" i="7"/>
  <c r="L228" i="7" s="1"/>
  <c r="H232" i="6"/>
  <c r="I233" i="6" s="1"/>
  <c r="G232" i="6"/>
  <c r="J206" i="5"/>
  <c r="L207" i="5" s="1"/>
  <c r="K207" i="5"/>
  <c r="H207" i="5" s="1"/>
  <c r="I208" i="5" s="1"/>
  <c r="H222" i="8" l="1"/>
  <c r="I223" i="8" s="1"/>
  <c r="G222" i="8"/>
  <c r="G228" i="7"/>
  <c r="K233" i="6"/>
  <c r="J232" i="6"/>
  <c r="L233" i="6" s="1"/>
  <c r="H233" i="6"/>
  <c r="I234" i="6" s="1"/>
  <c r="G233" i="6"/>
  <c r="G207" i="5"/>
  <c r="J207" i="5" s="1"/>
  <c r="L208" i="5" s="1"/>
  <c r="J222" i="8" l="1"/>
  <c r="L223" i="8" s="1"/>
  <c r="K223" i="8"/>
  <c r="H223" i="8" s="1"/>
  <c r="I224" i="8" s="1"/>
  <c r="K229" i="7"/>
  <c r="J228" i="7"/>
  <c r="L229" i="7" s="1"/>
  <c r="K234" i="6"/>
  <c r="J233" i="6"/>
  <c r="L234" i="6" s="1"/>
  <c r="H234" i="6"/>
  <c r="I235" i="6" s="1"/>
  <c r="G234" i="6"/>
  <c r="K208" i="5"/>
  <c r="G208" i="5"/>
  <c r="G223" i="8" l="1"/>
  <c r="G229" i="7"/>
  <c r="H229" i="7"/>
  <c r="I230" i="7" s="1"/>
  <c r="K235" i="6"/>
  <c r="J234" i="6"/>
  <c r="L235" i="6" s="1"/>
  <c r="H235" i="6"/>
  <c r="I236" i="6" s="1"/>
  <c r="G235" i="6"/>
  <c r="H208" i="5"/>
  <c r="I209" i="5" s="1"/>
  <c r="J208" i="5"/>
  <c r="L209" i="5" s="1"/>
  <c r="K224" i="8" l="1"/>
  <c r="J223" i="8"/>
  <c r="L224" i="8" s="1"/>
  <c r="K230" i="7"/>
  <c r="G230" i="7" s="1"/>
  <c r="J229" i="7"/>
  <c r="L230" i="7" s="1"/>
  <c r="J235" i="6"/>
  <c r="L236" i="6" s="1"/>
  <c r="K236" i="6"/>
  <c r="H236" i="6"/>
  <c r="I237" i="6" s="1"/>
  <c r="G236" i="6"/>
  <c r="K209" i="5"/>
  <c r="H209" i="5" s="1"/>
  <c r="I210" i="5" s="1"/>
  <c r="H224" i="8" l="1"/>
  <c r="I225" i="8" s="1"/>
  <c r="G224" i="8"/>
  <c r="J230" i="7"/>
  <c r="L231" i="7" s="1"/>
  <c r="H230" i="7"/>
  <c r="I231" i="7" s="1"/>
  <c r="K237" i="6"/>
  <c r="J236" i="6"/>
  <c r="L237" i="6" s="1"/>
  <c r="G237" i="6"/>
  <c r="G209" i="5"/>
  <c r="J209" i="5" s="1"/>
  <c r="L210" i="5" s="1"/>
  <c r="J224" i="8" l="1"/>
  <c r="L225" i="8" s="1"/>
  <c r="K225" i="8"/>
  <c r="H225" i="8"/>
  <c r="I226" i="8" s="1"/>
  <c r="G225" i="8"/>
  <c r="K231" i="7"/>
  <c r="H231" i="7" s="1"/>
  <c r="I232" i="7" s="1"/>
  <c r="J237" i="6"/>
  <c r="L238" i="6" s="1"/>
  <c r="H237" i="6"/>
  <c r="I238" i="6" s="1"/>
  <c r="K210" i="5"/>
  <c r="G210" i="5"/>
  <c r="J225" i="8" l="1"/>
  <c r="L226" i="8" s="1"/>
  <c r="K226" i="8"/>
  <c r="H226" i="8" s="1"/>
  <c r="I227" i="8" s="1"/>
  <c r="G226" i="8"/>
  <c r="G231" i="7"/>
  <c r="K238" i="6"/>
  <c r="H238" i="6" s="1"/>
  <c r="I239" i="6" s="1"/>
  <c r="H210" i="5"/>
  <c r="I211" i="5" s="1"/>
  <c r="J210" i="5"/>
  <c r="L211" i="5" s="1"/>
  <c r="H227" i="8" l="1"/>
  <c r="I228" i="8" s="1"/>
  <c r="G227" i="8"/>
  <c r="J226" i="8"/>
  <c r="L227" i="8" s="1"/>
  <c r="K227" i="8"/>
  <c r="K232" i="7"/>
  <c r="J231" i="7"/>
  <c r="L232" i="7" s="1"/>
  <c r="G238" i="6"/>
  <c r="K211" i="5"/>
  <c r="H211" i="5" s="1"/>
  <c r="I212" i="5" s="1"/>
  <c r="H212" i="5" s="1"/>
  <c r="J227" i="8" l="1"/>
  <c r="L228" i="8" s="1"/>
  <c r="K228" i="8"/>
  <c r="H228" i="8"/>
  <c r="I229" i="8" s="1"/>
  <c r="G228" i="8"/>
  <c r="H232" i="7"/>
  <c r="I233" i="7" s="1"/>
  <c r="G232" i="7"/>
  <c r="J238" i="6"/>
  <c r="L239" i="6" s="1"/>
  <c r="K239" i="6"/>
  <c r="G211" i="5"/>
  <c r="K212" i="5"/>
  <c r="G212" i="5" s="1"/>
  <c r="J211" i="5"/>
  <c r="L212" i="5" s="1"/>
  <c r="K229" i="8" l="1"/>
  <c r="J228" i="8"/>
  <c r="L229" i="8" s="1"/>
  <c r="G229" i="8"/>
  <c r="J232" i="7"/>
  <c r="L233" i="7" s="1"/>
  <c r="K233" i="7"/>
  <c r="H233" i="7"/>
  <c r="I234" i="7" s="1"/>
  <c r="G233" i="7"/>
  <c r="G239" i="6"/>
  <c r="H239" i="6"/>
  <c r="I240" i="6" s="1"/>
  <c r="J212" i="5"/>
  <c r="L213" i="5" s="1"/>
  <c r="I213" i="5"/>
  <c r="J229" i="8" l="1"/>
  <c r="L230" i="8" s="1"/>
  <c r="H229" i="8"/>
  <c r="I230" i="8" s="1"/>
  <c r="J233" i="7"/>
  <c r="L234" i="7" s="1"/>
  <c r="K234" i="7"/>
  <c r="H234" i="7"/>
  <c r="I235" i="7" s="1"/>
  <c r="G234" i="7"/>
  <c r="K240" i="6"/>
  <c r="G240" i="6" s="1"/>
  <c r="J239" i="6"/>
  <c r="L240" i="6" s="1"/>
  <c r="K213" i="5"/>
  <c r="K230" i="8" l="1"/>
  <c r="G230" i="8" s="1"/>
  <c r="K235" i="7"/>
  <c r="J234" i="7"/>
  <c r="L235" i="7" s="1"/>
  <c r="G235" i="7"/>
  <c r="H235" i="7"/>
  <c r="I236" i="7" s="1"/>
  <c r="J240" i="6"/>
  <c r="L241" i="6" s="1"/>
  <c r="H240" i="6"/>
  <c r="I241" i="6" s="1"/>
  <c r="H213" i="5"/>
  <c r="I214" i="5" s="1"/>
  <c r="G213" i="5"/>
  <c r="J230" i="8" l="1"/>
  <c r="L231" i="8" s="1"/>
  <c r="H230" i="8"/>
  <c r="I231" i="8" s="1"/>
  <c r="J235" i="7"/>
  <c r="L236" i="7" s="1"/>
  <c r="K236" i="7"/>
  <c r="H236" i="7" s="1"/>
  <c r="I237" i="7" s="1"/>
  <c r="H241" i="6"/>
  <c r="I242" i="6" s="1"/>
  <c r="G241" i="6"/>
  <c r="K241" i="6"/>
  <c r="J213" i="5"/>
  <c r="L214" i="5" s="1"/>
  <c r="K214" i="5"/>
  <c r="H214" i="5" s="1"/>
  <c r="K231" i="8" l="1"/>
  <c r="G231" i="8" s="1"/>
  <c r="G236" i="7"/>
  <c r="J241" i="6"/>
  <c r="L242" i="6" s="1"/>
  <c r="K242" i="6"/>
  <c r="G242" i="6"/>
  <c r="H242" i="6"/>
  <c r="I243" i="6" s="1"/>
  <c r="I215" i="5"/>
  <c r="G214" i="5"/>
  <c r="J231" i="8" l="1"/>
  <c r="L232" i="8" s="1"/>
  <c r="H231" i="8"/>
  <c r="I232" i="8" s="1"/>
  <c r="J236" i="7"/>
  <c r="L237" i="7" s="1"/>
  <c r="K237" i="7"/>
  <c r="J242" i="6"/>
  <c r="L243" i="6" s="1"/>
  <c r="K243" i="6"/>
  <c r="G243" i="6" s="1"/>
  <c r="K215" i="5"/>
  <c r="J214" i="5"/>
  <c r="L215" i="5" s="1"/>
  <c r="G215" i="5"/>
  <c r="K232" i="8" l="1"/>
  <c r="G232" i="8" s="1"/>
  <c r="G237" i="7"/>
  <c r="H237" i="7"/>
  <c r="I238" i="7" s="1"/>
  <c r="J243" i="6"/>
  <c r="L244" i="6" s="1"/>
  <c r="H243" i="6"/>
  <c r="I244" i="6" s="1"/>
  <c r="H215" i="5"/>
  <c r="J215" i="5"/>
  <c r="L216" i="5" s="1"/>
  <c r="I216" i="5"/>
  <c r="J232" i="8" l="1"/>
  <c r="L233" i="8" s="1"/>
  <c r="H232" i="8"/>
  <c r="I233" i="8" s="1"/>
  <c r="J237" i="7"/>
  <c r="L238" i="7" s="1"/>
  <c r="K238" i="7"/>
  <c r="G238" i="7" s="1"/>
  <c r="K244" i="6"/>
  <c r="H244" i="6" s="1"/>
  <c r="I245" i="6" s="1"/>
  <c r="K216" i="5"/>
  <c r="K233" i="8" l="1"/>
  <c r="H233" i="8" s="1"/>
  <c r="I234" i="8" s="1"/>
  <c r="J238" i="7"/>
  <c r="L239" i="7" s="1"/>
  <c r="H238" i="7"/>
  <c r="I239" i="7" s="1"/>
  <c r="G244" i="6"/>
  <c r="H216" i="5"/>
  <c r="I217" i="5" s="1"/>
  <c r="G216" i="5"/>
  <c r="G233" i="8" l="1"/>
  <c r="K239" i="7"/>
  <c r="H239" i="7" s="1"/>
  <c r="I240" i="7" s="1"/>
  <c r="J244" i="6"/>
  <c r="L245" i="6" s="1"/>
  <c r="K245" i="6"/>
  <c r="J216" i="5"/>
  <c r="L217" i="5" s="1"/>
  <c r="K217" i="5"/>
  <c r="H217" i="5" s="1"/>
  <c r="K234" i="8" l="1"/>
  <c r="J233" i="8"/>
  <c r="L234" i="8" s="1"/>
  <c r="G239" i="7"/>
  <c r="H245" i="6"/>
  <c r="I246" i="6" s="1"/>
  <c r="G245" i="6"/>
  <c r="I218" i="5"/>
  <c r="G217" i="5"/>
  <c r="H234" i="8" l="1"/>
  <c r="I235" i="8" s="1"/>
  <c r="G234" i="8"/>
  <c r="K240" i="7"/>
  <c r="J239" i="7"/>
  <c r="L240" i="7" s="1"/>
  <c r="K246" i="6"/>
  <c r="J245" i="6"/>
  <c r="L246" i="6" s="1"/>
  <c r="G246" i="6"/>
  <c r="H246" i="6"/>
  <c r="I247" i="6" s="1"/>
  <c r="K218" i="5"/>
  <c r="J217" i="5"/>
  <c r="L218" i="5" s="1"/>
  <c r="G218" i="5"/>
  <c r="K235" i="8" l="1"/>
  <c r="J234" i="8"/>
  <c r="L235" i="8" s="1"/>
  <c r="G235" i="8"/>
  <c r="H240" i="7"/>
  <c r="I241" i="7" s="1"/>
  <c r="G240" i="7"/>
  <c r="K247" i="6"/>
  <c r="H247" i="6" s="1"/>
  <c r="I248" i="6" s="1"/>
  <c r="J246" i="6"/>
  <c r="L247" i="6" s="1"/>
  <c r="H218" i="5"/>
  <c r="I219" i="5" s="1"/>
  <c r="J218" i="5"/>
  <c r="L219" i="5" s="1"/>
  <c r="J235" i="8" l="1"/>
  <c r="L236" i="8" s="1"/>
  <c r="H235" i="8"/>
  <c r="I236" i="8" s="1"/>
  <c r="J240" i="7"/>
  <c r="L241" i="7" s="1"/>
  <c r="K241" i="7"/>
  <c r="G241" i="7"/>
  <c r="H241" i="7"/>
  <c r="I242" i="7" s="1"/>
  <c r="G247" i="6"/>
  <c r="K219" i="5"/>
  <c r="H219" i="5"/>
  <c r="I220" i="5" s="1"/>
  <c r="G219" i="5"/>
  <c r="K236" i="8" l="1"/>
  <c r="H236" i="8" s="1"/>
  <c r="I237" i="8" s="1"/>
  <c r="K242" i="7"/>
  <c r="H242" i="7" s="1"/>
  <c r="I243" i="7" s="1"/>
  <c r="J241" i="7"/>
  <c r="L242" i="7" s="1"/>
  <c r="J247" i="6"/>
  <c r="L248" i="6" s="1"/>
  <c r="K248" i="6"/>
  <c r="J219" i="5"/>
  <c r="L220" i="5" s="1"/>
  <c r="K220" i="5"/>
  <c r="H220" i="5" s="1"/>
  <c r="G236" i="8" l="1"/>
  <c r="G242" i="7"/>
  <c r="H248" i="6"/>
  <c r="I249" i="6" s="1"/>
  <c r="G248" i="6"/>
  <c r="I221" i="5"/>
  <c r="G220" i="5"/>
  <c r="J236" i="8" l="1"/>
  <c r="L237" i="8" s="1"/>
  <c r="K237" i="8"/>
  <c r="J242" i="7"/>
  <c r="L243" i="7" s="1"/>
  <c r="K243" i="7"/>
  <c r="K249" i="6"/>
  <c r="J248" i="6"/>
  <c r="L249" i="6" s="1"/>
  <c r="H249" i="6"/>
  <c r="I250" i="6" s="1"/>
  <c r="G249" i="6"/>
  <c r="J220" i="5"/>
  <c r="L221" i="5" s="1"/>
  <c r="K221" i="5"/>
  <c r="H221" i="5" s="1"/>
  <c r="I222" i="5" s="1"/>
  <c r="G221" i="5"/>
  <c r="H237" i="8" l="1"/>
  <c r="I238" i="8" s="1"/>
  <c r="G237" i="8"/>
  <c r="H243" i="7"/>
  <c r="I244" i="7" s="1"/>
  <c r="G243" i="7"/>
  <c r="J249" i="6"/>
  <c r="L250" i="6" s="1"/>
  <c r="K250" i="6"/>
  <c r="H250" i="6"/>
  <c r="I251" i="6" s="1"/>
  <c r="G250" i="6"/>
  <c r="K222" i="5"/>
  <c r="J221" i="5"/>
  <c r="L222" i="5" s="1"/>
  <c r="K238" i="8" l="1"/>
  <c r="J237" i="8"/>
  <c r="L238" i="8" s="1"/>
  <c r="H238" i="8"/>
  <c r="I239" i="8" s="1"/>
  <c r="G238" i="8"/>
  <c r="J243" i="7"/>
  <c r="L244" i="7" s="1"/>
  <c r="K244" i="7"/>
  <c r="H244" i="7" s="1"/>
  <c r="I245" i="7" s="1"/>
  <c r="G244" i="7"/>
  <c r="J250" i="6"/>
  <c r="L251" i="6" s="1"/>
  <c r="K251" i="6"/>
  <c r="G251" i="6" s="1"/>
  <c r="H251" i="6"/>
  <c r="I252" i="6" s="1"/>
  <c r="H222" i="5"/>
  <c r="I223" i="5"/>
  <c r="G222" i="5"/>
  <c r="J238" i="8" l="1"/>
  <c r="L239" i="8" s="1"/>
  <c r="K239" i="8"/>
  <c r="G239" i="8" s="1"/>
  <c r="K245" i="7"/>
  <c r="H245" i="7" s="1"/>
  <c r="I246" i="7" s="1"/>
  <c r="J244" i="7"/>
  <c r="L245" i="7" s="1"/>
  <c r="J251" i="6"/>
  <c r="L252" i="6" s="1"/>
  <c r="K252" i="6"/>
  <c r="H252" i="6"/>
  <c r="I253" i="6" s="1"/>
  <c r="G252" i="6"/>
  <c r="J222" i="5"/>
  <c r="L223" i="5" s="1"/>
  <c r="K223" i="5"/>
  <c r="H223" i="5" s="1"/>
  <c r="J239" i="8" l="1"/>
  <c r="L240" i="8" s="1"/>
  <c r="H239" i="8"/>
  <c r="I240" i="8" s="1"/>
  <c r="G245" i="7"/>
  <c r="K253" i="6"/>
  <c r="J252" i="6"/>
  <c r="L253" i="6" s="1"/>
  <c r="H253" i="6"/>
  <c r="I254" i="6" s="1"/>
  <c r="G253" i="6"/>
  <c r="G223" i="5"/>
  <c r="K240" i="8" l="1"/>
  <c r="H240" i="8" s="1"/>
  <c r="I241" i="8" s="1"/>
  <c r="J245" i="7"/>
  <c r="L246" i="7" s="1"/>
  <c r="K246" i="7"/>
  <c r="J253" i="6"/>
  <c r="L254" i="6" s="1"/>
  <c r="K254" i="6"/>
  <c r="H254" i="6"/>
  <c r="I255" i="6" s="1"/>
  <c r="G254" i="6"/>
  <c r="I224" i="5"/>
  <c r="K224" i="5"/>
  <c r="J223" i="5"/>
  <c r="L224" i="5" s="1"/>
  <c r="H241" i="8" l="1"/>
  <c r="I242" i="8" s="1"/>
  <c r="G241" i="8"/>
  <c r="G240" i="8"/>
  <c r="H246" i="7"/>
  <c r="I247" i="7" s="1"/>
  <c r="G246" i="7"/>
  <c r="J254" i="6"/>
  <c r="L255" i="6" s="1"/>
  <c r="K255" i="6"/>
  <c r="G255" i="6"/>
  <c r="H255" i="6"/>
  <c r="I256" i="6" s="1"/>
  <c r="H224" i="5"/>
  <c r="G224" i="5"/>
  <c r="I225" i="5"/>
  <c r="K241" i="8" l="1"/>
  <c r="J240" i="8"/>
  <c r="L241" i="8" s="1"/>
  <c r="J241" i="8"/>
  <c r="L242" i="8" s="1"/>
  <c r="K242" i="8"/>
  <c r="G242" i="8"/>
  <c r="H242" i="8"/>
  <c r="I243" i="8" s="1"/>
  <c r="K247" i="7"/>
  <c r="J246" i="7"/>
  <c r="L247" i="7" s="1"/>
  <c r="G247" i="7"/>
  <c r="H247" i="7"/>
  <c r="I248" i="7" s="1"/>
  <c r="K256" i="6"/>
  <c r="J255" i="6"/>
  <c r="L256" i="6" s="1"/>
  <c r="G256" i="6"/>
  <c r="H256" i="6"/>
  <c r="I257" i="6" s="1"/>
  <c r="K225" i="5"/>
  <c r="G225" i="5" s="1"/>
  <c r="J224" i="5"/>
  <c r="L225" i="5" s="1"/>
  <c r="J242" i="8" l="1"/>
  <c r="L243" i="8" s="1"/>
  <c r="K243" i="8"/>
  <c r="H243" i="8" s="1"/>
  <c r="I244" i="8" s="1"/>
  <c r="K248" i="7"/>
  <c r="H248" i="7" s="1"/>
  <c r="I249" i="7" s="1"/>
  <c r="J247" i="7"/>
  <c r="L248" i="7" s="1"/>
  <c r="J256" i="6"/>
  <c r="L257" i="6" s="1"/>
  <c r="K257" i="6"/>
  <c r="H257" i="6" s="1"/>
  <c r="I258" i="6" s="1"/>
  <c r="H225" i="5"/>
  <c r="J225" i="5"/>
  <c r="L226" i="5" s="1"/>
  <c r="I226" i="5"/>
  <c r="G243" i="8" l="1"/>
  <c r="G248" i="7"/>
  <c r="G257" i="6"/>
  <c r="K226" i="5"/>
  <c r="G226" i="5" s="1"/>
  <c r="J243" i="8" l="1"/>
  <c r="L244" i="8" s="1"/>
  <c r="K244" i="8"/>
  <c r="J248" i="7"/>
  <c r="L249" i="7" s="1"/>
  <c r="K249" i="7"/>
  <c r="K258" i="6"/>
  <c r="J257" i="6"/>
  <c r="L258" i="6" s="1"/>
  <c r="H226" i="5"/>
  <c r="J226" i="5"/>
  <c r="L227" i="5" s="1"/>
  <c r="I227" i="5"/>
  <c r="H227" i="5" s="1"/>
  <c r="H244" i="8" l="1"/>
  <c r="I245" i="8" s="1"/>
  <c r="G244" i="8"/>
  <c r="H249" i="7"/>
  <c r="I250" i="7" s="1"/>
  <c r="G249" i="7"/>
  <c r="G258" i="6"/>
  <c r="H258" i="6"/>
  <c r="I259" i="6" s="1"/>
  <c r="K227" i="5"/>
  <c r="I228" i="5" s="1"/>
  <c r="K245" i="8" l="1"/>
  <c r="J244" i="8"/>
  <c r="L245" i="8" s="1"/>
  <c r="H245" i="8"/>
  <c r="I246" i="8" s="1"/>
  <c r="G245" i="8"/>
  <c r="J249" i="7"/>
  <c r="L250" i="7" s="1"/>
  <c r="K250" i="7"/>
  <c r="H250" i="7" s="1"/>
  <c r="I251" i="7" s="1"/>
  <c r="G250" i="7"/>
  <c r="K259" i="6"/>
  <c r="G259" i="6" s="1"/>
  <c r="J258" i="6"/>
  <c r="L259" i="6" s="1"/>
  <c r="G227" i="5"/>
  <c r="J245" i="8" l="1"/>
  <c r="L246" i="8" s="1"/>
  <c r="K246" i="8"/>
  <c r="H246" i="8"/>
  <c r="I247" i="8" s="1"/>
  <c r="G246" i="8"/>
  <c r="K251" i="7"/>
  <c r="H251" i="7" s="1"/>
  <c r="I252" i="7" s="1"/>
  <c r="J250" i="7"/>
  <c r="L251" i="7" s="1"/>
  <c r="J259" i="6"/>
  <c r="L260" i="6" s="1"/>
  <c r="H259" i="6"/>
  <c r="I260" i="6" s="1"/>
  <c r="K228" i="5"/>
  <c r="H228" i="5" s="1"/>
  <c r="J227" i="5"/>
  <c r="L228" i="5" s="1"/>
  <c r="K247" i="8" l="1"/>
  <c r="J246" i="8"/>
  <c r="L247" i="8" s="1"/>
  <c r="G247" i="8"/>
  <c r="H247" i="8"/>
  <c r="I248" i="8" s="1"/>
  <c r="G251" i="7"/>
  <c r="K260" i="6"/>
  <c r="G260" i="6" s="1"/>
  <c r="I229" i="5"/>
  <c r="G228" i="5"/>
  <c r="J247" i="8" l="1"/>
  <c r="L248" i="8" s="1"/>
  <c r="K248" i="8"/>
  <c r="G248" i="8" s="1"/>
  <c r="K252" i="7"/>
  <c r="J251" i="7"/>
  <c r="L252" i="7" s="1"/>
  <c r="J260" i="6"/>
  <c r="L261" i="6" s="1"/>
  <c r="H260" i="6"/>
  <c r="I261" i="6" s="1"/>
  <c r="J228" i="5"/>
  <c r="L229" i="5" s="1"/>
  <c r="K229" i="5"/>
  <c r="H229" i="5" s="1"/>
  <c r="I230" i="5" s="1"/>
  <c r="J248" i="8" l="1"/>
  <c r="L249" i="8" s="1"/>
  <c r="H248" i="8"/>
  <c r="I249" i="8" s="1"/>
  <c r="H252" i="7"/>
  <c r="I253" i="7" s="1"/>
  <c r="G252" i="7"/>
  <c r="K261" i="6"/>
  <c r="H261" i="6" s="1"/>
  <c r="I262" i="6" s="1"/>
  <c r="G229" i="5"/>
  <c r="J229" i="5" s="1"/>
  <c r="L230" i="5" s="1"/>
  <c r="K249" i="8" l="1"/>
  <c r="G249" i="8" s="1"/>
  <c r="J252" i="7"/>
  <c r="L253" i="7" s="1"/>
  <c r="K253" i="7"/>
  <c r="H253" i="7" s="1"/>
  <c r="I254" i="7" s="1"/>
  <c r="G253" i="7"/>
  <c r="G261" i="6"/>
  <c r="K230" i="5"/>
  <c r="J249" i="8" l="1"/>
  <c r="L250" i="8" s="1"/>
  <c r="H249" i="8"/>
  <c r="I250" i="8" s="1"/>
  <c r="K254" i="7"/>
  <c r="G254" i="7" s="1"/>
  <c r="J253" i="7"/>
  <c r="L254" i="7" s="1"/>
  <c r="J261" i="6"/>
  <c r="L262" i="6" s="1"/>
  <c r="K262" i="6"/>
  <c r="H230" i="5"/>
  <c r="I231" i="5" s="1"/>
  <c r="G230" i="5"/>
  <c r="K250" i="8" l="1"/>
  <c r="H250" i="8" s="1"/>
  <c r="I251" i="8" s="1"/>
  <c r="J254" i="7"/>
  <c r="L255" i="7" s="1"/>
  <c r="H254" i="7"/>
  <c r="I255" i="7" s="1"/>
  <c r="H262" i="6"/>
  <c r="I263" i="6" s="1"/>
  <c r="G262" i="6"/>
  <c r="K231" i="5"/>
  <c r="G231" i="5" s="1"/>
  <c r="J230" i="5"/>
  <c r="L231" i="5" s="1"/>
  <c r="H231" i="5"/>
  <c r="I232" i="5" s="1"/>
  <c r="G250" i="8" l="1"/>
  <c r="K255" i="7"/>
  <c r="H255" i="7"/>
  <c r="I256" i="7" s="1"/>
  <c r="G255" i="7"/>
  <c r="K263" i="6"/>
  <c r="J262" i="6"/>
  <c r="L263" i="6" s="1"/>
  <c r="H263" i="6"/>
  <c r="I264" i="6" s="1"/>
  <c r="G263" i="6"/>
  <c r="K232" i="5"/>
  <c r="G232" i="5" s="1"/>
  <c r="J231" i="5"/>
  <c r="L232" i="5" s="1"/>
  <c r="K251" i="8" l="1"/>
  <c r="J250" i="8"/>
  <c r="L251" i="8" s="1"/>
  <c r="K256" i="7"/>
  <c r="H256" i="7" s="1"/>
  <c r="I257" i="7" s="1"/>
  <c r="J255" i="7"/>
  <c r="L256" i="7" s="1"/>
  <c r="J263" i="6"/>
  <c r="L264" i="6" s="1"/>
  <c r="K264" i="6"/>
  <c r="H264" i="6" s="1"/>
  <c r="I265" i="6" s="1"/>
  <c r="J232" i="5"/>
  <c r="L233" i="5" s="1"/>
  <c r="H232" i="5"/>
  <c r="I233" i="5" s="1"/>
  <c r="K233" i="5"/>
  <c r="G233" i="5" s="1"/>
  <c r="H251" i="8" l="1"/>
  <c r="I252" i="8" s="1"/>
  <c r="G251" i="8"/>
  <c r="G256" i="7"/>
  <c r="G264" i="6"/>
  <c r="H233" i="5"/>
  <c r="J233" i="5"/>
  <c r="L234" i="5" s="1"/>
  <c r="I234" i="5"/>
  <c r="K252" i="8" l="1"/>
  <c r="J251" i="8"/>
  <c r="L252" i="8" s="1"/>
  <c r="H252" i="8"/>
  <c r="I253" i="8" s="1"/>
  <c r="G252" i="8"/>
  <c r="J256" i="7"/>
  <c r="L257" i="7" s="1"/>
  <c r="K257" i="7"/>
  <c r="K265" i="6"/>
  <c r="J264" i="6"/>
  <c r="L265" i="6" s="1"/>
  <c r="K234" i="5"/>
  <c r="G234" i="5" s="1"/>
  <c r="J252" i="8" l="1"/>
  <c r="L253" i="8" s="1"/>
  <c r="K253" i="8"/>
  <c r="G253" i="8"/>
  <c r="H253" i="8"/>
  <c r="I254" i="8" s="1"/>
  <c r="G257" i="7"/>
  <c r="H257" i="7"/>
  <c r="I258" i="7" s="1"/>
  <c r="H265" i="6"/>
  <c r="I266" i="6" s="1"/>
  <c r="G265" i="6"/>
  <c r="H234" i="5"/>
  <c r="I235" i="5" s="1"/>
  <c r="J234" i="5"/>
  <c r="L235" i="5" s="1"/>
  <c r="K254" i="8" l="1"/>
  <c r="J253" i="8"/>
  <c r="L254" i="8" s="1"/>
  <c r="H254" i="8"/>
  <c r="I255" i="8" s="1"/>
  <c r="G254" i="8"/>
  <c r="K258" i="7"/>
  <c r="H258" i="7" s="1"/>
  <c r="I259" i="7" s="1"/>
  <c r="J257" i="7"/>
  <c r="L258" i="7" s="1"/>
  <c r="K266" i="6"/>
  <c r="J265" i="6"/>
  <c r="L266" i="6" s="1"/>
  <c r="H266" i="6"/>
  <c r="I267" i="6" s="1"/>
  <c r="G266" i="6"/>
  <c r="K235" i="5"/>
  <c r="G235" i="5" s="1"/>
  <c r="J254" i="8" l="1"/>
  <c r="L255" i="8" s="1"/>
  <c r="K255" i="8"/>
  <c r="H255" i="8"/>
  <c r="I256" i="8" s="1"/>
  <c r="G255" i="8"/>
  <c r="G258" i="7"/>
  <c r="K267" i="6"/>
  <c r="J266" i="6"/>
  <c r="L267" i="6" s="1"/>
  <c r="G267" i="6"/>
  <c r="H235" i="5"/>
  <c r="J235" i="5"/>
  <c r="L236" i="5" s="1"/>
  <c r="I236" i="5"/>
  <c r="K256" i="8" l="1"/>
  <c r="J255" i="8"/>
  <c r="L256" i="8" s="1"/>
  <c r="H256" i="8"/>
  <c r="I257" i="8" s="1"/>
  <c r="G256" i="8"/>
  <c r="K259" i="7"/>
  <c r="J258" i="7"/>
  <c r="L259" i="7" s="1"/>
  <c r="J267" i="6"/>
  <c r="L268" i="6" s="1"/>
  <c r="H267" i="6"/>
  <c r="I268" i="6" s="1"/>
  <c r="K236" i="5"/>
  <c r="G236" i="5" s="1"/>
  <c r="K257" i="8" l="1"/>
  <c r="J256" i="8"/>
  <c r="L257" i="8" s="1"/>
  <c r="H257" i="8"/>
  <c r="I258" i="8" s="1"/>
  <c r="G257" i="8"/>
  <c r="H259" i="7"/>
  <c r="I260" i="7" s="1"/>
  <c r="G259" i="7"/>
  <c r="K268" i="6"/>
  <c r="H268" i="6" s="1"/>
  <c r="I269" i="6" s="1"/>
  <c r="H236" i="5"/>
  <c r="J236" i="5"/>
  <c r="L237" i="5" s="1"/>
  <c r="I237" i="5"/>
  <c r="K258" i="8" l="1"/>
  <c r="H258" i="8" s="1"/>
  <c r="I259" i="8" s="1"/>
  <c r="J257" i="8"/>
  <c r="L258" i="8" s="1"/>
  <c r="J259" i="7"/>
  <c r="L260" i="7" s="1"/>
  <c r="K260" i="7"/>
  <c r="G260" i="7"/>
  <c r="H260" i="7"/>
  <c r="I261" i="7" s="1"/>
  <c r="G269" i="6"/>
  <c r="H269" i="6"/>
  <c r="I270" i="6" s="1"/>
  <c r="G268" i="6"/>
  <c r="K237" i="5"/>
  <c r="G258" i="8" l="1"/>
  <c r="K261" i="7"/>
  <c r="G261" i="7" s="1"/>
  <c r="J260" i="7"/>
  <c r="L261" i="7" s="1"/>
  <c r="J268" i="6"/>
  <c r="L269" i="6" s="1"/>
  <c r="K269" i="6"/>
  <c r="K270" i="6"/>
  <c r="H270" i="6" s="1"/>
  <c r="I271" i="6" s="1"/>
  <c r="J269" i="6"/>
  <c r="L270" i="6" s="1"/>
  <c r="H237" i="5"/>
  <c r="I238" i="5" s="1"/>
  <c r="G237" i="5"/>
  <c r="K238" i="5" s="1"/>
  <c r="J258" i="8" l="1"/>
  <c r="L259" i="8" s="1"/>
  <c r="K259" i="8"/>
  <c r="J261" i="7"/>
  <c r="L262" i="7" s="1"/>
  <c r="H261" i="7"/>
  <c r="I262" i="7" s="1"/>
  <c r="G270" i="6"/>
  <c r="G238" i="5"/>
  <c r="J237" i="5"/>
  <c r="L238" i="5" s="1"/>
  <c r="H259" i="8" l="1"/>
  <c r="I260" i="8" s="1"/>
  <c r="G259" i="8"/>
  <c r="K262" i="7"/>
  <c r="H262" i="7"/>
  <c r="I263" i="7" s="1"/>
  <c r="G262" i="7"/>
  <c r="J270" i="6"/>
  <c r="L271" i="6" s="1"/>
  <c r="K271" i="6"/>
  <c r="J238" i="5"/>
  <c r="L239" i="5" s="1"/>
  <c r="H238" i="5"/>
  <c r="I239" i="5" s="1"/>
  <c r="K239" i="5"/>
  <c r="G239" i="5" s="1"/>
  <c r="J259" i="8" l="1"/>
  <c r="L260" i="8" s="1"/>
  <c r="K260" i="8"/>
  <c r="H260" i="8" s="1"/>
  <c r="I261" i="8" s="1"/>
  <c r="G260" i="8"/>
  <c r="K263" i="7"/>
  <c r="H263" i="7" s="1"/>
  <c r="I264" i="7" s="1"/>
  <c r="J262" i="7"/>
  <c r="L263" i="7" s="1"/>
  <c r="H271" i="6"/>
  <c r="I272" i="6" s="1"/>
  <c r="G271" i="6"/>
  <c r="H239" i="5"/>
  <c r="I240" i="5"/>
  <c r="J239" i="5"/>
  <c r="L240" i="5" s="1"/>
  <c r="K240" i="5"/>
  <c r="G240" i="5" s="1"/>
  <c r="K261" i="8" l="1"/>
  <c r="H261" i="8" s="1"/>
  <c r="I262" i="8" s="1"/>
  <c r="J260" i="8"/>
  <c r="L261" i="8" s="1"/>
  <c r="G263" i="7"/>
  <c r="K272" i="6"/>
  <c r="J271" i="6"/>
  <c r="L272" i="6" s="1"/>
  <c r="G272" i="6"/>
  <c r="H272" i="6"/>
  <c r="I273" i="6" s="1"/>
  <c r="H240" i="5"/>
  <c r="I241" i="5" s="1"/>
  <c r="H241" i="5" s="1"/>
  <c r="K241" i="5"/>
  <c r="J240" i="5"/>
  <c r="L241" i="5" s="1"/>
  <c r="G241" i="5"/>
  <c r="I242" i="5"/>
  <c r="G261" i="8" l="1"/>
  <c r="J263" i="7"/>
  <c r="L264" i="7" s="1"/>
  <c r="K264" i="7"/>
  <c r="J272" i="6"/>
  <c r="L273" i="6" s="1"/>
  <c r="K273" i="6"/>
  <c r="G273" i="6"/>
  <c r="H273" i="6"/>
  <c r="I274" i="6" s="1"/>
  <c r="J241" i="5"/>
  <c r="L242" i="5" s="1"/>
  <c r="K242" i="5"/>
  <c r="G242" i="5" s="1"/>
  <c r="J261" i="8" l="1"/>
  <c r="L262" i="8" s="1"/>
  <c r="K262" i="8"/>
  <c r="G264" i="7"/>
  <c r="H264" i="7"/>
  <c r="I265" i="7" s="1"/>
  <c r="J273" i="6"/>
  <c r="L274" i="6" s="1"/>
  <c r="K274" i="6"/>
  <c r="H274" i="6"/>
  <c r="I275" i="6" s="1"/>
  <c r="G274" i="6"/>
  <c r="H242" i="5"/>
  <c r="J242" i="5"/>
  <c r="L243" i="5" s="1"/>
  <c r="I243" i="5"/>
  <c r="H262" i="8" l="1"/>
  <c r="I263" i="8" s="1"/>
  <c r="G262" i="8"/>
  <c r="J264" i="7"/>
  <c r="L265" i="7" s="1"/>
  <c r="K265" i="7"/>
  <c r="G265" i="7" s="1"/>
  <c r="K275" i="6"/>
  <c r="G275" i="6" s="1"/>
  <c r="J274" i="6"/>
  <c r="L275" i="6" s="1"/>
  <c r="K243" i="5"/>
  <c r="G243" i="5" s="1"/>
  <c r="K263" i="8" l="1"/>
  <c r="J262" i="8"/>
  <c r="L263" i="8" s="1"/>
  <c r="G263" i="8"/>
  <c r="H263" i="8"/>
  <c r="I264" i="8" s="1"/>
  <c r="J265" i="7"/>
  <c r="L266" i="7" s="1"/>
  <c r="H265" i="7"/>
  <c r="I266" i="7" s="1"/>
  <c r="J275" i="6"/>
  <c r="L276" i="6" s="1"/>
  <c r="H275" i="6"/>
  <c r="I276" i="6" s="1"/>
  <c r="H243" i="5"/>
  <c r="J243" i="5"/>
  <c r="L244" i="5" s="1"/>
  <c r="I244" i="5"/>
  <c r="J263" i="8" l="1"/>
  <c r="L264" i="8" s="1"/>
  <c r="K264" i="8"/>
  <c r="G264" i="8" s="1"/>
  <c r="K266" i="7"/>
  <c r="H266" i="7" s="1"/>
  <c r="I267" i="7" s="1"/>
  <c r="K276" i="6"/>
  <c r="H276" i="6" s="1"/>
  <c r="I277" i="6" s="1"/>
  <c r="K244" i="5"/>
  <c r="J264" i="8" l="1"/>
  <c r="L265" i="8" s="1"/>
  <c r="H264" i="8"/>
  <c r="I265" i="8" s="1"/>
  <c r="G266" i="7"/>
  <c r="G276" i="6"/>
  <c r="H244" i="5"/>
  <c r="I245" i="5" s="1"/>
  <c r="G244" i="5"/>
  <c r="K265" i="8" l="1"/>
  <c r="H265" i="8" s="1"/>
  <c r="I266" i="8" s="1"/>
  <c r="K267" i="7"/>
  <c r="J266" i="7"/>
  <c r="L267" i="7" s="1"/>
  <c r="K277" i="6"/>
  <c r="J276" i="6"/>
  <c r="L277" i="6" s="1"/>
  <c r="J244" i="5"/>
  <c r="L245" i="5" s="1"/>
  <c r="K245" i="5"/>
  <c r="H245" i="5" s="1"/>
  <c r="G265" i="8" l="1"/>
  <c r="G267" i="7"/>
  <c r="H267" i="7"/>
  <c r="I268" i="7" s="1"/>
  <c r="H277" i="6"/>
  <c r="I278" i="6" s="1"/>
  <c r="G277" i="6"/>
  <c r="I246" i="5"/>
  <c r="G245" i="5"/>
  <c r="J265" i="8" l="1"/>
  <c r="L266" i="8" s="1"/>
  <c r="K266" i="8"/>
  <c r="J267" i="7"/>
  <c r="L268" i="7" s="1"/>
  <c r="K268" i="7"/>
  <c r="G268" i="7"/>
  <c r="J277" i="6"/>
  <c r="L278" i="6" s="1"/>
  <c r="K278" i="6"/>
  <c r="G278" i="6"/>
  <c r="H278" i="6"/>
  <c r="I279" i="6" s="1"/>
  <c r="J245" i="5"/>
  <c r="L246" i="5" s="1"/>
  <c r="K246" i="5"/>
  <c r="G246" i="5" s="1"/>
  <c r="H266" i="8" l="1"/>
  <c r="I267" i="8" s="1"/>
  <c r="G266" i="8"/>
  <c r="J268" i="7"/>
  <c r="L269" i="7" s="1"/>
  <c r="H268" i="7"/>
  <c r="I269" i="7" s="1"/>
  <c r="K279" i="6"/>
  <c r="H279" i="6" s="1"/>
  <c r="I280" i="6" s="1"/>
  <c r="J278" i="6"/>
  <c r="L279" i="6" s="1"/>
  <c r="H246" i="5"/>
  <c r="I247" i="5" s="1"/>
  <c r="K247" i="5"/>
  <c r="G247" i="5" s="1"/>
  <c r="J246" i="5"/>
  <c r="L247" i="5" s="1"/>
  <c r="K267" i="8" l="1"/>
  <c r="J266" i="8"/>
  <c r="L267" i="8" s="1"/>
  <c r="H267" i="8"/>
  <c r="I268" i="8" s="1"/>
  <c r="G267" i="8"/>
  <c r="K269" i="7"/>
  <c r="H269" i="7"/>
  <c r="I270" i="7" s="1"/>
  <c r="G269" i="7"/>
  <c r="G279" i="6"/>
  <c r="H247" i="5"/>
  <c r="J247" i="5"/>
  <c r="L248" i="5" s="1"/>
  <c r="I248" i="5"/>
  <c r="K268" i="8" l="1"/>
  <c r="J267" i="8"/>
  <c r="L268" i="8" s="1"/>
  <c r="H268" i="8"/>
  <c r="I269" i="8" s="1"/>
  <c r="G268" i="8"/>
  <c r="K270" i="7"/>
  <c r="H270" i="7" s="1"/>
  <c r="I271" i="7" s="1"/>
  <c r="J269" i="7"/>
  <c r="L270" i="7" s="1"/>
  <c r="K280" i="6"/>
  <c r="J279" i="6"/>
  <c r="L280" i="6" s="1"/>
  <c r="K248" i="5"/>
  <c r="J268" i="8" l="1"/>
  <c r="L269" i="8" s="1"/>
  <c r="K269" i="8"/>
  <c r="H269" i="8"/>
  <c r="I270" i="8" s="1"/>
  <c r="G269" i="8"/>
  <c r="G270" i="7"/>
  <c r="H280" i="6"/>
  <c r="I281" i="6" s="1"/>
  <c r="G280" i="6"/>
  <c r="H248" i="5"/>
  <c r="I249" i="5" s="1"/>
  <c r="G248" i="5"/>
  <c r="K270" i="8" l="1"/>
  <c r="G270" i="8" s="1"/>
  <c r="J269" i="8"/>
  <c r="L270" i="8" s="1"/>
  <c r="J270" i="7"/>
  <c r="L271" i="7" s="1"/>
  <c r="K271" i="7"/>
  <c r="J280" i="6"/>
  <c r="L281" i="6" s="1"/>
  <c r="K281" i="6"/>
  <c r="H281" i="6" s="1"/>
  <c r="I282" i="6" s="1"/>
  <c r="J248" i="5"/>
  <c r="L249" i="5" s="1"/>
  <c r="K249" i="5"/>
  <c r="H249" i="5" s="1"/>
  <c r="J270" i="8" l="1"/>
  <c r="L271" i="8" s="1"/>
  <c r="H270" i="8"/>
  <c r="I271" i="8" s="1"/>
  <c r="H271" i="7"/>
  <c r="I272" i="7" s="1"/>
  <c r="G271" i="7"/>
  <c r="G281" i="6"/>
  <c r="I250" i="5"/>
  <c r="G249" i="5"/>
  <c r="K271" i="8" l="1"/>
  <c r="H271" i="8"/>
  <c r="I272" i="8" s="1"/>
  <c r="G271" i="8"/>
  <c r="K272" i="7"/>
  <c r="J271" i="7"/>
  <c r="L272" i="7" s="1"/>
  <c r="G272" i="7"/>
  <c r="H272" i="7"/>
  <c r="I273" i="7" s="1"/>
  <c r="K282" i="6"/>
  <c r="J281" i="6"/>
  <c r="L282" i="6" s="1"/>
  <c r="K250" i="5"/>
  <c r="J249" i="5"/>
  <c r="L250" i="5" s="1"/>
  <c r="K272" i="8" l="1"/>
  <c r="H272" i="8" s="1"/>
  <c r="I273" i="8" s="1"/>
  <c r="J271" i="8"/>
  <c r="L272" i="8" s="1"/>
  <c r="J272" i="7"/>
  <c r="L273" i="7" s="1"/>
  <c r="K273" i="7"/>
  <c r="G273" i="7" s="1"/>
  <c r="H282" i="6"/>
  <c r="I283" i="6" s="1"/>
  <c r="G282" i="6"/>
  <c r="H250" i="5"/>
  <c r="I251" i="5"/>
  <c r="G250" i="5"/>
  <c r="G272" i="8" l="1"/>
  <c r="J273" i="7"/>
  <c r="L274" i="7" s="1"/>
  <c r="H273" i="7"/>
  <c r="I274" i="7" s="1"/>
  <c r="K283" i="6"/>
  <c r="J282" i="6"/>
  <c r="L283" i="6" s="1"/>
  <c r="H283" i="6"/>
  <c r="I284" i="6" s="1"/>
  <c r="G283" i="6"/>
  <c r="J250" i="5"/>
  <c r="L251" i="5" s="1"/>
  <c r="K251" i="5"/>
  <c r="H251" i="5" s="1"/>
  <c r="K273" i="8" l="1"/>
  <c r="J272" i="8"/>
  <c r="L273" i="8" s="1"/>
  <c r="K274" i="7"/>
  <c r="H274" i="7" s="1"/>
  <c r="I275" i="7" s="1"/>
  <c r="J283" i="6"/>
  <c r="L284" i="6" s="1"/>
  <c r="K284" i="6"/>
  <c r="H284" i="6" s="1"/>
  <c r="I285" i="6" s="1"/>
  <c r="I252" i="5"/>
  <c r="G251" i="5"/>
  <c r="H273" i="8" l="1"/>
  <c r="I274" i="8" s="1"/>
  <c r="G273" i="8"/>
  <c r="G274" i="7"/>
  <c r="G284" i="6"/>
  <c r="J251" i="5"/>
  <c r="L252" i="5" s="1"/>
  <c r="K252" i="5"/>
  <c r="G252" i="5" s="1"/>
  <c r="J273" i="8" l="1"/>
  <c r="L274" i="8" s="1"/>
  <c r="K274" i="8"/>
  <c r="G274" i="8"/>
  <c r="H274" i="8"/>
  <c r="I275" i="8" s="1"/>
  <c r="K275" i="7"/>
  <c r="J274" i="7"/>
  <c r="L275" i="7" s="1"/>
  <c r="J284" i="6"/>
  <c r="L285" i="6" s="1"/>
  <c r="K285" i="6"/>
  <c r="H252" i="5"/>
  <c r="J252" i="5"/>
  <c r="L253" i="5" s="1"/>
  <c r="I253" i="5"/>
  <c r="J274" i="8" l="1"/>
  <c r="L275" i="8" s="1"/>
  <c r="K275" i="8"/>
  <c r="H275" i="8"/>
  <c r="I276" i="8" s="1"/>
  <c r="G275" i="8"/>
  <c r="H275" i="7"/>
  <c r="I276" i="7" s="1"/>
  <c r="G275" i="7"/>
  <c r="H285" i="6"/>
  <c r="I286" i="6" s="1"/>
  <c r="G285" i="6"/>
  <c r="K253" i="5"/>
  <c r="G253" i="5" s="1"/>
  <c r="J275" i="8" l="1"/>
  <c r="L276" i="8" s="1"/>
  <c r="K276" i="8"/>
  <c r="H276" i="8"/>
  <c r="I277" i="8" s="1"/>
  <c r="G276" i="8"/>
  <c r="J275" i="7"/>
  <c r="L276" i="7" s="1"/>
  <c r="K276" i="7"/>
  <c r="H276" i="7"/>
  <c r="I277" i="7" s="1"/>
  <c r="G276" i="7"/>
  <c r="K286" i="6"/>
  <c r="J285" i="6"/>
  <c r="L286" i="6" s="1"/>
  <c r="H286" i="6"/>
  <c r="I287" i="6" s="1"/>
  <c r="G286" i="6"/>
  <c r="H253" i="5"/>
  <c r="I254" i="5"/>
  <c r="K254" i="5"/>
  <c r="J253" i="5"/>
  <c r="L254" i="5" s="1"/>
  <c r="K277" i="8" l="1"/>
  <c r="J276" i="8"/>
  <c r="L277" i="8" s="1"/>
  <c r="H277" i="8"/>
  <c r="I278" i="8" s="1"/>
  <c r="G277" i="8"/>
  <c r="K277" i="7"/>
  <c r="J276" i="7"/>
  <c r="L277" i="7" s="1"/>
  <c r="G277" i="7"/>
  <c r="H277" i="7"/>
  <c r="I278" i="7" s="1"/>
  <c r="J286" i="6"/>
  <c r="L287" i="6" s="1"/>
  <c r="K287" i="6"/>
  <c r="G287" i="6" s="1"/>
  <c r="H287" i="6"/>
  <c r="I288" i="6" s="1"/>
  <c r="G254" i="5"/>
  <c r="H254" i="5"/>
  <c r="I255" i="5" s="1"/>
  <c r="H255" i="5" s="1"/>
  <c r="J254" i="5"/>
  <c r="L255" i="5" s="1"/>
  <c r="J277" i="8" l="1"/>
  <c r="L278" i="8" s="1"/>
  <c r="K278" i="8"/>
  <c r="H278" i="8"/>
  <c r="I279" i="8" s="1"/>
  <c r="G278" i="8"/>
  <c r="J277" i="7"/>
  <c r="L278" i="7" s="1"/>
  <c r="K278" i="7"/>
  <c r="G278" i="7" s="1"/>
  <c r="J287" i="6"/>
  <c r="L288" i="6" s="1"/>
  <c r="K288" i="6"/>
  <c r="H288" i="6"/>
  <c r="I289" i="6" s="1"/>
  <c r="G288" i="6"/>
  <c r="K255" i="5"/>
  <c r="G255" i="5" s="1"/>
  <c r="K279" i="8" l="1"/>
  <c r="J278" i="8"/>
  <c r="L279" i="8" s="1"/>
  <c r="H279" i="8"/>
  <c r="I280" i="8" s="1"/>
  <c r="G279" i="8"/>
  <c r="J278" i="7"/>
  <c r="L279" i="7" s="1"/>
  <c r="H278" i="7"/>
  <c r="I279" i="7" s="1"/>
  <c r="J288" i="6"/>
  <c r="L289" i="6" s="1"/>
  <c r="K289" i="6"/>
  <c r="G289" i="6"/>
  <c r="H289" i="6"/>
  <c r="I290" i="6" s="1"/>
  <c r="J255" i="5"/>
  <c r="L256" i="5" s="1"/>
  <c r="I256" i="5"/>
  <c r="J279" i="8" l="1"/>
  <c r="L280" i="8" s="1"/>
  <c r="K280" i="8"/>
  <c r="H280" i="8" s="1"/>
  <c r="I281" i="8" s="1"/>
  <c r="K279" i="7"/>
  <c r="G279" i="7" s="1"/>
  <c r="K290" i="6"/>
  <c r="J289" i="6"/>
  <c r="L290" i="6" s="1"/>
  <c r="H290" i="6"/>
  <c r="I291" i="6" s="1"/>
  <c r="G290" i="6"/>
  <c r="K256" i="5"/>
  <c r="G256" i="5" s="1"/>
  <c r="G280" i="8" l="1"/>
  <c r="J279" i="7"/>
  <c r="L280" i="7" s="1"/>
  <c r="H279" i="7"/>
  <c r="I280" i="7" s="1"/>
  <c r="K291" i="6"/>
  <c r="H291" i="6" s="1"/>
  <c r="I292" i="6" s="1"/>
  <c r="J290" i="6"/>
  <c r="L291" i="6" s="1"/>
  <c r="H256" i="5"/>
  <c r="J256" i="5"/>
  <c r="L257" i="5" s="1"/>
  <c r="I257" i="5"/>
  <c r="K281" i="8" l="1"/>
  <c r="J280" i="8"/>
  <c r="L281" i="8" s="1"/>
  <c r="K280" i="7"/>
  <c r="H280" i="7" s="1"/>
  <c r="I281" i="7" s="1"/>
  <c r="G291" i="6"/>
  <c r="K257" i="5"/>
  <c r="H281" i="8" l="1"/>
  <c r="I282" i="8" s="1"/>
  <c r="G281" i="8"/>
  <c r="G280" i="7"/>
  <c r="J291" i="6"/>
  <c r="L292" i="6" s="1"/>
  <c r="K292" i="6"/>
  <c r="H257" i="5"/>
  <c r="I258" i="5" s="1"/>
  <c r="G257" i="5"/>
  <c r="K282" i="8" l="1"/>
  <c r="J281" i="8"/>
  <c r="L282" i="8" s="1"/>
  <c r="H282" i="8"/>
  <c r="I283" i="8" s="1"/>
  <c r="G282" i="8"/>
  <c r="K281" i="7"/>
  <c r="J280" i="7"/>
  <c r="L281" i="7" s="1"/>
  <c r="H292" i="6"/>
  <c r="I293" i="6" s="1"/>
  <c r="G292" i="6"/>
  <c r="J257" i="5"/>
  <c r="L258" i="5" s="1"/>
  <c r="K258" i="5"/>
  <c r="J282" i="8" l="1"/>
  <c r="L283" i="8" s="1"/>
  <c r="K283" i="8"/>
  <c r="H283" i="8" s="1"/>
  <c r="I284" i="8" s="1"/>
  <c r="G281" i="7"/>
  <c r="H281" i="7"/>
  <c r="I282" i="7" s="1"/>
  <c r="K293" i="6"/>
  <c r="J292" i="6"/>
  <c r="L293" i="6" s="1"/>
  <c r="H293" i="6"/>
  <c r="I294" i="6" s="1"/>
  <c r="G293" i="6"/>
  <c r="H258" i="5"/>
  <c r="I259" i="5"/>
  <c r="G258" i="5"/>
  <c r="G283" i="8" l="1"/>
  <c r="K282" i="7"/>
  <c r="H282" i="7" s="1"/>
  <c r="I283" i="7" s="1"/>
  <c r="J281" i="7"/>
  <c r="L282" i="7" s="1"/>
  <c r="J293" i="6"/>
  <c r="L294" i="6" s="1"/>
  <c r="K294" i="6"/>
  <c r="G294" i="6" s="1"/>
  <c r="J258" i="5"/>
  <c r="L259" i="5" s="1"/>
  <c r="K259" i="5"/>
  <c r="G259" i="5" s="1"/>
  <c r="K284" i="8" l="1"/>
  <c r="J283" i="8"/>
  <c r="L284" i="8" s="1"/>
  <c r="G282" i="7"/>
  <c r="J294" i="6"/>
  <c r="L295" i="6" s="1"/>
  <c r="H294" i="6"/>
  <c r="I295" i="6" s="1"/>
  <c r="H259" i="5"/>
  <c r="J259" i="5"/>
  <c r="L260" i="5" s="1"/>
  <c r="I260" i="5"/>
  <c r="G284" i="8" l="1"/>
  <c r="H284" i="8"/>
  <c r="I285" i="8" s="1"/>
  <c r="J282" i="7"/>
  <c r="L283" i="7" s="1"/>
  <c r="K283" i="7"/>
  <c r="K295" i="6"/>
  <c r="G295" i="6" s="1"/>
  <c r="K260" i="5"/>
  <c r="G260" i="5" s="1"/>
  <c r="J284" i="8" l="1"/>
  <c r="L285" i="8" s="1"/>
  <c r="K285" i="8"/>
  <c r="H285" i="8" s="1"/>
  <c r="I286" i="8" s="1"/>
  <c r="G283" i="7"/>
  <c r="H283" i="7"/>
  <c r="I284" i="7" s="1"/>
  <c r="J295" i="6"/>
  <c r="L296" i="6" s="1"/>
  <c r="H295" i="6"/>
  <c r="I296" i="6" s="1"/>
  <c r="H260" i="5"/>
  <c r="J260" i="5"/>
  <c r="L261" i="5" s="1"/>
  <c r="I261" i="5"/>
  <c r="H286" i="8" l="1"/>
  <c r="I287" i="8" s="1"/>
  <c r="G286" i="8"/>
  <c r="G285" i="8"/>
  <c r="K284" i="7"/>
  <c r="H284" i="7" s="1"/>
  <c r="I285" i="7" s="1"/>
  <c r="J283" i="7"/>
  <c r="L284" i="7" s="1"/>
  <c r="K296" i="6"/>
  <c r="H296" i="6" s="1"/>
  <c r="I297" i="6" s="1"/>
  <c r="K261" i="5"/>
  <c r="K286" i="8" l="1"/>
  <c r="J285" i="8"/>
  <c r="L286" i="8" s="1"/>
  <c r="K287" i="8"/>
  <c r="J286" i="8"/>
  <c r="L287" i="8" s="1"/>
  <c r="G287" i="8"/>
  <c r="H287" i="8"/>
  <c r="I288" i="8" s="1"/>
  <c r="G284" i="7"/>
  <c r="G296" i="6"/>
  <c r="H261" i="5"/>
  <c r="I262" i="5" s="1"/>
  <c r="G261" i="5"/>
  <c r="K288" i="8" l="1"/>
  <c r="H288" i="8" s="1"/>
  <c r="I289" i="8" s="1"/>
  <c r="J287" i="8"/>
  <c r="L288" i="8" s="1"/>
  <c r="J284" i="7"/>
  <c r="L285" i="7" s="1"/>
  <c r="K285" i="7"/>
  <c r="J296" i="6"/>
  <c r="L297" i="6" s="1"/>
  <c r="K297" i="6"/>
  <c r="J261" i="5"/>
  <c r="L262" i="5" s="1"/>
  <c r="K262" i="5"/>
  <c r="H262" i="5" s="1"/>
  <c r="G288" i="8" l="1"/>
  <c r="H285" i="7"/>
  <c r="I286" i="7" s="1"/>
  <c r="G285" i="7"/>
  <c r="G297" i="6"/>
  <c r="H297" i="6"/>
  <c r="I298" i="6" s="1"/>
  <c r="G262" i="5"/>
  <c r="I263" i="5"/>
  <c r="K289" i="8" l="1"/>
  <c r="J288" i="8"/>
  <c r="L289" i="8" s="1"/>
  <c r="J285" i="7"/>
  <c r="L286" i="7" s="1"/>
  <c r="K286" i="7"/>
  <c r="H286" i="7"/>
  <c r="I287" i="7" s="1"/>
  <c r="G286" i="7"/>
  <c r="K298" i="6"/>
  <c r="H298" i="6" s="1"/>
  <c r="I299" i="6" s="1"/>
  <c r="J297" i="6"/>
  <c r="L298" i="6" s="1"/>
  <c r="K263" i="5"/>
  <c r="J262" i="5"/>
  <c r="L263" i="5" s="1"/>
  <c r="H289" i="8" l="1"/>
  <c r="I290" i="8" s="1"/>
  <c r="G289" i="8"/>
  <c r="K287" i="7"/>
  <c r="J286" i="7"/>
  <c r="L287" i="7" s="1"/>
  <c r="G287" i="7"/>
  <c r="H287" i="7"/>
  <c r="I288" i="7" s="1"/>
  <c r="G298" i="6"/>
  <c r="H263" i="5"/>
  <c r="I264" i="5"/>
  <c r="G263" i="5"/>
  <c r="K290" i="8" l="1"/>
  <c r="J289" i="8"/>
  <c r="L290" i="8" s="1"/>
  <c r="H290" i="8"/>
  <c r="I291" i="8" s="1"/>
  <c r="G290" i="8"/>
  <c r="J287" i="7"/>
  <c r="L288" i="7" s="1"/>
  <c r="K288" i="7"/>
  <c r="G288" i="7" s="1"/>
  <c r="J298" i="6"/>
  <c r="L299" i="6" s="1"/>
  <c r="K299" i="6"/>
  <c r="J263" i="5"/>
  <c r="L264" i="5" s="1"/>
  <c r="K264" i="5"/>
  <c r="H264" i="5" s="1"/>
  <c r="K291" i="8" l="1"/>
  <c r="J290" i="8"/>
  <c r="L291" i="8" s="1"/>
  <c r="H291" i="8"/>
  <c r="I292" i="8" s="1"/>
  <c r="G291" i="8"/>
  <c r="J288" i="7"/>
  <c r="L289" i="7" s="1"/>
  <c r="H288" i="7"/>
  <c r="I289" i="7" s="1"/>
  <c r="H299" i="6"/>
  <c r="I300" i="6" s="1"/>
  <c r="G299" i="6"/>
  <c r="I265" i="5"/>
  <c r="G264" i="5"/>
  <c r="J291" i="8" l="1"/>
  <c r="L292" i="8" s="1"/>
  <c r="K292" i="8"/>
  <c r="H292" i="8"/>
  <c r="I293" i="8" s="1"/>
  <c r="G292" i="8"/>
  <c r="K289" i="7"/>
  <c r="G289" i="7" s="1"/>
  <c r="J299" i="6"/>
  <c r="L300" i="6" s="1"/>
  <c r="K300" i="6"/>
  <c r="H300" i="6"/>
  <c r="I301" i="6" s="1"/>
  <c r="G300" i="6"/>
  <c r="K265" i="5"/>
  <c r="J264" i="5"/>
  <c r="L265" i="5" s="1"/>
  <c r="G265" i="5"/>
  <c r="K293" i="8" l="1"/>
  <c r="J292" i="8"/>
  <c r="L293" i="8" s="1"/>
  <c r="H293" i="8"/>
  <c r="I294" i="8" s="1"/>
  <c r="G293" i="8"/>
  <c r="J289" i="7"/>
  <c r="L290" i="7" s="1"/>
  <c r="H289" i="7"/>
  <c r="I290" i="7" s="1"/>
  <c r="J300" i="6"/>
  <c r="L301" i="6" s="1"/>
  <c r="K301" i="6"/>
  <c r="H301" i="6"/>
  <c r="I302" i="6" s="1"/>
  <c r="G301" i="6"/>
  <c r="H265" i="5"/>
  <c r="I266" i="5" s="1"/>
  <c r="K266" i="5"/>
  <c r="H266" i="5" s="1"/>
  <c r="J265" i="5"/>
  <c r="L266" i="5" s="1"/>
  <c r="J293" i="8" l="1"/>
  <c r="L294" i="8" s="1"/>
  <c r="K294" i="8"/>
  <c r="G294" i="8" s="1"/>
  <c r="K290" i="7"/>
  <c r="G290" i="7" s="1"/>
  <c r="K302" i="6"/>
  <c r="J301" i="6"/>
  <c r="L302" i="6" s="1"/>
  <c r="H302" i="6"/>
  <c r="I303" i="6" s="1"/>
  <c r="G302" i="6"/>
  <c r="I267" i="5"/>
  <c r="G266" i="5"/>
  <c r="J294" i="8" l="1"/>
  <c r="L295" i="8" s="1"/>
  <c r="K295" i="8"/>
  <c r="H294" i="8"/>
  <c r="I295" i="8" s="1"/>
  <c r="J290" i="7"/>
  <c r="L291" i="7" s="1"/>
  <c r="H290" i="7"/>
  <c r="I291" i="7" s="1"/>
  <c r="J302" i="6"/>
  <c r="L303" i="6" s="1"/>
  <c r="K303" i="6"/>
  <c r="H303" i="6"/>
  <c r="I304" i="6" s="1"/>
  <c r="G303" i="6"/>
  <c r="J266" i="5"/>
  <c r="L267" i="5" s="1"/>
  <c r="K267" i="5"/>
  <c r="H267" i="5" s="1"/>
  <c r="H295" i="8" l="1"/>
  <c r="I296" i="8" s="1"/>
  <c r="G295" i="8"/>
  <c r="K291" i="7"/>
  <c r="H291" i="7" s="1"/>
  <c r="I292" i="7" s="1"/>
  <c r="K304" i="6"/>
  <c r="J303" i="6"/>
  <c r="L304" i="6" s="1"/>
  <c r="H304" i="6"/>
  <c r="I305" i="6" s="1"/>
  <c r="G304" i="6"/>
  <c r="I268" i="5"/>
  <c r="G267" i="5"/>
  <c r="J295" i="8" l="1"/>
  <c r="L296" i="8" s="1"/>
  <c r="K296" i="8"/>
  <c r="H296" i="8"/>
  <c r="I297" i="8" s="1"/>
  <c r="G296" i="8"/>
  <c r="G291" i="7"/>
  <c r="J304" i="6"/>
  <c r="L305" i="6" s="1"/>
  <c r="K305" i="6"/>
  <c r="G305" i="6"/>
  <c r="H305" i="6"/>
  <c r="I306" i="6" s="1"/>
  <c r="J267" i="5"/>
  <c r="L268" i="5" s="1"/>
  <c r="K268" i="5"/>
  <c r="H268" i="5" s="1"/>
  <c r="I269" i="5" s="1"/>
  <c r="H269" i="5" s="1"/>
  <c r="G268" i="5"/>
  <c r="J296" i="8" l="1"/>
  <c r="L297" i="8" s="1"/>
  <c r="K297" i="8"/>
  <c r="H297" i="8"/>
  <c r="I298" i="8" s="1"/>
  <c r="G297" i="8"/>
  <c r="K292" i="7"/>
  <c r="J291" i="7"/>
  <c r="L292" i="7" s="1"/>
  <c r="K306" i="6"/>
  <c r="H306" i="6" s="1"/>
  <c r="I307" i="6" s="1"/>
  <c r="J305" i="6"/>
  <c r="L306" i="6" s="1"/>
  <c r="K269" i="5"/>
  <c r="J268" i="5"/>
  <c r="L269" i="5" s="1"/>
  <c r="J297" i="8" l="1"/>
  <c r="L298" i="8" s="1"/>
  <c r="K298" i="8"/>
  <c r="H298" i="8" s="1"/>
  <c r="I299" i="8" s="1"/>
  <c r="H292" i="7"/>
  <c r="I293" i="7" s="1"/>
  <c r="G292" i="7"/>
  <c r="G306" i="6"/>
  <c r="I270" i="5"/>
  <c r="G269" i="5"/>
  <c r="G298" i="8" l="1"/>
  <c r="K293" i="7"/>
  <c r="J292" i="7"/>
  <c r="L293" i="7" s="1"/>
  <c r="H293" i="7"/>
  <c r="I294" i="7" s="1"/>
  <c r="G293" i="7"/>
  <c r="K307" i="6"/>
  <c r="J306" i="6"/>
  <c r="L307" i="6" s="1"/>
  <c r="K270" i="5"/>
  <c r="H270" i="5" s="1"/>
  <c r="J269" i="5"/>
  <c r="L270" i="5" s="1"/>
  <c r="J298" i="8" l="1"/>
  <c r="L299" i="8" s="1"/>
  <c r="K299" i="8"/>
  <c r="J293" i="7"/>
  <c r="L294" i="7" s="1"/>
  <c r="K294" i="7"/>
  <c r="H294" i="7" s="1"/>
  <c r="I295" i="7" s="1"/>
  <c r="H307" i="6"/>
  <c r="I308" i="6" s="1"/>
  <c r="G307" i="6"/>
  <c r="G270" i="5"/>
  <c r="I271" i="5"/>
  <c r="H299" i="8" l="1"/>
  <c r="I300" i="8" s="1"/>
  <c r="G299" i="8"/>
  <c r="G294" i="7"/>
  <c r="J307" i="6"/>
  <c r="L308" i="6" s="1"/>
  <c r="K308" i="6"/>
  <c r="H308" i="6"/>
  <c r="I309" i="6" s="1"/>
  <c r="G308" i="6"/>
  <c r="J270" i="5"/>
  <c r="L271" i="5" s="1"/>
  <c r="K271" i="5"/>
  <c r="G271" i="5" s="1"/>
  <c r="K300" i="8" l="1"/>
  <c r="J299" i="8"/>
  <c r="L300" i="8" s="1"/>
  <c r="G300" i="8"/>
  <c r="H300" i="8"/>
  <c r="I301" i="8" s="1"/>
  <c r="K295" i="7"/>
  <c r="J294" i="7"/>
  <c r="L295" i="7" s="1"/>
  <c r="K309" i="6"/>
  <c r="J308" i="6"/>
  <c r="L309" i="6" s="1"/>
  <c r="H309" i="6"/>
  <c r="I310" i="6" s="1"/>
  <c r="G309" i="6"/>
  <c r="H271" i="5"/>
  <c r="J271" i="5"/>
  <c r="L272" i="5" s="1"/>
  <c r="I272" i="5"/>
  <c r="J300" i="8" l="1"/>
  <c r="L301" i="8" s="1"/>
  <c r="K301" i="8"/>
  <c r="H301" i="8" s="1"/>
  <c r="G295" i="7"/>
  <c r="H295" i="7"/>
  <c r="I296" i="7" s="1"/>
  <c r="J309" i="6"/>
  <c r="L310" i="6" s="1"/>
  <c r="K310" i="6"/>
  <c r="H310" i="6"/>
  <c r="I311" i="6" s="1"/>
  <c r="G310" i="6"/>
  <c r="K272" i="5"/>
  <c r="G272" i="5" s="1"/>
  <c r="G301" i="8" l="1"/>
  <c r="H296" i="7"/>
  <c r="I297" i="7" s="1"/>
  <c r="J295" i="7"/>
  <c r="L296" i="7" s="1"/>
  <c r="K296" i="7"/>
  <c r="G296" i="7" s="1"/>
  <c r="K311" i="6"/>
  <c r="J310" i="6"/>
  <c r="L311" i="6" s="1"/>
  <c r="H311" i="6"/>
  <c r="I312" i="6" s="1"/>
  <c r="G311" i="6"/>
  <c r="H272" i="5"/>
  <c r="J272" i="5"/>
  <c r="L273" i="5" s="1"/>
  <c r="I273" i="5"/>
  <c r="J301" i="8" l="1"/>
  <c r="K297" i="7"/>
  <c r="J296" i="7"/>
  <c r="L297" i="7" s="1"/>
  <c r="H297" i="7"/>
  <c r="I298" i="7" s="1"/>
  <c r="G297" i="7"/>
  <c r="K312" i="6"/>
  <c r="J311" i="6"/>
  <c r="L312" i="6" s="1"/>
  <c r="H312" i="6"/>
  <c r="I313" i="6" s="1"/>
  <c r="G312" i="6"/>
  <c r="K273" i="5"/>
  <c r="G273" i="5" s="1"/>
  <c r="J297" i="7" l="1"/>
  <c r="L298" i="7" s="1"/>
  <c r="K298" i="7"/>
  <c r="H298" i="7"/>
  <c r="I299" i="7" s="1"/>
  <c r="G298" i="7"/>
  <c r="K313" i="6"/>
  <c r="J312" i="6"/>
  <c r="L313" i="6" s="1"/>
  <c r="H313" i="6"/>
  <c r="I314" i="6" s="1"/>
  <c r="G313" i="6"/>
  <c r="H273" i="5"/>
  <c r="J273" i="5"/>
  <c r="L274" i="5" s="1"/>
  <c r="I274" i="5"/>
  <c r="J298" i="7" l="1"/>
  <c r="L299" i="7" s="1"/>
  <c r="K299" i="7"/>
  <c r="H299" i="7" s="1"/>
  <c r="I300" i="7" s="1"/>
  <c r="J313" i="6"/>
  <c r="L314" i="6" s="1"/>
  <c r="K314" i="6"/>
  <c r="H314" i="6"/>
  <c r="I315" i="6" s="1"/>
  <c r="G314" i="6"/>
  <c r="K274" i="5"/>
  <c r="G300" i="7" l="1"/>
  <c r="H300" i="7"/>
  <c r="I301" i="7" s="1"/>
  <c r="G299" i="7"/>
  <c r="K315" i="6"/>
  <c r="J314" i="6"/>
  <c r="L315" i="6" s="1"/>
  <c r="H315" i="6"/>
  <c r="I316" i="6" s="1"/>
  <c r="G315" i="6"/>
  <c r="H274" i="5"/>
  <c r="I275" i="5" s="1"/>
  <c r="G274" i="5"/>
  <c r="K300" i="7" l="1"/>
  <c r="J299" i="7"/>
  <c r="L300" i="7" s="1"/>
  <c r="J300" i="7"/>
  <c r="L301" i="7" s="1"/>
  <c r="K301" i="7"/>
  <c r="H301" i="7" s="1"/>
  <c r="J315" i="6"/>
  <c r="L316" i="6" s="1"/>
  <c r="K316" i="6"/>
  <c r="H316" i="6"/>
  <c r="I317" i="6" s="1"/>
  <c r="G316" i="6"/>
  <c r="J274" i="5"/>
  <c r="L275" i="5" s="1"/>
  <c r="K275" i="5"/>
  <c r="H275" i="5" s="1"/>
  <c r="G301" i="7" l="1"/>
  <c r="J316" i="6"/>
  <c r="L317" i="6" s="1"/>
  <c r="K317" i="6"/>
  <c r="H317" i="6"/>
  <c r="I318" i="6" s="1"/>
  <c r="G317" i="6"/>
  <c r="G275" i="5"/>
  <c r="I276" i="5"/>
  <c r="J301" i="7" l="1"/>
  <c r="K318" i="6"/>
  <c r="J317" i="6"/>
  <c r="L318" i="6" s="1"/>
  <c r="H318" i="6"/>
  <c r="I319" i="6" s="1"/>
  <c r="G318" i="6"/>
  <c r="K276" i="5"/>
  <c r="J275" i="5"/>
  <c r="L276" i="5" s="1"/>
  <c r="J318" i="6" l="1"/>
  <c r="L319" i="6" s="1"/>
  <c r="K319" i="6"/>
  <c r="H319" i="6"/>
  <c r="I320" i="6" s="1"/>
  <c r="G319" i="6"/>
  <c r="H276" i="5"/>
  <c r="I277" i="5"/>
  <c r="G276" i="5"/>
  <c r="K320" i="6" l="1"/>
  <c r="J319" i="6"/>
  <c r="L320" i="6" s="1"/>
  <c r="H320" i="6"/>
  <c r="I321" i="6" s="1"/>
  <c r="G320" i="6"/>
  <c r="J276" i="5"/>
  <c r="L277" i="5" s="1"/>
  <c r="K277" i="5"/>
  <c r="H277" i="5" s="1"/>
  <c r="J320" i="6" l="1"/>
  <c r="L321" i="6" s="1"/>
  <c r="K321" i="6"/>
  <c r="G321" i="6"/>
  <c r="H321" i="6"/>
  <c r="I322" i="6" s="1"/>
  <c r="I278" i="5"/>
  <c r="G277" i="5"/>
  <c r="K322" i="6" l="1"/>
  <c r="H322" i="6" s="1"/>
  <c r="I323" i="6" s="1"/>
  <c r="J321" i="6"/>
  <c r="L322" i="6" s="1"/>
  <c r="K278" i="5"/>
  <c r="J277" i="5"/>
  <c r="L278" i="5" s="1"/>
  <c r="G278" i="5"/>
  <c r="G322" i="6" l="1"/>
  <c r="H278" i="5"/>
  <c r="I279" i="5" s="1"/>
  <c r="K279" i="5"/>
  <c r="G279" i="5" s="1"/>
  <c r="J278" i="5"/>
  <c r="L279" i="5" s="1"/>
  <c r="K323" i="6" l="1"/>
  <c r="J322" i="6"/>
  <c r="L323" i="6" s="1"/>
  <c r="H279" i="5"/>
  <c r="J279" i="5"/>
  <c r="L280" i="5" s="1"/>
  <c r="I280" i="5"/>
  <c r="H323" i="6" l="1"/>
  <c r="I324" i="6" s="1"/>
  <c r="G323" i="6"/>
  <c r="K280" i="5"/>
  <c r="K324" i="6" l="1"/>
  <c r="J323" i="6"/>
  <c r="L324" i="6" s="1"/>
  <c r="H324" i="6"/>
  <c r="I325" i="6" s="1"/>
  <c r="G324" i="6"/>
  <c r="H280" i="5"/>
  <c r="I281" i="5" s="1"/>
  <c r="G280" i="5"/>
  <c r="K325" i="6" l="1"/>
  <c r="J324" i="6"/>
  <c r="L325" i="6" s="1"/>
  <c r="H325" i="6"/>
  <c r="I326" i="6" s="1"/>
  <c r="G325" i="6"/>
  <c r="K281" i="5"/>
  <c r="J280" i="5"/>
  <c r="L281" i="5" s="1"/>
  <c r="J325" i="6" l="1"/>
  <c r="L326" i="6" s="1"/>
  <c r="K326" i="6"/>
  <c r="G326" i="6"/>
  <c r="H326" i="6"/>
  <c r="I327" i="6" s="1"/>
  <c r="H281" i="5"/>
  <c r="I282" i="5"/>
  <c r="G281" i="5"/>
  <c r="K327" i="6" l="1"/>
  <c r="H327" i="6" s="1"/>
  <c r="I328" i="6" s="1"/>
  <c r="J326" i="6"/>
  <c r="L327" i="6" s="1"/>
  <c r="K282" i="5"/>
  <c r="J281" i="5"/>
  <c r="L282" i="5" s="1"/>
  <c r="G282" i="5"/>
  <c r="G327" i="6" l="1"/>
  <c r="H282" i="5"/>
  <c r="I283" i="5" s="1"/>
  <c r="K283" i="5"/>
  <c r="H283" i="5" s="1"/>
  <c r="I284" i="5" s="1"/>
  <c r="J282" i="5"/>
  <c r="L283" i="5" s="1"/>
  <c r="K328" i="6" l="1"/>
  <c r="J327" i="6"/>
  <c r="L328" i="6" s="1"/>
  <c r="G283" i="5"/>
  <c r="J283" i="5"/>
  <c r="L284" i="5" s="1"/>
  <c r="K284" i="5"/>
  <c r="G328" i="6" l="1"/>
  <c r="H328" i="6"/>
  <c r="I329" i="6" s="1"/>
  <c r="H284" i="5"/>
  <c r="I285" i="5" s="1"/>
  <c r="G284" i="5"/>
  <c r="H329" i="6" l="1"/>
  <c r="I330" i="6" s="1"/>
  <c r="G329" i="6"/>
  <c r="K329" i="6"/>
  <c r="J328" i="6"/>
  <c r="L329" i="6" s="1"/>
  <c r="K285" i="5"/>
  <c r="J284" i="5"/>
  <c r="L285" i="5" s="1"/>
  <c r="J329" i="6" l="1"/>
  <c r="L330" i="6" s="1"/>
  <c r="K330" i="6"/>
  <c r="H330" i="6"/>
  <c r="I331" i="6" s="1"/>
  <c r="G330" i="6"/>
  <c r="H285" i="5"/>
  <c r="G285" i="5"/>
  <c r="I286" i="5"/>
  <c r="H286" i="5" s="1"/>
  <c r="K331" i="6" l="1"/>
  <c r="J330" i="6"/>
  <c r="L331" i="6" s="1"/>
  <c r="H331" i="6"/>
  <c r="I332" i="6" s="1"/>
  <c r="G331" i="6"/>
  <c r="K286" i="5"/>
  <c r="G286" i="5" s="1"/>
  <c r="J285" i="5"/>
  <c r="L286" i="5" s="1"/>
  <c r="K332" i="6" l="1"/>
  <c r="J331" i="6"/>
  <c r="L332" i="6" s="1"/>
  <c r="H332" i="6"/>
  <c r="I333" i="6" s="1"/>
  <c r="G332" i="6"/>
  <c r="J286" i="5"/>
  <c r="L287" i="5" s="1"/>
  <c r="I287" i="5"/>
  <c r="J332" i="6" l="1"/>
  <c r="L333" i="6" s="1"/>
  <c r="K333" i="6"/>
  <c r="G333" i="6"/>
  <c r="H333" i="6"/>
  <c r="I334" i="6" s="1"/>
  <c r="K287" i="5"/>
  <c r="K334" i="6" l="1"/>
  <c r="G334" i="6" s="1"/>
  <c r="J333" i="6"/>
  <c r="L334" i="6" s="1"/>
  <c r="H287" i="5"/>
  <c r="I288" i="5" s="1"/>
  <c r="G287" i="5"/>
  <c r="J334" i="6" l="1"/>
  <c r="L335" i="6" s="1"/>
  <c r="H334" i="6"/>
  <c r="I335" i="6" s="1"/>
  <c r="J287" i="5"/>
  <c r="L288" i="5" s="1"/>
  <c r="K288" i="5"/>
  <c r="H288" i="5" s="1"/>
  <c r="K335" i="6" l="1"/>
  <c r="G335" i="6" s="1"/>
  <c r="I289" i="5"/>
  <c r="G288" i="5"/>
  <c r="J335" i="6" l="1"/>
  <c r="L336" i="6" s="1"/>
  <c r="H335" i="6"/>
  <c r="I336" i="6" s="1"/>
  <c r="K289" i="5"/>
  <c r="J288" i="5"/>
  <c r="L289" i="5" s="1"/>
  <c r="G289" i="5"/>
  <c r="K336" i="6" l="1"/>
  <c r="G336" i="6" s="1"/>
  <c r="H289" i="5"/>
  <c r="I290" i="5" s="1"/>
  <c r="J289" i="5"/>
  <c r="L290" i="5" s="1"/>
  <c r="K290" i="5"/>
  <c r="J336" i="6" l="1"/>
  <c r="L337" i="6" s="1"/>
  <c r="H336" i="6"/>
  <c r="I337" i="6" s="1"/>
  <c r="H290" i="5"/>
  <c r="I291" i="5" s="1"/>
  <c r="G290" i="5"/>
  <c r="K337" i="6" l="1"/>
  <c r="H337" i="6" s="1"/>
  <c r="I338" i="6" s="1"/>
  <c r="J290" i="5"/>
  <c r="L291" i="5" s="1"/>
  <c r="K291" i="5"/>
  <c r="H291" i="5" s="1"/>
  <c r="G337" i="6" l="1"/>
  <c r="G291" i="5"/>
  <c r="I292" i="5"/>
  <c r="K338" i="6" l="1"/>
  <c r="J337" i="6"/>
  <c r="L338" i="6" s="1"/>
  <c r="K292" i="5"/>
  <c r="J291" i="5"/>
  <c r="L292" i="5" s="1"/>
  <c r="G338" i="6" l="1"/>
  <c r="H338" i="6"/>
  <c r="I339" i="6" s="1"/>
  <c r="H292" i="5"/>
  <c r="I293" i="5" s="1"/>
  <c r="G292" i="5"/>
  <c r="K339" i="6" l="1"/>
  <c r="H339" i="6" s="1"/>
  <c r="I340" i="6" s="1"/>
  <c r="J338" i="6"/>
  <c r="L339" i="6" s="1"/>
  <c r="J292" i="5"/>
  <c r="L293" i="5" s="1"/>
  <c r="K293" i="5"/>
  <c r="H293" i="5" s="1"/>
  <c r="G339" i="6" l="1"/>
  <c r="I294" i="5"/>
  <c r="G293" i="5"/>
  <c r="J339" i="6" l="1"/>
  <c r="L340" i="6" s="1"/>
  <c r="K340" i="6"/>
  <c r="K294" i="5"/>
  <c r="J293" i="5"/>
  <c r="L294" i="5" s="1"/>
  <c r="G294" i="5"/>
  <c r="H340" i="6" l="1"/>
  <c r="I341" i="6" s="1"/>
  <c r="G340" i="6"/>
  <c r="H294" i="5"/>
  <c r="I295" i="5" s="1"/>
  <c r="K295" i="5"/>
  <c r="H295" i="5" s="1"/>
  <c r="I296" i="5" s="1"/>
  <c r="J294" i="5"/>
  <c r="L295" i="5" s="1"/>
  <c r="G295" i="5"/>
  <c r="K341" i="6" l="1"/>
  <c r="J340" i="6"/>
  <c r="L341" i="6" s="1"/>
  <c r="H341" i="6"/>
  <c r="I342" i="6" s="1"/>
  <c r="G341" i="6"/>
  <c r="J295" i="5"/>
  <c r="L296" i="5" s="1"/>
  <c r="K296" i="5"/>
  <c r="J341" i="6" l="1"/>
  <c r="L342" i="6" s="1"/>
  <c r="K342" i="6"/>
  <c r="G342" i="6"/>
  <c r="H342" i="6"/>
  <c r="I343" i="6" s="1"/>
  <c r="H296" i="5"/>
  <c r="I297" i="5" s="1"/>
  <c r="G296" i="5"/>
  <c r="H343" i="6" l="1"/>
  <c r="I344" i="6" s="1"/>
  <c r="G343" i="6"/>
  <c r="K343" i="6"/>
  <c r="J342" i="6"/>
  <c r="L343" i="6" s="1"/>
  <c r="J296" i="5"/>
  <c r="L297" i="5" s="1"/>
  <c r="K297" i="5"/>
  <c r="H297" i="5" s="1"/>
  <c r="J343" i="6" l="1"/>
  <c r="L344" i="6" s="1"/>
  <c r="K344" i="6"/>
  <c r="H344" i="6"/>
  <c r="I345" i="6" s="1"/>
  <c r="G344" i="6"/>
  <c r="G297" i="5"/>
  <c r="K345" i="6" l="1"/>
  <c r="G345" i="6" s="1"/>
  <c r="J344" i="6"/>
  <c r="L345" i="6" s="1"/>
  <c r="K298" i="5"/>
  <c r="J297" i="5"/>
  <c r="L298" i="5" s="1"/>
  <c r="I298" i="5"/>
  <c r="J345" i="6" l="1"/>
  <c r="L346" i="6" s="1"/>
  <c r="H345" i="6"/>
  <c r="I346" i="6" s="1"/>
  <c r="G298" i="5"/>
  <c r="J298" i="5" s="1"/>
  <c r="L299" i="5" s="1"/>
  <c r="H298" i="5"/>
  <c r="I299" i="5"/>
  <c r="K346" i="6" l="1"/>
  <c r="H346" i="6" s="1"/>
  <c r="I347" i="6" s="1"/>
  <c r="K299" i="5"/>
  <c r="G299" i="5" s="1"/>
  <c r="G346" i="6" l="1"/>
  <c r="H299" i="5"/>
  <c r="J299" i="5"/>
  <c r="L300" i="5" s="1"/>
  <c r="I300" i="5"/>
  <c r="H300" i="5" s="1"/>
  <c r="J346" i="6" l="1"/>
  <c r="L347" i="6" s="1"/>
  <c r="K347" i="6"/>
  <c r="K300" i="5"/>
  <c r="G300" i="5" s="1"/>
  <c r="H347" i="6" l="1"/>
  <c r="I348" i="6" s="1"/>
  <c r="G347" i="6"/>
  <c r="J300" i="5"/>
  <c r="L301" i="5" s="1"/>
  <c r="I301" i="5"/>
  <c r="K348" i="6" l="1"/>
  <c r="J347" i="6"/>
  <c r="L348" i="6" s="1"/>
  <c r="G348" i="6"/>
  <c r="K301" i="5"/>
  <c r="J348" i="6" l="1"/>
  <c r="L349" i="6" s="1"/>
  <c r="H348" i="6"/>
  <c r="I349" i="6" s="1"/>
  <c r="H301" i="5"/>
  <c r="I302" i="5" s="1"/>
  <c r="G301" i="5"/>
  <c r="K349" i="6" l="1"/>
  <c r="G349" i="6"/>
  <c r="H349" i="6"/>
  <c r="I350" i="6" s="1"/>
  <c r="K302" i="5"/>
  <c r="J301" i="5"/>
  <c r="L302" i="5" s="1"/>
  <c r="K350" i="6" l="1"/>
  <c r="G350" i="6" s="1"/>
  <c r="J349" i="6"/>
  <c r="L350" i="6" s="1"/>
  <c r="H302" i="5"/>
  <c r="I303" i="5"/>
  <c r="G302" i="5"/>
  <c r="J350" i="6" l="1"/>
  <c r="L351" i="6" s="1"/>
  <c r="H350" i="6"/>
  <c r="I351" i="6" s="1"/>
  <c r="J302" i="5"/>
  <c r="L303" i="5" s="1"/>
  <c r="K303" i="5"/>
  <c r="G303" i="5"/>
  <c r="K351" i="6" l="1"/>
  <c r="G351" i="6" s="1"/>
  <c r="H303" i="5"/>
  <c r="I304" i="5" s="1"/>
  <c r="J303" i="5"/>
  <c r="L304" i="5" s="1"/>
  <c r="K304" i="5"/>
  <c r="J351" i="6" l="1"/>
  <c r="L352" i="6" s="1"/>
  <c r="H351" i="6"/>
  <c r="I352" i="6" s="1"/>
  <c r="H304" i="5"/>
  <c r="I305" i="5" s="1"/>
  <c r="G304" i="5"/>
  <c r="K305" i="5" s="1"/>
  <c r="G305" i="5" s="1"/>
  <c r="K352" i="6" l="1"/>
  <c r="G352" i="6" s="1"/>
  <c r="J304" i="5"/>
  <c r="L305" i="5" s="1"/>
  <c r="H305" i="5"/>
  <c r="I306" i="5" s="1"/>
  <c r="J305" i="5"/>
  <c r="L306" i="5" s="1"/>
  <c r="K306" i="5"/>
  <c r="G306" i="5"/>
  <c r="J352" i="6" l="1"/>
  <c r="L353" i="6" s="1"/>
  <c r="H352" i="6"/>
  <c r="I353" i="6" s="1"/>
  <c r="H306" i="5"/>
  <c r="I307" i="5" s="1"/>
  <c r="K307" i="5"/>
  <c r="J306" i="5"/>
  <c r="L307" i="5" s="1"/>
  <c r="K353" i="6" l="1"/>
  <c r="H353" i="6" s="1"/>
  <c r="I354" i="6" s="1"/>
  <c r="H307" i="5"/>
  <c r="I308" i="5"/>
  <c r="G307" i="5"/>
  <c r="G353" i="6" l="1"/>
  <c r="K308" i="5"/>
  <c r="J307" i="5"/>
  <c r="L308" i="5" s="1"/>
  <c r="K354" i="6" l="1"/>
  <c r="J353" i="6"/>
  <c r="L354" i="6" s="1"/>
  <c r="H308" i="5"/>
  <c r="I309" i="5"/>
  <c r="G308" i="5"/>
  <c r="G354" i="6" l="1"/>
  <c r="H354" i="6"/>
  <c r="I355" i="6" s="1"/>
  <c r="J308" i="5"/>
  <c r="L309" i="5" s="1"/>
  <c r="K309" i="5"/>
  <c r="H309" i="5" s="1"/>
  <c r="K355" i="6" l="1"/>
  <c r="H355" i="6" s="1"/>
  <c r="I356" i="6" s="1"/>
  <c r="J354" i="6"/>
  <c r="L355" i="6" s="1"/>
  <c r="G309" i="5"/>
  <c r="K310" i="5" s="1"/>
  <c r="G310" i="5" s="1"/>
  <c r="I310" i="5"/>
  <c r="J309" i="5"/>
  <c r="L310" i="5" s="1"/>
  <c r="G355" i="6" l="1"/>
  <c r="H310" i="5"/>
  <c r="I311" i="5" s="1"/>
  <c r="K311" i="5"/>
  <c r="J310" i="5"/>
  <c r="L311" i="5" s="1"/>
  <c r="J355" i="6" l="1"/>
  <c r="L356" i="6" s="1"/>
  <c r="K356" i="6"/>
  <c r="H311" i="5"/>
  <c r="I312" i="5"/>
  <c r="G311" i="5"/>
  <c r="H356" i="6" l="1"/>
  <c r="I357" i="6" s="1"/>
  <c r="G356" i="6"/>
  <c r="J311" i="5"/>
  <c r="L312" i="5" s="1"/>
  <c r="K312" i="5"/>
  <c r="H312" i="5" s="1"/>
  <c r="K357" i="6" l="1"/>
  <c r="J356" i="6"/>
  <c r="L357" i="6" s="1"/>
  <c r="H357" i="6"/>
  <c r="I358" i="6" s="1"/>
  <c r="G357" i="6"/>
  <c r="G312" i="5"/>
  <c r="I313" i="5"/>
  <c r="J357" i="6" l="1"/>
  <c r="L358" i="6" s="1"/>
  <c r="K358" i="6"/>
  <c r="H358" i="6"/>
  <c r="I359" i="6" s="1"/>
  <c r="G358" i="6"/>
  <c r="J312" i="5"/>
  <c r="L313" i="5" s="1"/>
  <c r="K313" i="5"/>
  <c r="G313" i="5" s="1"/>
  <c r="K359" i="6" l="1"/>
  <c r="J358" i="6"/>
  <c r="L359" i="6" s="1"/>
  <c r="H359" i="6"/>
  <c r="I360" i="6" s="1"/>
  <c r="G359" i="6"/>
  <c r="H313" i="5"/>
  <c r="J313" i="5"/>
  <c r="L314" i="5" s="1"/>
  <c r="I314" i="5"/>
  <c r="H314" i="5" s="1"/>
  <c r="J359" i="6" l="1"/>
  <c r="L360" i="6" s="1"/>
  <c r="K360" i="6"/>
  <c r="H360" i="6"/>
  <c r="I361" i="6" s="1"/>
  <c r="G360" i="6"/>
  <c r="K314" i="5"/>
  <c r="G314" i="5" s="1"/>
  <c r="J360" i="6" l="1"/>
  <c r="L361" i="6" s="1"/>
  <c r="K361" i="6"/>
  <c r="H361" i="6" s="1"/>
  <c r="I362" i="6" s="1"/>
  <c r="J314" i="5"/>
  <c r="L315" i="5" s="1"/>
  <c r="I315" i="5"/>
  <c r="G361" i="6" l="1"/>
  <c r="K315" i="5"/>
  <c r="J361" i="6" l="1"/>
  <c r="L362" i="6" s="1"/>
  <c r="K362" i="6"/>
  <c r="H315" i="5"/>
  <c r="I316" i="5" s="1"/>
  <c r="G315" i="5"/>
  <c r="H362" i="6" l="1"/>
  <c r="I363" i="6" s="1"/>
  <c r="G362" i="6"/>
  <c r="J315" i="5"/>
  <c r="L316" i="5" s="1"/>
  <c r="K316" i="5"/>
  <c r="H316" i="5" s="1"/>
  <c r="J362" i="6" l="1"/>
  <c r="L363" i="6" s="1"/>
  <c r="K363" i="6"/>
  <c r="G363" i="6"/>
  <c r="H363" i="6"/>
  <c r="I364" i="6" s="1"/>
  <c r="I317" i="5"/>
  <c r="G316" i="5"/>
  <c r="K364" i="6" l="1"/>
  <c r="J363" i="6"/>
  <c r="L364" i="6" s="1"/>
  <c r="G364" i="6"/>
  <c r="J316" i="5"/>
  <c r="L317" i="5" s="1"/>
  <c r="K317" i="5"/>
  <c r="H317" i="5" s="1"/>
  <c r="I318" i="5" s="1"/>
  <c r="G317" i="5"/>
  <c r="J364" i="6" l="1"/>
  <c r="L365" i="6" s="1"/>
  <c r="H364" i="6"/>
  <c r="I365" i="6" s="1"/>
  <c r="K318" i="5"/>
  <c r="G318" i="5" s="1"/>
  <c r="J317" i="5"/>
  <c r="L318" i="5" s="1"/>
  <c r="K365" i="6" l="1"/>
  <c r="H365" i="6"/>
  <c r="I366" i="6" s="1"/>
  <c r="G365" i="6"/>
  <c r="H318" i="5"/>
  <c r="J318" i="5"/>
  <c r="L319" i="5" s="1"/>
  <c r="I319" i="5"/>
  <c r="K366" i="6" l="1"/>
  <c r="G366" i="6" s="1"/>
  <c r="J365" i="6"/>
  <c r="L366" i="6" s="1"/>
  <c r="K319" i="5"/>
  <c r="J366" i="6" l="1"/>
  <c r="L367" i="6" s="1"/>
  <c r="H366" i="6"/>
  <c r="I367" i="6" s="1"/>
  <c r="H319" i="5"/>
  <c r="I320" i="5" s="1"/>
  <c r="G319" i="5"/>
  <c r="K367" i="6" l="1"/>
  <c r="G367" i="6" s="1"/>
  <c r="K320" i="5"/>
  <c r="J319" i="5"/>
  <c r="L320" i="5" s="1"/>
  <c r="J367" i="6" l="1"/>
  <c r="L368" i="6" s="1"/>
  <c r="H367" i="6"/>
  <c r="I368" i="6" s="1"/>
  <c r="H320" i="5"/>
  <c r="I321" i="5"/>
  <c r="G320" i="5"/>
  <c r="K368" i="6" l="1"/>
  <c r="H368" i="6" s="1"/>
  <c r="I369" i="6" s="1"/>
  <c r="K321" i="5"/>
  <c r="J320" i="5"/>
  <c r="L321" i="5" s="1"/>
  <c r="G321" i="5"/>
  <c r="G368" i="6" l="1"/>
  <c r="H321" i="5"/>
  <c r="I322" i="5" s="1"/>
  <c r="J321" i="5"/>
  <c r="L322" i="5" s="1"/>
  <c r="K322" i="5"/>
  <c r="G322" i="5"/>
  <c r="K369" i="6" l="1"/>
  <c r="J368" i="6"/>
  <c r="L369" i="6" s="1"/>
  <c r="H322" i="5"/>
  <c r="I323" i="5" s="1"/>
  <c r="K323" i="5"/>
  <c r="J322" i="5"/>
  <c r="L323" i="5" s="1"/>
  <c r="H369" i="6" l="1"/>
  <c r="I370" i="6" s="1"/>
  <c r="G369" i="6"/>
  <c r="H323" i="5"/>
  <c r="G323" i="5"/>
  <c r="J323" i="5"/>
  <c r="L324" i="5" s="1"/>
  <c r="I324" i="5"/>
  <c r="K370" i="6" l="1"/>
  <c r="J369" i="6"/>
  <c r="L370" i="6" s="1"/>
  <c r="H370" i="6"/>
  <c r="I371" i="6" s="1"/>
  <c r="G370" i="6"/>
  <c r="K324" i="5"/>
  <c r="G324" i="5" s="1"/>
  <c r="K371" i="6" l="1"/>
  <c r="H371" i="6" s="1"/>
  <c r="I372" i="6" s="1"/>
  <c r="J370" i="6"/>
  <c r="L371" i="6" s="1"/>
  <c r="H324" i="5"/>
  <c r="J324" i="5"/>
  <c r="L325" i="5" s="1"/>
  <c r="I325" i="5"/>
  <c r="H372" i="6" l="1"/>
  <c r="I373" i="6" s="1"/>
  <c r="G372" i="6"/>
  <c r="G371" i="6"/>
  <c r="K325" i="5"/>
  <c r="G325" i="5" s="1"/>
  <c r="J371" i="6" l="1"/>
  <c r="L372" i="6" s="1"/>
  <c r="K372" i="6"/>
  <c r="K373" i="6"/>
  <c r="J372" i="6"/>
  <c r="L373" i="6" s="1"/>
  <c r="G373" i="6"/>
  <c r="H373" i="6"/>
  <c r="I374" i="6" s="1"/>
  <c r="H325" i="5"/>
  <c r="J325" i="5"/>
  <c r="L326" i="5" s="1"/>
  <c r="I326" i="5"/>
  <c r="J373" i="6" l="1"/>
  <c r="L374" i="6" s="1"/>
  <c r="K374" i="6"/>
  <c r="H374" i="6"/>
  <c r="I375" i="6" s="1"/>
  <c r="G374" i="6"/>
  <c r="K326" i="5"/>
  <c r="H326" i="5" s="1"/>
  <c r="I327" i="5" s="1"/>
  <c r="G326" i="5"/>
  <c r="K375" i="6" l="1"/>
  <c r="J374" i="6"/>
  <c r="L375" i="6" s="1"/>
  <c r="G375" i="6"/>
  <c r="K327" i="5"/>
  <c r="J326" i="5"/>
  <c r="L327" i="5" s="1"/>
  <c r="J375" i="6" l="1"/>
  <c r="L376" i="6" s="1"/>
  <c r="H375" i="6"/>
  <c r="I376" i="6" s="1"/>
  <c r="H327" i="5"/>
  <c r="I328" i="5"/>
  <c r="G327" i="5"/>
  <c r="K376" i="6" l="1"/>
  <c r="H376" i="6" s="1"/>
  <c r="I377" i="6" s="1"/>
  <c r="J327" i="5"/>
  <c r="L328" i="5" s="1"/>
  <c r="K328" i="5"/>
  <c r="H328" i="5" s="1"/>
  <c r="G376" i="6" l="1"/>
  <c r="I329" i="5"/>
  <c r="H329" i="5" s="1"/>
  <c r="G328" i="5"/>
  <c r="J376" i="6" l="1"/>
  <c r="L377" i="6" s="1"/>
  <c r="K377" i="6"/>
  <c r="K329" i="5"/>
  <c r="J328" i="5"/>
  <c r="L329" i="5" s="1"/>
  <c r="G329" i="5"/>
  <c r="I330" i="5"/>
  <c r="H377" i="6" l="1"/>
  <c r="I378" i="6" s="1"/>
  <c r="G377" i="6"/>
  <c r="K330" i="5"/>
  <c r="H330" i="5" s="1"/>
  <c r="J329" i="5"/>
  <c r="L330" i="5" s="1"/>
  <c r="J377" i="6" l="1"/>
  <c r="L378" i="6" s="1"/>
  <c r="K378" i="6"/>
  <c r="H378" i="6"/>
  <c r="I379" i="6" s="1"/>
  <c r="G378" i="6"/>
  <c r="I331" i="5"/>
  <c r="G330" i="5"/>
  <c r="J378" i="6" l="1"/>
  <c r="L379" i="6" s="1"/>
  <c r="K379" i="6"/>
  <c r="G379" i="6"/>
  <c r="H379" i="6"/>
  <c r="I380" i="6" s="1"/>
  <c r="J330" i="5"/>
  <c r="L331" i="5" s="1"/>
  <c r="K331" i="5"/>
  <c r="H331" i="5" s="1"/>
  <c r="K380" i="6" l="1"/>
  <c r="H380" i="6" s="1"/>
  <c r="I381" i="6" s="1"/>
  <c r="J379" i="6"/>
  <c r="L380" i="6" s="1"/>
  <c r="I332" i="5"/>
  <c r="G331" i="5"/>
  <c r="G380" i="6" l="1"/>
  <c r="J331" i="5"/>
  <c r="L332" i="5" s="1"/>
  <c r="K332" i="5"/>
  <c r="H332" i="5" s="1"/>
  <c r="I333" i="5" s="1"/>
  <c r="G332" i="5"/>
  <c r="J380" i="6" l="1"/>
  <c r="L381" i="6" s="1"/>
  <c r="K381" i="6"/>
  <c r="K333" i="5"/>
  <c r="G333" i="5" s="1"/>
  <c r="J332" i="5"/>
  <c r="L333" i="5" s="1"/>
  <c r="H381" i="6" l="1"/>
  <c r="I382" i="6" s="1"/>
  <c r="G381" i="6"/>
  <c r="H333" i="5"/>
  <c r="J333" i="5"/>
  <c r="L334" i="5" s="1"/>
  <c r="I334" i="5"/>
  <c r="K382" i="6" l="1"/>
  <c r="J381" i="6"/>
  <c r="L382" i="6" s="1"/>
  <c r="G382" i="6"/>
  <c r="H382" i="6"/>
  <c r="I383" i="6" s="1"/>
  <c r="K334" i="5"/>
  <c r="G334" i="5" s="1"/>
  <c r="J382" i="6" l="1"/>
  <c r="L383" i="6" s="1"/>
  <c r="K383" i="6"/>
  <c r="G383" i="6" s="1"/>
  <c r="H334" i="5"/>
  <c r="J334" i="5"/>
  <c r="L335" i="5" s="1"/>
  <c r="I335" i="5"/>
  <c r="J383" i="6" l="1"/>
  <c r="L384" i="6" s="1"/>
  <c r="H383" i="6"/>
  <c r="I384" i="6" s="1"/>
  <c r="K335" i="5"/>
  <c r="G335" i="5" s="1"/>
  <c r="K384" i="6" l="1"/>
  <c r="G384" i="6" s="1"/>
  <c r="H335" i="5"/>
  <c r="J335" i="5"/>
  <c r="L336" i="5" s="1"/>
  <c r="I336" i="5"/>
  <c r="J384" i="6" l="1"/>
  <c r="L385" i="6" s="1"/>
  <c r="H384" i="6"/>
  <c r="I385" i="6" s="1"/>
  <c r="K336" i="5"/>
  <c r="G336" i="5" s="1"/>
  <c r="K385" i="6" l="1"/>
  <c r="H385" i="6" s="1"/>
  <c r="I386" i="6" s="1"/>
  <c r="H336" i="5"/>
  <c r="J336" i="5"/>
  <c r="L337" i="5" s="1"/>
  <c r="I337" i="5"/>
  <c r="H386" i="6" l="1"/>
  <c r="I387" i="6" s="1"/>
  <c r="G386" i="6"/>
  <c r="G385" i="6"/>
  <c r="K337" i="5"/>
  <c r="K387" i="6" l="1"/>
  <c r="J386" i="6"/>
  <c r="L387" i="6" s="1"/>
  <c r="K386" i="6"/>
  <c r="J385" i="6"/>
  <c r="L386" i="6" s="1"/>
  <c r="H387" i="6"/>
  <c r="I388" i="6" s="1"/>
  <c r="G387" i="6"/>
  <c r="H337" i="5"/>
  <c r="I338" i="5" s="1"/>
  <c r="G337" i="5"/>
  <c r="J387" i="6" l="1"/>
  <c r="L388" i="6" s="1"/>
  <c r="K388" i="6"/>
  <c r="H388" i="6"/>
  <c r="I389" i="6" s="1"/>
  <c r="G388" i="6"/>
  <c r="J337" i="5"/>
  <c r="L338" i="5" s="1"/>
  <c r="K338" i="5"/>
  <c r="H338" i="5" s="1"/>
  <c r="K389" i="6" l="1"/>
  <c r="J388" i="6"/>
  <c r="L389" i="6" s="1"/>
  <c r="H389" i="6"/>
  <c r="I390" i="6" s="1"/>
  <c r="G389" i="6"/>
  <c r="I339" i="5"/>
  <c r="G338" i="5"/>
  <c r="J389" i="6" l="1"/>
  <c r="L390" i="6" s="1"/>
  <c r="K390" i="6"/>
  <c r="H390" i="6"/>
  <c r="I391" i="6" s="1"/>
  <c r="G390" i="6"/>
  <c r="J338" i="5"/>
  <c r="L339" i="5" s="1"/>
  <c r="K339" i="5"/>
  <c r="H339" i="5" s="1"/>
  <c r="K391" i="6" l="1"/>
  <c r="J390" i="6"/>
  <c r="L391" i="6" s="1"/>
  <c r="H391" i="6"/>
  <c r="I392" i="6" s="1"/>
  <c r="G391" i="6"/>
  <c r="G339" i="5"/>
  <c r="I340" i="5"/>
  <c r="K340" i="5"/>
  <c r="J339" i="5"/>
  <c r="L340" i="5" s="1"/>
  <c r="K392" i="6" l="1"/>
  <c r="H392" i="6" s="1"/>
  <c r="I393" i="6" s="1"/>
  <c r="J391" i="6"/>
  <c r="L392" i="6" s="1"/>
  <c r="H340" i="5"/>
  <c r="G340" i="5"/>
  <c r="I341" i="5"/>
  <c r="G392" i="6" l="1"/>
  <c r="J340" i="5"/>
  <c r="L341" i="5" s="1"/>
  <c r="K341" i="5"/>
  <c r="J392" i="6" l="1"/>
  <c r="L393" i="6" s="1"/>
  <c r="K393" i="6"/>
  <c r="H341" i="5"/>
  <c r="I342" i="5" s="1"/>
  <c r="G341" i="5"/>
  <c r="H393" i="6" l="1"/>
  <c r="I394" i="6" s="1"/>
  <c r="G393" i="6"/>
  <c r="K342" i="5"/>
  <c r="J341" i="5"/>
  <c r="L342" i="5" s="1"/>
  <c r="J393" i="6" l="1"/>
  <c r="L394" i="6" s="1"/>
  <c r="K394" i="6"/>
  <c r="H394" i="6"/>
  <c r="I395" i="6" s="1"/>
  <c r="G394" i="6"/>
  <c r="H342" i="5"/>
  <c r="G342" i="5"/>
  <c r="I343" i="5"/>
  <c r="H343" i="5" s="1"/>
  <c r="J394" i="6" l="1"/>
  <c r="L395" i="6" s="1"/>
  <c r="K395" i="6"/>
  <c r="H395" i="6" s="1"/>
  <c r="I396" i="6" s="1"/>
  <c r="J342" i="5"/>
  <c r="L343" i="5" s="1"/>
  <c r="K343" i="5"/>
  <c r="G343" i="5" s="1"/>
  <c r="G395" i="6" l="1"/>
  <c r="J343" i="5"/>
  <c r="L344" i="5" s="1"/>
  <c r="I344" i="5"/>
  <c r="K396" i="6" l="1"/>
  <c r="J395" i="6"/>
  <c r="L396" i="6" s="1"/>
  <c r="K344" i="5"/>
  <c r="H396" i="6" l="1"/>
  <c r="I397" i="6" s="1"/>
  <c r="G396" i="6"/>
  <c r="H344" i="5"/>
  <c r="I345" i="5" s="1"/>
  <c r="G344" i="5"/>
  <c r="J396" i="6" l="1"/>
  <c r="L397" i="6" s="1"/>
  <c r="K397" i="6"/>
  <c r="G397" i="6"/>
  <c r="K345" i="5"/>
  <c r="J344" i="5"/>
  <c r="L345" i="5" s="1"/>
  <c r="H397" i="6" l="1"/>
  <c r="I398" i="6" s="1"/>
  <c r="J397" i="6"/>
  <c r="L398" i="6" s="1"/>
  <c r="H345" i="5"/>
  <c r="G345" i="5"/>
  <c r="I346" i="5"/>
  <c r="K398" i="6" l="1"/>
  <c r="G398" i="6"/>
  <c r="H398" i="6"/>
  <c r="I399" i="6" s="1"/>
  <c r="J345" i="5"/>
  <c r="L346" i="5" s="1"/>
  <c r="K346" i="5"/>
  <c r="J398" i="6" l="1"/>
  <c r="L399" i="6" s="1"/>
  <c r="K399" i="6"/>
  <c r="G399" i="6"/>
  <c r="H399" i="6"/>
  <c r="I400" i="6" s="1"/>
  <c r="H346" i="5"/>
  <c r="I347" i="5" s="1"/>
  <c r="G346" i="5"/>
  <c r="J399" i="6" l="1"/>
  <c r="L400" i="6" s="1"/>
  <c r="K400" i="6"/>
  <c r="G400" i="6"/>
  <c r="H400" i="6"/>
  <c r="I401" i="6" s="1"/>
  <c r="J346" i="5"/>
  <c r="L347" i="5" s="1"/>
  <c r="K347" i="5"/>
  <c r="H347" i="5" s="1"/>
  <c r="K401" i="6" l="1"/>
  <c r="H401" i="6" s="1"/>
  <c r="I402" i="6" s="1"/>
  <c r="J400" i="6"/>
  <c r="L401" i="6" s="1"/>
  <c r="I348" i="5"/>
  <c r="G347" i="5"/>
  <c r="G401" i="6" l="1"/>
  <c r="K348" i="5"/>
  <c r="J347" i="5"/>
  <c r="L348" i="5" s="1"/>
  <c r="G348" i="5"/>
  <c r="K402" i="6" l="1"/>
  <c r="J401" i="6"/>
  <c r="L402" i="6" s="1"/>
  <c r="H348" i="5"/>
  <c r="I349" i="5" s="1"/>
  <c r="K349" i="5"/>
  <c r="H349" i="5" s="1"/>
  <c r="J348" i="5"/>
  <c r="L349" i="5" s="1"/>
  <c r="H402" i="6" l="1"/>
  <c r="I403" i="6" s="1"/>
  <c r="G402" i="6"/>
  <c r="I350" i="5"/>
  <c r="G349" i="5"/>
  <c r="K403" i="6" l="1"/>
  <c r="J402" i="6"/>
  <c r="L403" i="6" s="1"/>
  <c r="H403" i="6"/>
  <c r="I404" i="6" s="1"/>
  <c r="G403" i="6"/>
  <c r="J349" i="5"/>
  <c r="L350" i="5" s="1"/>
  <c r="K350" i="5"/>
  <c r="H350" i="5" s="1"/>
  <c r="J403" i="6" l="1"/>
  <c r="L404" i="6" s="1"/>
  <c r="K404" i="6"/>
  <c r="H404" i="6" s="1"/>
  <c r="I405" i="6" s="1"/>
  <c r="G350" i="5"/>
  <c r="I351" i="5"/>
  <c r="G404" i="6" l="1"/>
  <c r="J350" i="5"/>
  <c r="L351" i="5" s="1"/>
  <c r="K351" i="5"/>
  <c r="K405" i="6" l="1"/>
  <c r="J404" i="6"/>
  <c r="L405" i="6" s="1"/>
  <c r="H351" i="5"/>
  <c r="I352" i="5" s="1"/>
  <c r="G351" i="5"/>
  <c r="H405" i="6" l="1"/>
  <c r="I406" i="6" s="1"/>
  <c r="G405" i="6"/>
  <c r="K352" i="5"/>
  <c r="J351" i="5"/>
  <c r="L352" i="5" s="1"/>
  <c r="J405" i="6" l="1"/>
  <c r="L406" i="6" s="1"/>
  <c r="K406" i="6"/>
  <c r="G406" i="6"/>
  <c r="H406" i="6"/>
  <c r="I407" i="6" s="1"/>
  <c r="H352" i="5"/>
  <c r="I353" i="5"/>
  <c r="G352" i="5"/>
  <c r="K407" i="6" l="1"/>
  <c r="H407" i="6" s="1"/>
  <c r="I408" i="6" s="1"/>
  <c r="J406" i="6"/>
  <c r="L407" i="6" s="1"/>
  <c r="J352" i="5"/>
  <c r="L353" i="5" s="1"/>
  <c r="K353" i="5"/>
  <c r="H353" i="5" s="1"/>
  <c r="I354" i="5" s="1"/>
  <c r="G353" i="5"/>
  <c r="G407" i="6" l="1"/>
  <c r="J353" i="5"/>
  <c r="L354" i="5" s="1"/>
  <c r="K354" i="5"/>
  <c r="K408" i="6" l="1"/>
  <c r="J407" i="6"/>
  <c r="L408" i="6" s="1"/>
  <c r="H354" i="5"/>
  <c r="I355" i="5" s="1"/>
  <c r="G354" i="5"/>
  <c r="H408" i="6" l="1"/>
  <c r="I409" i="6" s="1"/>
  <c r="G408" i="6"/>
  <c r="K355" i="5"/>
  <c r="J354" i="5"/>
  <c r="L355" i="5" s="1"/>
  <c r="K409" i="6" l="1"/>
  <c r="J408" i="6"/>
  <c r="L409" i="6" s="1"/>
  <c r="G409" i="6"/>
  <c r="H409" i="6"/>
  <c r="I410" i="6" s="1"/>
  <c r="H355" i="5"/>
  <c r="I356" i="5"/>
  <c r="G355" i="5"/>
  <c r="J409" i="6" l="1"/>
  <c r="L410" i="6" s="1"/>
  <c r="K410" i="6"/>
  <c r="H410" i="6" s="1"/>
  <c r="I411" i="6" s="1"/>
  <c r="J355" i="5"/>
  <c r="L356" i="5" s="1"/>
  <c r="K356" i="5"/>
  <c r="H356" i="5" s="1"/>
  <c r="I357" i="5" s="1"/>
  <c r="G356" i="5"/>
  <c r="G410" i="6" l="1"/>
  <c r="K357" i="5"/>
  <c r="J356" i="5"/>
  <c r="L357" i="5" s="1"/>
  <c r="J410" i="6" l="1"/>
  <c r="L411" i="6" s="1"/>
  <c r="K411" i="6"/>
  <c r="H357" i="5"/>
  <c r="I358" i="5"/>
  <c r="H358" i="5" s="1"/>
  <c r="G357" i="5"/>
  <c r="H411" i="6" l="1"/>
  <c r="I412" i="6" s="1"/>
  <c r="G411" i="6"/>
  <c r="K358" i="5"/>
  <c r="J357" i="5"/>
  <c r="L358" i="5" s="1"/>
  <c r="K412" i="6" l="1"/>
  <c r="J411" i="6"/>
  <c r="L412" i="6" s="1"/>
  <c r="H412" i="6"/>
  <c r="I413" i="6" s="1"/>
  <c r="G412" i="6"/>
  <c r="I359" i="5"/>
  <c r="G358" i="5"/>
  <c r="J412" i="6" l="1"/>
  <c r="L413" i="6" s="1"/>
  <c r="K413" i="6"/>
  <c r="H413" i="6" s="1"/>
  <c r="I414" i="6" s="1"/>
  <c r="J358" i="5"/>
  <c r="L359" i="5" s="1"/>
  <c r="K359" i="5"/>
  <c r="G359" i="5" s="1"/>
  <c r="G414" i="6" l="1"/>
  <c r="H414" i="6"/>
  <c r="I415" i="6" s="1"/>
  <c r="G413" i="6"/>
  <c r="H359" i="5"/>
  <c r="I360" i="5" s="1"/>
  <c r="J359" i="5"/>
  <c r="L360" i="5" s="1"/>
  <c r="K360" i="5"/>
  <c r="G360" i="5" s="1"/>
  <c r="K414" i="6" l="1"/>
  <c r="J413" i="6"/>
  <c r="L414" i="6" s="1"/>
  <c r="J414" i="6"/>
  <c r="L415" i="6" s="1"/>
  <c r="K415" i="6"/>
  <c r="G415" i="6" s="1"/>
  <c r="H360" i="5"/>
  <c r="I361" i="5" s="1"/>
  <c r="K361" i="5"/>
  <c r="G361" i="5" s="1"/>
  <c r="J360" i="5"/>
  <c r="L361" i="5" s="1"/>
  <c r="J415" i="6" l="1"/>
  <c r="L416" i="6" s="1"/>
  <c r="H415" i="6"/>
  <c r="I416" i="6" s="1"/>
  <c r="H361" i="5"/>
  <c r="I362" i="5" s="1"/>
  <c r="J361" i="5"/>
  <c r="L362" i="5" s="1"/>
  <c r="K362" i="5"/>
  <c r="G362" i="5" s="1"/>
  <c r="K416" i="6" l="1"/>
  <c r="H416" i="6" s="1"/>
  <c r="I417" i="6" s="1"/>
  <c r="H362" i="5"/>
  <c r="J362" i="5"/>
  <c r="L363" i="5" s="1"/>
  <c r="I363" i="5"/>
  <c r="G416" i="6" l="1"/>
  <c r="K363" i="5"/>
  <c r="G363" i="5" s="1"/>
  <c r="J416" i="6" l="1"/>
  <c r="L417" i="6" s="1"/>
  <c r="K417" i="6"/>
  <c r="H363" i="5"/>
  <c r="J363" i="5"/>
  <c r="L364" i="5" s="1"/>
  <c r="I364" i="5"/>
  <c r="H417" i="6" l="1"/>
  <c r="I418" i="6" s="1"/>
  <c r="G417" i="6"/>
  <c r="K364" i="5"/>
  <c r="G364" i="5" s="1"/>
  <c r="K418" i="6" l="1"/>
  <c r="J417" i="6"/>
  <c r="L418" i="6" s="1"/>
  <c r="H418" i="6"/>
  <c r="I419" i="6" s="1"/>
  <c r="G418" i="6"/>
  <c r="H364" i="5"/>
  <c r="J364" i="5"/>
  <c r="L365" i="5" s="1"/>
  <c r="I365" i="5"/>
  <c r="K419" i="6" l="1"/>
  <c r="J418" i="6"/>
  <c r="L419" i="6" s="1"/>
  <c r="H419" i="6"/>
  <c r="I420" i="6" s="1"/>
  <c r="G419" i="6"/>
  <c r="K365" i="5"/>
  <c r="G365" i="5" s="1"/>
  <c r="J419" i="6" l="1"/>
  <c r="L420" i="6" s="1"/>
  <c r="K420" i="6"/>
  <c r="H420" i="6"/>
  <c r="I421" i="6" s="1"/>
  <c r="G420" i="6"/>
  <c r="H365" i="5"/>
  <c r="J365" i="5"/>
  <c r="L366" i="5" s="1"/>
  <c r="I366" i="5"/>
  <c r="K421" i="6" l="1"/>
  <c r="J420" i="6"/>
  <c r="L421" i="6" s="1"/>
  <c r="G421" i="6"/>
  <c r="H421" i="6"/>
  <c r="I422" i="6" s="1"/>
  <c r="K366" i="5"/>
  <c r="G366" i="5" s="1"/>
  <c r="J421" i="6" l="1"/>
  <c r="L422" i="6" s="1"/>
  <c r="K422" i="6"/>
  <c r="G422" i="6" s="1"/>
  <c r="H366" i="5"/>
  <c r="J366" i="5"/>
  <c r="L367" i="5" s="1"/>
  <c r="I367" i="5"/>
  <c r="J422" i="6" l="1"/>
  <c r="L423" i="6" s="1"/>
  <c r="H422" i="6"/>
  <c r="I423" i="6" s="1"/>
  <c r="K367" i="5"/>
  <c r="G367" i="5" s="1"/>
  <c r="K423" i="6" l="1"/>
  <c r="H423" i="6" s="1"/>
  <c r="I424" i="6" s="1"/>
  <c r="H367" i="5"/>
  <c r="J367" i="5"/>
  <c r="L368" i="5" s="1"/>
  <c r="I368" i="5"/>
  <c r="G423" i="6" l="1"/>
  <c r="K368" i="5"/>
  <c r="G368" i="5" s="1"/>
  <c r="J423" i="6" l="1"/>
  <c r="L424" i="6" s="1"/>
  <c r="K424" i="6"/>
  <c r="H368" i="5"/>
  <c r="J368" i="5"/>
  <c r="L369" i="5" s="1"/>
  <c r="I369" i="5"/>
  <c r="H424" i="6" l="1"/>
  <c r="I425" i="6" s="1"/>
  <c r="G424" i="6"/>
  <c r="K369" i="5"/>
  <c r="G369" i="5" s="1"/>
  <c r="K425" i="6" l="1"/>
  <c r="J424" i="6"/>
  <c r="L425" i="6" s="1"/>
  <c r="H425" i="6"/>
  <c r="I426" i="6" s="1"/>
  <c r="G425" i="6"/>
  <c r="H369" i="5"/>
  <c r="J369" i="5"/>
  <c r="L370" i="5" s="1"/>
  <c r="I370" i="5"/>
  <c r="J425" i="6" l="1"/>
  <c r="L426" i="6" s="1"/>
  <c r="K426" i="6"/>
  <c r="H426" i="6"/>
  <c r="I427" i="6" s="1"/>
  <c r="G426" i="6"/>
  <c r="K370" i="5"/>
  <c r="G370" i="5" s="1"/>
  <c r="J426" i="6" l="1"/>
  <c r="L427" i="6" s="1"/>
  <c r="K427" i="6"/>
  <c r="G427" i="6"/>
  <c r="H427" i="6"/>
  <c r="I428" i="6" s="1"/>
  <c r="H370" i="5"/>
  <c r="J370" i="5"/>
  <c r="L371" i="5" s="1"/>
  <c r="I371" i="5"/>
  <c r="H428" i="6" l="1"/>
  <c r="I429" i="6" s="1"/>
  <c r="G428" i="6"/>
  <c r="K428" i="6"/>
  <c r="J427" i="6"/>
  <c r="L428" i="6" s="1"/>
  <c r="K371" i="5"/>
  <c r="G371" i="5" s="1"/>
  <c r="J428" i="6" l="1"/>
  <c r="L429" i="6" s="1"/>
  <c r="K429" i="6"/>
  <c r="H429" i="6"/>
  <c r="I430" i="6" s="1"/>
  <c r="G429" i="6"/>
  <c r="H371" i="5"/>
  <c r="J371" i="5"/>
  <c r="L372" i="5" s="1"/>
  <c r="I372" i="5"/>
  <c r="H372" i="5" s="1"/>
  <c r="K430" i="6" l="1"/>
  <c r="J429" i="6"/>
  <c r="L430" i="6" s="1"/>
  <c r="G430" i="6"/>
  <c r="H430" i="6"/>
  <c r="I431" i="6" s="1"/>
  <c r="K372" i="5"/>
  <c r="G372" i="5" s="1"/>
  <c r="J430" i="6" l="1"/>
  <c r="L431" i="6" s="1"/>
  <c r="K431" i="6"/>
  <c r="G431" i="6" s="1"/>
  <c r="J372" i="5"/>
  <c r="L373" i="5" s="1"/>
  <c r="I373" i="5"/>
  <c r="J431" i="6" l="1"/>
  <c r="L432" i="6" s="1"/>
  <c r="H431" i="6"/>
  <c r="I432" i="6" s="1"/>
  <c r="K373" i="5"/>
  <c r="K432" i="6" l="1"/>
  <c r="G432" i="6" s="1"/>
  <c r="H373" i="5"/>
  <c r="I374" i="5" s="1"/>
  <c r="G373" i="5"/>
  <c r="J432" i="6" l="1"/>
  <c r="L433" i="6" s="1"/>
  <c r="H432" i="6"/>
  <c r="I433" i="6" s="1"/>
  <c r="K374" i="5"/>
  <c r="J373" i="5"/>
  <c r="L374" i="5" s="1"/>
  <c r="K433" i="6" l="1"/>
  <c r="H433" i="6" s="1"/>
  <c r="I434" i="6" s="1"/>
  <c r="H374" i="5"/>
  <c r="I375" i="5"/>
  <c r="G374" i="5"/>
  <c r="G433" i="6" l="1"/>
  <c r="J374" i="5"/>
  <c r="L375" i="5" s="1"/>
  <c r="K375" i="5"/>
  <c r="H375" i="5" s="1"/>
  <c r="I376" i="5" s="1"/>
  <c r="G375" i="5"/>
  <c r="K434" i="6" l="1"/>
  <c r="J433" i="6"/>
  <c r="L434" i="6" s="1"/>
  <c r="J375" i="5"/>
  <c r="L376" i="5" s="1"/>
  <c r="K376" i="5"/>
  <c r="H376" i="5" s="1"/>
  <c r="I377" i="5" s="1"/>
  <c r="G434" i="6" l="1"/>
  <c r="H434" i="6"/>
  <c r="I435" i="6" s="1"/>
  <c r="G376" i="5"/>
  <c r="K377" i="5"/>
  <c r="H377" i="5" s="1"/>
  <c r="J376" i="5"/>
  <c r="L377" i="5" s="1"/>
  <c r="K435" i="6" l="1"/>
  <c r="H435" i="6" s="1"/>
  <c r="I436" i="6" s="1"/>
  <c r="J434" i="6"/>
  <c r="L435" i="6" s="1"/>
  <c r="I378" i="5"/>
  <c r="G377" i="5"/>
  <c r="G435" i="6" l="1"/>
  <c r="J377" i="5"/>
  <c r="L378" i="5" s="1"/>
  <c r="K378" i="5"/>
  <c r="H378" i="5" s="1"/>
  <c r="J435" i="6" l="1"/>
  <c r="L436" i="6" s="1"/>
  <c r="K436" i="6"/>
  <c r="I379" i="5"/>
  <c r="G378" i="5"/>
  <c r="H436" i="6" l="1"/>
  <c r="I437" i="6" s="1"/>
  <c r="G436" i="6"/>
  <c r="J378" i="5"/>
  <c r="L379" i="5" s="1"/>
  <c r="K379" i="5"/>
  <c r="H379" i="5" s="1"/>
  <c r="I380" i="5" s="1"/>
  <c r="G379" i="5"/>
  <c r="K437" i="6" l="1"/>
  <c r="J436" i="6"/>
  <c r="L437" i="6" s="1"/>
  <c r="G437" i="6"/>
  <c r="H437" i="6"/>
  <c r="I438" i="6" s="1"/>
  <c r="K380" i="5"/>
  <c r="G380" i="5" s="1"/>
  <c r="J379" i="5"/>
  <c r="L380" i="5" s="1"/>
  <c r="J437" i="6" l="1"/>
  <c r="L438" i="6" s="1"/>
  <c r="K438" i="6"/>
  <c r="H438" i="6" s="1"/>
  <c r="I439" i="6" s="1"/>
  <c r="H380" i="5"/>
  <c r="J380" i="5"/>
  <c r="L381" i="5" s="1"/>
  <c r="I381" i="5"/>
  <c r="G438" i="6" l="1"/>
  <c r="K381" i="5"/>
  <c r="G381" i="5" s="1"/>
  <c r="K439" i="6" l="1"/>
  <c r="J438" i="6"/>
  <c r="L439" i="6" s="1"/>
  <c r="H381" i="5"/>
  <c r="J381" i="5"/>
  <c r="L382" i="5" s="1"/>
  <c r="I382" i="5"/>
  <c r="H439" i="6" l="1"/>
  <c r="I440" i="6" s="1"/>
  <c r="G439" i="6"/>
  <c r="K382" i="5"/>
  <c r="G382" i="5" s="1"/>
  <c r="K440" i="6" l="1"/>
  <c r="J439" i="6"/>
  <c r="L440" i="6" s="1"/>
  <c r="H440" i="6"/>
  <c r="I441" i="6" s="1"/>
  <c r="G440" i="6"/>
  <c r="H382" i="5"/>
  <c r="J382" i="5"/>
  <c r="L383" i="5" s="1"/>
  <c r="I383" i="5"/>
  <c r="J440" i="6" l="1"/>
  <c r="L441" i="6" s="1"/>
  <c r="K441" i="6"/>
  <c r="H441" i="6"/>
  <c r="I442" i="6" s="1"/>
  <c r="G441" i="6"/>
  <c r="K383" i="5"/>
  <c r="G383" i="5" s="1"/>
  <c r="J441" i="6" l="1"/>
  <c r="L442" i="6" s="1"/>
  <c r="K442" i="6"/>
  <c r="H442" i="6"/>
  <c r="I443" i="6" s="1"/>
  <c r="G442" i="6"/>
  <c r="H383" i="5"/>
  <c r="J383" i="5"/>
  <c r="L384" i="5" s="1"/>
  <c r="I384" i="5"/>
  <c r="J442" i="6" l="1"/>
  <c r="L443" i="6" s="1"/>
  <c r="K443" i="6"/>
  <c r="H443" i="6"/>
  <c r="I444" i="6" s="1"/>
  <c r="G443" i="6"/>
  <c r="K384" i="5"/>
  <c r="G384" i="5" s="1"/>
  <c r="K444" i="6" l="1"/>
  <c r="J443" i="6"/>
  <c r="L444" i="6" s="1"/>
  <c r="H444" i="6"/>
  <c r="I445" i="6" s="1"/>
  <c r="G444" i="6"/>
  <c r="H384" i="5"/>
  <c r="J384" i="5"/>
  <c r="L385" i="5" s="1"/>
  <c r="I385" i="5"/>
  <c r="J444" i="6" l="1"/>
  <c r="L445" i="6" s="1"/>
  <c r="K445" i="6"/>
  <c r="H445" i="6"/>
  <c r="I446" i="6" s="1"/>
  <c r="G445" i="6"/>
  <c r="K385" i="5"/>
  <c r="G385" i="5" s="1"/>
  <c r="K446" i="6" l="1"/>
  <c r="J445" i="6"/>
  <c r="L446" i="6" s="1"/>
  <c r="G446" i="6"/>
  <c r="H446" i="6"/>
  <c r="I447" i="6" s="1"/>
  <c r="H385" i="5"/>
  <c r="J385" i="5"/>
  <c r="L386" i="5" s="1"/>
  <c r="I386" i="5"/>
  <c r="H386" i="5" s="1"/>
  <c r="J446" i="6" l="1"/>
  <c r="L447" i="6" s="1"/>
  <c r="K447" i="6"/>
  <c r="G447" i="6" s="1"/>
  <c r="K386" i="5"/>
  <c r="I387" i="5"/>
  <c r="G386" i="5"/>
  <c r="J447" i="6" l="1"/>
  <c r="L448" i="6" s="1"/>
  <c r="H447" i="6"/>
  <c r="I448" i="6" s="1"/>
  <c r="K387" i="5"/>
  <c r="G387" i="5" s="1"/>
  <c r="J386" i="5"/>
  <c r="L387" i="5" s="1"/>
  <c r="K448" i="6" l="1"/>
  <c r="G448" i="6" s="1"/>
  <c r="H387" i="5"/>
  <c r="J387" i="5"/>
  <c r="L388" i="5" s="1"/>
  <c r="I388" i="5"/>
  <c r="J448" i="6" l="1"/>
  <c r="L449" i="6" s="1"/>
  <c r="H448" i="6"/>
  <c r="I449" i="6" s="1"/>
  <c r="K388" i="5"/>
  <c r="G388" i="5" s="1"/>
  <c r="K449" i="6" l="1"/>
  <c r="H449" i="6" s="1"/>
  <c r="I450" i="6" s="1"/>
  <c r="H388" i="5"/>
  <c r="J388" i="5"/>
  <c r="L389" i="5" s="1"/>
  <c r="I389" i="5"/>
  <c r="G449" i="6" l="1"/>
  <c r="K389" i="5"/>
  <c r="K450" i="6" l="1"/>
  <c r="J449" i="6"/>
  <c r="L450" i="6" s="1"/>
  <c r="H389" i="5"/>
  <c r="I390" i="5" s="1"/>
  <c r="G389" i="5"/>
  <c r="H450" i="6" l="1"/>
  <c r="I451" i="6" s="1"/>
  <c r="G450" i="6"/>
  <c r="K390" i="5"/>
  <c r="J389" i="5"/>
  <c r="L390" i="5" s="1"/>
  <c r="K451" i="6" l="1"/>
  <c r="J450" i="6"/>
  <c r="L451" i="6" s="1"/>
  <c r="H451" i="6"/>
  <c r="I452" i="6" s="1"/>
  <c r="G451" i="6"/>
  <c r="H390" i="5"/>
  <c r="I391" i="5"/>
  <c r="G390" i="5"/>
  <c r="J451" i="6" l="1"/>
  <c r="L452" i="6" s="1"/>
  <c r="K452" i="6"/>
  <c r="H452" i="6"/>
  <c r="I453" i="6" s="1"/>
  <c r="G452" i="6"/>
  <c r="J390" i="5"/>
  <c r="L391" i="5" s="1"/>
  <c r="K391" i="5"/>
  <c r="G391" i="5" s="1"/>
  <c r="K453" i="6" l="1"/>
  <c r="H453" i="6" s="1"/>
  <c r="I454" i="6" s="1"/>
  <c r="J452" i="6"/>
  <c r="L453" i="6" s="1"/>
  <c r="H391" i="5"/>
  <c r="J391" i="5"/>
  <c r="L392" i="5" s="1"/>
  <c r="I392" i="5"/>
  <c r="G453" i="6" l="1"/>
  <c r="K392" i="5"/>
  <c r="G392" i="5" s="1"/>
  <c r="J453" i="6" l="1"/>
  <c r="L454" i="6" s="1"/>
  <c r="K454" i="6"/>
  <c r="H392" i="5"/>
  <c r="I393" i="5"/>
  <c r="K393" i="5"/>
  <c r="G393" i="5" s="1"/>
  <c r="J392" i="5"/>
  <c r="L393" i="5" s="1"/>
  <c r="H454" i="6" l="1"/>
  <c r="I455" i="6" s="1"/>
  <c r="G454" i="6"/>
  <c r="H393" i="5"/>
  <c r="J393" i="5"/>
  <c r="L394" i="5" s="1"/>
  <c r="I394" i="5"/>
  <c r="K455" i="6" l="1"/>
  <c r="J454" i="6"/>
  <c r="L455" i="6" s="1"/>
  <c r="H455" i="6"/>
  <c r="I456" i="6" s="1"/>
  <c r="G455" i="6"/>
  <c r="K394" i="5"/>
  <c r="G394" i="5" s="1"/>
  <c r="K456" i="6" l="1"/>
  <c r="J455" i="6"/>
  <c r="L456" i="6" s="1"/>
  <c r="H456" i="6"/>
  <c r="I457" i="6" s="1"/>
  <c r="G456" i="6"/>
  <c r="H394" i="5"/>
  <c r="J394" i="5"/>
  <c r="L395" i="5" s="1"/>
  <c r="I395" i="5"/>
  <c r="K457" i="6" l="1"/>
  <c r="H457" i="6" s="1"/>
  <c r="I458" i="6" s="1"/>
  <c r="J456" i="6"/>
  <c r="L457" i="6" s="1"/>
  <c r="K395" i="5"/>
  <c r="G457" i="6" l="1"/>
  <c r="H395" i="5"/>
  <c r="I396" i="5" s="1"/>
  <c r="G395" i="5"/>
  <c r="J457" i="6" l="1"/>
  <c r="L458" i="6" s="1"/>
  <c r="K458" i="6"/>
  <c r="K396" i="5"/>
  <c r="J395" i="5"/>
  <c r="L396" i="5" s="1"/>
  <c r="H458" i="6" l="1"/>
  <c r="I459" i="6" s="1"/>
  <c r="G458" i="6"/>
  <c r="H396" i="5"/>
  <c r="I397" i="5"/>
  <c r="G396" i="5"/>
  <c r="J458" i="6" l="1"/>
  <c r="L459" i="6" s="1"/>
  <c r="K459" i="6"/>
  <c r="H459" i="6"/>
  <c r="I460" i="6" s="1"/>
  <c r="G459" i="6"/>
  <c r="K397" i="5"/>
  <c r="G397" i="5" s="1"/>
  <c r="J396" i="5"/>
  <c r="L397" i="5" s="1"/>
  <c r="K460" i="6" l="1"/>
  <c r="J459" i="6"/>
  <c r="L460" i="6" s="1"/>
  <c r="H460" i="6"/>
  <c r="I461" i="6" s="1"/>
  <c r="G460" i="6"/>
  <c r="H397" i="5"/>
  <c r="J397" i="5"/>
  <c r="L398" i="5" s="1"/>
  <c r="I398" i="5"/>
  <c r="J460" i="6" l="1"/>
  <c r="L461" i="6" s="1"/>
  <c r="K461" i="6"/>
  <c r="H461" i="6"/>
  <c r="I462" i="6" s="1"/>
  <c r="G461" i="6"/>
  <c r="K398" i="5"/>
  <c r="G398" i="5" s="1"/>
  <c r="K462" i="6" l="1"/>
  <c r="J461" i="6"/>
  <c r="L462" i="6" s="1"/>
  <c r="G462" i="6"/>
  <c r="H462" i="6"/>
  <c r="I463" i="6" s="1"/>
  <c r="H398" i="5"/>
  <c r="J398" i="5"/>
  <c r="L399" i="5" s="1"/>
  <c r="I399" i="5"/>
  <c r="J462" i="6" l="1"/>
  <c r="L463" i="6" s="1"/>
  <c r="K463" i="6"/>
  <c r="G463" i="6" s="1"/>
  <c r="K399" i="5"/>
  <c r="H399" i="5" s="1"/>
  <c r="I400" i="5" s="1"/>
  <c r="H400" i="5" s="1"/>
  <c r="G399" i="5"/>
  <c r="J463" i="6" l="1"/>
  <c r="L464" i="6" s="1"/>
  <c r="H463" i="6"/>
  <c r="I464" i="6" s="1"/>
  <c r="K400" i="5"/>
  <c r="J399" i="5"/>
  <c r="L400" i="5" s="1"/>
  <c r="K464" i="6" l="1"/>
  <c r="H464" i="6" s="1"/>
  <c r="I465" i="6" s="1"/>
  <c r="I401" i="5"/>
  <c r="G400" i="5"/>
  <c r="G464" i="6" l="1"/>
  <c r="J400" i="5"/>
  <c r="L401" i="5" s="1"/>
  <c r="K401" i="5"/>
  <c r="H401" i="5" s="1"/>
  <c r="J464" i="6" l="1"/>
  <c r="L465" i="6" s="1"/>
  <c r="K465" i="6"/>
  <c r="I402" i="5"/>
  <c r="G401" i="5"/>
  <c r="H465" i="6" l="1"/>
  <c r="I466" i="6" s="1"/>
  <c r="G465" i="6"/>
  <c r="K402" i="5"/>
  <c r="J401" i="5"/>
  <c r="L402" i="5" s="1"/>
  <c r="G402" i="5"/>
  <c r="K466" i="6" l="1"/>
  <c r="J465" i="6"/>
  <c r="L466" i="6" s="1"/>
  <c r="G466" i="6"/>
  <c r="H466" i="6"/>
  <c r="I467" i="6" s="1"/>
  <c r="H402" i="5"/>
  <c r="I403" i="5" s="1"/>
  <c r="K403" i="5"/>
  <c r="J402" i="5"/>
  <c r="L403" i="5" s="1"/>
  <c r="G403" i="5"/>
  <c r="K467" i="6" l="1"/>
  <c r="J466" i="6"/>
  <c r="L467" i="6" s="1"/>
  <c r="H467" i="6"/>
  <c r="I468" i="6" s="1"/>
  <c r="G467" i="6"/>
  <c r="H403" i="5"/>
  <c r="I404" i="5" s="1"/>
  <c r="J403" i="5"/>
  <c r="L404" i="5" s="1"/>
  <c r="K404" i="5"/>
  <c r="G404" i="5" s="1"/>
  <c r="J467" i="6" l="1"/>
  <c r="L468" i="6" s="1"/>
  <c r="K468" i="6"/>
  <c r="H468" i="6" s="1"/>
  <c r="I469" i="6" s="1"/>
  <c r="H404" i="5"/>
  <c r="J404" i="5"/>
  <c r="L405" i="5" s="1"/>
  <c r="I405" i="5"/>
  <c r="G468" i="6" l="1"/>
  <c r="K405" i="5"/>
  <c r="K469" i="6" l="1"/>
  <c r="J468" i="6"/>
  <c r="L469" i="6" s="1"/>
  <c r="H405" i="5"/>
  <c r="I406" i="5" s="1"/>
  <c r="G405" i="5"/>
  <c r="H469" i="6" l="1"/>
  <c r="I470" i="6" s="1"/>
  <c r="G469" i="6"/>
  <c r="K406" i="5"/>
  <c r="J405" i="5"/>
  <c r="L406" i="5" s="1"/>
  <c r="J469" i="6" l="1"/>
  <c r="L470" i="6" s="1"/>
  <c r="K470" i="6"/>
  <c r="G470" i="6"/>
  <c r="H470" i="6"/>
  <c r="I471" i="6" s="1"/>
  <c r="H406" i="5"/>
  <c r="I407" i="5"/>
  <c r="G406" i="5"/>
  <c r="K471" i="6" l="1"/>
  <c r="J470" i="6"/>
  <c r="L471" i="6" s="1"/>
  <c r="H471" i="6"/>
  <c r="I472" i="6" s="1"/>
  <c r="G471" i="6"/>
  <c r="J406" i="5"/>
  <c r="L407" i="5" s="1"/>
  <c r="K407" i="5"/>
  <c r="H407" i="5" s="1"/>
  <c r="I408" i="5" s="1"/>
  <c r="G407" i="5"/>
  <c r="K472" i="6" l="1"/>
  <c r="H472" i="6" s="1"/>
  <c r="I473" i="6" s="1"/>
  <c r="J471" i="6"/>
  <c r="L472" i="6" s="1"/>
  <c r="J407" i="5"/>
  <c r="L408" i="5" s="1"/>
  <c r="K408" i="5"/>
  <c r="H408" i="5" s="1"/>
  <c r="I409" i="5" s="1"/>
  <c r="G408" i="5"/>
  <c r="G472" i="6" l="1"/>
  <c r="K409" i="5"/>
  <c r="J408" i="5"/>
  <c r="L409" i="5" s="1"/>
  <c r="G409" i="5"/>
  <c r="K473" i="6" l="1"/>
  <c r="J472" i="6"/>
  <c r="L473" i="6" s="1"/>
  <c r="H409" i="5"/>
  <c r="I410" i="5" s="1"/>
  <c r="J409" i="5"/>
  <c r="L410" i="5" s="1"/>
  <c r="K410" i="5"/>
  <c r="G410" i="5" s="1"/>
  <c r="G473" i="6" l="1"/>
  <c r="H473" i="6"/>
  <c r="I474" i="6" s="1"/>
  <c r="H410" i="5"/>
  <c r="J410" i="5"/>
  <c r="L411" i="5" s="1"/>
  <c r="I411" i="5"/>
  <c r="J473" i="6" l="1"/>
  <c r="L474" i="6" s="1"/>
  <c r="K474" i="6"/>
  <c r="H474" i="6" s="1"/>
  <c r="I475" i="6" s="1"/>
  <c r="K411" i="5"/>
  <c r="G411" i="5" s="1"/>
  <c r="H475" i="6" l="1"/>
  <c r="I476" i="6" s="1"/>
  <c r="G475" i="6"/>
  <c r="G474" i="6"/>
  <c r="H411" i="5"/>
  <c r="J411" i="5"/>
  <c r="L412" i="5" s="1"/>
  <c r="I412" i="5"/>
  <c r="K476" i="6" l="1"/>
  <c r="J475" i="6"/>
  <c r="L476" i="6" s="1"/>
  <c r="J474" i="6"/>
  <c r="L475" i="6" s="1"/>
  <c r="K475" i="6"/>
  <c r="H476" i="6"/>
  <c r="I477" i="6" s="1"/>
  <c r="G476" i="6"/>
  <c r="K412" i="5"/>
  <c r="J476" i="6" l="1"/>
  <c r="L477" i="6" s="1"/>
  <c r="K477" i="6"/>
  <c r="H477" i="6"/>
  <c r="I478" i="6" s="1"/>
  <c r="G477" i="6"/>
  <c r="H412" i="5"/>
  <c r="I413" i="5" s="1"/>
  <c r="G412" i="5"/>
  <c r="K478" i="6" l="1"/>
  <c r="G478" i="6" s="1"/>
  <c r="J477" i="6"/>
  <c r="L478" i="6" s="1"/>
  <c r="K413" i="5"/>
  <c r="J412" i="5"/>
  <c r="L413" i="5" s="1"/>
  <c r="J478" i="6" l="1"/>
  <c r="L479" i="6" s="1"/>
  <c r="H478" i="6"/>
  <c r="I479" i="6" s="1"/>
  <c r="H413" i="5"/>
  <c r="G413" i="5"/>
  <c r="I414" i="5"/>
  <c r="H414" i="5" s="1"/>
  <c r="K479" i="6" l="1"/>
  <c r="G479" i="6" s="1"/>
  <c r="J413" i="5"/>
  <c r="L414" i="5" s="1"/>
  <c r="K414" i="5"/>
  <c r="I415" i="5" s="1"/>
  <c r="J479" i="6" l="1"/>
  <c r="L480" i="6" s="1"/>
  <c r="H479" i="6"/>
  <c r="I480" i="6" s="1"/>
  <c r="G414" i="5"/>
  <c r="K480" i="6" l="1"/>
  <c r="H480" i="6" s="1"/>
  <c r="I481" i="6" s="1"/>
  <c r="K415" i="5"/>
  <c r="H415" i="5" s="1"/>
  <c r="J414" i="5"/>
  <c r="L415" i="5" s="1"/>
  <c r="G480" i="6" l="1"/>
  <c r="I416" i="5"/>
  <c r="G415" i="5"/>
  <c r="K481" i="6" l="1"/>
  <c r="J480" i="6"/>
  <c r="L481" i="6" s="1"/>
  <c r="K416" i="5"/>
  <c r="J415" i="5"/>
  <c r="L416" i="5" s="1"/>
  <c r="G416" i="5"/>
  <c r="H481" i="6" l="1"/>
  <c r="I482" i="6" s="1"/>
  <c r="G481" i="6"/>
  <c r="H416" i="5"/>
  <c r="I417" i="5" s="1"/>
  <c r="J416" i="5"/>
  <c r="L417" i="5" s="1"/>
  <c r="K417" i="5"/>
  <c r="K482" i="6" l="1"/>
  <c r="J481" i="6"/>
  <c r="L482" i="6" s="1"/>
  <c r="G482" i="6"/>
  <c r="H482" i="6"/>
  <c r="I483" i="6" s="1"/>
  <c r="H417" i="5"/>
  <c r="I418" i="5" s="1"/>
  <c r="G417" i="5"/>
  <c r="K483" i="6" l="1"/>
  <c r="J482" i="6"/>
  <c r="L483" i="6" s="1"/>
  <c r="G483" i="6"/>
  <c r="J417" i="5"/>
  <c r="L418" i="5" s="1"/>
  <c r="K418" i="5"/>
  <c r="H418" i="5" s="1"/>
  <c r="J483" i="6" l="1"/>
  <c r="L484" i="6" s="1"/>
  <c r="H483" i="6"/>
  <c r="I484" i="6" s="1"/>
  <c r="I419" i="5"/>
  <c r="G418" i="5"/>
  <c r="K484" i="6" l="1"/>
  <c r="H484" i="6" s="1"/>
  <c r="I485" i="6" s="1"/>
  <c r="K419" i="5"/>
  <c r="J418" i="5"/>
  <c r="L419" i="5" s="1"/>
  <c r="G419" i="5"/>
  <c r="G484" i="6" l="1"/>
  <c r="H419" i="5"/>
  <c r="I420" i="5" s="1"/>
  <c r="J419" i="5"/>
  <c r="L420" i="5" s="1"/>
  <c r="K420" i="5"/>
  <c r="G420" i="5" s="1"/>
  <c r="K485" i="6" l="1"/>
  <c r="J484" i="6"/>
  <c r="L485" i="6" s="1"/>
  <c r="H420" i="5"/>
  <c r="J420" i="5"/>
  <c r="L421" i="5" s="1"/>
  <c r="I421" i="5"/>
  <c r="G485" i="6" l="1"/>
  <c r="H485" i="6"/>
  <c r="I486" i="6" s="1"/>
  <c r="K421" i="5"/>
  <c r="G421" i="5" s="1"/>
  <c r="J485" i="6" l="1"/>
  <c r="L486" i="6" s="1"/>
  <c r="K486" i="6"/>
  <c r="H486" i="6" s="1"/>
  <c r="I487" i="6" s="1"/>
  <c r="H421" i="5"/>
  <c r="J421" i="5"/>
  <c r="L422" i="5" s="1"/>
  <c r="I422" i="5"/>
  <c r="G486" i="6" l="1"/>
  <c r="K422" i="5"/>
  <c r="K487" i="6" l="1"/>
  <c r="J486" i="6"/>
  <c r="L487" i="6" s="1"/>
  <c r="H422" i="5"/>
  <c r="I423" i="5" s="1"/>
  <c r="G422" i="5"/>
  <c r="H487" i="6" l="1"/>
  <c r="I488" i="6" s="1"/>
  <c r="G487" i="6"/>
  <c r="J422" i="5"/>
  <c r="L423" i="5" s="1"/>
  <c r="K423" i="5"/>
  <c r="H423" i="5" s="1"/>
  <c r="J487" i="6" l="1"/>
  <c r="L488" i="6" s="1"/>
  <c r="K488" i="6"/>
  <c r="H488" i="6" s="1"/>
  <c r="I489" i="6" s="1"/>
  <c r="I424" i="5"/>
  <c r="G423" i="5"/>
  <c r="G488" i="6" l="1"/>
  <c r="J423" i="5"/>
  <c r="L424" i="5" s="1"/>
  <c r="K424" i="5"/>
  <c r="H424" i="5" s="1"/>
  <c r="I425" i="5" s="1"/>
  <c r="G424" i="5"/>
  <c r="J488" i="6" l="1"/>
  <c r="L489" i="6" s="1"/>
  <c r="K489" i="6"/>
  <c r="K425" i="5"/>
  <c r="J424" i="5"/>
  <c r="L425" i="5" s="1"/>
  <c r="G489" i="6" l="1"/>
  <c r="H489" i="6"/>
  <c r="I490" i="6" s="1"/>
  <c r="H425" i="5"/>
  <c r="I426" i="5"/>
  <c r="G425" i="5"/>
  <c r="J489" i="6" l="1"/>
  <c r="L490" i="6" s="1"/>
  <c r="K490" i="6"/>
  <c r="H490" i="6" s="1"/>
  <c r="I491" i="6" s="1"/>
  <c r="J425" i="5"/>
  <c r="L426" i="5" s="1"/>
  <c r="K426" i="5"/>
  <c r="H426" i="5" s="1"/>
  <c r="H491" i="6" l="1"/>
  <c r="I492" i="6" s="1"/>
  <c r="G491" i="6"/>
  <c r="G490" i="6"/>
  <c r="I427" i="5"/>
  <c r="G426" i="5"/>
  <c r="K492" i="6" l="1"/>
  <c r="J491" i="6"/>
  <c r="L492" i="6" s="1"/>
  <c r="J490" i="6"/>
  <c r="L491" i="6" s="1"/>
  <c r="K491" i="6"/>
  <c r="H492" i="6"/>
  <c r="I493" i="6" s="1"/>
  <c r="G492" i="6"/>
  <c r="J426" i="5"/>
  <c r="L427" i="5" s="1"/>
  <c r="K427" i="5"/>
  <c r="H427" i="5" s="1"/>
  <c r="I428" i="5" s="1"/>
  <c r="H428" i="5" s="1"/>
  <c r="G427" i="5"/>
  <c r="J492" i="6" l="1"/>
  <c r="L493" i="6" s="1"/>
  <c r="K493" i="6"/>
  <c r="H493" i="6"/>
  <c r="I494" i="6" s="1"/>
  <c r="G493" i="6"/>
  <c r="K428" i="5"/>
  <c r="G428" i="5" s="1"/>
  <c r="J427" i="5"/>
  <c r="L428" i="5" s="1"/>
  <c r="K494" i="6" l="1"/>
  <c r="J493" i="6"/>
  <c r="L494" i="6" s="1"/>
  <c r="G494" i="6"/>
  <c r="H494" i="6"/>
  <c r="I495" i="6" s="1"/>
  <c r="J428" i="5"/>
  <c r="L429" i="5" s="1"/>
  <c r="I429" i="5"/>
  <c r="J494" i="6" l="1"/>
  <c r="L495" i="6" s="1"/>
  <c r="K495" i="6"/>
  <c r="G495" i="6"/>
  <c r="H495" i="6"/>
  <c r="I496" i="6" s="1"/>
  <c r="K429" i="5"/>
  <c r="G429" i="5" s="1"/>
  <c r="K496" i="6" l="1"/>
  <c r="H496" i="6" s="1"/>
  <c r="I497" i="6" s="1"/>
  <c r="J495" i="6"/>
  <c r="L496" i="6" s="1"/>
  <c r="H429" i="5"/>
  <c r="J429" i="5"/>
  <c r="L430" i="5" s="1"/>
  <c r="I430" i="5"/>
  <c r="G496" i="6" l="1"/>
  <c r="K430" i="5"/>
  <c r="G430" i="5" s="1"/>
  <c r="K497" i="6" l="1"/>
  <c r="J496" i="6"/>
  <c r="L497" i="6" s="1"/>
  <c r="H430" i="5"/>
  <c r="J430" i="5"/>
  <c r="L431" i="5" s="1"/>
  <c r="I431" i="5"/>
  <c r="H497" i="6" l="1"/>
  <c r="I498" i="6" s="1"/>
  <c r="G497" i="6"/>
  <c r="K431" i="5"/>
  <c r="K498" i="6" l="1"/>
  <c r="J497" i="6"/>
  <c r="L498" i="6" s="1"/>
  <c r="H498" i="6"/>
  <c r="I499" i="6" s="1"/>
  <c r="G498" i="6"/>
  <c r="H431" i="5"/>
  <c r="I432" i="5" s="1"/>
  <c r="G431" i="5"/>
  <c r="K499" i="6" l="1"/>
  <c r="H499" i="6" s="1"/>
  <c r="I500" i="6" s="1"/>
  <c r="J498" i="6"/>
  <c r="L499" i="6" s="1"/>
  <c r="K432" i="5"/>
  <c r="J431" i="5"/>
  <c r="L432" i="5" s="1"/>
  <c r="G499" i="6" l="1"/>
  <c r="H432" i="5"/>
  <c r="I433" i="5"/>
  <c r="G432" i="5"/>
  <c r="J499" i="6" l="1"/>
  <c r="L500" i="6" s="1"/>
  <c r="K500" i="6"/>
  <c r="J432" i="5"/>
  <c r="L433" i="5" s="1"/>
  <c r="K433" i="5"/>
  <c r="H500" i="6" l="1"/>
  <c r="I501" i="6" s="1"/>
  <c r="G500" i="6"/>
  <c r="H433" i="5"/>
  <c r="I434" i="5" s="1"/>
  <c r="G433" i="5"/>
  <c r="K501" i="6" l="1"/>
  <c r="J500" i="6"/>
  <c r="L501" i="6" s="1"/>
  <c r="H501" i="6"/>
  <c r="G501" i="6"/>
  <c r="J501" i="6" s="1"/>
  <c r="J433" i="5"/>
  <c r="L434" i="5" s="1"/>
  <c r="K434" i="5"/>
  <c r="H434" i="5" s="1"/>
  <c r="I435" i="5" l="1"/>
  <c r="G434" i="5"/>
  <c r="K435" i="5" l="1"/>
  <c r="J434" i="5"/>
  <c r="L435" i="5" s="1"/>
  <c r="G435" i="5"/>
  <c r="H435" i="5" l="1"/>
  <c r="I436" i="5" s="1"/>
  <c r="J435" i="5"/>
  <c r="L436" i="5" s="1"/>
  <c r="K436" i="5"/>
  <c r="H436" i="5" l="1"/>
  <c r="I437" i="5" s="1"/>
  <c r="G436" i="5"/>
  <c r="K437" i="5" l="1"/>
  <c r="J436" i="5"/>
  <c r="L437" i="5" s="1"/>
  <c r="H437" i="5" l="1"/>
  <c r="I438" i="5"/>
  <c r="G437" i="5"/>
  <c r="K438" i="5" l="1"/>
  <c r="J437" i="5"/>
  <c r="L438" i="5" s="1"/>
  <c r="G438" i="5"/>
  <c r="H438" i="5" l="1"/>
  <c r="I439" i="5" s="1"/>
  <c r="J438" i="5"/>
  <c r="L439" i="5" s="1"/>
  <c r="K439" i="5"/>
  <c r="H439" i="5" s="1"/>
  <c r="I440" i="5" s="1"/>
  <c r="G439" i="5" l="1"/>
  <c r="J439" i="5" s="1"/>
  <c r="L440" i="5" s="1"/>
  <c r="K440" i="5"/>
  <c r="H440" i="5" s="1"/>
  <c r="I441" i="5" s="1"/>
  <c r="G440" i="5"/>
  <c r="K441" i="5" l="1"/>
  <c r="G441" i="5" s="1"/>
  <c r="J440" i="5"/>
  <c r="L441" i="5" s="1"/>
  <c r="H441" i="5" l="1"/>
  <c r="J441" i="5"/>
  <c r="L442" i="5" s="1"/>
  <c r="I442" i="5"/>
  <c r="K442" i="5" l="1"/>
  <c r="H442" i="5" s="1"/>
  <c r="I443" i="5" s="1"/>
  <c r="H443" i="5" s="1"/>
  <c r="G442" i="5"/>
  <c r="J442" i="5" l="1"/>
  <c r="L443" i="5" s="1"/>
  <c r="K443" i="5"/>
  <c r="I444" i="5"/>
  <c r="G443" i="5"/>
  <c r="K444" i="5" l="1"/>
  <c r="H444" i="5" s="1"/>
  <c r="J443" i="5"/>
  <c r="L444" i="5" s="1"/>
  <c r="I445" i="5" l="1"/>
  <c r="G444" i="5"/>
  <c r="K445" i="5" l="1"/>
  <c r="J444" i="5"/>
  <c r="L445" i="5" s="1"/>
  <c r="H445" i="5" l="1"/>
  <c r="I446" i="5"/>
  <c r="G445" i="5"/>
  <c r="J445" i="5" l="1"/>
  <c r="L446" i="5" s="1"/>
  <c r="K446" i="5"/>
  <c r="H446" i="5" s="1"/>
  <c r="I447" i="5" s="1"/>
  <c r="G446" i="5"/>
  <c r="J446" i="5" l="1"/>
  <c r="L447" i="5" s="1"/>
  <c r="K447" i="5"/>
  <c r="G447" i="5"/>
  <c r="H447" i="5" l="1"/>
  <c r="I448" i="5" s="1"/>
  <c r="K448" i="5"/>
  <c r="J447" i="5"/>
  <c r="L448" i="5" s="1"/>
  <c r="H448" i="5" l="1"/>
  <c r="G448" i="5"/>
  <c r="J448" i="5" s="1"/>
  <c r="L449" i="5" s="1"/>
  <c r="I449" i="5"/>
  <c r="K449" i="5" l="1"/>
  <c r="H449" i="5" l="1"/>
  <c r="I450" i="5" s="1"/>
  <c r="G449" i="5"/>
  <c r="J449" i="5" l="1"/>
  <c r="L450" i="5" s="1"/>
  <c r="K450" i="5"/>
  <c r="H450" i="5" s="1"/>
  <c r="I451" i="5" l="1"/>
  <c r="G450" i="5"/>
  <c r="K451" i="5" l="1"/>
  <c r="H451" i="5" s="1"/>
  <c r="I452" i="5" s="1"/>
  <c r="J450" i="5"/>
  <c r="L451" i="5" s="1"/>
  <c r="G451" i="5"/>
  <c r="J451" i="5" l="1"/>
  <c r="L452" i="5" s="1"/>
  <c r="K452" i="5"/>
  <c r="G452" i="5" s="1"/>
  <c r="H452" i="5" l="1"/>
  <c r="I453" i="5" s="1"/>
  <c r="J452" i="5"/>
  <c r="L453" i="5" s="1"/>
  <c r="K453" i="5"/>
  <c r="G453" i="5"/>
  <c r="H453" i="5" l="1"/>
  <c r="I454" i="5" s="1"/>
  <c r="K454" i="5"/>
  <c r="J453" i="5"/>
  <c r="L454" i="5" s="1"/>
  <c r="H454" i="5" l="1"/>
  <c r="I455" i="5" s="1"/>
  <c r="G454" i="5"/>
  <c r="J454" i="5" l="1"/>
  <c r="L455" i="5" s="1"/>
  <c r="K455" i="5"/>
  <c r="H455" i="5" s="1"/>
  <c r="G455" i="5" l="1"/>
  <c r="I456" i="5"/>
  <c r="K456" i="5" l="1"/>
  <c r="G456" i="5" s="1"/>
  <c r="J455" i="5"/>
  <c r="L456" i="5" s="1"/>
  <c r="H456" i="5" l="1"/>
  <c r="J456" i="5"/>
  <c r="L457" i="5" s="1"/>
  <c r="I457" i="5"/>
  <c r="K457" i="5" l="1"/>
  <c r="G457" i="5" s="1"/>
  <c r="H457" i="5" l="1"/>
  <c r="J457" i="5"/>
  <c r="L458" i="5" s="1"/>
  <c r="I458" i="5"/>
  <c r="K458" i="5" l="1"/>
  <c r="H458" i="5" s="1"/>
  <c r="I459" i="5" s="1"/>
  <c r="G458" i="5"/>
  <c r="J458" i="5" l="1"/>
  <c r="L459" i="5" s="1"/>
  <c r="K459" i="5"/>
  <c r="G459" i="5" s="1"/>
  <c r="H459" i="5" l="1"/>
  <c r="I460" i="5" s="1"/>
  <c r="J459" i="5"/>
  <c r="L460" i="5" s="1"/>
  <c r="K460" i="5" l="1"/>
  <c r="G460" i="5" s="1"/>
  <c r="H460" i="5" l="1"/>
  <c r="I461" i="5" s="1"/>
  <c r="H461" i="5" s="1"/>
  <c r="J460" i="5"/>
  <c r="L461" i="5" s="1"/>
  <c r="K461" i="5" l="1"/>
  <c r="I462" i="5" s="1"/>
  <c r="G461" i="5" l="1"/>
  <c r="J461" i="5" l="1"/>
  <c r="L462" i="5" s="1"/>
  <c r="K462" i="5"/>
  <c r="H462" i="5" s="1"/>
  <c r="I463" i="5" l="1"/>
  <c r="G462" i="5"/>
  <c r="K463" i="5" l="1"/>
  <c r="J462" i="5"/>
  <c r="L463" i="5" s="1"/>
  <c r="G463" i="5"/>
  <c r="H463" i="5" l="1"/>
  <c r="I464" i="5" s="1"/>
  <c r="K464" i="5"/>
  <c r="J463" i="5"/>
  <c r="L464" i="5" s="1"/>
  <c r="G464" i="5"/>
  <c r="H464" i="5" l="1"/>
  <c r="I465" i="5" s="1"/>
  <c r="J464" i="5"/>
  <c r="L465" i="5" s="1"/>
  <c r="K465" i="5"/>
  <c r="H465" i="5" s="1"/>
  <c r="I466" i="5" s="1"/>
  <c r="G465" i="5"/>
  <c r="K466" i="5" l="1"/>
  <c r="J465" i="5"/>
  <c r="L466" i="5" s="1"/>
  <c r="G466" i="5"/>
  <c r="H466" i="5" l="1"/>
  <c r="I467" i="5" s="1"/>
  <c r="K467" i="5"/>
  <c r="H467" i="5" s="1"/>
  <c r="J466" i="5"/>
  <c r="L467" i="5" s="1"/>
  <c r="G467" i="5"/>
  <c r="I468" i="5" l="1"/>
  <c r="J467" i="5"/>
  <c r="L468" i="5" s="1"/>
  <c r="K468" i="5"/>
  <c r="H468" i="5" l="1"/>
  <c r="I469" i="5"/>
  <c r="G468" i="5"/>
  <c r="J468" i="5" l="1"/>
  <c r="L469" i="5" s="1"/>
  <c r="K469" i="5"/>
  <c r="H469" i="5" s="1"/>
  <c r="G469" i="5" l="1"/>
  <c r="I470" i="5"/>
  <c r="K470" i="5" l="1"/>
  <c r="J469" i="5"/>
  <c r="L470" i="5" s="1"/>
  <c r="H470" i="5" l="1"/>
  <c r="I471" i="5" s="1"/>
  <c r="G470" i="5"/>
  <c r="J470" i="5" l="1"/>
  <c r="L471" i="5" s="1"/>
  <c r="K471" i="5"/>
  <c r="H471" i="5" s="1"/>
  <c r="I472" i="5" l="1"/>
  <c r="G471" i="5"/>
  <c r="J471" i="5" l="1"/>
  <c r="L472" i="5" s="1"/>
  <c r="K472" i="5"/>
  <c r="G472" i="5" l="1"/>
  <c r="H472" i="5"/>
  <c r="I473" i="5" s="1"/>
  <c r="J472" i="5"/>
  <c r="L473" i="5" s="1"/>
  <c r="K473" i="5" l="1"/>
  <c r="H473" i="5" s="1"/>
  <c r="I474" i="5" s="1"/>
  <c r="G473" i="5" l="1"/>
  <c r="J473" i="5" l="1"/>
  <c r="L474" i="5" s="1"/>
  <c r="K474" i="5"/>
  <c r="H474" i="5" l="1"/>
  <c r="I475" i="5" s="1"/>
  <c r="G474" i="5"/>
  <c r="H475" i="5" l="1"/>
  <c r="I476" i="5" s="1"/>
  <c r="G475" i="5"/>
  <c r="J474" i="5"/>
  <c r="L475" i="5" s="1"/>
  <c r="K475" i="5"/>
  <c r="K476" i="5"/>
  <c r="G476" i="5" s="1"/>
  <c r="J475" i="5"/>
  <c r="L476" i="5" s="1"/>
  <c r="H476" i="5" l="1"/>
  <c r="J476" i="5"/>
  <c r="L477" i="5" s="1"/>
  <c r="I477" i="5"/>
  <c r="K477" i="5" l="1"/>
  <c r="G477" i="5" s="1"/>
  <c r="H477" i="5" l="1"/>
  <c r="J477" i="5"/>
  <c r="L478" i="5" s="1"/>
  <c r="I478" i="5"/>
  <c r="K478" i="5" l="1"/>
  <c r="H478" i="5" s="1"/>
  <c r="I479" i="5" s="1"/>
  <c r="G478" i="5"/>
  <c r="K479" i="5" l="1"/>
  <c r="G479" i="5" s="1"/>
  <c r="J478" i="5"/>
  <c r="L479" i="5" s="1"/>
  <c r="H479" i="5" l="1"/>
  <c r="J479" i="5"/>
  <c r="L480" i="5" s="1"/>
  <c r="I480" i="5"/>
  <c r="K480" i="5" l="1"/>
  <c r="H480" i="5" l="1"/>
  <c r="I481" i="5" s="1"/>
  <c r="G480" i="5"/>
  <c r="J480" i="5" l="1"/>
  <c r="L481" i="5" s="1"/>
  <c r="K481" i="5"/>
  <c r="H481" i="5" s="1"/>
  <c r="G481" i="5" l="1"/>
  <c r="I482" i="5"/>
  <c r="J481" i="5" l="1"/>
  <c r="L482" i="5" s="1"/>
  <c r="K482" i="5"/>
  <c r="G482" i="5" s="1"/>
  <c r="H482" i="5" l="1"/>
  <c r="J482" i="5"/>
  <c r="L483" i="5" s="1"/>
  <c r="I483" i="5"/>
  <c r="K483" i="5" l="1"/>
  <c r="H483" i="5" l="1"/>
  <c r="I484" i="5" s="1"/>
  <c r="G483" i="5"/>
  <c r="J483" i="5" l="1"/>
  <c r="L484" i="5" s="1"/>
  <c r="K484" i="5"/>
  <c r="H484" i="5" s="1"/>
  <c r="I485" i="5" l="1"/>
  <c r="G484" i="5"/>
  <c r="J484" i="5" l="1"/>
  <c r="L485" i="5" s="1"/>
  <c r="K485" i="5"/>
  <c r="H485" i="5" s="1"/>
  <c r="I486" i="5" s="1"/>
  <c r="G485" i="5" l="1"/>
  <c r="K486" i="5"/>
  <c r="G486" i="5" s="1"/>
  <c r="J485" i="5"/>
  <c r="L486" i="5" s="1"/>
  <c r="H486" i="5" l="1"/>
  <c r="J486" i="5"/>
  <c r="L487" i="5" s="1"/>
  <c r="I487" i="5"/>
  <c r="K487" i="5" l="1"/>
  <c r="H487" i="5" l="1"/>
  <c r="I488" i="5" s="1"/>
  <c r="G487" i="5"/>
  <c r="K488" i="5" l="1"/>
  <c r="J487" i="5"/>
  <c r="L488" i="5" s="1"/>
  <c r="H488" i="5" l="1"/>
  <c r="I489" i="5"/>
  <c r="G488" i="5"/>
  <c r="K489" i="5" l="1"/>
  <c r="J488" i="5"/>
  <c r="L489" i="5" s="1"/>
  <c r="G489" i="5"/>
  <c r="H489" i="5" l="1"/>
  <c r="I490" i="5" s="1"/>
  <c r="J489" i="5"/>
  <c r="L490" i="5" s="1"/>
  <c r="K490" i="5"/>
  <c r="G490" i="5" s="1"/>
  <c r="H490" i="5" l="1"/>
  <c r="I491" i="5" s="1"/>
  <c r="H491" i="5" s="1"/>
  <c r="J490" i="5"/>
  <c r="L491" i="5" s="1"/>
  <c r="K491" i="5" l="1"/>
  <c r="G491" i="5" s="1"/>
  <c r="J491" i="5" l="1"/>
  <c r="L492" i="5" s="1"/>
  <c r="I492" i="5"/>
  <c r="K492" i="5" l="1"/>
  <c r="G492" i="5" s="1"/>
  <c r="H492" i="5" l="1"/>
  <c r="J492" i="5"/>
  <c r="L493" i="5" s="1"/>
  <c r="I493" i="5"/>
  <c r="K493" i="5" l="1"/>
  <c r="G493" i="5" s="1"/>
  <c r="H493" i="5" l="1"/>
  <c r="J493" i="5"/>
  <c r="L494" i="5" s="1"/>
  <c r="I494" i="5"/>
  <c r="K494" i="5" l="1"/>
  <c r="H494" i="5" l="1"/>
  <c r="I495" i="5" s="1"/>
  <c r="G494" i="5"/>
  <c r="J494" i="5" l="1"/>
  <c r="L495" i="5" s="1"/>
  <c r="K495" i="5"/>
  <c r="H495" i="5" s="1"/>
  <c r="I496" i="5" l="1"/>
  <c r="G495" i="5"/>
  <c r="K496" i="5" l="1"/>
  <c r="J495" i="5"/>
  <c r="L496" i="5" s="1"/>
  <c r="G496" i="5"/>
  <c r="H496" i="5" l="1"/>
  <c r="I497" i="5" s="1"/>
  <c r="J496" i="5"/>
  <c r="L497" i="5" s="1"/>
  <c r="K497" i="5"/>
  <c r="H497" i="5" l="1"/>
  <c r="I498" i="5" s="1"/>
  <c r="G497" i="5"/>
  <c r="J497" i="5" l="1"/>
  <c r="L498" i="5" s="1"/>
  <c r="K498" i="5"/>
  <c r="H498" i="5" s="1"/>
  <c r="G498" i="5" l="1"/>
  <c r="I499" i="5"/>
  <c r="K499" i="5" l="1"/>
  <c r="J498" i="5"/>
  <c r="L499" i="5" s="1"/>
  <c r="H499" i="5" l="1"/>
  <c r="I500" i="5" s="1"/>
  <c r="G499" i="5"/>
  <c r="J499" i="5" l="1"/>
  <c r="L500" i="5" s="1"/>
  <c r="K500" i="5"/>
  <c r="H500" i="5" s="1"/>
  <c r="G500" i="5" l="1"/>
  <c r="I501" i="5"/>
  <c r="J500" i="5" l="1"/>
  <c r="L501" i="5" s="1"/>
  <c r="K501" i="5"/>
  <c r="H501" i="5" s="1"/>
  <c r="G501" i="5" l="1"/>
  <c r="J50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72F48-1D37-413F-BA03-10E6B4C0795D}" name="pogoda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2" xr16:uid="{95F2FEA3-0BA1-4605-8C12-C0AEA6BE5155}" name="pogoda1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3" xr16:uid="{C544B967-B84B-43BF-B8E0-6A8365A5EC1E}" name="pogoda2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4" xr16:uid="{C3F3149D-C7FD-4893-81FF-E5C8A2796724}" name="pogoda3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5" xr16:uid="{85C7CCFA-974A-42D9-8E39-653E539742B8}" name="pogoda4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6" xr16:uid="{752BD06E-2166-4AD8-A00E-6C2627682B9E}" name="pogoda41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7" xr16:uid="{5ABB6AE0-9F57-45EC-99AC-6B4DB21A56E2}" name="pogoda42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  <connection id="8" xr16:uid="{19B85CE1-28B1-42B4-B367-091AC99AD68A}" name="pogoda43" type="6" refreshedVersion="8" background="1" saveData="1">
    <textPr codePage="852" sourceFile="C:\Users\domja\Desktop\Dane_PR\pogoda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<sst xmlns="http://schemas.openxmlformats.org/spreadsheetml/2006/main" count="2069" uniqueCount="34">
  <si>
    <t>Dzien</t>
  </si>
  <si>
    <t>Temperatura</t>
  </si>
  <si>
    <t>Opad</t>
  </si>
  <si>
    <t>Kategoria_chmur</t>
  </si>
  <si>
    <t>Wielkosc_chmur</t>
  </si>
  <si>
    <t>C</t>
  </si>
  <si>
    <t>S</t>
  </si>
  <si>
    <t>t</t>
  </si>
  <si>
    <t>o</t>
  </si>
  <si>
    <t>s</t>
  </si>
  <si>
    <t>ile</t>
  </si>
  <si>
    <t>ciag</t>
  </si>
  <si>
    <t>kategoria</t>
  </si>
  <si>
    <t>Etykiety wierszy</t>
  </si>
  <si>
    <t>00</t>
  </si>
  <si>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</si>
  <si>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</si>
  <si>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</si>
  <si>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</si>
  <si>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</si>
  <si>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</si>
  <si>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</si>
  <si>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</si>
  <si>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</si>
  <si>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</si>
  <si>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Suma końcowa</t>
  </si>
  <si>
    <t>Średnia z Opad</t>
  </si>
  <si>
    <t>Kategoria chmur</t>
  </si>
  <si>
    <t>średni opad</t>
  </si>
  <si>
    <t>licznik</t>
  </si>
  <si>
    <t xml:space="preserve"> czy znikaja</t>
  </si>
  <si>
    <t>czy powstaja</t>
  </si>
  <si>
    <t>czy zwiekszamy</t>
  </si>
  <si>
    <t>Liczba z Dzien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</si>
</sst>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dla 300 dni dla każdej kategorii chmur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'3'!$M$18</c:f>
              <c:strCache>
                <c:ptCount val="1"/>
                <c:pt idx="0">
                  <c:v>średni opad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'3'!$L$19:$L$28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'3'!$M$19:$M$28</c:f>
              <c:numCache>
                <c:formatCode>General</c:formatCode>
                <c:ptCount val="10"/>
                <c:pt idx="0">
                  <c:v>3.45</c:v>
                </c:pt>
                <c:pt idx="1">
                  <c:v>7.28</c:v>
                </c:pt>
                <c:pt idx="2">
                  <c:v>9.0500000000000007</c:v>
                </c:pt>
                <c:pt idx="3">
                  <c:v>11.58</c:v>
                </c:pt>
                <c:pt idx="4">
                  <c:v>19.399999999999999</c:v>
                </c:pt>
                <c:pt idx="5">
                  <c:v>3.73</c:v>
                </c:pt>
                <c:pt idx="6">
                  <c:v>6.52</c:v>
                </c:pt>
                <c:pt idx="7">
                  <c:v>10.29</c:v>
                </c:pt>
                <c:pt idx="8">
                  <c:v>15</c:v>
                </c:pt>
                <c:pt idx="9">
                  <c:v>19.64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2-467C-ADC1-CBE35A5AC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1398447"/>
        <c:axId val="761392207"/>
      </c:barChart>
      <c:catAx>
        <c:axId val="76139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Kategoria</a:t>
                </a:r>
                <a:r>
                  <a:rPr lang="pl-PL" baseline="0"/>
                  <a:t> chmur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392207"/>
        <c:crosses val="autoZero"/>
        <c:auto val="1"/>
        <c:lblAlgn val="ctr"/>
        <c:lblOffset val="100"/>
        <c:noMultiLvlLbl val="0"/>
      </c:catAx>
      <c:valAx>
        <c:axId val="7613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opad w mm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139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195262</xdr:colOff>
      <xdr:row>29</xdr:row>
      <xdr:rowOff>85726</xdr:rowOff>
    </xdr:from>
    <xdr:to>
      <xdr:col>13</xdr:col>
      <xdr:colOff>423862</xdr:colOff>
      <xdr:row>51</xdr:row>
      <xdr:rowOff>109538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C6B8544-0695-7089-4BD1-09804C586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7.97309097222" createdVersion="8" refreshedVersion="8" minRefreshableVersion="3" recordCount="300" xr:uid="{8FE1B243-3609-4F80-9A36-3076FD29996F}">
  <cacheSource type="worksheet">
    <worksheetSource ref="C1:F301" sheet="3"/>
  </cacheSource>
  <cacheFields count="4">
    <cacheField name="Opad" numFmtId="0">
      <sharedItems containsSemiMixedTypes="0" containsString="0" containsNumber="1" containsInteger="1" minValue="0" maxValue="29"/>
    </cacheField>
    <cacheField name="Kategoria_chmur" numFmtId="49">
      <sharedItems containsMixedTypes="1" containsNumber="1" containsInteger="1" minValue="0" maxValue="0"/>
    </cacheField>
    <cacheField name="Wielkosc_chmur" numFmtId="49">
      <sharedItems containsSemiMixedTypes="0" containsString="0" containsNumber="1" containsInteger="1" minValue="0" maxValue="5"/>
    </cacheField>
    <cacheField name="kategoria" numFmtId="0">
      <sharedItems count="11">
        <s v="00"/>
        <s v="C1"/>
        <s v="C2"/>
        <s v="C3"/>
        <s v="C4"/>
        <s v="C5"/>
        <s v="S1"/>
        <s v="S2"/>
        <s v="S3"/>
        <s v="S4"/>
        <s v="S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Domański" refreshedDate="45388.535084953706" createdVersion="8" refreshedVersion="8" minRefreshableVersion="3" recordCount="500" xr:uid="{B0B8BB9C-5DBF-4553-B9F7-F352C8416284}">
  <cacheSource type="worksheet">
    <worksheetSource ref="F1:M501" sheet="4 (1)"/>
  </cacheSource>
  <cacheFields count="8">
    <cacheField name="Dzien" numFmtId="0">
      <sharedItems containsSemiMixedTypes="0" containsString="0" containsNumber="1" containsInteger="1" minValue="1" maxValue="500"/>
    </cacheField>
    <cacheField name="Kategoria_chmur" numFmtId="0">
      <sharedItems containsMixedTypes="1" containsNumber="1" containsInteger="1" minValue="0" maxValue="0"/>
    </cacheField>
    <cacheField name="Wielkosc_chmur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 czy znikaja" numFmtId="0">
      <sharedItems containsSemiMixedTypes="0" containsString="0" containsNumber="1" containsInteger="1" minValue="0" maxValue="1"/>
    </cacheField>
    <cacheField name="licznik" numFmtId="0">
      <sharedItems containsString="0" containsBlank="1" containsNumber="1" containsInteger="1" minValue="1" maxValue="18"/>
    </cacheField>
    <cacheField name="czy powstaja" numFmtId="0">
      <sharedItems containsString="0" containsBlank="1" containsNumber="1" containsInteger="1" minValue="0" maxValue="1"/>
    </cacheField>
    <cacheField name="czy zwiekszamy" numFmtId="0">
      <sharedItems containsString="0" containsBlank="1" containsNumber="1" containsInteger="1" minValue="0" maxValue="1"/>
    </cacheField>
    <cacheField name="kategor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0"/>
    <n v="0"/>
    <n v="0"/>
    <x v="0"/>
  </r>
  <r>
    <n v="1"/>
    <s v="C"/>
    <n v="1"/>
    <x v="1"/>
  </r>
  <r>
    <n v="4"/>
    <s v="C"/>
    <n v="1"/>
    <x v="1"/>
  </r>
  <r>
    <n v="4"/>
    <s v="C"/>
    <n v="1"/>
    <x v="1"/>
  </r>
  <r>
    <n v="10"/>
    <s v="C"/>
    <n v="2"/>
    <x v="2"/>
  </r>
  <r>
    <n v="8"/>
    <s v="C"/>
    <n v="2"/>
    <x v="2"/>
  </r>
  <r>
    <n v="10"/>
    <s v="C"/>
    <n v="2"/>
    <x v="2"/>
  </r>
  <r>
    <n v="11"/>
    <s v="C"/>
    <n v="3"/>
    <x v="3"/>
  </r>
  <r>
    <n v="14"/>
    <s v="C"/>
    <n v="3"/>
    <x v="3"/>
  </r>
  <r>
    <n v="15"/>
    <s v="C"/>
    <n v="3"/>
    <x v="3"/>
  </r>
  <r>
    <n v="3"/>
    <s v="C"/>
    <n v="4"/>
    <x v="4"/>
  </r>
  <r>
    <n v="23"/>
    <s v="C"/>
    <n v="4"/>
    <x v="4"/>
  </r>
  <r>
    <n v="17"/>
    <s v="C"/>
    <n v="4"/>
    <x v="4"/>
  </r>
  <r>
    <n v="15"/>
    <s v="C"/>
    <n v="5"/>
    <x v="5"/>
  </r>
  <r>
    <n v="22"/>
    <s v="C"/>
    <n v="5"/>
    <x v="5"/>
  </r>
  <r>
    <n v="0"/>
    <n v="0"/>
    <n v="0"/>
    <x v="0"/>
  </r>
  <r>
    <n v="2"/>
    <s v="C"/>
    <n v="1"/>
    <x v="1"/>
  </r>
  <r>
    <n v="1"/>
    <s v="C"/>
    <n v="1"/>
    <x v="1"/>
  </r>
  <r>
    <n v="1"/>
    <s v="C"/>
    <n v="1"/>
    <x v="1"/>
  </r>
  <r>
    <n v="12"/>
    <s v="C"/>
    <n v="2"/>
    <x v="2"/>
  </r>
  <r>
    <n v="11"/>
    <s v="C"/>
    <n v="2"/>
    <x v="2"/>
  </r>
  <r>
    <n v="6"/>
    <s v="C"/>
    <n v="2"/>
    <x v="2"/>
  </r>
  <r>
    <n v="18"/>
    <s v="C"/>
    <n v="2"/>
    <x v="2"/>
  </r>
  <r>
    <n v="15"/>
    <s v="C"/>
    <n v="3"/>
    <x v="3"/>
  </r>
  <r>
    <n v="5"/>
    <s v="C"/>
    <n v="3"/>
    <x v="3"/>
  </r>
  <r>
    <n v="19"/>
    <s v="C"/>
    <n v="4"/>
    <x v="4"/>
  </r>
  <r>
    <n v="18"/>
    <s v="C"/>
    <n v="4"/>
    <x v="4"/>
  </r>
  <r>
    <n v="4"/>
    <s v="C"/>
    <n v="4"/>
    <x v="4"/>
  </r>
  <r>
    <n v="17"/>
    <s v="C"/>
    <n v="5"/>
    <x v="5"/>
  </r>
  <r>
    <n v="14"/>
    <s v="C"/>
    <n v="5"/>
    <x v="5"/>
  </r>
  <r>
    <n v="12"/>
    <s v="C"/>
    <n v="5"/>
    <x v="5"/>
  </r>
  <r>
    <n v="11"/>
    <s v="C"/>
    <n v="5"/>
    <x v="5"/>
  </r>
  <r>
    <n v="17"/>
    <s v="C"/>
    <n v="5"/>
    <x v="5"/>
  </r>
  <r>
    <n v="26"/>
    <s v="C"/>
    <n v="5"/>
    <x v="5"/>
  </r>
  <r>
    <n v="0"/>
    <n v="0"/>
    <n v="0"/>
    <x v="0"/>
  </r>
  <r>
    <n v="3"/>
    <s v="C"/>
    <n v="1"/>
    <x v="1"/>
  </r>
  <r>
    <n v="3"/>
    <s v="C"/>
    <n v="1"/>
    <x v="1"/>
  </r>
  <r>
    <n v="5"/>
    <s v="C"/>
    <n v="1"/>
    <x v="1"/>
  </r>
  <r>
    <n v="11"/>
    <s v="C"/>
    <n v="2"/>
    <x v="2"/>
  </r>
  <r>
    <n v="6"/>
    <s v="C"/>
    <n v="2"/>
    <x v="2"/>
  </r>
  <r>
    <n v="3"/>
    <s v="C"/>
    <n v="2"/>
    <x v="2"/>
  </r>
  <r>
    <n v="17"/>
    <s v="C"/>
    <n v="3"/>
    <x v="3"/>
  </r>
  <r>
    <n v="5"/>
    <s v="C"/>
    <n v="3"/>
    <x v="3"/>
  </r>
  <r>
    <n v="8"/>
    <s v="C"/>
    <n v="3"/>
    <x v="3"/>
  </r>
  <r>
    <n v="2"/>
    <s v="C"/>
    <n v="4"/>
    <x v="4"/>
  </r>
  <r>
    <n v="1"/>
    <s v="C"/>
    <n v="4"/>
    <x v="4"/>
  </r>
  <r>
    <n v="11"/>
    <s v="C"/>
    <n v="4"/>
    <x v="4"/>
  </r>
  <r>
    <n v="25"/>
    <s v="C"/>
    <n v="5"/>
    <x v="5"/>
  </r>
  <r>
    <n v="0"/>
    <n v="0"/>
    <n v="0"/>
    <x v="0"/>
  </r>
  <r>
    <n v="2"/>
    <s v="C"/>
    <n v="1"/>
    <x v="1"/>
  </r>
  <r>
    <n v="3"/>
    <s v="C"/>
    <n v="1"/>
    <x v="1"/>
  </r>
  <r>
    <n v="2"/>
    <s v="C"/>
    <n v="1"/>
    <x v="1"/>
  </r>
  <r>
    <n v="4"/>
    <s v="C"/>
    <n v="2"/>
    <x v="2"/>
  </r>
  <r>
    <n v="5"/>
    <s v="C"/>
    <n v="2"/>
    <x v="2"/>
  </r>
  <r>
    <n v="9"/>
    <s v="C"/>
    <n v="2"/>
    <x v="2"/>
  </r>
  <r>
    <n v="2"/>
    <s v="C"/>
    <n v="3"/>
    <x v="3"/>
  </r>
  <r>
    <n v="16"/>
    <s v="C"/>
    <n v="3"/>
    <x v="3"/>
  </r>
  <r>
    <n v="14"/>
    <s v="C"/>
    <n v="3"/>
    <x v="3"/>
  </r>
  <r>
    <n v="14"/>
    <s v="C"/>
    <n v="3"/>
    <x v="3"/>
  </r>
  <r>
    <n v="6"/>
    <s v="C"/>
    <n v="4"/>
    <x v="4"/>
  </r>
  <r>
    <n v="21"/>
    <s v="C"/>
    <n v="4"/>
    <x v="4"/>
  </r>
  <r>
    <n v="21"/>
    <s v="C"/>
    <n v="5"/>
    <x v="5"/>
  </r>
  <r>
    <n v="0"/>
    <n v="0"/>
    <n v="0"/>
    <x v="0"/>
  </r>
  <r>
    <n v="4"/>
    <s v="C"/>
    <n v="1"/>
    <x v="1"/>
  </r>
  <r>
    <n v="6"/>
    <s v="C"/>
    <n v="1"/>
    <x v="1"/>
  </r>
  <r>
    <n v="3"/>
    <s v="C"/>
    <n v="1"/>
    <x v="1"/>
  </r>
  <r>
    <n v="7"/>
    <s v="C"/>
    <n v="2"/>
    <x v="2"/>
  </r>
  <r>
    <n v="6"/>
    <s v="C"/>
    <n v="2"/>
    <x v="2"/>
  </r>
  <r>
    <n v="8"/>
    <s v="C"/>
    <n v="2"/>
    <x v="2"/>
  </r>
  <r>
    <n v="3"/>
    <s v="C"/>
    <n v="3"/>
    <x v="3"/>
  </r>
  <r>
    <n v="16"/>
    <s v="C"/>
    <n v="3"/>
    <x v="3"/>
  </r>
  <r>
    <n v="8"/>
    <s v="C"/>
    <n v="3"/>
    <x v="3"/>
  </r>
  <r>
    <n v="19"/>
    <s v="C"/>
    <n v="4"/>
    <x v="4"/>
  </r>
  <r>
    <n v="5"/>
    <s v="C"/>
    <n v="4"/>
    <x v="4"/>
  </r>
  <r>
    <n v="2"/>
    <s v="C"/>
    <n v="4"/>
    <x v="4"/>
  </r>
  <r>
    <n v="22"/>
    <s v="C"/>
    <n v="5"/>
    <x v="5"/>
  </r>
  <r>
    <n v="0"/>
    <n v="0"/>
    <n v="0"/>
    <x v="0"/>
  </r>
  <r>
    <n v="2"/>
    <s v="C"/>
    <n v="1"/>
    <x v="1"/>
  </r>
  <r>
    <n v="4"/>
    <s v="C"/>
    <n v="1"/>
    <x v="1"/>
  </r>
  <r>
    <n v="5"/>
    <s v="S"/>
    <n v="1"/>
    <x v="6"/>
  </r>
  <r>
    <n v="8"/>
    <s v="C"/>
    <n v="2"/>
    <x v="2"/>
  </r>
  <r>
    <n v="6"/>
    <s v="C"/>
    <n v="2"/>
    <x v="2"/>
  </r>
  <r>
    <n v="3"/>
    <s v="C"/>
    <n v="2"/>
    <x v="2"/>
  </r>
  <r>
    <n v="1"/>
    <s v="C"/>
    <n v="3"/>
    <x v="3"/>
  </r>
  <r>
    <n v="5"/>
    <s v="C"/>
    <n v="3"/>
    <x v="3"/>
  </r>
  <r>
    <n v="13"/>
    <s v="C"/>
    <n v="3"/>
    <x v="3"/>
  </r>
  <r>
    <n v="4"/>
    <s v="C"/>
    <n v="4"/>
    <x v="4"/>
  </r>
  <r>
    <n v="9"/>
    <s v="C"/>
    <n v="4"/>
    <x v="4"/>
  </r>
  <r>
    <n v="24"/>
    <s v="C"/>
    <n v="4"/>
    <x v="4"/>
  </r>
  <r>
    <n v="15"/>
    <s v="C"/>
    <n v="5"/>
    <x v="5"/>
  </r>
  <r>
    <n v="29"/>
    <s v="C"/>
    <n v="5"/>
    <x v="5"/>
  </r>
  <r>
    <n v="0"/>
    <n v="0"/>
    <n v="0"/>
    <x v="0"/>
  </r>
  <r>
    <n v="1"/>
    <s v="S"/>
    <n v="1"/>
    <x v="6"/>
  </r>
  <r>
    <n v="3"/>
    <s v="S"/>
    <n v="1"/>
    <x v="6"/>
  </r>
  <r>
    <n v="6"/>
    <s v="S"/>
    <n v="1"/>
    <x v="6"/>
  </r>
  <r>
    <n v="3"/>
    <s v="S"/>
    <n v="2"/>
    <x v="7"/>
  </r>
  <r>
    <n v="2"/>
    <s v="S"/>
    <n v="2"/>
    <x v="7"/>
  </r>
  <r>
    <n v="11"/>
    <s v="S"/>
    <n v="2"/>
    <x v="7"/>
  </r>
  <r>
    <n v="8"/>
    <s v="S"/>
    <n v="3"/>
    <x v="8"/>
  </r>
  <r>
    <n v="6"/>
    <s v="S"/>
    <n v="3"/>
    <x v="8"/>
  </r>
  <r>
    <n v="5"/>
    <s v="S"/>
    <n v="3"/>
    <x v="8"/>
  </r>
  <r>
    <n v="20"/>
    <s v="S"/>
    <n v="4"/>
    <x v="9"/>
  </r>
  <r>
    <n v="17"/>
    <s v="S"/>
    <n v="4"/>
    <x v="9"/>
  </r>
  <r>
    <n v="11"/>
    <s v="S"/>
    <n v="4"/>
    <x v="9"/>
  </r>
  <r>
    <n v="27"/>
    <s v="S"/>
    <n v="5"/>
    <x v="10"/>
  </r>
  <r>
    <n v="0"/>
    <n v="0"/>
    <n v="0"/>
    <x v="0"/>
  </r>
  <r>
    <n v="5"/>
    <s v="C"/>
    <n v="1"/>
    <x v="1"/>
  </r>
  <r>
    <n v="3"/>
    <s v="C"/>
    <n v="1"/>
    <x v="1"/>
  </r>
  <r>
    <n v="1"/>
    <s v="C"/>
    <n v="1"/>
    <x v="1"/>
  </r>
  <r>
    <n v="7"/>
    <s v="C"/>
    <n v="2"/>
    <x v="2"/>
  </r>
  <r>
    <n v="12"/>
    <s v="C"/>
    <n v="2"/>
    <x v="2"/>
  </r>
  <r>
    <n v="6"/>
    <s v="C"/>
    <n v="2"/>
    <x v="2"/>
  </r>
  <r>
    <n v="5"/>
    <s v="C"/>
    <n v="3"/>
    <x v="3"/>
  </r>
  <r>
    <n v="6"/>
    <s v="C"/>
    <n v="3"/>
    <x v="3"/>
  </r>
  <r>
    <n v="6"/>
    <s v="C"/>
    <n v="3"/>
    <x v="3"/>
  </r>
  <r>
    <n v="23"/>
    <s v="C"/>
    <n v="4"/>
    <x v="4"/>
  </r>
  <r>
    <n v="16"/>
    <s v="C"/>
    <n v="4"/>
    <x v="4"/>
  </r>
  <r>
    <n v="1"/>
    <s v="C"/>
    <n v="4"/>
    <x v="4"/>
  </r>
  <r>
    <n v="27"/>
    <s v="C"/>
    <n v="5"/>
    <x v="5"/>
  </r>
  <r>
    <n v="0"/>
    <n v="0"/>
    <n v="0"/>
    <x v="0"/>
  </r>
  <r>
    <n v="1"/>
    <s v="C"/>
    <n v="1"/>
    <x v="1"/>
  </r>
  <r>
    <n v="1"/>
    <s v="C"/>
    <n v="1"/>
    <x v="1"/>
  </r>
  <r>
    <n v="6"/>
    <s v="C"/>
    <n v="1"/>
    <x v="1"/>
  </r>
  <r>
    <n v="9"/>
    <s v="C"/>
    <n v="2"/>
    <x v="2"/>
  </r>
  <r>
    <n v="7"/>
    <s v="C"/>
    <n v="2"/>
    <x v="2"/>
  </r>
  <r>
    <n v="12"/>
    <s v="C"/>
    <n v="2"/>
    <x v="2"/>
  </r>
  <r>
    <n v="15"/>
    <s v="C"/>
    <n v="3"/>
    <x v="3"/>
  </r>
  <r>
    <n v="10"/>
    <s v="C"/>
    <n v="3"/>
    <x v="3"/>
  </r>
  <r>
    <n v="5"/>
    <s v="C"/>
    <n v="3"/>
    <x v="3"/>
  </r>
  <r>
    <n v="23"/>
    <s v="C"/>
    <n v="4"/>
    <x v="4"/>
  </r>
  <r>
    <n v="11"/>
    <s v="C"/>
    <n v="4"/>
    <x v="4"/>
  </r>
  <r>
    <n v="23"/>
    <s v="C"/>
    <n v="4"/>
    <x v="4"/>
  </r>
  <r>
    <n v="16"/>
    <s v="C"/>
    <n v="5"/>
    <x v="5"/>
  </r>
  <r>
    <n v="21"/>
    <s v="C"/>
    <n v="5"/>
    <x v="5"/>
  </r>
  <r>
    <n v="0"/>
    <n v="0"/>
    <n v="0"/>
    <x v="0"/>
  </r>
  <r>
    <n v="4"/>
    <s v="S"/>
    <n v="1"/>
    <x v="6"/>
  </r>
  <r>
    <n v="3"/>
    <s v="S"/>
    <n v="1"/>
    <x v="6"/>
  </r>
  <r>
    <n v="3"/>
    <s v="S"/>
    <n v="1"/>
    <x v="6"/>
  </r>
  <r>
    <n v="4"/>
    <s v="S"/>
    <n v="2"/>
    <x v="7"/>
  </r>
  <r>
    <n v="5"/>
    <s v="S"/>
    <n v="2"/>
    <x v="7"/>
  </r>
  <r>
    <n v="1"/>
    <s v="S"/>
    <n v="2"/>
    <x v="7"/>
  </r>
  <r>
    <n v="3"/>
    <s v="S"/>
    <n v="3"/>
    <x v="8"/>
  </r>
  <r>
    <n v="13"/>
    <s v="S"/>
    <n v="3"/>
    <x v="8"/>
  </r>
  <r>
    <n v="12"/>
    <s v="S"/>
    <n v="3"/>
    <x v="8"/>
  </r>
  <r>
    <n v="9"/>
    <s v="S"/>
    <n v="4"/>
    <x v="9"/>
  </r>
  <r>
    <n v="21"/>
    <s v="S"/>
    <n v="4"/>
    <x v="9"/>
  </r>
  <r>
    <n v="14"/>
    <s v="S"/>
    <n v="4"/>
    <x v="9"/>
  </r>
  <r>
    <n v="11"/>
    <s v="S"/>
    <n v="5"/>
    <x v="10"/>
  </r>
  <r>
    <n v="20"/>
    <s v="S"/>
    <n v="5"/>
    <x v="10"/>
  </r>
  <r>
    <n v="0"/>
    <n v="0"/>
    <n v="0"/>
    <x v="0"/>
  </r>
  <r>
    <n v="6"/>
    <s v="C"/>
    <n v="1"/>
    <x v="1"/>
  </r>
  <r>
    <n v="3"/>
    <s v="C"/>
    <n v="1"/>
    <x v="1"/>
  </r>
  <r>
    <n v="6"/>
    <s v="C"/>
    <n v="1"/>
    <x v="1"/>
  </r>
  <r>
    <n v="2"/>
    <s v="C"/>
    <n v="2"/>
    <x v="2"/>
  </r>
  <r>
    <n v="11"/>
    <s v="C"/>
    <n v="2"/>
    <x v="2"/>
  </r>
  <r>
    <n v="11"/>
    <s v="C"/>
    <n v="2"/>
    <x v="2"/>
  </r>
  <r>
    <n v="5"/>
    <s v="C"/>
    <n v="3"/>
    <x v="3"/>
  </r>
  <r>
    <n v="18"/>
    <s v="C"/>
    <n v="3"/>
    <x v="3"/>
  </r>
  <r>
    <n v="5"/>
    <s v="C"/>
    <n v="3"/>
    <x v="3"/>
  </r>
  <r>
    <n v="8"/>
    <s v="C"/>
    <n v="4"/>
    <x v="4"/>
  </r>
  <r>
    <n v="22"/>
    <s v="C"/>
    <n v="4"/>
    <x v="4"/>
  </r>
  <r>
    <n v="19"/>
    <s v="C"/>
    <n v="4"/>
    <x v="4"/>
  </r>
  <r>
    <n v="23"/>
    <s v="C"/>
    <n v="5"/>
    <x v="5"/>
  </r>
  <r>
    <n v="0"/>
    <n v="0"/>
    <n v="0"/>
    <x v="0"/>
  </r>
  <r>
    <n v="1"/>
    <s v="S"/>
    <n v="1"/>
    <x v="6"/>
  </r>
  <r>
    <n v="2"/>
    <s v="S"/>
    <n v="1"/>
    <x v="6"/>
  </r>
  <r>
    <n v="4"/>
    <s v="S"/>
    <n v="1"/>
    <x v="6"/>
  </r>
  <r>
    <n v="8"/>
    <s v="S"/>
    <n v="2"/>
    <x v="7"/>
  </r>
  <r>
    <n v="4"/>
    <s v="S"/>
    <n v="2"/>
    <x v="7"/>
  </r>
  <r>
    <n v="7"/>
    <s v="S"/>
    <n v="2"/>
    <x v="7"/>
  </r>
  <r>
    <n v="6"/>
    <s v="S"/>
    <n v="3"/>
    <x v="8"/>
  </r>
  <r>
    <n v="18"/>
    <s v="S"/>
    <n v="3"/>
    <x v="8"/>
  </r>
  <r>
    <n v="6"/>
    <s v="S"/>
    <n v="3"/>
    <x v="8"/>
  </r>
  <r>
    <n v="20"/>
    <s v="S"/>
    <n v="4"/>
    <x v="9"/>
  </r>
  <r>
    <n v="14"/>
    <s v="S"/>
    <n v="4"/>
    <x v="9"/>
  </r>
  <r>
    <n v="22"/>
    <s v="S"/>
    <n v="4"/>
    <x v="9"/>
  </r>
  <r>
    <n v="23"/>
    <s v="S"/>
    <n v="5"/>
    <x v="10"/>
  </r>
  <r>
    <n v="0"/>
    <n v="0"/>
    <n v="0"/>
    <x v="0"/>
  </r>
  <r>
    <n v="1"/>
    <s v="C"/>
    <n v="1"/>
    <x v="1"/>
  </r>
  <r>
    <n v="1"/>
    <s v="C"/>
    <n v="1"/>
    <x v="1"/>
  </r>
  <r>
    <n v="1"/>
    <s v="C"/>
    <n v="1"/>
    <x v="1"/>
  </r>
  <r>
    <n v="2"/>
    <s v="C"/>
    <n v="2"/>
    <x v="2"/>
  </r>
  <r>
    <n v="6"/>
    <s v="C"/>
    <n v="2"/>
    <x v="2"/>
  </r>
  <r>
    <n v="9"/>
    <s v="C"/>
    <n v="2"/>
    <x v="2"/>
  </r>
  <r>
    <n v="6"/>
    <s v="C"/>
    <n v="3"/>
    <x v="3"/>
  </r>
  <r>
    <n v="1"/>
    <s v="C"/>
    <n v="3"/>
    <x v="3"/>
  </r>
  <r>
    <n v="3"/>
    <s v="C"/>
    <n v="3"/>
    <x v="3"/>
  </r>
  <r>
    <n v="7"/>
    <s v="C"/>
    <n v="4"/>
    <x v="4"/>
  </r>
  <r>
    <n v="6"/>
    <s v="C"/>
    <n v="4"/>
    <x v="4"/>
  </r>
  <r>
    <n v="3"/>
    <s v="C"/>
    <n v="4"/>
    <x v="4"/>
  </r>
  <r>
    <n v="22"/>
    <s v="C"/>
    <n v="5"/>
    <x v="5"/>
  </r>
  <r>
    <n v="0"/>
    <n v="0"/>
    <n v="0"/>
    <x v="0"/>
  </r>
  <r>
    <n v="3"/>
    <s v="S"/>
    <n v="1"/>
    <x v="6"/>
  </r>
  <r>
    <n v="4"/>
    <s v="S"/>
    <n v="1"/>
    <x v="6"/>
  </r>
  <r>
    <n v="6"/>
    <s v="S"/>
    <n v="1"/>
    <x v="6"/>
  </r>
  <r>
    <n v="8"/>
    <s v="S"/>
    <n v="2"/>
    <x v="7"/>
  </r>
  <r>
    <n v="12"/>
    <s v="S"/>
    <n v="2"/>
    <x v="7"/>
  </r>
  <r>
    <n v="9"/>
    <s v="S"/>
    <n v="2"/>
    <x v="7"/>
  </r>
  <r>
    <n v="14"/>
    <s v="S"/>
    <n v="3"/>
    <x v="8"/>
  </r>
  <r>
    <n v="12"/>
    <s v="S"/>
    <n v="3"/>
    <x v="8"/>
  </r>
  <r>
    <n v="1"/>
    <s v="S"/>
    <n v="3"/>
    <x v="8"/>
  </r>
  <r>
    <n v="11"/>
    <s v="S"/>
    <n v="4"/>
    <x v="9"/>
  </r>
  <r>
    <n v="6"/>
    <s v="S"/>
    <n v="4"/>
    <x v="9"/>
  </r>
  <r>
    <n v="3"/>
    <s v="S"/>
    <n v="4"/>
    <x v="9"/>
  </r>
  <r>
    <n v="15"/>
    <s v="S"/>
    <n v="5"/>
    <x v="10"/>
  </r>
  <r>
    <n v="16"/>
    <s v="S"/>
    <n v="5"/>
    <x v="10"/>
  </r>
  <r>
    <n v="17"/>
    <s v="S"/>
    <n v="5"/>
    <x v="10"/>
  </r>
  <r>
    <n v="18"/>
    <s v="S"/>
    <n v="5"/>
    <x v="10"/>
  </r>
  <r>
    <n v="13"/>
    <s v="S"/>
    <n v="5"/>
    <x v="10"/>
  </r>
  <r>
    <n v="27"/>
    <s v="S"/>
    <n v="5"/>
    <x v="10"/>
  </r>
  <r>
    <n v="0"/>
    <n v="0"/>
    <n v="0"/>
    <x v="0"/>
  </r>
  <r>
    <n v="2"/>
    <s v="C"/>
    <n v="1"/>
    <x v="1"/>
  </r>
  <r>
    <n v="4"/>
    <s v="C"/>
    <n v="1"/>
    <x v="1"/>
  </r>
  <r>
    <n v="2"/>
    <s v="C"/>
    <n v="1"/>
    <x v="1"/>
  </r>
  <r>
    <n v="11"/>
    <s v="C"/>
    <n v="1"/>
    <x v="1"/>
  </r>
  <r>
    <n v="1"/>
    <s v="C"/>
    <n v="2"/>
    <x v="2"/>
  </r>
  <r>
    <n v="7"/>
    <s v="C"/>
    <n v="2"/>
    <x v="2"/>
  </r>
  <r>
    <n v="10"/>
    <s v="C"/>
    <n v="3"/>
    <x v="3"/>
  </r>
  <r>
    <n v="10"/>
    <s v="C"/>
    <n v="3"/>
    <x v="3"/>
  </r>
  <r>
    <n v="1"/>
    <s v="C"/>
    <n v="3"/>
    <x v="3"/>
  </r>
  <r>
    <n v="4"/>
    <s v="C"/>
    <n v="4"/>
    <x v="4"/>
  </r>
  <r>
    <n v="12"/>
    <s v="C"/>
    <n v="4"/>
    <x v="4"/>
  </r>
  <r>
    <n v="7"/>
    <s v="C"/>
    <n v="4"/>
    <x v="4"/>
  </r>
  <r>
    <n v="16"/>
    <s v="C"/>
    <n v="5"/>
    <x v="5"/>
  </r>
  <r>
    <n v="24"/>
    <s v="C"/>
    <n v="5"/>
    <x v="5"/>
  </r>
  <r>
    <n v="0"/>
    <n v="0"/>
    <n v="0"/>
    <x v="0"/>
  </r>
  <r>
    <n v="5"/>
    <s v="S"/>
    <n v="1"/>
    <x v="6"/>
  </r>
  <r>
    <n v="1"/>
    <s v="S"/>
    <n v="1"/>
    <x v="6"/>
  </r>
  <r>
    <n v="6"/>
    <s v="S"/>
    <n v="1"/>
    <x v="6"/>
  </r>
  <r>
    <n v="12"/>
    <s v="S"/>
    <n v="2"/>
    <x v="7"/>
  </r>
  <r>
    <n v="3"/>
    <s v="S"/>
    <n v="2"/>
    <x v="7"/>
  </r>
  <r>
    <n v="12"/>
    <s v="S"/>
    <n v="2"/>
    <x v="7"/>
  </r>
  <r>
    <n v="17"/>
    <s v="S"/>
    <n v="3"/>
    <x v="8"/>
  </r>
  <r>
    <n v="16"/>
    <s v="S"/>
    <n v="3"/>
    <x v="8"/>
  </r>
  <r>
    <n v="3"/>
    <s v="S"/>
    <n v="3"/>
    <x v="8"/>
  </r>
  <r>
    <n v="21"/>
    <s v="S"/>
    <n v="4"/>
    <x v="9"/>
  </r>
  <r>
    <n v="18"/>
    <s v="S"/>
    <n v="4"/>
    <x v="9"/>
  </r>
  <r>
    <n v="13"/>
    <s v="S"/>
    <n v="4"/>
    <x v="9"/>
  </r>
  <r>
    <n v="29"/>
    <s v="S"/>
    <n v="5"/>
    <x v="10"/>
  </r>
  <r>
    <n v="0"/>
    <n v="0"/>
    <n v="0"/>
    <x v="0"/>
  </r>
  <r>
    <n v="6"/>
    <s v="S"/>
    <n v="1"/>
    <x v="6"/>
  </r>
  <r>
    <n v="5"/>
    <s v="S"/>
    <n v="1"/>
    <x v="6"/>
  </r>
  <r>
    <n v="2"/>
    <s v="S"/>
    <n v="1"/>
    <x v="6"/>
  </r>
  <r>
    <n v="8"/>
    <s v="S"/>
    <n v="2"/>
    <x v="7"/>
  </r>
  <r>
    <n v="1"/>
    <s v="S"/>
    <n v="2"/>
    <x v="7"/>
  </r>
  <r>
    <n v="11"/>
    <s v="S"/>
    <n v="2"/>
    <x v="7"/>
  </r>
  <r>
    <n v="13"/>
    <s v="S"/>
    <n v="3"/>
    <x v="8"/>
  </r>
  <r>
    <n v="18"/>
    <s v="S"/>
    <n v="3"/>
    <x v="8"/>
  </r>
  <r>
    <n v="15"/>
    <s v="S"/>
    <n v="3"/>
    <x v="8"/>
  </r>
  <r>
    <n v="12"/>
    <s v="S"/>
    <n v="4"/>
    <x v="9"/>
  </r>
  <r>
    <n v="2"/>
    <s v="S"/>
    <n v="4"/>
    <x v="9"/>
  </r>
  <r>
    <n v="21"/>
    <s v="S"/>
    <n v="4"/>
    <x v="9"/>
  </r>
  <r>
    <n v="28"/>
    <s v="S"/>
    <n v="5"/>
    <x v="10"/>
  </r>
  <r>
    <n v="0"/>
    <n v="0"/>
    <n v="0"/>
    <x v="0"/>
  </r>
  <r>
    <n v="3"/>
    <s v="C"/>
    <n v="1"/>
    <x v="1"/>
  </r>
  <r>
    <n v="5"/>
    <s v="C"/>
    <n v="1"/>
    <x v="1"/>
  </r>
  <r>
    <n v="5"/>
    <s v="C"/>
    <n v="1"/>
    <x v="1"/>
  </r>
  <r>
    <n v="7"/>
    <s v="C"/>
    <n v="2"/>
    <x v="2"/>
  </r>
  <r>
    <n v="1"/>
    <s v="C"/>
    <n v="2"/>
    <x v="2"/>
  </r>
  <r>
    <n v="6"/>
    <s v="C"/>
    <n v="2"/>
    <x v="2"/>
  </r>
  <r>
    <n v="6"/>
    <s v="C"/>
    <n v="3"/>
    <x v="3"/>
  </r>
  <r>
    <n v="10"/>
    <s v="C"/>
    <n v="3"/>
    <x v="3"/>
  </r>
  <r>
    <n v="16"/>
    <s v="C"/>
    <n v="3"/>
    <x v="3"/>
  </r>
  <r>
    <n v="9"/>
    <s v="C"/>
    <n v="4"/>
    <x v="4"/>
  </r>
  <r>
    <n v="18"/>
    <s v="C"/>
    <n v="4"/>
    <x v="4"/>
  </r>
  <r>
    <n v="4"/>
    <s v="C"/>
    <n v="4"/>
    <x v="4"/>
  </r>
  <r>
    <n v="22"/>
    <s v="C"/>
    <n v="5"/>
    <x v="5"/>
  </r>
  <r>
    <n v="0"/>
    <n v="0"/>
    <n v="0"/>
    <x v="0"/>
  </r>
  <r>
    <n v="4"/>
    <s v="C"/>
    <n v="1"/>
    <x v="1"/>
  </r>
  <r>
    <n v="6"/>
    <s v="C"/>
    <n v="1"/>
    <x v="1"/>
  </r>
  <r>
    <n v="6"/>
    <s v="C"/>
    <n v="1"/>
    <x v="1"/>
  </r>
  <r>
    <n v="9"/>
    <s v="C"/>
    <n v="2"/>
    <x v="2"/>
  </r>
  <r>
    <n v="7"/>
    <s v="C"/>
    <n v="2"/>
    <x v="2"/>
  </r>
  <r>
    <n v="1"/>
    <s v="C"/>
    <n v="2"/>
    <x v="2"/>
  </r>
  <r>
    <n v="18"/>
    <s v="C"/>
    <n v="3"/>
    <x v="3"/>
  </r>
  <r>
    <n v="13"/>
    <s v="C"/>
    <n v="3"/>
    <x v="3"/>
  </r>
  <r>
    <n v="2"/>
    <s v="C"/>
    <n v="3"/>
    <x v="3"/>
  </r>
  <r>
    <n v="10"/>
    <s v="C"/>
    <n v="4"/>
    <x v="4"/>
  </r>
  <r>
    <n v="6"/>
    <s v="C"/>
    <n v="4"/>
    <x v="4"/>
  </r>
  <r>
    <n v="20"/>
    <s v="C"/>
    <n v="4"/>
    <x v="4"/>
  </r>
  <r>
    <n v="17"/>
    <s v="C"/>
    <n v="5"/>
    <x v="5"/>
  </r>
  <r>
    <n v="13"/>
    <s v="C"/>
    <n v="5"/>
    <x v="5"/>
  </r>
  <r>
    <n v="18"/>
    <s v="C"/>
    <n v="5"/>
    <x v="5"/>
  </r>
  <r>
    <n v="20"/>
    <s v="C"/>
    <n v="5"/>
    <x v="5"/>
  </r>
  <r>
    <n v="0"/>
    <n v="0"/>
    <n v="0"/>
    <x v="0"/>
  </r>
  <r>
    <n v="6"/>
    <s v="S"/>
    <n v="1"/>
    <x v="6"/>
  </r>
  <r>
    <n v="5"/>
    <s v="S"/>
    <n v="1"/>
    <x v="6"/>
  </r>
  <r>
    <n v="1"/>
    <s v="S"/>
    <n v="1"/>
    <x v="6"/>
  </r>
  <r>
    <n v="8"/>
    <s v="S"/>
    <n v="2"/>
    <x v="7"/>
  </r>
  <r>
    <n v="3"/>
    <s v="S"/>
    <n v="2"/>
    <x v="7"/>
  </r>
  <r>
    <n v="5"/>
    <s v="S"/>
    <n v="2"/>
    <x v="7"/>
  </r>
  <r>
    <n v="17"/>
    <s v="S"/>
    <n v="3"/>
    <x v="8"/>
  </r>
  <r>
    <n v="9"/>
    <s v="S"/>
    <n v="3"/>
    <x v="8"/>
  </r>
  <r>
    <n v="4"/>
    <s v="S"/>
    <n v="3"/>
    <x v="8"/>
  </r>
  <r>
    <n v="24"/>
    <s v="S"/>
    <n v="4"/>
    <x v="9"/>
  </r>
  <r>
    <n v="21"/>
    <s v="S"/>
    <n v="4"/>
    <x v="9"/>
  </r>
  <r>
    <n v="8"/>
    <s v="S"/>
    <n v="5"/>
    <x v="10"/>
  </r>
  <r>
    <n v="23"/>
    <s v="S"/>
    <n v="5"/>
    <x v="10"/>
  </r>
  <r>
    <n v="0"/>
    <n v="0"/>
    <n v="0"/>
    <x v="0"/>
  </r>
  <r>
    <n v="5"/>
    <s v="C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0"/>
    <x v="0"/>
    <n v="0"/>
    <m/>
    <m/>
    <m/>
    <s v="C"/>
  </r>
  <r>
    <n v="2"/>
    <s v="C"/>
    <x v="1"/>
    <n v="0"/>
    <n v="1"/>
    <n v="1"/>
    <n v="0"/>
    <s v="C"/>
  </r>
  <r>
    <n v="3"/>
    <s v="C"/>
    <x v="1"/>
    <n v="0"/>
    <n v="2"/>
    <n v="0"/>
    <n v="0"/>
    <s v="C"/>
  </r>
  <r>
    <n v="4"/>
    <s v="C"/>
    <x v="1"/>
    <n v="0"/>
    <n v="3"/>
    <n v="0"/>
    <n v="0"/>
    <s v="C"/>
  </r>
  <r>
    <n v="5"/>
    <s v="C"/>
    <x v="2"/>
    <n v="0"/>
    <n v="4"/>
    <n v="0"/>
    <n v="1"/>
    <s v="C"/>
  </r>
  <r>
    <n v="6"/>
    <s v="C"/>
    <x v="2"/>
    <n v="0"/>
    <n v="5"/>
    <n v="0"/>
    <n v="0"/>
    <s v="C"/>
  </r>
  <r>
    <n v="7"/>
    <s v="C"/>
    <x v="2"/>
    <n v="0"/>
    <n v="6"/>
    <n v="0"/>
    <n v="0"/>
    <s v="C"/>
  </r>
  <r>
    <n v="8"/>
    <s v="C"/>
    <x v="3"/>
    <n v="0"/>
    <n v="7"/>
    <n v="0"/>
    <n v="0"/>
    <s v="C"/>
  </r>
  <r>
    <n v="9"/>
    <s v="C"/>
    <x v="3"/>
    <n v="0"/>
    <n v="8"/>
    <n v="0"/>
    <n v="0"/>
    <s v="C"/>
  </r>
  <r>
    <n v="10"/>
    <s v="C"/>
    <x v="3"/>
    <n v="0"/>
    <n v="9"/>
    <n v="0"/>
    <n v="0"/>
    <s v="C"/>
  </r>
  <r>
    <n v="11"/>
    <s v="C"/>
    <x v="4"/>
    <n v="0"/>
    <n v="10"/>
    <n v="0"/>
    <n v="0"/>
    <s v="C"/>
  </r>
  <r>
    <n v="12"/>
    <s v="C"/>
    <x v="4"/>
    <n v="0"/>
    <n v="11"/>
    <n v="0"/>
    <n v="0"/>
    <s v="C"/>
  </r>
  <r>
    <n v="13"/>
    <s v="C"/>
    <x v="4"/>
    <n v="0"/>
    <n v="12"/>
    <n v="0"/>
    <n v="0"/>
    <s v="C"/>
  </r>
  <r>
    <n v="14"/>
    <s v="C"/>
    <x v="5"/>
    <n v="0"/>
    <n v="13"/>
    <n v="0"/>
    <n v="0"/>
    <s v="C"/>
  </r>
  <r>
    <n v="15"/>
    <s v="C"/>
    <x v="5"/>
    <n v="0"/>
    <n v="14"/>
    <n v="0"/>
    <n v="0"/>
    <s v="C"/>
  </r>
  <r>
    <n v="16"/>
    <n v="0"/>
    <x v="0"/>
    <n v="1"/>
    <n v="1"/>
    <n v="0"/>
    <n v="0"/>
    <s v="C"/>
  </r>
  <r>
    <n v="17"/>
    <s v="C"/>
    <x v="1"/>
    <n v="0"/>
    <n v="1"/>
    <n v="1"/>
    <n v="0"/>
    <s v="C"/>
  </r>
  <r>
    <n v="18"/>
    <s v="C"/>
    <x v="1"/>
    <n v="0"/>
    <n v="2"/>
    <n v="0"/>
    <n v="0"/>
    <s v="C"/>
  </r>
  <r>
    <n v="19"/>
    <s v="C"/>
    <x v="1"/>
    <n v="0"/>
    <n v="3"/>
    <n v="0"/>
    <n v="0"/>
    <s v="C"/>
  </r>
  <r>
    <n v="20"/>
    <s v="C"/>
    <x v="2"/>
    <n v="0"/>
    <n v="4"/>
    <n v="0"/>
    <n v="1"/>
    <s v="C"/>
  </r>
  <r>
    <n v="21"/>
    <s v="C"/>
    <x v="2"/>
    <n v="0"/>
    <n v="5"/>
    <n v="0"/>
    <n v="0"/>
    <s v="C"/>
  </r>
  <r>
    <n v="22"/>
    <s v="C"/>
    <x v="2"/>
    <n v="0"/>
    <n v="6"/>
    <n v="0"/>
    <n v="0"/>
    <s v="C"/>
  </r>
  <r>
    <n v="23"/>
    <s v="C"/>
    <x v="3"/>
    <n v="0"/>
    <n v="7"/>
    <n v="0"/>
    <n v="0"/>
    <s v="C"/>
  </r>
  <r>
    <n v="24"/>
    <s v="C"/>
    <x v="3"/>
    <n v="0"/>
    <n v="8"/>
    <n v="0"/>
    <n v="0"/>
    <s v="C"/>
  </r>
  <r>
    <n v="25"/>
    <s v="C"/>
    <x v="3"/>
    <n v="0"/>
    <n v="9"/>
    <n v="0"/>
    <n v="0"/>
    <s v="C"/>
  </r>
  <r>
    <n v="26"/>
    <s v="C"/>
    <x v="4"/>
    <n v="0"/>
    <n v="10"/>
    <n v="0"/>
    <n v="0"/>
    <s v="C"/>
  </r>
  <r>
    <n v="27"/>
    <s v="C"/>
    <x v="4"/>
    <n v="0"/>
    <n v="11"/>
    <n v="0"/>
    <n v="0"/>
    <s v="C"/>
  </r>
  <r>
    <n v="28"/>
    <s v="C"/>
    <x v="4"/>
    <n v="0"/>
    <n v="12"/>
    <n v="0"/>
    <n v="0"/>
    <s v="S"/>
  </r>
  <r>
    <n v="29"/>
    <s v="C"/>
    <x v="5"/>
    <n v="0"/>
    <n v="13"/>
    <n v="0"/>
    <n v="0"/>
    <s v="S"/>
  </r>
  <r>
    <n v="30"/>
    <s v="C"/>
    <x v="5"/>
    <n v="0"/>
    <n v="14"/>
    <n v="0"/>
    <n v="0"/>
    <s v="S"/>
  </r>
  <r>
    <n v="31"/>
    <s v="C"/>
    <x v="5"/>
    <n v="0"/>
    <n v="15"/>
    <n v="0"/>
    <n v="0"/>
    <s v="S"/>
  </r>
  <r>
    <n v="32"/>
    <s v="C"/>
    <x v="5"/>
    <n v="0"/>
    <n v="16"/>
    <n v="0"/>
    <n v="0"/>
    <s v="S"/>
  </r>
  <r>
    <n v="33"/>
    <s v="C"/>
    <x v="5"/>
    <n v="0"/>
    <n v="17"/>
    <n v="0"/>
    <n v="0"/>
    <s v="S"/>
  </r>
  <r>
    <n v="34"/>
    <s v="C"/>
    <x v="5"/>
    <n v="0"/>
    <n v="18"/>
    <n v="0"/>
    <n v="0"/>
    <s v="S"/>
  </r>
  <r>
    <n v="35"/>
    <n v="0"/>
    <x v="0"/>
    <n v="1"/>
    <n v="1"/>
    <n v="0"/>
    <n v="0"/>
    <s v="C"/>
  </r>
  <r>
    <n v="36"/>
    <s v="C"/>
    <x v="1"/>
    <n v="0"/>
    <n v="1"/>
    <n v="1"/>
    <n v="0"/>
    <s v="C"/>
  </r>
  <r>
    <n v="37"/>
    <s v="C"/>
    <x v="1"/>
    <n v="0"/>
    <n v="2"/>
    <n v="0"/>
    <n v="0"/>
    <s v="S"/>
  </r>
  <r>
    <n v="38"/>
    <s v="C"/>
    <x v="1"/>
    <n v="0"/>
    <n v="3"/>
    <n v="0"/>
    <n v="0"/>
    <s v="S"/>
  </r>
  <r>
    <n v="39"/>
    <s v="C"/>
    <x v="2"/>
    <n v="0"/>
    <n v="4"/>
    <n v="0"/>
    <n v="1"/>
    <s v="S"/>
  </r>
  <r>
    <n v="40"/>
    <s v="C"/>
    <x v="2"/>
    <n v="0"/>
    <n v="5"/>
    <n v="0"/>
    <n v="0"/>
    <s v="S"/>
  </r>
  <r>
    <n v="41"/>
    <s v="C"/>
    <x v="2"/>
    <n v="0"/>
    <n v="6"/>
    <n v="0"/>
    <n v="0"/>
    <s v="S"/>
  </r>
  <r>
    <n v="42"/>
    <s v="C"/>
    <x v="3"/>
    <n v="0"/>
    <n v="7"/>
    <n v="0"/>
    <n v="0"/>
    <s v="S"/>
  </r>
  <r>
    <n v="43"/>
    <s v="C"/>
    <x v="3"/>
    <n v="0"/>
    <n v="8"/>
    <n v="0"/>
    <n v="0"/>
    <s v="S"/>
  </r>
  <r>
    <n v="44"/>
    <s v="C"/>
    <x v="3"/>
    <n v="0"/>
    <n v="9"/>
    <n v="0"/>
    <n v="0"/>
    <s v="S"/>
  </r>
  <r>
    <n v="45"/>
    <s v="C"/>
    <x v="4"/>
    <n v="0"/>
    <n v="10"/>
    <n v="0"/>
    <n v="0"/>
    <s v="C"/>
  </r>
  <r>
    <n v="46"/>
    <s v="C"/>
    <x v="4"/>
    <n v="0"/>
    <n v="11"/>
    <n v="0"/>
    <n v="0"/>
    <s v="C"/>
  </r>
  <r>
    <n v="47"/>
    <s v="C"/>
    <x v="4"/>
    <n v="0"/>
    <n v="12"/>
    <n v="0"/>
    <n v="0"/>
    <s v="C"/>
  </r>
  <r>
    <n v="48"/>
    <s v="C"/>
    <x v="5"/>
    <n v="0"/>
    <n v="13"/>
    <n v="0"/>
    <n v="0"/>
    <s v="C"/>
  </r>
  <r>
    <n v="49"/>
    <n v="0"/>
    <x v="0"/>
    <n v="1"/>
    <n v="1"/>
    <n v="0"/>
    <n v="0"/>
    <s v="C"/>
  </r>
  <r>
    <n v="50"/>
    <s v="C"/>
    <x v="1"/>
    <n v="0"/>
    <n v="1"/>
    <n v="1"/>
    <n v="0"/>
    <s v="C"/>
  </r>
  <r>
    <n v="51"/>
    <s v="C"/>
    <x v="1"/>
    <n v="0"/>
    <n v="2"/>
    <n v="0"/>
    <n v="0"/>
    <s v="C"/>
  </r>
  <r>
    <n v="52"/>
    <s v="C"/>
    <x v="1"/>
    <n v="0"/>
    <n v="3"/>
    <n v="0"/>
    <n v="0"/>
    <s v="C"/>
  </r>
  <r>
    <n v="53"/>
    <s v="C"/>
    <x v="2"/>
    <n v="0"/>
    <n v="4"/>
    <n v="0"/>
    <n v="1"/>
    <s v="C"/>
  </r>
  <r>
    <n v="54"/>
    <s v="C"/>
    <x v="2"/>
    <n v="0"/>
    <n v="5"/>
    <n v="0"/>
    <n v="0"/>
    <s v="C"/>
  </r>
  <r>
    <n v="55"/>
    <s v="C"/>
    <x v="2"/>
    <n v="0"/>
    <n v="6"/>
    <n v="0"/>
    <n v="0"/>
    <s v="C"/>
  </r>
  <r>
    <n v="56"/>
    <s v="C"/>
    <x v="3"/>
    <n v="0"/>
    <n v="7"/>
    <n v="0"/>
    <n v="0"/>
    <s v="C"/>
  </r>
  <r>
    <n v="57"/>
    <s v="C"/>
    <x v="3"/>
    <n v="0"/>
    <n v="8"/>
    <n v="0"/>
    <n v="0"/>
    <s v="C"/>
  </r>
  <r>
    <n v="58"/>
    <s v="C"/>
    <x v="3"/>
    <n v="0"/>
    <n v="9"/>
    <n v="0"/>
    <n v="0"/>
    <s v="C"/>
  </r>
  <r>
    <n v="59"/>
    <s v="C"/>
    <x v="4"/>
    <n v="0"/>
    <n v="10"/>
    <n v="0"/>
    <n v="0"/>
    <s v="C"/>
  </r>
  <r>
    <n v="60"/>
    <s v="C"/>
    <x v="4"/>
    <n v="0"/>
    <n v="11"/>
    <n v="0"/>
    <n v="0"/>
    <s v="C"/>
  </r>
  <r>
    <n v="61"/>
    <s v="C"/>
    <x v="4"/>
    <n v="0"/>
    <n v="12"/>
    <n v="0"/>
    <n v="0"/>
    <s v="C"/>
  </r>
  <r>
    <n v="62"/>
    <s v="C"/>
    <x v="5"/>
    <n v="0"/>
    <n v="13"/>
    <n v="0"/>
    <n v="0"/>
    <s v="C"/>
  </r>
  <r>
    <n v="63"/>
    <n v="0"/>
    <x v="0"/>
    <n v="1"/>
    <n v="1"/>
    <n v="0"/>
    <n v="0"/>
    <s v="C"/>
  </r>
  <r>
    <n v="64"/>
    <s v="C"/>
    <x v="1"/>
    <n v="0"/>
    <n v="1"/>
    <n v="1"/>
    <n v="0"/>
    <s v="C"/>
  </r>
  <r>
    <n v="65"/>
    <s v="C"/>
    <x v="1"/>
    <n v="0"/>
    <n v="2"/>
    <n v="0"/>
    <n v="0"/>
    <s v="C"/>
  </r>
  <r>
    <n v="66"/>
    <s v="C"/>
    <x v="1"/>
    <n v="0"/>
    <n v="3"/>
    <n v="0"/>
    <n v="0"/>
    <s v="C"/>
  </r>
  <r>
    <n v="67"/>
    <s v="C"/>
    <x v="2"/>
    <n v="0"/>
    <n v="4"/>
    <n v="0"/>
    <n v="1"/>
    <s v="C"/>
  </r>
  <r>
    <n v="68"/>
    <s v="C"/>
    <x v="2"/>
    <n v="0"/>
    <n v="5"/>
    <n v="0"/>
    <n v="0"/>
    <s v="C"/>
  </r>
  <r>
    <n v="69"/>
    <s v="C"/>
    <x v="2"/>
    <n v="0"/>
    <n v="6"/>
    <n v="0"/>
    <n v="0"/>
    <s v="C"/>
  </r>
  <r>
    <n v="70"/>
    <s v="C"/>
    <x v="3"/>
    <n v="0"/>
    <n v="7"/>
    <n v="0"/>
    <n v="0"/>
    <s v="C"/>
  </r>
  <r>
    <n v="71"/>
    <s v="C"/>
    <x v="3"/>
    <n v="0"/>
    <n v="8"/>
    <n v="0"/>
    <n v="0"/>
    <s v="C"/>
  </r>
  <r>
    <n v="72"/>
    <s v="C"/>
    <x v="3"/>
    <n v="0"/>
    <n v="9"/>
    <n v="0"/>
    <n v="0"/>
    <s v="C"/>
  </r>
  <r>
    <n v="73"/>
    <s v="C"/>
    <x v="4"/>
    <n v="0"/>
    <n v="10"/>
    <n v="0"/>
    <n v="0"/>
    <s v="C"/>
  </r>
  <r>
    <n v="74"/>
    <s v="C"/>
    <x v="4"/>
    <n v="0"/>
    <n v="11"/>
    <n v="0"/>
    <n v="0"/>
    <s v="C"/>
  </r>
  <r>
    <n v="75"/>
    <s v="C"/>
    <x v="4"/>
    <n v="0"/>
    <n v="12"/>
    <n v="0"/>
    <n v="0"/>
    <s v="C"/>
  </r>
  <r>
    <n v="76"/>
    <s v="C"/>
    <x v="5"/>
    <n v="0"/>
    <n v="13"/>
    <n v="0"/>
    <n v="0"/>
    <s v="C"/>
  </r>
  <r>
    <n v="77"/>
    <n v="0"/>
    <x v="0"/>
    <n v="1"/>
    <n v="1"/>
    <n v="0"/>
    <n v="0"/>
    <s v="C"/>
  </r>
  <r>
    <n v="78"/>
    <s v="C"/>
    <x v="1"/>
    <n v="0"/>
    <n v="1"/>
    <n v="1"/>
    <n v="0"/>
    <s v="C"/>
  </r>
  <r>
    <n v="79"/>
    <s v="C"/>
    <x v="1"/>
    <n v="0"/>
    <n v="2"/>
    <n v="0"/>
    <n v="0"/>
    <s v="C"/>
  </r>
  <r>
    <n v="80"/>
    <s v="C"/>
    <x v="1"/>
    <n v="0"/>
    <n v="3"/>
    <n v="0"/>
    <n v="0"/>
    <s v="C"/>
  </r>
  <r>
    <n v="81"/>
    <s v="C"/>
    <x v="2"/>
    <n v="0"/>
    <n v="4"/>
    <n v="0"/>
    <n v="1"/>
    <s v="C"/>
  </r>
  <r>
    <n v="82"/>
    <s v="C"/>
    <x v="2"/>
    <n v="0"/>
    <n v="5"/>
    <n v="0"/>
    <n v="0"/>
    <s v="S"/>
  </r>
  <r>
    <n v="83"/>
    <s v="C"/>
    <x v="2"/>
    <n v="0"/>
    <n v="6"/>
    <n v="0"/>
    <n v="0"/>
    <s v="S"/>
  </r>
  <r>
    <n v="84"/>
    <s v="C"/>
    <x v="3"/>
    <n v="0"/>
    <n v="7"/>
    <n v="0"/>
    <n v="0"/>
    <s v="S"/>
  </r>
  <r>
    <n v="85"/>
    <s v="C"/>
    <x v="3"/>
    <n v="0"/>
    <n v="8"/>
    <n v="0"/>
    <n v="0"/>
    <s v="S"/>
  </r>
  <r>
    <n v="86"/>
    <s v="C"/>
    <x v="3"/>
    <n v="0"/>
    <n v="9"/>
    <n v="0"/>
    <n v="0"/>
    <s v="S"/>
  </r>
  <r>
    <n v="87"/>
    <s v="C"/>
    <x v="4"/>
    <n v="0"/>
    <n v="10"/>
    <n v="0"/>
    <n v="0"/>
    <s v="S"/>
  </r>
  <r>
    <n v="88"/>
    <s v="C"/>
    <x v="4"/>
    <n v="0"/>
    <n v="11"/>
    <n v="0"/>
    <n v="0"/>
    <s v="S"/>
  </r>
  <r>
    <n v="89"/>
    <s v="C"/>
    <x v="4"/>
    <n v="0"/>
    <n v="12"/>
    <n v="0"/>
    <n v="0"/>
    <s v="S"/>
  </r>
  <r>
    <n v="90"/>
    <s v="C"/>
    <x v="5"/>
    <n v="0"/>
    <n v="13"/>
    <n v="0"/>
    <n v="0"/>
    <s v="C"/>
  </r>
  <r>
    <n v="91"/>
    <s v="C"/>
    <x v="5"/>
    <n v="0"/>
    <n v="14"/>
    <n v="0"/>
    <n v="0"/>
    <s v="C"/>
  </r>
  <r>
    <n v="92"/>
    <n v="0"/>
    <x v="0"/>
    <n v="1"/>
    <n v="1"/>
    <n v="0"/>
    <n v="0"/>
    <s v="C"/>
  </r>
  <r>
    <n v="93"/>
    <s v="S"/>
    <x v="1"/>
    <n v="0"/>
    <n v="1"/>
    <n v="1"/>
    <n v="0"/>
    <s v="S"/>
  </r>
  <r>
    <n v="94"/>
    <s v="S"/>
    <x v="1"/>
    <n v="0"/>
    <n v="2"/>
    <n v="0"/>
    <n v="0"/>
    <s v="S"/>
  </r>
  <r>
    <n v="95"/>
    <s v="S"/>
    <x v="1"/>
    <n v="0"/>
    <n v="3"/>
    <n v="0"/>
    <n v="0"/>
    <s v="S"/>
  </r>
  <r>
    <n v="96"/>
    <s v="S"/>
    <x v="2"/>
    <n v="0"/>
    <n v="4"/>
    <n v="0"/>
    <n v="1"/>
    <s v="S"/>
  </r>
  <r>
    <n v="97"/>
    <s v="S"/>
    <x v="2"/>
    <n v="0"/>
    <n v="5"/>
    <n v="0"/>
    <n v="0"/>
    <s v="S"/>
  </r>
  <r>
    <n v="98"/>
    <s v="S"/>
    <x v="2"/>
    <n v="0"/>
    <n v="6"/>
    <n v="0"/>
    <n v="0"/>
    <s v="S"/>
  </r>
  <r>
    <n v="99"/>
    <s v="S"/>
    <x v="3"/>
    <n v="0"/>
    <n v="7"/>
    <n v="0"/>
    <n v="0"/>
    <s v="C"/>
  </r>
  <r>
    <n v="100"/>
    <s v="S"/>
    <x v="3"/>
    <n v="0"/>
    <n v="8"/>
    <n v="0"/>
    <n v="0"/>
    <s v="C"/>
  </r>
  <r>
    <n v="101"/>
    <s v="S"/>
    <x v="3"/>
    <n v="0"/>
    <n v="9"/>
    <n v="0"/>
    <n v="0"/>
    <s v="C"/>
  </r>
  <r>
    <n v="102"/>
    <s v="S"/>
    <x v="4"/>
    <n v="0"/>
    <n v="10"/>
    <n v="0"/>
    <n v="0"/>
    <s v="C"/>
  </r>
  <r>
    <n v="103"/>
    <s v="S"/>
    <x v="4"/>
    <n v="0"/>
    <n v="11"/>
    <n v="0"/>
    <n v="0"/>
    <s v="C"/>
  </r>
  <r>
    <n v="104"/>
    <s v="S"/>
    <x v="4"/>
    <n v="0"/>
    <n v="12"/>
    <n v="0"/>
    <n v="0"/>
    <s v="C"/>
  </r>
  <r>
    <n v="105"/>
    <s v="S"/>
    <x v="5"/>
    <n v="0"/>
    <n v="13"/>
    <n v="0"/>
    <n v="0"/>
    <s v="C"/>
  </r>
  <r>
    <n v="106"/>
    <n v="0"/>
    <x v="0"/>
    <n v="1"/>
    <n v="1"/>
    <n v="0"/>
    <n v="0"/>
    <s v="C"/>
  </r>
  <r>
    <n v="107"/>
    <s v="C"/>
    <x v="1"/>
    <n v="0"/>
    <n v="1"/>
    <n v="1"/>
    <n v="0"/>
    <s v="C"/>
  </r>
  <r>
    <n v="108"/>
    <s v="C"/>
    <x v="1"/>
    <n v="0"/>
    <n v="2"/>
    <n v="0"/>
    <n v="0"/>
    <s v="C"/>
  </r>
  <r>
    <n v="109"/>
    <s v="C"/>
    <x v="1"/>
    <n v="0"/>
    <n v="3"/>
    <n v="0"/>
    <n v="0"/>
    <s v="C"/>
  </r>
  <r>
    <n v="110"/>
    <s v="C"/>
    <x v="2"/>
    <n v="0"/>
    <n v="4"/>
    <n v="0"/>
    <n v="1"/>
    <s v="C"/>
  </r>
  <r>
    <n v="111"/>
    <s v="C"/>
    <x v="2"/>
    <n v="0"/>
    <n v="5"/>
    <n v="0"/>
    <n v="0"/>
    <s v="C"/>
  </r>
  <r>
    <n v="112"/>
    <s v="C"/>
    <x v="2"/>
    <n v="0"/>
    <n v="6"/>
    <n v="0"/>
    <n v="0"/>
    <s v="C"/>
  </r>
  <r>
    <n v="113"/>
    <s v="C"/>
    <x v="3"/>
    <n v="0"/>
    <n v="7"/>
    <n v="0"/>
    <n v="0"/>
    <s v="C"/>
  </r>
  <r>
    <n v="114"/>
    <s v="C"/>
    <x v="3"/>
    <n v="0"/>
    <n v="8"/>
    <n v="0"/>
    <n v="0"/>
    <s v="C"/>
  </r>
  <r>
    <n v="115"/>
    <s v="C"/>
    <x v="3"/>
    <n v="0"/>
    <n v="9"/>
    <n v="0"/>
    <n v="0"/>
    <s v="C"/>
  </r>
  <r>
    <n v="116"/>
    <s v="C"/>
    <x v="4"/>
    <n v="0"/>
    <n v="10"/>
    <n v="0"/>
    <n v="0"/>
    <s v="C"/>
  </r>
  <r>
    <n v="117"/>
    <s v="C"/>
    <x v="4"/>
    <n v="0"/>
    <n v="11"/>
    <n v="0"/>
    <n v="0"/>
    <s v="C"/>
  </r>
  <r>
    <n v="118"/>
    <s v="C"/>
    <x v="4"/>
    <n v="0"/>
    <n v="12"/>
    <n v="0"/>
    <n v="0"/>
    <s v="C"/>
  </r>
  <r>
    <n v="119"/>
    <s v="C"/>
    <x v="5"/>
    <n v="0"/>
    <n v="13"/>
    <n v="0"/>
    <n v="0"/>
    <s v="C"/>
  </r>
  <r>
    <n v="120"/>
    <n v="0"/>
    <x v="0"/>
    <n v="1"/>
    <n v="1"/>
    <n v="0"/>
    <n v="0"/>
    <s v="C"/>
  </r>
  <r>
    <n v="121"/>
    <s v="C"/>
    <x v="1"/>
    <n v="0"/>
    <n v="1"/>
    <n v="1"/>
    <n v="0"/>
    <s v="C"/>
  </r>
  <r>
    <n v="122"/>
    <s v="C"/>
    <x v="1"/>
    <n v="0"/>
    <n v="2"/>
    <n v="0"/>
    <n v="0"/>
    <s v="C"/>
  </r>
  <r>
    <n v="123"/>
    <s v="C"/>
    <x v="1"/>
    <n v="0"/>
    <n v="3"/>
    <n v="0"/>
    <n v="0"/>
    <s v="C"/>
  </r>
  <r>
    <n v="124"/>
    <s v="C"/>
    <x v="2"/>
    <n v="0"/>
    <n v="4"/>
    <n v="0"/>
    <n v="1"/>
    <s v="C"/>
  </r>
  <r>
    <n v="125"/>
    <s v="C"/>
    <x v="2"/>
    <n v="0"/>
    <n v="5"/>
    <n v="0"/>
    <n v="0"/>
    <s v="C"/>
  </r>
  <r>
    <n v="126"/>
    <s v="C"/>
    <x v="2"/>
    <n v="0"/>
    <n v="6"/>
    <n v="0"/>
    <n v="0"/>
    <s v="C"/>
  </r>
  <r>
    <n v="127"/>
    <s v="C"/>
    <x v="3"/>
    <n v="0"/>
    <n v="7"/>
    <n v="0"/>
    <n v="0"/>
    <s v="C"/>
  </r>
  <r>
    <n v="128"/>
    <s v="C"/>
    <x v="3"/>
    <n v="0"/>
    <n v="8"/>
    <n v="0"/>
    <n v="0"/>
    <s v="S"/>
  </r>
  <r>
    <n v="129"/>
    <s v="C"/>
    <x v="3"/>
    <n v="0"/>
    <n v="9"/>
    <n v="0"/>
    <n v="0"/>
    <s v="S"/>
  </r>
  <r>
    <n v="130"/>
    <s v="C"/>
    <x v="4"/>
    <n v="0"/>
    <n v="10"/>
    <n v="0"/>
    <n v="0"/>
    <s v="S"/>
  </r>
  <r>
    <n v="131"/>
    <s v="C"/>
    <x v="4"/>
    <n v="0"/>
    <n v="11"/>
    <n v="0"/>
    <n v="0"/>
    <s v="S"/>
  </r>
  <r>
    <n v="132"/>
    <s v="C"/>
    <x v="4"/>
    <n v="0"/>
    <n v="12"/>
    <n v="0"/>
    <n v="0"/>
    <s v="S"/>
  </r>
  <r>
    <n v="133"/>
    <s v="C"/>
    <x v="5"/>
    <n v="0"/>
    <n v="13"/>
    <n v="0"/>
    <n v="0"/>
    <s v="S"/>
  </r>
  <r>
    <n v="134"/>
    <s v="C"/>
    <x v="5"/>
    <n v="0"/>
    <n v="14"/>
    <n v="0"/>
    <n v="0"/>
    <s v="C"/>
  </r>
  <r>
    <n v="135"/>
    <n v="0"/>
    <x v="0"/>
    <n v="1"/>
    <n v="1"/>
    <n v="0"/>
    <n v="0"/>
    <s v="C"/>
  </r>
  <r>
    <n v="136"/>
    <s v="S"/>
    <x v="1"/>
    <n v="0"/>
    <n v="1"/>
    <n v="1"/>
    <n v="0"/>
    <s v="S"/>
  </r>
  <r>
    <n v="137"/>
    <s v="S"/>
    <x v="1"/>
    <n v="0"/>
    <n v="2"/>
    <n v="0"/>
    <n v="0"/>
    <s v="S"/>
  </r>
  <r>
    <n v="138"/>
    <s v="S"/>
    <x v="1"/>
    <n v="0"/>
    <n v="3"/>
    <n v="0"/>
    <n v="0"/>
    <s v="S"/>
  </r>
  <r>
    <n v="139"/>
    <s v="S"/>
    <x v="2"/>
    <n v="0"/>
    <n v="4"/>
    <n v="0"/>
    <n v="1"/>
    <s v="S"/>
  </r>
  <r>
    <n v="140"/>
    <s v="S"/>
    <x v="2"/>
    <n v="0"/>
    <n v="5"/>
    <n v="0"/>
    <n v="0"/>
    <s v="S"/>
  </r>
  <r>
    <n v="141"/>
    <s v="S"/>
    <x v="2"/>
    <n v="0"/>
    <n v="6"/>
    <n v="0"/>
    <n v="0"/>
    <s v="S"/>
  </r>
  <r>
    <n v="142"/>
    <s v="S"/>
    <x v="3"/>
    <n v="0"/>
    <n v="7"/>
    <n v="0"/>
    <n v="0"/>
    <s v="S"/>
  </r>
  <r>
    <n v="143"/>
    <s v="S"/>
    <x v="3"/>
    <n v="0"/>
    <n v="8"/>
    <n v="0"/>
    <n v="0"/>
    <s v="S"/>
  </r>
  <r>
    <n v="144"/>
    <s v="S"/>
    <x v="3"/>
    <n v="0"/>
    <n v="9"/>
    <n v="0"/>
    <n v="0"/>
    <s v="C"/>
  </r>
  <r>
    <n v="145"/>
    <s v="S"/>
    <x v="4"/>
    <n v="0"/>
    <n v="10"/>
    <n v="0"/>
    <n v="0"/>
    <s v="C"/>
  </r>
  <r>
    <n v="146"/>
    <s v="S"/>
    <x v="4"/>
    <n v="0"/>
    <n v="11"/>
    <n v="0"/>
    <n v="0"/>
    <s v="C"/>
  </r>
  <r>
    <n v="147"/>
    <s v="S"/>
    <x v="4"/>
    <n v="0"/>
    <n v="12"/>
    <n v="0"/>
    <n v="0"/>
    <s v="C"/>
  </r>
  <r>
    <n v="148"/>
    <s v="S"/>
    <x v="5"/>
    <n v="0"/>
    <n v="13"/>
    <n v="0"/>
    <n v="0"/>
    <s v="C"/>
  </r>
  <r>
    <n v="149"/>
    <s v="S"/>
    <x v="5"/>
    <n v="0"/>
    <n v="14"/>
    <n v="0"/>
    <n v="0"/>
    <s v="C"/>
  </r>
  <r>
    <n v="150"/>
    <n v="0"/>
    <x v="0"/>
    <n v="1"/>
    <n v="1"/>
    <n v="0"/>
    <n v="0"/>
    <s v="C"/>
  </r>
  <r>
    <n v="151"/>
    <s v="C"/>
    <x v="1"/>
    <n v="0"/>
    <n v="1"/>
    <n v="1"/>
    <n v="0"/>
    <s v="C"/>
  </r>
  <r>
    <n v="152"/>
    <s v="C"/>
    <x v="1"/>
    <n v="0"/>
    <n v="2"/>
    <n v="0"/>
    <n v="0"/>
    <s v="C"/>
  </r>
  <r>
    <n v="153"/>
    <s v="C"/>
    <x v="1"/>
    <n v="0"/>
    <n v="3"/>
    <n v="0"/>
    <n v="0"/>
    <s v="C"/>
  </r>
  <r>
    <n v="154"/>
    <s v="C"/>
    <x v="2"/>
    <n v="0"/>
    <n v="4"/>
    <n v="0"/>
    <n v="1"/>
    <s v="C"/>
  </r>
  <r>
    <n v="155"/>
    <s v="C"/>
    <x v="2"/>
    <n v="0"/>
    <n v="5"/>
    <n v="0"/>
    <n v="0"/>
    <s v="C"/>
  </r>
  <r>
    <n v="156"/>
    <s v="C"/>
    <x v="2"/>
    <n v="0"/>
    <n v="6"/>
    <n v="0"/>
    <n v="0"/>
    <s v="C"/>
  </r>
  <r>
    <n v="157"/>
    <s v="C"/>
    <x v="3"/>
    <n v="0"/>
    <n v="7"/>
    <n v="0"/>
    <n v="0"/>
    <s v="C"/>
  </r>
  <r>
    <n v="158"/>
    <s v="C"/>
    <x v="3"/>
    <n v="0"/>
    <n v="8"/>
    <n v="0"/>
    <n v="0"/>
    <s v="C"/>
  </r>
  <r>
    <n v="159"/>
    <s v="C"/>
    <x v="3"/>
    <n v="0"/>
    <n v="9"/>
    <n v="0"/>
    <n v="0"/>
    <s v="C"/>
  </r>
  <r>
    <n v="160"/>
    <s v="C"/>
    <x v="4"/>
    <n v="0"/>
    <n v="10"/>
    <n v="0"/>
    <n v="0"/>
    <s v="C"/>
  </r>
  <r>
    <n v="161"/>
    <s v="C"/>
    <x v="4"/>
    <n v="0"/>
    <n v="11"/>
    <n v="0"/>
    <n v="0"/>
    <s v="C"/>
  </r>
  <r>
    <n v="162"/>
    <s v="C"/>
    <x v="4"/>
    <n v="0"/>
    <n v="12"/>
    <n v="0"/>
    <n v="0"/>
    <s v="C"/>
  </r>
  <r>
    <n v="163"/>
    <s v="C"/>
    <x v="5"/>
    <n v="0"/>
    <n v="13"/>
    <n v="0"/>
    <n v="0"/>
    <s v="C"/>
  </r>
  <r>
    <n v="164"/>
    <n v="0"/>
    <x v="0"/>
    <n v="1"/>
    <n v="1"/>
    <n v="0"/>
    <n v="0"/>
    <s v="C"/>
  </r>
  <r>
    <n v="165"/>
    <s v="C"/>
    <x v="1"/>
    <n v="0"/>
    <n v="1"/>
    <n v="1"/>
    <n v="0"/>
    <s v="C"/>
  </r>
  <r>
    <n v="166"/>
    <s v="C"/>
    <x v="1"/>
    <n v="0"/>
    <n v="2"/>
    <n v="0"/>
    <n v="0"/>
    <s v="C"/>
  </r>
  <r>
    <n v="167"/>
    <s v="C"/>
    <x v="1"/>
    <n v="0"/>
    <n v="3"/>
    <n v="0"/>
    <n v="0"/>
    <s v="C"/>
  </r>
  <r>
    <n v="168"/>
    <s v="C"/>
    <x v="2"/>
    <n v="0"/>
    <n v="4"/>
    <n v="0"/>
    <n v="1"/>
    <s v="C"/>
  </r>
  <r>
    <n v="169"/>
    <s v="C"/>
    <x v="2"/>
    <n v="0"/>
    <n v="5"/>
    <n v="0"/>
    <n v="0"/>
    <s v="C"/>
  </r>
  <r>
    <n v="170"/>
    <s v="C"/>
    <x v="2"/>
    <n v="0"/>
    <n v="6"/>
    <n v="0"/>
    <n v="0"/>
    <s v="C"/>
  </r>
  <r>
    <n v="171"/>
    <s v="C"/>
    <x v="3"/>
    <n v="0"/>
    <n v="7"/>
    <n v="0"/>
    <n v="0"/>
    <s v="C"/>
  </r>
  <r>
    <n v="172"/>
    <s v="C"/>
    <x v="3"/>
    <n v="0"/>
    <n v="8"/>
    <n v="0"/>
    <n v="0"/>
    <s v="C"/>
  </r>
  <r>
    <n v="173"/>
    <s v="C"/>
    <x v="3"/>
    <n v="0"/>
    <n v="9"/>
    <n v="0"/>
    <n v="0"/>
    <s v="C"/>
  </r>
  <r>
    <n v="174"/>
    <s v="C"/>
    <x v="4"/>
    <n v="0"/>
    <n v="10"/>
    <n v="0"/>
    <n v="0"/>
    <s v="C"/>
  </r>
  <r>
    <n v="175"/>
    <s v="C"/>
    <x v="4"/>
    <n v="0"/>
    <n v="11"/>
    <n v="0"/>
    <n v="0"/>
    <s v="C"/>
  </r>
  <r>
    <n v="176"/>
    <s v="C"/>
    <x v="4"/>
    <n v="0"/>
    <n v="12"/>
    <n v="0"/>
    <n v="0"/>
    <s v="C"/>
  </r>
  <r>
    <n v="177"/>
    <s v="C"/>
    <x v="5"/>
    <n v="0"/>
    <n v="13"/>
    <n v="0"/>
    <n v="0"/>
    <s v="C"/>
  </r>
  <r>
    <n v="178"/>
    <n v="0"/>
    <x v="0"/>
    <n v="1"/>
    <n v="1"/>
    <n v="0"/>
    <n v="0"/>
    <s v="C"/>
  </r>
  <r>
    <n v="179"/>
    <s v="C"/>
    <x v="1"/>
    <n v="0"/>
    <n v="1"/>
    <n v="1"/>
    <n v="0"/>
    <s v="C"/>
  </r>
  <r>
    <n v="180"/>
    <s v="C"/>
    <x v="1"/>
    <n v="0"/>
    <n v="2"/>
    <n v="0"/>
    <n v="0"/>
    <s v="C"/>
  </r>
  <r>
    <n v="181"/>
    <s v="C"/>
    <x v="1"/>
    <n v="0"/>
    <n v="3"/>
    <n v="0"/>
    <n v="0"/>
    <s v="S"/>
  </r>
  <r>
    <n v="182"/>
    <s v="C"/>
    <x v="2"/>
    <n v="0"/>
    <n v="4"/>
    <n v="0"/>
    <n v="1"/>
    <s v="S"/>
  </r>
  <r>
    <n v="183"/>
    <s v="C"/>
    <x v="2"/>
    <n v="0"/>
    <n v="5"/>
    <n v="0"/>
    <n v="0"/>
    <s v="S"/>
  </r>
  <r>
    <n v="184"/>
    <s v="C"/>
    <x v="2"/>
    <n v="0"/>
    <n v="6"/>
    <n v="0"/>
    <n v="0"/>
    <s v="S"/>
  </r>
  <r>
    <n v="185"/>
    <s v="C"/>
    <x v="3"/>
    <n v="0"/>
    <n v="7"/>
    <n v="0"/>
    <n v="0"/>
    <s v="S"/>
  </r>
  <r>
    <n v="186"/>
    <s v="C"/>
    <x v="3"/>
    <n v="0"/>
    <n v="8"/>
    <n v="0"/>
    <n v="0"/>
    <s v="S"/>
  </r>
  <r>
    <n v="187"/>
    <s v="C"/>
    <x v="3"/>
    <n v="0"/>
    <n v="9"/>
    <n v="0"/>
    <n v="0"/>
    <s v="S"/>
  </r>
  <r>
    <n v="188"/>
    <s v="C"/>
    <x v="4"/>
    <n v="0"/>
    <n v="10"/>
    <n v="0"/>
    <n v="0"/>
    <s v="S"/>
  </r>
  <r>
    <n v="189"/>
    <s v="C"/>
    <x v="4"/>
    <n v="0"/>
    <n v="11"/>
    <n v="0"/>
    <n v="0"/>
    <s v="S"/>
  </r>
  <r>
    <n v="190"/>
    <s v="C"/>
    <x v="4"/>
    <n v="0"/>
    <n v="12"/>
    <n v="0"/>
    <n v="0"/>
    <s v="C"/>
  </r>
  <r>
    <n v="191"/>
    <s v="C"/>
    <x v="5"/>
    <n v="0"/>
    <n v="13"/>
    <n v="0"/>
    <n v="0"/>
    <s v="S"/>
  </r>
  <r>
    <n v="192"/>
    <n v="0"/>
    <x v="0"/>
    <n v="1"/>
    <n v="1"/>
    <n v="0"/>
    <n v="0"/>
    <s v="S"/>
  </r>
  <r>
    <n v="193"/>
    <s v="S"/>
    <x v="1"/>
    <n v="0"/>
    <n v="1"/>
    <n v="1"/>
    <n v="0"/>
    <s v="S"/>
  </r>
  <r>
    <n v="194"/>
    <s v="S"/>
    <x v="1"/>
    <n v="0"/>
    <n v="2"/>
    <n v="0"/>
    <n v="0"/>
    <s v="S"/>
  </r>
  <r>
    <n v="195"/>
    <s v="S"/>
    <x v="1"/>
    <n v="0"/>
    <n v="3"/>
    <n v="0"/>
    <n v="0"/>
    <s v="S"/>
  </r>
  <r>
    <n v="196"/>
    <s v="S"/>
    <x v="2"/>
    <n v="0"/>
    <n v="4"/>
    <n v="0"/>
    <n v="1"/>
    <s v="S"/>
  </r>
  <r>
    <n v="197"/>
    <s v="S"/>
    <x v="2"/>
    <n v="0"/>
    <n v="5"/>
    <n v="0"/>
    <n v="0"/>
    <s v="S"/>
  </r>
  <r>
    <n v="198"/>
    <s v="S"/>
    <x v="2"/>
    <n v="0"/>
    <n v="6"/>
    <n v="0"/>
    <n v="0"/>
    <s v="C"/>
  </r>
  <r>
    <n v="199"/>
    <s v="S"/>
    <x v="3"/>
    <n v="0"/>
    <n v="7"/>
    <n v="0"/>
    <n v="0"/>
    <s v="C"/>
  </r>
  <r>
    <n v="200"/>
    <s v="S"/>
    <x v="3"/>
    <n v="0"/>
    <n v="8"/>
    <n v="0"/>
    <n v="0"/>
    <s v="C"/>
  </r>
  <r>
    <n v="201"/>
    <s v="S"/>
    <x v="3"/>
    <n v="0"/>
    <n v="9"/>
    <n v="0"/>
    <n v="0"/>
    <s v="C"/>
  </r>
  <r>
    <n v="202"/>
    <s v="S"/>
    <x v="4"/>
    <n v="0"/>
    <n v="10"/>
    <n v="0"/>
    <n v="0"/>
    <s v="C"/>
  </r>
  <r>
    <n v="203"/>
    <s v="S"/>
    <x v="4"/>
    <n v="0"/>
    <n v="11"/>
    <n v="0"/>
    <n v="0"/>
    <s v="C"/>
  </r>
  <r>
    <n v="204"/>
    <s v="S"/>
    <x v="4"/>
    <n v="0"/>
    <n v="12"/>
    <n v="0"/>
    <n v="0"/>
    <s v="C"/>
  </r>
  <r>
    <n v="205"/>
    <s v="S"/>
    <x v="5"/>
    <n v="0"/>
    <n v="13"/>
    <n v="0"/>
    <n v="0"/>
    <s v="C"/>
  </r>
  <r>
    <n v="206"/>
    <s v="S"/>
    <x v="5"/>
    <n v="0"/>
    <n v="14"/>
    <n v="0"/>
    <n v="0"/>
    <s v="C"/>
  </r>
  <r>
    <n v="207"/>
    <s v="S"/>
    <x v="5"/>
    <n v="0"/>
    <n v="15"/>
    <n v="0"/>
    <n v="0"/>
    <s v="C"/>
  </r>
  <r>
    <n v="208"/>
    <s v="S"/>
    <x v="5"/>
    <n v="0"/>
    <n v="16"/>
    <n v="0"/>
    <n v="0"/>
    <s v="C"/>
  </r>
  <r>
    <n v="209"/>
    <s v="S"/>
    <x v="5"/>
    <n v="0"/>
    <n v="17"/>
    <n v="0"/>
    <n v="0"/>
    <s v="C"/>
  </r>
  <r>
    <n v="210"/>
    <s v="S"/>
    <x v="5"/>
    <n v="0"/>
    <n v="18"/>
    <n v="0"/>
    <n v="0"/>
    <s v="C"/>
  </r>
  <r>
    <n v="211"/>
    <n v="0"/>
    <x v="0"/>
    <n v="1"/>
    <n v="1"/>
    <n v="0"/>
    <n v="0"/>
    <s v="C"/>
  </r>
  <r>
    <n v="212"/>
    <s v="C"/>
    <x v="1"/>
    <n v="0"/>
    <n v="1"/>
    <n v="1"/>
    <n v="0"/>
    <s v="C"/>
  </r>
  <r>
    <n v="213"/>
    <s v="C"/>
    <x v="1"/>
    <n v="0"/>
    <n v="2"/>
    <n v="0"/>
    <n v="0"/>
    <s v="C"/>
  </r>
  <r>
    <n v="214"/>
    <s v="C"/>
    <x v="1"/>
    <n v="0"/>
    <n v="3"/>
    <n v="0"/>
    <n v="0"/>
    <s v="C"/>
  </r>
  <r>
    <n v="215"/>
    <s v="C"/>
    <x v="2"/>
    <n v="0"/>
    <n v="4"/>
    <n v="0"/>
    <n v="1"/>
    <s v="C"/>
  </r>
  <r>
    <n v="216"/>
    <s v="C"/>
    <x v="2"/>
    <n v="0"/>
    <n v="5"/>
    <n v="0"/>
    <n v="0"/>
    <s v="C"/>
  </r>
  <r>
    <n v="217"/>
    <s v="C"/>
    <x v="2"/>
    <n v="0"/>
    <n v="6"/>
    <n v="0"/>
    <n v="0"/>
    <s v="C"/>
  </r>
  <r>
    <n v="218"/>
    <s v="C"/>
    <x v="3"/>
    <n v="0"/>
    <n v="7"/>
    <n v="0"/>
    <n v="0"/>
    <s v="C"/>
  </r>
  <r>
    <n v="219"/>
    <s v="C"/>
    <x v="3"/>
    <n v="0"/>
    <n v="8"/>
    <n v="0"/>
    <n v="0"/>
    <s v="C"/>
  </r>
  <r>
    <n v="220"/>
    <s v="C"/>
    <x v="3"/>
    <n v="0"/>
    <n v="9"/>
    <n v="0"/>
    <n v="0"/>
    <s v="C"/>
  </r>
  <r>
    <n v="221"/>
    <s v="C"/>
    <x v="4"/>
    <n v="0"/>
    <n v="10"/>
    <n v="0"/>
    <n v="0"/>
    <s v="C"/>
  </r>
  <r>
    <n v="222"/>
    <s v="C"/>
    <x v="4"/>
    <n v="0"/>
    <n v="11"/>
    <n v="0"/>
    <n v="0"/>
    <s v="C"/>
  </r>
  <r>
    <n v="223"/>
    <s v="C"/>
    <x v="4"/>
    <n v="0"/>
    <n v="12"/>
    <n v="0"/>
    <n v="0"/>
    <s v="C"/>
  </r>
  <r>
    <n v="224"/>
    <s v="C"/>
    <x v="5"/>
    <n v="0"/>
    <n v="13"/>
    <n v="0"/>
    <n v="0"/>
    <s v="C"/>
  </r>
  <r>
    <n v="225"/>
    <s v="C"/>
    <x v="5"/>
    <n v="0"/>
    <n v="14"/>
    <n v="0"/>
    <n v="0"/>
    <s v="C"/>
  </r>
  <r>
    <n v="226"/>
    <n v="0"/>
    <x v="0"/>
    <n v="1"/>
    <n v="1"/>
    <n v="0"/>
    <n v="0"/>
    <s v="C"/>
  </r>
  <r>
    <n v="227"/>
    <s v="S"/>
    <x v="1"/>
    <n v="0"/>
    <n v="1"/>
    <n v="1"/>
    <n v="0"/>
    <s v="S"/>
  </r>
  <r>
    <n v="228"/>
    <s v="S"/>
    <x v="1"/>
    <n v="0"/>
    <n v="2"/>
    <n v="0"/>
    <n v="0"/>
    <s v="S"/>
  </r>
  <r>
    <n v="229"/>
    <s v="S"/>
    <x v="1"/>
    <n v="0"/>
    <n v="3"/>
    <n v="0"/>
    <n v="0"/>
    <s v="S"/>
  </r>
  <r>
    <n v="230"/>
    <s v="S"/>
    <x v="2"/>
    <n v="0"/>
    <n v="4"/>
    <n v="0"/>
    <n v="1"/>
    <s v="S"/>
  </r>
  <r>
    <n v="231"/>
    <s v="S"/>
    <x v="2"/>
    <n v="0"/>
    <n v="5"/>
    <n v="0"/>
    <n v="0"/>
    <s v="S"/>
  </r>
  <r>
    <n v="232"/>
    <s v="S"/>
    <x v="2"/>
    <n v="0"/>
    <n v="6"/>
    <n v="0"/>
    <n v="0"/>
    <s v="C"/>
  </r>
  <r>
    <n v="233"/>
    <s v="S"/>
    <x v="3"/>
    <n v="0"/>
    <n v="7"/>
    <n v="0"/>
    <n v="0"/>
    <s v="C"/>
  </r>
  <r>
    <n v="234"/>
    <s v="S"/>
    <x v="3"/>
    <n v="0"/>
    <n v="8"/>
    <n v="0"/>
    <n v="0"/>
    <s v="C"/>
  </r>
  <r>
    <n v="235"/>
    <s v="S"/>
    <x v="3"/>
    <n v="0"/>
    <n v="9"/>
    <n v="0"/>
    <n v="0"/>
    <s v="S"/>
  </r>
  <r>
    <n v="236"/>
    <s v="S"/>
    <x v="4"/>
    <n v="0"/>
    <n v="10"/>
    <n v="0"/>
    <n v="0"/>
    <s v="S"/>
  </r>
  <r>
    <n v="237"/>
    <s v="S"/>
    <x v="4"/>
    <n v="0"/>
    <n v="11"/>
    <n v="0"/>
    <n v="0"/>
    <s v="S"/>
  </r>
  <r>
    <n v="238"/>
    <s v="S"/>
    <x v="4"/>
    <n v="0"/>
    <n v="12"/>
    <n v="0"/>
    <n v="0"/>
    <s v="S"/>
  </r>
  <r>
    <n v="239"/>
    <s v="S"/>
    <x v="5"/>
    <n v="0"/>
    <n v="13"/>
    <n v="0"/>
    <n v="0"/>
    <s v="S"/>
  </r>
  <r>
    <n v="240"/>
    <n v="0"/>
    <x v="0"/>
    <n v="1"/>
    <n v="1"/>
    <n v="0"/>
    <n v="0"/>
    <s v="S"/>
  </r>
  <r>
    <n v="241"/>
    <s v="S"/>
    <x v="1"/>
    <n v="0"/>
    <n v="1"/>
    <n v="1"/>
    <n v="0"/>
    <s v="S"/>
  </r>
  <r>
    <n v="242"/>
    <s v="S"/>
    <x v="1"/>
    <n v="0"/>
    <n v="2"/>
    <n v="0"/>
    <n v="0"/>
    <s v="S"/>
  </r>
  <r>
    <n v="243"/>
    <s v="S"/>
    <x v="1"/>
    <n v="0"/>
    <n v="3"/>
    <n v="0"/>
    <n v="0"/>
    <s v="C"/>
  </r>
  <r>
    <n v="244"/>
    <s v="S"/>
    <x v="2"/>
    <n v="0"/>
    <n v="4"/>
    <n v="0"/>
    <n v="1"/>
    <s v="C"/>
  </r>
  <r>
    <n v="245"/>
    <s v="S"/>
    <x v="2"/>
    <n v="0"/>
    <n v="5"/>
    <n v="0"/>
    <n v="0"/>
    <s v="C"/>
  </r>
  <r>
    <n v="246"/>
    <s v="S"/>
    <x v="2"/>
    <n v="0"/>
    <n v="6"/>
    <n v="0"/>
    <n v="0"/>
    <s v="C"/>
  </r>
  <r>
    <n v="247"/>
    <s v="S"/>
    <x v="3"/>
    <n v="0"/>
    <n v="7"/>
    <n v="0"/>
    <n v="0"/>
    <s v="C"/>
  </r>
  <r>
    <n v="248"/>
    <s v="S"/>
    <x v="3"/>
    <n v="0"/>
    <n v="8"/>
    <n v="0"/>
    <n v="0"/>
    <s v="C"/>
  </r>
  <r>
    <n v="249"/>
    <s v="S"/>
    <x v="3"/>
    <n v="0"/>
    <n v="9"/>
    <n v="0"/>
    <n v="0"/>
    <s v="C"/>
  </r>
  <r>
    <n v="250"/>
    <s v="S"/>
    <x v="4"/>
    <n v="0"/>
    <n v="10"/>
    <n v="0"/>
    <n v="0"/>
    <s v="C"/>
  </r>
  <r>
    <n v="251"/>
    <s v="S"/>
    <x v="4"/>
    <n v="0"/>
    <n v="11"/>
    <n v="0"/>
    <n v="0"/>
    <s v="C"/>
  </r>
  <r>
    <n v="252"/>
    <s v="S"/>
    <x v="4"/>
    <n v="0"/>
    <n v="12"/>
    <n v="0"/>
    <n v="0"/>
    <s v="C"/>
  </r>
  <r>
    <n v="253"/>
    <s v="S"/>
    <x v="5"/>
    <n v="0"/>
    <n v="13"/>
    <n v="0"/>
    <n v="0"/>
    <s v="C"/>
  </r>
  <r>
    <n v="254"/>
    <n v="0"/>
    <x v="0"/>
    <n v="1"/>
    <n v="1"/>
    <n v="0"/>
    <n v="0"/>
    <s v="C"/>
  </r>
  <r>
    <n v="255"/>
    <s v="C"/>
    <x v="1"/>
    <n v="0"/>
    <n v="1"/>
    <n v="1"/>
    <n v="0"/>
    <s v="C"/>
  </r>
  <r>
    <n v="256"/>
    <s v="C"/>
    <x v="1"/>
    <n v="0"/>
    <n v="2"/>
    <n v="0"/>
    <n v="0"/>
    <s v="C"/>
  </r>
  <r>
    <n v="257"/>
    <s v="C"/>
    <x v="1"/>
    <n v="0"/>
    <n v="3"/>
    <n v="0"/>
    <n v="0"/>
    <s v="C"/>
  </r>
  <r>
    <n v="258"/>
    <s v="C"/>
    <x v="2"/>
    <n v="0"/>
    <n v="4"/>
    <n v="0"/>
    <n v="1"/>
    <s v="C"/>
  </r>
  <r>
    <n v="259"/>
    <s v="C"/>
    <x v="2"/>
    <n v="0"/>
    <n v="5"/>
    <n v="0"/>
    <n v="0"/>
    <s v="C"/>
  </r>
  <r>
    <n v="260"/>
    <s v="C"/>
    <x v="2"/>
    <n v="0"/>
    <n v="6"/>
    <n v="0"/>
    <n v="0"/>
    <s v="C"/>
  </r>
  <r>
    <n v="261"/>
    <s v="C"/>
    <x v="3"/>
    <n v="0"/>
    <n v="7"/>
    <n v="0"/>
    <n v="0"/>
    <s v="C"/>
  </r>
  <r>
    <n v="262"/>
    <s v="C"/>
    <x v="3"/>
    <n v="0"/>
    <n v="8"/>
    <n v="0"/>
    <n v="0"/>
    <s v="C"/>
  </r>
  <r>
    <n v="263"/>
    <s v="C"/>
    <x v="3"/>
    <n v="0"/>
    <n v="9"/>
    <n v="0"/>
    <n v="0"/>
    <s v="C"/>
  </r>
  <r>
    <n v="264"/>
    <s v="C"/>
    <x v="4"/>
    <n v="0"/>
    <n v="10"/>
    <n v="0"/>
    <n v="0"/>
    <s v="C"/>
  </r>
  <r>
    <n v="265"/>
    <s v="C"/>
    <x v="4"/>
    <n v="0"/>
    <n v="11"/>
    <n v="0"/>
    <n v="0"/>
    <s v="C"/>
  </r>
  <r>
    <n v="266"/>
    <s v="C"/>
    <x v="4"/>
    <n v="0"/>
    <n v="12"/>
    <n v="0"/>
    <n v="0"/>
    <s v="C"/>
  </r>
  <r>
    <n v="267"/>
    <s v="C"/>
    <x v="5"/>
    <n v="0"/>
    <n v="13"/>
    <n v="0"/>
    <n v="0"/>
    <s v="C"/>
  </r>
  <r>
    <n v="268"/>
    <n v="0"/>
    <x v="0"/>
    <n v="1"/>
    <n v="1"/>
    <n v="0"/>
    <n v="0"/>
    <s v="C"/>
  </r>
  <r>
    <n v="269"/>
    <s v="C"/>
    <x v="1"/>
    <n v="0"/>
    <n v="1"/>
    <n v="1"/>
    <n v="0"/>
    <s v="C"/>
  </r>
  <r>
    <n v="270"/>
    <s v="C"/>
    <x v="1"/>
    <n v="0"/>
    <n v="2"/>
    <n v="0"/>
    <n v="0"/>
    <s v="C"/>
  </r>
  <r>
    <n v="271"/>
    <s v="C"/>
    <x v="1"/>
    <n v="0"/>
    <n v="3"/>
    <n v="0"/>
    <n v="0"/>
    <s v="C"/>
  </r>
  <r>
    <n v="272"/>
    <s v="C"/>
    <x v="2"/>
    <n v="0"/>
    <n v="4"/>
    <n v="0"/>
    <n v="1"/>
    <s v="C"/>
  </r>
  <r>
    <n v="273"/>
    <s v="C"/>
    <x v="2"/>
    <n v="0"/>
    <n v="5"/>
    <n v="0"/>
    <n v="0"/>
    <s v="C"/>
  </r>
  <r>
    <n v="274"/>
    <s v="C"/>
    <x v="2"/>
    <n v="0"/>
    <n v="6"/>
    <n v="0"/>
    <n v="0"/>
    <s v="C"/>
  </r>
  <r>
    <n v="275"/>
    <s v="C"/>
    <x v="3"/>
    <n v="0"/>
    <n v="7"/>
    <n v="0"/>
    <n v="0"/>
    <s v="C"/>
  </r>
  <r>
    <n v="276"/>
    <s v="C"/>
    <x v="3"/>
    <n v="0"/>
    <n v="8"/>
    <n v="0"/>
    <n v="0"/>
    <s v="C"/>
  </r>
  <r>
    <n v="277"/>
    <s v="C"/>
    <x v="3"/>
    <n v="0"/>
    <n v="9"/>
    <n v="0"/>
    <n v="0"/>
    <s v="C"/>
  </r>
  <r>
    <n v="278"/>
    <s v="C"/>
    <x v="4"/>
    <n v="0"/>
    <n v="10"/>
    <n v="0"/>
    <n v="0"/>
    <s v="C"/>
  </r>
  <r>
    <n v="279"/>
    <s v="C"/>
    <x v="4"/>
    <n v="0"/>
    <n v="11"/>
    <n v="0"/>
    <n v="0"/>
    <s v="C"/>
  </r>
  <r>
    <n v="280"/>
    <s v="C"/>
    <x v="4"/>
    <n v="0"/>
    <n v="12"/>
    <n v="0"/>
    <n v="0"/>
    <s v="C"/>
  </r>
  <r>
    <n v="281"/>
    <s v="C"/>
    <x v="5"/>
    <n v="0"/>
    <n v="13"/>
    <n v="0"/>
    <n v="0"/>
    <s v="S"/>
  </r>
  <r>
    <n v="282"/>
    <s v="C"/>
    <x v="5"/>
    <n v="0"/>
    <n v="14"/>
    <n v="0"/>
    <n v="0"/>
    <s v="S"/>
  </r>
  <r>
    <n v="283"/>
    <s v="C"/>
    <x v="5"/>
    <n v="0"/>
    <n v="15"/>
    <n v="0"/>
    <n v="0"/>
    <s v="S"/>
  </r>
  <r>
    <n v="284"/>
    <s v="C"/>
    <x v="5"/>
    <n v="0"/>
    <n v="16"/>
    <n v="0"/>
    <n v="0"/>
    <s v="S"/>
  </r>
  <r>
    <n v="285"/>
    <n v="0"/>
    <x v="0"/>
    <n v="1"/>
    <n v="1"/>
    <n v="0"/>
    <n v="0"/>
    <s v="S"/>
  </r>
  <r>
    <n v="286"/>
    <s v="S"/>
    <x v="1"/>
    <n v="0"/>
    <n v="1"/>
    <n v="1"/>
    <n v="0"/>
    <s v="S"/>
  </r>
  <r>
    <n v="287"/>
    <s v="S"/>
    <x v="1"/>
    <n v="0"/>
    <n v="2"/>
    <n v="0"/>
    <n v="0"/>
    <s v="S"/>
  </r>
  <r>
    <n v="288"/>
    <s v="S"/>
    <x v="1"/>
    <n v="0"/>
    <n v="3"/>
    <n v="0"/>
    <n v="0"/>
    <s v="S"/>
  </r>
  <r>
    <n v="289"/>
    <s v="S"/>
    <x v="2"/>
    <n v="0"/>
    <n v="4"/>
    <n v="0"/>
    <n v="1"/>
    <s v="C"/>
  </r>
  <r>
    <n v="290"/>
    <s v="S"/>
    <x v="2"/>
    <n v="0"/>
    <n v="5"/>
    <n v="0"/>
    <n v="0"/>
    <s v="S"/>
  </r>
  <r>
    <n v="291"/>
    <s v="S"/>
    <x v="2"/>
    <n v="0"/>
    <n v="6"/>
    <n v="0"/>
    <n v="0"/>
    <s v="S"/>
  </r>
  <r>
    <n v="292"/>
    <s v="S"/>
    <x v="3"/>
    <n v="0"/>
    <n v="7"/>
    <n v="0"/>
    <n v="0"/>
    <s v="S"/>
  </r>
  <r>
    <n v="293"/>
    <s v="S"/>
    <x v="3"/>
    <n v="0"/>
    <n v="8"/>
    <n v="0"/>
    <n v="0"/>
    <s v="S"/>
  </r>
  <r>
    <n v="294"/>
    <s v="S"/>
    <x v="3"/>
    <n v="0"/>
    <n v="9"/>
    <n v="0"/>
    <n v="0"/>
    <s v="S"/>
  </r>
  <r>
    <n v="295"/>
    <s v="S"/>
    <x v="4"/>
    <n v="0"/>
    <n v="10"/>
    <n v="0"/>
    <n v="0"/>
    <s v="S"/>
  </r>
  <r>
    <n v="296"/>
    <s v="S"/>
    <x v="4"/>
    <n v="0"/>
    <n v="11"/>
    <n v="0"/>
    <n v="0"/>
    <s v="S"/>
  </r>
  <r>
    <n v="297"/>
    <s v="S"/>
    <x v="4"/>
    <n v="0"/>
    <n v="12"/>
    <n v="0"/>
    <n v="0"/>
    <s v="C"/>
  </r>
  <r>
    <n v="298"/>
    <s v="S"/>
    <x v="5"/>
    <n v="0"/>
    <n v="13"/>
    <n v="0"/>
    <n v="0"/>
    <s v="C"/>
  </r>
  <r>
    <n v="299"/>
    <n v="0"/>
    <x v="0"/>
    <n v="1"/>
    <n v="1"/>
    <n v="0"/>
    <n v="0"/>
    <s v="C"/>
  </r>
  <r>
    <n v="300"/>
    <s v="C"/>
    <x v="1"/>
    <n v="0"/>
    <n v="1"/>
    <n v="1"/>
    <n v="0"/>
    <s v="C"/>
  </r>
  <r>
    <n v="301"/>
    <s v="C"/>
    <x v="1"/>
    <n v="0"/>
    <n v="2"/>
    <n v="0"/>
    <n v="0"/>
    <s v="C"/>
  </r>
  <r>
    <n v="302"/>
    <s v="C"/>
    <x v="1"/>
    <n v="0"/>
    <n v="3"/>
    <n v="0"/>
    <n v="0"/>
    <s v="C"/>
  </r>
  <r>
    <n v="303"/>
    <s v="C"/>
    <x v="2"/>
    <n v="0"/>
    <n v="4"/>
    <n v="0"/>
    <n v="1"/>
    <s v="C"/>
  </r>
  <r>
    <n v="304"/>
    <s v="C"/>
    <x v="2"/>
    <n v="0"/>
    <n v="5"/>
    <n v="0"/>
    <n v="0"/>
    <s v="C"/>
  </r>
  <r>
    <n v="305"/>
    <s v="C"/>
    <x v="2"/>
    <n v="0"/>
    <n v="6"/>
    <n v="0"/>
    <n v="0"/>
    <s v="C"/>
  </r>
  <r>
    <n v="306"/>
    <s v="C"/>
    <x v="3"/>
    <n v="0"/>
    <n v="7"/>
    <n v="0"/>
    <n v="0"/>
    <s v="C"/>
  </r>
  <r>
    <n v="307"/>
    <s v="C"/>
    <x v="3"/>
    <n v="0"/>
    <n v="8"/>
    <n v="0"/>
    <n v="0"/>
    <s v="C"/>
  </r>
  <r>
    <n v="308"/>
    <s v="C"/>
    <x v="3"/>
    <n v="0"/>
    <n v="9"/>
    <n v="0"/>
    <n v="0"/>
    <s v="C"/>
  </r>
  <r>
    <n v="309"/>
    <s v="C"/>
    <x v="4"/>
    <n v="0"/>
    <n v="10"/>
    <n v="0"/>
    <n v="0"/>
    <s v="C"/>
  </r>
  <r>
    <n v="310"/>
    <s v="C"/>
    <x v="4"/>
    <n v="0"/>
    <n v="11"/>
    <n v="0"/>
    <n v="0"/>
    <s v="C"/>
  </r>
  <r>
    <n v="311"/>
    <s v="C"/>
    <x v="4"/>
    <n v="0"/>
    <n v="12"/>
    <n v="0"/>
    <n v="0"/>
    <s v="C"/>
  </r>
  <r>
    <n v="312"/>
    <s v="C"/>
    <x v="5"/>
    <n v="0"/>
    <n v="13"/>
    <n v="0"/>
    <n v="0"/>
    <s v="C"/>
  </r>
  <r>
    <n v="313"/>
    <n v="0"/>
    <x v="0"/>
    <n v="1"/>
    <n v="1"/>
    <n v="0"/>
    <n v="0"/>
    <s v="C"/>
  </r>
  <r>
    <n v="314"/>
    <s v="C"/>
    <x v="1"/>
    <n v="0"/>
    <n v="1"/>
    <n v="1"/>
    <n v="0"/>
    <s v="C"/>
  </r>
  <r>
    <n v="315"/>
    <s v="C"/>
    <x v="1"/>
    <n v="0"/>
    <n v="2"/>
    <n v="0"/>
    <n v="0"/>
    <s v="C"/>
  </r>
  <r>
    <n v="316"/>
    <s v="C"/>
    <x v="1"/>
    <n v="0"/>
    <n v="3"/>
    <n v="0"/>
    <n v="0"/>
    <s v="C"/>
  </r>
  <r>
    <n v="317"/>
    <s v="C"/>
    <x v="2"/>
    <n v="0"/>
    <n v="4"/>
    <n v="0"/>
    <n v="1"/>
    <s v="C"/>
  </r>
  <r>
    <n v="318"/>
    <s v="C"/>
    <x v="2"/>
    <n v="0"/>
    <n v="5"/>
    <n v="0"/>
    <n v="0"/>
    <s v="C"/>
  </r>
  <r>
    <n v="319"/>
    <s v="C"/>
    <x v="2"/>
    <n v="0"/>
    <n v="6"/>
    <n v="0"/>
    <n v="0"/>
    <s v="C"/>
  </r>
  <r>
    <n v="320"/>
    <s v="C"/>
    <x v="3"/>
    <n v="0"/>
    <n v="7"/>
    <n v="0"/>
    <n v="0"/>
    <s v="C"/>
  </r>
  <r>
    <n v="321"/>
    <s v="C"/>
    <x v="3"/>
    <n v="0"/>
    <n v="8"/>
    <n v="0"/>
    <n v="0"/>
    <s v="C"/>
  </r>
  <r>
    <n v="322"/>
    <s v="C"/>
    <x v="3"/>
    <n v="0"/>
    <n v="9"/>
    <n v="0"/>
    <n v="0"/>
    <s v="C"/>
  </r>
  <r>
    <n v="323"/>
    <s v="C"/>
    <x v="4"/>
    <n v="0"/>
    <n v="10"/>
    <n v="0"/>
    <n v="0"/>
    <s v="C"/>
  </r>
  <r>
    <n v="324"/>
    <s v="C"/>
    <x v="4"/>
    <n v="0"/>
    <n v="11"/>
    <n v="0"/>
    <n v="0"/>
    <s v="C"/>
  </r>
  <r>
    <n v="325"/>
    <s v="C"/>
    <x v="4"/>
    <n v="0"/>
    <n v="12"/>
    <n v="0"/>
    <n v="0"/>
    <s v="C"/>
  </r>
  <r>
    <n v="326"/>
    <s v="C"/>
    <x v="5"/>
    <n v="0"/>
    <n v="13"/>
    <n v="0"/>
    <n v="0"/>
    <s v="C"/>
  </r>
  <r>
    <n v="327"/>
    <s v="C"/>
    <x v="5"/>
    <n v="0"/>
    <n v="14"/>
    <n v="0"/>
    <n v="0"/>
    <s v="S"/>
  </r>
  <r>
    <n v="328"/>
    <n v="0"/>
    <x v="0"/>
    <n v="1"/>
    <n v="1"/>
    <n v="0"/>
    <n v="0"/>
    <s v="S"/>
  </r>
  <r>
    <n v="329"/>
    <s v="S"/>
    <x v="1"/>
    <n v="0"/>
    <n v="1"/>
    <n v="1"/>
    <n v="0"/>
    <s v="S"/>
  </r>
  <r>
    <n v="330"/>
    <s v="S"/>
    <x v="1"/>
    <n v="0"/>
    <n v="2"/>
    <n v="0"/>
    <n v="0"/>
    <s v="S"/>
  </r>
  <r>
    <n v="331"/>
    <s v="S"/>
    <x v="1"/>
    <n v="0"/>
    <n v="3"/>
    <n v="0"/>
    <n v="0"/>
    <s v="C"/>
  </r>
  <r>
    <n v="332"/>
    <s v="S"/>
    <x v="2"/>
    <n v="0"/>
    <n v="4"/>
    <n v="0"/>
    <n v="1"/>
    <s v="C"/>
  </r>
  <r>
    <n v="333"/>
    <s v="S"/>
    <x v="2"/>
    <n v="0"/>
    <n v="5"/>
    <n v="0"/>
    <n v="0"/>
    <s v="C"/>
  </r>
  <r>
    <n v="334"/>
    <s v="S"/>
    <x v="2"/>
    <n v="0"/>
    <n v="6"/>
    <n v="0"/>
    <n v="0"/>
    <s v="S"/>
  </r>
  <r>
    <n v="335"/>
    <s v="S"/>
    <x v="3"/>
    <n v="0"/>
    <n v="7"/>
    <n v="0"/>
    <n v="0"/>
    <s v="S"/>
  </r>
  <r>
    <n v="336"/>
    <s v="S"/>
    <x v="3"/>
    <n v="0"/>
    <n v="8"/>
    <n v="0"/>
    <n v="0"/>
    <s v="S"/>
  </r>
  <r>
    <n v="337"/>
    <s v="S"/>
    <x v="3"/>
    <n v="0"/>
    <n v="9"/>
    <n v="0"/>
    <n v="0"/>
    <s v="S"/>
  </r>
  <r>
    <n v="338"/>
    <s v="S"/>
    <x v="4"/>
    <n v="0"/>
    <n v="10"/>
    <n v="0"/>
    <n v="0"/>
    <s v="S"/>
  </r>
  <r>
    <n v="339"/>
    <s v="S"/>
    <x v="4"/>
    <n v="0"/>
    <n v="11"/>
    <n v="0"/>
    <n v="0"/>
    <s v="S"/>
  </r>
  <r>
    <n v="340"/>
    <s v="S"/>
    <x v="4"/>
    <n v="0"/>
    <n v="12"/>
    <n v="0"/>
    <n v="0"/>
    <s v="S"/>
  </r>
  <r>
    <n v="341"/>
    <s v="S"/>
    <x v="5"/>
    <n v="0"/>
    <n v="13"/>
    <n v="0"/>
    <n v="0"/>
    <s v="S"/>
  </r>
  <r>
    <n v="342"/>
    <n v="0"/>
    <x v="0"/>
    <n v="1"/>
    <n v="1"/>
    <n v="0"/>
    <n v="0"/>
    <s v="S"/>
  </r>
  <r>
    <n v="343"/>
    <s v="C"/>
    <x v="1"/>
    <n v="0"/>
    <n v="1"/>
    <n v="1"/>
    <n v="0"/>
    <s v="C"/>
  </r>
  <r>
    <n v="344"/>
    <s v="C"/>
    <x v="1"/>
    <n v="0"/>
    <n v="2"/>
    <n v="0"/>
    <n v="0"/>
    <s v="C"/>
  </r>
  <r>
    <n v="345"/>
    <s v="C"/>
    <x v="1"/>
    <n v="0"/>
    <n v="3"/>
    <n v="0"/>
    <n v="0"/>
    <s v="C"/>
  </r>
  <r>
    <n v="346"/>
    <s v="C"/>
    <x v="2"/>
    <n v="0"/>
    <n v="4"/>
    <n v="0"/>
    <n v="1"/>
    <s v="C"/>
  </r>
  <r>
    <n v="347"/>
    <s v="C"/>
    <x v="2"/>
    <n v="0"/>
    <n v="5"/>
    <n v="0"/>
    <n v="0"/>
    <s v="S"/>
  </r>
  <r>
    <n v="348"/>
    <s v="C"/>
    <x v="2"/>
    <n v="0"/>
    <n v="6"/>
    <n v="0"/>
    <n v="0"/>
    <s v="S"/>
  </r>
  <r>
    <n v="349"/>
    <s v="C"/>
    <x v="3"/>
    <n v="0"/>
    <n v="7"/>
    <n v="0"/>
    <n v="0"/>
    <s v="S"/>
  </r>
  <r>
    <n v="350"/>
    <s v="C"/>
    <x v="3"/>
    <n v="0"/>
    <n v="8"/>
    <n v="0"/>
    <n v="0"/>
    <s v="C"/>
  </r>
  <r>
    <n v="351"/>
    <s v="C"/>
    <x v="3"/>
    <n v="0"/>
    <n v="9"/>
    <n v="0"/>
    <n v="0"/>
    <s v="C"/>
  </r>
  <r>
    <n v="352"/>
    <s v="C"/>
    <x v="4"/>
    <n v="0"/>
    <n v="10"/>
    <n v="0"/>
    <n v="0"/>
    <s v="C"/>
  </r>
  <r>
    <n v="353"/>
    <s v="C"/>
    <x v="4"/>
    <n v="0"/>
    <n v="11"/>
    <n v="0"/>
    <n v="0"/>
    <s v="C"/>
  </r>
  <r>
    <n v="354"/>
    <s v="C"/>
    <x v="4"/>
    <n v="0"/>
    <n v="12"/>
    <n v="0"/>
    <n v="0"/>
    <s v="C"/>
  </r>
  <r>
    <n v="355"/>
    <s v="C"/>
    <x v="5"/>
    <n v="0"/>
    <n v="13"/>
    <n v="0"/>
    <n v="0"/>
    <s v="C"/>
  </r>
  <r>
    <n v="356"/>
    <s v="C"/>
    <x v="5"/>
    <n v="0"/>
    <n v="14"/>
    <n v="0"/>
    <n v="0"/>
    <s v="C"/>
  </r>
  <r>
    <n v="357"/>
    <n v="0"/>
    <x v="0"/>
    <n v="1"/>
    <n v="1"/>
    <n v="0"/>
    <n v="0"/>
    <s v="C"/>
  </r>
  <r>
    <n v="358"/>
    <s v="C"/>
    <x v="1"/>
    <n v="0"/>
    <n v="1"/>
    <n v="1"/>
    <n v="0"/>
    <s v="C"/>
  </r>
  <r>
    <n v="359"/>
    <s v="C"/>
    <x v="1"/>
    <n v="0"/>
    <n v="2"/>
    <n v="0"/>
    <n v="0"/>
    <s v="C"/>
  </r>
  <r>
    <n v="360"/>
    <s v="C"/>
    <x v="1"/>
    <n v="0"/>
    <n v="3"/>
    <n v="0"/>
    <n v="0"/>
    <s v="C"/>
  </r>
  <r>
    <n v="361"/>
    <s v="C"/>
    <x v="2"/>
    <n v="0"/>
    <n v="4"/>
    <n v="0"/>
    <n v="1"/>
    <s v="C"/>
  </r>
  <r>
    <n v="362"/>
    <s v="C"/>
    <x v="2"/>
    <n v="0"/>
    <n v="5"/>
    <n v="0"/>
    <n v="0"/>
    <s v="C"/>
  </r>
  <r>
    <n v="363"/>
    <s v="C"/>
    <x v="2"/>
    <n v="0"/>
    <n v="6"/>
    <n v="0"/>
    <n v="0"/>
    <s v="C"/>
  </r>
  <r>
    <n v="364"/>
    <s v="C"/>
    <x v="3"/>
    <n v="0"/>
    <n v="7"/>
    <n v="0"/>
    <n v="0"/>
    <s v="C"/>
  </r>
  <r>
    <n v="365"/>
    <s v="C"/>
    <x v="3"/>
    <n v="0"/>
    <n v="8"/>
    <n v="0"/>
    <n v="0"/>
    <s v="C"/>
  </r>
  <r>
    <n v="366"/>
    <s v="C"/>
    <x v="3"/>
    <n v="0"/>
    <n v="9"/>
    <n v="0"/>
    <n v="0"/>
    <s v="C"/>
  </r>
  <r>
    <n v="367"/>
    <s v="C"/>
    <x v="4"/>
    <n v="0"/>
    <n v="10"/>
    <n v="0"/>
    <n v="0"/>
    <s v="C"/>
  </r>
  <r>
    <n v="368"/>
    <s v="C"/>
    <x v="4"/>
    <n v="0"/>
    <n v="11"/>
    <n v="0"/>
    <n v="0"/>
    <s v="C"/>
  </r>
  <r>
    <n v="369"/>
    <s v="C"/>
    <x v="4"/>
    <n v="0"/>
    <n v="12"/>
    <n v="0"/>
    <n v="0"/>
    <s v="C"/>
  </r>
  <r>
    <n v="370"/>
    <s v="C"/>
    <x v="5"/>
    <n v="0"/>
    <n v="13"/>
    <n v="0"/>
    <n v="0"/>
    <s v="C"/>
  </r>
  <r>
    <n v="371"/>
    <n v="0"/>
    <x v="0"/>
    <n v="1"/>
    <n v="1"/>
    <n v="0"/>
    <n v="0"/>
    <s v="C"/>
  </r>
  <r>
    <n v="372"/>
    <s v="C"/>
    <x v="1"/>
    <n v="0"/>
    <n v="1"/>
    <n v="1"/>
    <n v="0"/>
    <s v="C"/>
  </r>
  <r>
    <n v="373"/>
    <s v="C"/>
    <x v="1"/>
    <n v="0"/>
    <n v="2"/>
    <n v="0"/>
    <n v="0"/>
    <s v="C"/>
  </r>
  <r>
    <n v="374"/>
    <s v="C"/>
    <x v="1"/>
    <n v="0"/>
    <n v="3"/>
    <n v="0"/>
    <n v="0"/>
    <s v="C"/>
  </r>
  <r>
    <n v="375"/>
    <s v="C"/>
    <x v="2"/>
    <n v="0"/>
    <n v="4"/>
    <n v="0"/>
    <n v="1"/>
    <s v="C"/>
  </r>
  <r>
    <n v="376"/>
    <s v="C"/>
    <x v="2"/>
    <n v="0"/>
    <n v="5"/>
    <n v="0"/>
    <n v="0"/>
    <s v="C"/>
  </r>
  <r>
    <n v="377"/>
    <s v="C"/>
    <x v="2"/>
    <n v="0"/>
    <n v="6"/>
    <n v="0"/>
    <n v="0"/>
    <s v="C"/>
  </r>
  <r>
    <n v="378"/>
    <s v="C"/>
    <x v="3"/>
    <n v="0"/>
    <n v="7"/>
    <n v="0"/>
    <n v="0"/>
    <s v="C"/>
  </r>
  <r>
    <n v="379"/>
    <s v="C"/>
    <x v="3"/>
    <n v="0"/>
    <n v="8"/>
    <n v="0"/>
    <n v="0"/>
    <s v="C"/>
  </r>
  <r>
    <n v="380"/>
    <s v="C"/>
    <x v="3"/>
    <n v="0"/>
    <n v="9"/>
    <n v="0"/>
    <n v="0"/>
    <s v="S"/>
  </r>
  <r>
    <n v="381"/>
    <s v="C"/>
    <x v="4"/>
    <n v="0"/>
    <n v="10"/>
    <n v="0"/>
    <n v="0"/>
    <s v="S"/>
  </r>
  <r>
    <n v="382"/>
    <s v="C"/>
    <x v="4"/>
    <n v="0"/>
    <n v="11"/>
    <n v="0"/>
    <n v="0"/>
    <s v="S"/>
  </r>
  <r>
    <n v="383"/>
    <s v="C"/>
    <x v="4"/>
    <n v="0"/>
    <n v="12"/>
    <n v="0"/>
    <n v="0"/>
    <s v="S"/>
  </r>
  <r>
    <n v="384"/>
    <s v="C"/>
    <x v="5"/>
    <n v="0"/>
    <n v="13"/>
    <n v="0"/>
    <n v="0"/>
    <s v="S"/>
  </r>
  <r>
    <n v="385"/>
    <n v="0"/>
    <x v="0"/>
    <n v="1"/>
    <n v="1"/>
    <n v="0"/>
    <n v="0"/>
    <s v="S"/>
  </r>
  <r>
    <n v="386"/>
    <s v="S"/>
    <x v="1"/>
    <n v="0"/>
    <n v="1"/>
    <n v="1"/>
    <n v="0"/>
    <s v="S"/>
  </r>
  <r>
    <n v="387"/>
    <s v="S"/>
    <x v="1"/>
    <n v="0"/>
    <n v="2"/>
    <n v="0"/>
    <n v="0"/>
    <s v="S"/>
  </r>
  <r>
    <n v="388"/>
    <s v="S"/>
    <x v="1"/>
    <n v="0"/>
    <n v="3"/>
    <n v="0"/>
    <n v="0"/>
    <s v="C"/>
  </r>
  <r>
    <n v="389"/>
    <s v="S"/>
    <x v="2"/>
    <n v="0"/>
    <n v="4"/>
    <n v="0"/>
    <n v="1"/>
    <s v="S"/>
  </r>
  <r>
    <n v="390"/>
    <s v="S"/>
    <x v="2"/>
    <n v="0"/>
    <n v="5"/>
    <n v="0"/>
    <n v="0"/>
    <s v="S"/>
  </r>
  <r>
    <n v="391"/>
    <s v="S"/>
    <x v="2"/>
    <n v="0"/>
    <n v="6"/>
    <n v="0"/>
    <n v="0"/>
    <s v="S"/>
  </r>
  <r>
    <n v="392"/>
    <s v="S"/>
    <x v="3"/>
    <n v="0"/>
    <n v="7"/>
    <n v="0"/>
    <n v="0"/>
    <s v="S"/>
  </r>
  <r>
    <n v="393"/>
    <s v="S"/>
    <x v="3"/>
    <n v="0"/>
    <n v="8"/>
    <n v="0"/>
    <n v="0"/>
    <s v="S"/>
  </r>
  <r>
    <n v="394"/>
    <s v="S"/>
    <x v="3"/>
    <n v="0"/>
    <n v="9"/>
    <n v="0"/>
    <n v="0"/>
    <s v="S"/>
  </r>
  <r>
    <n v="395"/>
    <s v="S"/>
    <x v="4"/>
    <n v="0"/>
    <n v="10"/>
    <n v="0"/>
    <n v="0"/>
    <s v="S"/>
  </r>
  <r>
    <n v="396"/>
    <s v="S"/>
    <x v="4"/>
    <n v="0"/>
    <n v="11"/>
    <n v="0"/>
    <n v="0"/>
    <s v="C"/>
  </r>
  <r>
    <n v="397"/>
    <s v="S"/>
    <x v="4"/>
    <n v="0"/>
    <n v="12"/>
    <n v="0"/>
    <n v="0"/>
    <s v="C"/>
  </r>
  <r>
    <n v="398"/>
    <s v="S"/>
    <x v="5"/>
    <n v="0"/>
    <n v="13"/>
    <n v="0"/>
    <n v="0"/>
    <s v="C"/>
  </r>
  <r>
    <n v="399"/>
    <n v="0"/>
    <x v="0"/>
    <n v="1"/>
    <n v="1"/>
    <n v="0"/>
    <n v="0"/>
    <s v="C"/>
  </r>
  <r>
    <n v="400"/>
    <s v="C"/>
    <x v="1"/>
    <n v="0"/>
    <n v="1"/>
    <n v="1"/>
    <n v="0"/>
    <s v="C"/>
  </r>
  <r>
    <n v="401"/>
    <s v="C"/>
    <x v="1"/>
    <n v="0"/>
    <n v="2"/>
    <n v="0"/>
    <n v="0"/>
    <s v="C"/>
  </r>
  <r>
    <n v="402"/>
    <s v="C"/>
    <x v="1"/>
    <n v="0"/>
    <n v="3"/>
    <n v="0"/>
    <n v="0"/>
    <s v="C"/>
  </r>
  <r>
    <n v="403"/>
    <s v="C"/>
    <x v="2"/>
    <n v="0"/>
    <n v="4"/>
    <n v="0"/>
    <n v="1"/>
    <s v="C"/>
  </r>
  <r>
    <n v="404"/>
    <s v="C"/>
    <x v="2"/>
    <n v="0"/>
    <n v="5"/>
    <n v="0"/>
    <n v="0"/>
    <s v="C"/>
  </r>
  <r>
    <n v="405"/>
    <s v="C"/>
    <x v="2"/>
    <n v="0"/>
    <n v="6"/>
    <n v="0"/>
    <n v="0"/>
    <s v="C"/>
  </r>
  <r>
    <n v="406"/>
    <s v="C"/>
    <x v="3"/>
    <n v="0"/>
    <n v="7"/>
    <n v="0"/>
    <n v="0"/>
    <s v="C"/>
  </r>
  <r>
    <n v="407"/>
    <s v="C"/>
    <x v="3"/>
    <n v="0"/>
    <n v="8"/>
    <n v="0"/>
    <n v="0"/>
    <s v="C"/>
  </r>
  <r>
    <n v="408"/>
    <s v="C"/>
    <x v="3"/>
    <n v="0"/>
    <n v="9"/>
    <n v="0"/>
    <n v="0"/>
    <s v="C"/>
  </r>
  <r>
    <n v="409"/>
    <s v="C"/>
    <x v="4"/>
    <n v="0"/>
    <n v="10"/>
    <n v="0"/>
    <n v="0"/>
    <s v="C"/>
  </r>
  <r>
    <n v="410"/>
    <s v="C"/>
    <x v="4"/>
    <n v="0"/>
    <n v="11"/>
    <n v="0"/>
    <n v="0"/>
    <s v="C"/>
  </r>
  <r>
    <n v="411"/>
    <s v="C"/>
    <x v="4"/>
    <n v="0"/>
    <n v="12"/>
    <n v="0"/>
    <n v="0"/>
    <s v="C"/>
  </r>
  <r>
    <n v="412"/>
    <s v="C"/>
    <x v="5"/>
    <n v="0"/>
    <n v="13"/>
    <n v="0"/>
    <n v="0"/>
    <s v="C"/>
  </r>
  <r>
    <n v="413"/>
    <n v="0"/>
    <x v="0"/>
    <n v="1"/>
    <n v="1"/>
    <n v="0"/>
    <n v="0"/>
    <s v="C"/>
  </r>
  <r>
    <n v="414"/>
    <s v="C"/>
    <x v="1"/>
    <n v="0"/>
    <n v="1"/>
    <n v="1"/>
    <n v="0"/>
    <s v="C"/>
  </r>
  <r>
    <n v="415"/>
    <s v="C"/>
    <x v="1"/>
    <n v="0"/>
    <n v="2"/>
    <n v="0"/>
    <n v="0"/>
    <s v="C"/>
  </r>
  <r>
    <n v="416"/>
    <s v="C"/>
    <x v="1"/>
    <n v="0"/>
    <n v="3"/>
    <n v="0"/>
    <n v="0"/>
    <s v="C"/>
  </r>
  <r>
    <n v="417"/>
    <s v="C"/>
    <x v="2"/>
    <n v="0"/>
    <n v="4"/>
    <n v="0"/>
    <n v="1"/>
    <s v="C"/>
  </r>
  <r>
    <n v="418"/>
    <s v="C"/>
    <x v="2"/>
    <n v="0"/>
    <n v="5"/>
    <n v="0"/>
    <n v="0"/>
    <s v="C"/>
  </r>
  <r>
    <n v="419"/>
    <s v="C"/>
    <x v="2"/>
    <n v="0"/>
    <n v="6"/>
    <n v="0"/>
    <n v="0"/>
    <s v="C"/>
  </r>
  <r>
    <n v="420"/>
    <s v="C"/>
    <x v="3"/>
    <n v="0"/>
    <n v="7"/>
    <n v="0"/>
    <n v="0"/>
    <s v="C"/>
  </r>
  <r>
    <n v="421"/>
    <s v="C"/>
    <x v="3"/>
    <n v="0"/>
    <n v="8"/>
    <n v="0"/>
    <n v="0"/>
    <s v="C"/>
  </r>
  <r>
    <n v="422"/>
    <s v="C"/>
    <x v="3"/>
    <n v="0"/>
    <n v="9"/>
    <n v="0"/>
    <n v="0"/>
    <s v="C"/>
  </r>
  <r>
    <n v="423"/>
    <s v="C"/>
    <x v="4"/>
    <n v="0"/>
    <n v="10"/>
    <n v="0"/>
    <n v="0"/>
    <s v="C"/>
  </r>
  <r>
    <n v="424"/>
    <s v="C"/>
    <x v="4"/>
    <n v="0"/>
    <n v="11"/>
    <n v="0"/>
    <n v="0"/>
    <s v="C"/>
  </r>
  <r>
    <n v="425"/>
    <s v="C"/>
    <x v="4"/>
    <n v="0"/>
    <n v="12"/>
    <n v="0"/>
    <n v="0"/>
    <s v="C"/>
  </r>
  <r>
    <n v="426"/>
    <s v="C"/>
    <x v="5"/>
    <n v="0"/>
    <n v="13"/>
    <n v="0"/>
    <n v="0"/>
    <s v="S"/>
  </r>
  <r>
    <n v="427"/>
    <n v="0"/>
    <x v="0"/>
    <n v="1"/>
    <n v="1"/>
    <n v="0"/>
    <n v="0"/>
    <s v="S"/>
  </r>
  <r>
    <n v="428"/>
    <s v="S"/>
    <x v="1"/>
    <n v="0"/>
    <n v="1"/>
    <n v="1"/>
    <n v="0"/>
    <s v="S"/>
  </r>
  <r>
    <n v="429"/>
    <s v="S"/>
    <x v="1"/>
    <n v="0"/>
    <n v="2"/>
    <n v="0"/>
    <n v="0"/>
    <s v="C"/>
  </r>
  <r>
    <n v="430"/>
    <s v="S"/>
    <x v="1"/>
    <n v="0"/>
    <n v="3"/>
    <n v="0"/>
    <n v="0"/>
    <s v="C"/>
  </r>
  <r>
    <n v="431"/>
    <s v="S"/>
    <x v="2"/>
    <n v="0"/>
    <n v="4"/>
    <n v="0"/>
    <n v="1"/>
    <s v="C"/>
  </r>
  <r>
    <n v="432"/>
    <s v="S"/>
    <x v="2"/>
    <n v="0"/>
    <n v="5"/>
    <n v="0"/>
    <n v="0"/>
    <s v="C"/>
  </r>
  <r>
    <n v="433"/>
    <s v="S"/>
    <x v="2"/>
    <n v="0"/>
    <n v="6"/>
    <n v="0"/>
    <n v="0"/>
    <s v="C"/>
  </r>
  <r>
    <n v="434"/>
    <s v="S"/>
    <x v="3"/>
    <n v="0"/>
    <n v="7"/>
    <n v="0"/>
    <n v="0"/>
    <s v="S"/>
  </r>
  <r>
    <n v="435"/>
    <s v="S"/>
    <x v="3"/>
    <n v="0"/>
    <n v="8"/>
    <n v="0"/>
    <n v="0"/>
    <s v="S"/>
  </r>
  <r>
    <n v="436"/>
    <s v="S"/>
    <x v="3"/>
    <n v="0"/>
    <n v="9"/>
    <n v="0"/>
    <n v="0"/>
    <s v="S"/>
  </r>
  <r>
    <n v="437"/>
    <s v="S"/>
    <x v="4"/>
    <n v="0"/>
    <n v="10"/>
    <n v="0"/>
    <n v="0"/>
    <s v="S"/>
  </r>
  <r>
    <n v="438"/>
    <s v="S"/>
    <x v="4"/>
    <n v="0"/>
    <n v="11"/>
    <n v="0"/>
    <n v="0"/>
    <s v="S"/>
  </r>
  <r>
    <n v="439"/>
    <s v="S"/>
    <x v="4"/>
    <n v="0"/>
    <n v="12"/>
    <n v="0"/>
    <n v="0"/>
    <s v="S"/>
  </r>
  <r>
    <n v="440"/>
    <s v="S"/>
    <x v="5"/>
    <n v="0"/>
    <n v="13"/>
    <n v="0"/>
    <n v="0"/>
    <s v="S"/>
  </r>
  <r>
    <n v="441"/>
    <s v="S"/>
    <x v="5"/>
    <n v="0"/>
    <n v="14"/>
    <n v="0"/>
    <n v="0"/>
    <s v="S"/>
  </r>
  <r>
    <n v="442"/>
    <n v="0"/>
    <x v="0"/>
    <n v="1"/>
    <n v="1"/>
    <n v="0"/>
    <n v="0"/>
    <s v="C"/>
  </r>
  <r>
    <n v="443"/>
    <s v="C"/>
    <x v="1"/>
    <n v="0"/>
    <n v="1"/>
    <n v="1"/>
    <n v="0"/>
    <s v="C"/>
  </r>
  <r>
    <n v="444"/>
    <s v="C"/>
    <x v="1"/>
    <n v="0"/>
    <n v="2"/>
    <n v="0"/>
    <n v="0"/>
    <s v="C"/>
  </r>
  <r>
    <n v="445"/>
    <s v="C"/>
    <x v="1"/>
    <n v="0"/>
    <n v="3"/>
    <n v="0"/>
    <n v="0"/>
    <s v="C"/>
  </r>
  <r>
    <n v="446"/>
    <s v="C"/>
    <x v="2"/>
    <n v="0"/>
    <n v="4"/>
    <n v="0"/>
    <n v="1"/>
    <s v="S"/>
  </r>
  <r>
    <n v="447"/>
    <s v="C"/>
    <x v="2"/>
    <n v="0"/>
    <n v="5"/>
    <n v="0"/>
    <n v="0"/>
    <s v="S"/>
  </r>
  <r>
    <n v="448"/>
    <s v="C"/>
    <x v="2"/>
    <n v="0"/>
    <n v="6"/>
    <n v="0"/>
    <n v="0"/>
    <s v="S"/>
  </r>
  <r>
    <n v="449"/>
    <s v="C"/>
    <x v="3"/>
    <n v="0"/>
    <n v="7"/>
    <n v="0"/>
    <n v="0"/>
    <s v="S"/>
  </r>
  <r>
    <n v="450"/>
    <s v="C"/>
    <x v="3"/>
    <n v="0"/>
    <n v="8"/>
    <n v="0"/>
    <n v="0"/>
    <s v="C"/>
  </r>
  <r>
    <n v="451"/>
    <s v="C"/>
    <x v="3"/>
    <n v="0"/>
    <n v="9"/>
    <n v="0"/>
    <n v="0"/>
    <s v="C"/>
  </r>
  <r>
    <n v="452"/>
    <s v="C"/>
    <x v="4"/>
    <n v="0"/>
    <n v="10"/>
    <n v="0"/>
    <n v="0"/>
    <s v="C"/>
  </r>
  <r>
    <n v="453"/>
    <s v="C"/>
    <x v="4"/>
    <n v="0"/>
    <n v="11"/>
    <n v="0"/>
    <n v="0"/>
    <s v="C"/>
  </r>
  <r>
    <n v="454"/>
    <s v="C"/>
    <x v="4"/>
    <n v="0"/>
    <n v="12"/>
    <n v="0"/>
    <n v="0"/>
    <s v="C"/>
  </r>
  <r>
    <n v="455"/>
    <s v="C"/>
    <x v="5"/>
    <n v="0"/>
    <n v="13"/>
    <n v="0"/>
    <n v="0"/>
    <s v="C"/>
  </r>
  <r>
    <n v="456"/>
    <s v="C"/>
    <x v="5"/>
    <n v="0"/>
    <n v="14"/>
    <n v="0"/>
    <n v="0"/>
    <s v="C"/>
  </r>
  <r>
    <n v="457"/>
    <s v="C"/>
    <x v="5"/>
    <n v="0"/>
    <n v="15"/>
    <n v="0"/>
    <n v="0"/>
    <s v="C"/>
  </r>
  <r>
    <n v="458"/>
    <s v="C"/>
    <x v="5"/>
    <n v="0"/>
    <n v="16"/>
    <n v="0"/>
    <n v="0"/>
    <s v="C"/>
  </r>
  <r>
    <n v="459"/>
    <s v="C"/>
    <x v="5"/>
    <n v="0"/>
    <n v="17"/>
    <n v="0"/>
    <n v="0"/>
    <s v="C"/>
  </r>
  <r>
    <n v="460"/>
    <n v="0"/>
    <x v="0"/>
    <n v="1"/>
    <n v="1"/>
    <n v="0"/>
    <n v="0"/>
    <s v="C"/>
  </r>
  <r>
    <n v="461"/>
    <s v="C"/>
    <x v="1"/>
    <n v="0"/>
    <n v="1"/>
    <n v="1"/>
    <n v="0"/>
    <s v="C"/>
  </r>
  <r>
    <n v="462"/>
    <s v="C"/>
    <x v="1"/>
    <n v="0"/>
    <n v="2"/>
    <n v="0"/>
    <n v="0"/>
    <s v="C"/>
  </r>
  <r>
    <n v="463"/>
    <s v="C"/>
    <x v="1"/>
    <n v="0"/>
    <n v="3"/>
    <n v="0"/>
    <n v="0"/>
    <s v="C"/>
  </r>
  <r>
    <n v="464"/>
    <s v="C"/>
    <x v="2"/>
    <n v="0"/>
    <n v="4"/>
    <n v="0"/>
    <n v="1"/>
    <s v="C"/>
  </r>
  <r>
    <n v="465"/>
    <s v="C"/>
    <x v="2"/>
    <n v="0"/>
    <n v="5"/>
    <n v="0"/>
    <n v="0"/>
    <s v="C"/>
  </r>
  <r>
    <n v="466"/>
    <s v="C"/>
    <x v="2"/>
    <n v="0"/>
    <n v="6"/>
    <n v="0"/>
    <n v="0"/>
    <s v="C"/>
  </r>
  <r>
    <n v="467"/>
    <s v="C"/>
    <x v="3"/>
    <n v="0"/>
    <n v="7"/>
    <n v="0"/>
    <n v="0"/>
    <s v="C"/>
  </r>
  <r>
    <n v="468"/>
    <s v="C"/>
    <x v="3"/>
    <n v="0"/>
    <n v="8"/>
    <n v="0"/>
    <n v="0"/>
    <s v="C"/>
  </r>
  <r>
    <n v="469"/>
    <s v="C"/>
    <x v="3"/>
    <n v="0"/>
    <n v="9"/>
    <n v="0"/>
    <n v="0"/>
    <s v="C"/>
  </r>
  <r>
    <n v="470"/>
    <s v="C"/>
    <x v="4"/>
    <n v="0"/>
    <n v="10"/>
    <n v="0"/>
    <n v="0"/>
    <s v="C"/>
  </r>
  <r>
    <n v="471"/>
    <s v="C"/>
    <x v="4"/>
    <n v="0"/>
    <n v="11"/>
    <n v="0"/>
    <n v="0"/>
    <s v="C"/>
  </r>
  <r>
    <n v="472"/>
    <s v="C"/>
    <x v="4"/>
    <n v="0"/>
    <n v="12"/>
    <n v="0"/>
    <n v="0"/>
    <s v="C"/>
  </r>
  <r>
    <n v="473"/>
    <s v="C"/>
    <x v="5"/>
    <n v="0"/>
    <n v="13"/>
    <n v="0"/>
    <n v="0"/>
    <s v="C"/>
  </r>
  <r>
    <n v="474"/>
    <n v="0"/>
    <x v="0"/>
    <n v="1"/>
    <n v="1"/>
    <n v="0"/>
    <n v="0"/>
    <s v="C"/>
  </r>
  <r>
    <n v="475"/>
    <s v="C"/>
    <x v="1"/>
    <n v="0"/>
    <n v="1"/>
    <n v="1"/>
    <n v="0"/>
    <s v="C"/>
  </r>
  <r>
    <n v="476"/>
    <s v="C"/>
    <x v="1"/>
    <n v="0"/>
    <n v="2"/>
    <n v="0"/>
    <n v="0"/>
    <s v="C"/>
  </r>
  <r>
    <n v="477"/>
    <s v="C"/>
    <x v="1"/>
    <n v="0"/>
    <n v="3"/>
    <n v="0"/>
    <n v="0"/>
    <s v="C"/>
  </r>
  <r>
    <n v="478"/>
    <s v="C"/>
    <x v="2"/>
    <n v="0"/>
    <n v="4"/>
    <n v="0"/>
    <n v="1"/>
    <s v="C"/>
  </r>
  <r>
    <n v="479"/>
    <s v="C"/>
    <x v="2"/>
    <n v="0"/>
    <n v="5"/>
    <n v="0"/>
    <n v="0"/>
    <s v="S"/>
  </r>
  <r>
    <n v="480"/>
    <s v="C"/>
    <x v="2"/>
    <n v="0"/>
    <n v="6"/>
    <n v="0"/>
    <n v="0"/>
    <s v="S"/>
  </r>
  <r>
    <n v="481"/>
    <s v="C"/>
    <x v="3"/>
    <n v="0"/>
    <n v="7"/>
    <n v="0"/>
    <n v="0"/>
    <s v="S"/>
  </r>
  <r>
    <n v="482"/>
    <s v="C"/>
    <x v="3"/>
    <n v="0"/>
    <n v="8"/>
    <n v="0"/>
    <n v="0"/>
    <s v="S"/>
  </r>
  <r>
    <n v="483"/>
    <s v="C"/>
    <x v="3"/>
    <n v="0"/>
    <n v="9"/>
    <n v="0"/>
    <n v="0"/>
    <s v="S"/>
  </r>
  <r>
    <n v="484"/>
    <s v="C"/>
    <x v="4"/>
    <n v="0"/>
    <n v="10"/>
    <n v="0"/>
    <n v="0"/>
    <s v="S"/>
  </r>
  <r>
    <n v="485"/>
    <s v="C"/>
    <x v="4"/>
    <n v="0"/>
    <n v="11"/>
    <n v="0"/>
    <n v="0"/>
    <s v="S"/>
  </r>
  <r>
    <n v="486"/>
    <s v="C"/>
    <x v="4"/>
    <n v="0"/>
    <n v="12"/>
    <n v="0"/>
    <n v="0"/>
    <s v="S"/>
  </r>
  <r>
    <n v="487"/>
    <s v="C"/>
    <x v="5"/>
    <n v="0"/>
    <n v="13"/>
    <n v="0"/>
    <n v="0"/>
    <s v="C"/>
  </r>
  <r>
    <n v="488"/>
    <s v="C"/>
    <x v="5"/>
    <n v="0"/>
    <n v="14"/>
    <n v="0"/>
    <n v="0"/>
    <s v="S"/>
  </r>
  <r>
    <n v="489"/>
    <s v="C"/>
    <x v="5"/>
    <n v="0"/>
    <n v="15"/>
    <n v="0"/>
    <n v="0"/>
    <s v="S"/>
  </r>
  <r>
    <n v="490"/>
    <n v="0"/>
    <x v="0"/>
    <n v="1"/>
    <n v="1"/>
    <n v="0"/>
    <n v="0"/>
    <s v="S"/>
  </r>
  <r>
    <n v="491"/>
    <s v="S"/>
    <x v="1"/>
    <n v="0"/>
    <n v="1"/>
    <n v="1"/>
    <n v="0"/>
    <s v="S"/>
  </r>
  <r>
    <n v="492"/>
    <s v="S"/>
    <x v="1"/>
    <n v="0"/>
    <n v="2"/>
    <n v="0"/>
    <n v="0"/>
    <s v="S"/>
  </r>
  <r>
    <n v="493"/>
    <s v="S"/>
    <x v="1"/>
    <n v="0"/>
    <n v="3"/>
    <n v="0"/>
    <n v="0"/>
    <s v="S"/>
  </r>
  <r>
    <n v="494"/>
    <s v="S"/>
    <x v="2"/>
    <n v="0"/>
    <n v="4"/>
    <n v="0"/>
    <n v="1"/>
    <s v="S"/>
  </r>
  <r>
    <n v="495"/>
    <s v="S"/>
    <x v="2"/>
    <n v="0"/>
    <n v="5"/>
    <n v="0"/>
    <n v="0"/>
    <s v="S"/>
  </r>
  <r>
    <n v="496"/>
    <s v="S"/>
    <x v="2"/>
    <n v="0"/>
    <n v="6"/>
    <n v="0"/>
    <n v="0"/>
    <s v="C"/>
  </r>
  <r>
    <n v="497"/>
    <s v="S"/>
    <x v="3"/>
    <n v="0"/>
    <n v="7"/>
    <n v="0"/>
    <n v="0"/>
    <s v="C"/>
  </r>
  <r>
    <n v="498"/>
    <s v="S"/>
    <x v="3"/>
    <n v="0"/>
    <n v="8"/>
    <n v="0"/>
    <n v="0"/>
    <s v="C"/>
  </r>
  <r>
    <n v="499"/>
    <s v="S"/>
    <x v="3"/>
    <n v="0"/>
    <n v="9"/>
    <n v="0"/>
    <n v="0"/>
    <s v="C"/>
  </r>
  <r>
    <n v="500"/>
    <s v="S"/>
    <x v="4"/>
    <n v="0"/>
    <n v="10"/>
    <n v="0"/>
    <n v="0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A64D4-987E-429C-9EAF-DD5D897322EF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J15" firstHeaderRow="1" firstDataRow="1" firstDataCol="1"/>
  <pivotFields count="4">
    <pivotField dataField="1" showAll="0"/>
    <pivotField showAll="0"/>
    <pivotField numFmtId="49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Średnia z Opad" fld="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833F9-CFA6-4DBA-A172-5DA4CEA2A588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5:Q12" firstHeaderRow="1" firstDataRow="1" firstDataCol="1"/>
  <pivotFields count="8"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Dzien" fld="0" subtotal="countNums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1" xr16:uid="{99DC30C9-C375-4885-BB3C-DDC75358C4C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2" xr16:uid="{0EE5F735-8BB2-4FDC-A7C0-125F7D4F028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3" xr16:uid="{9DFF8773-F96D-4DE4-B64D-2620D6A93C2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4" xr16:uid="{60F2DD29-29AC-4BB6-B97E-BA1762CCFA5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5" xr16:uid="{87DA8B62-F03D-4BA8-888B-D0987EE6C393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6" xr16:uid="{97431AB8-B38F-4155-BB45-D32777710B4D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7" xr16:uid="{39A1B8F9-667C-46F7-9C4D-48AE39821144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goda" connectionId="8" xr16:uid="{12863C89-7866-4025-A6B6-51579EFF112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>
      <selection activeCell="G23" sqref="G23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19</v>
      </c>
      <c r="C2">
        <v>0</v>
      </c>
      <c r="D2">
        <v>0</v>
      </c>
      <c r="E2">
        <v>0</v>
      </c>
    </row>
    <row r="3" spans="1:5" x14ac:dyDescent="0.45">
      <c r="A3">
        <v>2</v>
      </c>
      <c r="B3">
        <v>22</v>
      </c>
      <c r="C3">
        <v>1</v>
      </c>
      <c r="D3" t="s">
        <v>5</v>
      </c>
      <c r="E3">
        <v>1</v>
      </c>
    </row>
    <row r="4" spans="1:5" x14ac:dyDescent="0.45">
      <c r="A4">
        <v>3</v>
      </c>
      <c r="B4">
        <v>23.6</v>
      </c>
      <c r="C4">
        <v>4</v>
      </c>
      <c r="D4" t="s">
        <v>5</v>
      </c>
      <c r="E4">
        <v>1</v>
      </c>
    </row>
    <row r="5" spans="1:5" x14ac:dyDescent="0.45">
      <c r="A5">
        <v>4</v>
      </c>
      <c r="B5">
        <v>23.6</v>
      </c>
      <c r="C5">
        <v>4</v>
      </c>
      <c r="D5" t="s">
        <v>5</v>
      </c>
      <c r="E5">
        <v>1</v>
      </c>
    </row>
    <row r="6" spans="1:5" x14ac:dyDescent="0.45">
      <c r="A6">
        <v>5</v>
      </c>
      <c r="B6">
        <v>22.3</v>
      </c>
      <c r="C6">
        <v>10</v>
      </c>
      <c r="D6" t="s">
        <v>5</v>
      </c>
      <c r="E6">
        <v>2</v>
      </c>
    </row>
    <row r="7" spans="1:5" x14ac:dyDescent="0.45">
      <c r="A7">
        <v>6</v>
      </c>
      <c r="B7">
        <v>20.399999999999999</v>
      </c>
      <c r="C7">
        <v>8</v>
      </c>
      <c r="D7" t="s">
        <v>5</v>
      </c>
      <c r="E7">
        <v>2</v>
      </c>
    </row>
    <row r="8" spans="1:5" x14ac:dyDescent="0.45">
      <c r="A8">
        <v>7</v>
      </c>
      <c r="B8">
        <v>18.899999999999999</v>
      </c>
      <c r="C8">
        <v>10</v>
      </c>
      <c r="D8" t="s">
        <v>5</v>
      </c>
      <c r="E8">
        <v>2</v>
      </c>
    </row>
    <row r="9" spans="1:5" x14ac:dyDescent="0.45">
      <c r="A9">
        <v>8</v>
      </c>
      <c r="B9">
        <v>18.5</v>
      </c>
      <c r="C9">
        <v>11</v>
      </c>
      <c r="D9" t="s">
        <v>5</v>
      </c>
      <c r="E9">
        <v>3</v>
      </c>
    </row>
    <row r="10" spans="1:5" x14ac:dyDescent="0.45">
      <c r="A10">
        <v>9</v>
      </c>
      <c r="B10">
        <v>19.5</v>
      </c>
      <c r="C10">
        <v>14</v>
      </c>
      <c r="D10" t="s">
        <v>5</v>
      </c>
      <c r="E10">
        <v>3</v>
      </c>
    </row>
    <row r="11" spans="1:5" x14ac:dyDescent="0.45">
      <c r="A11">
        <v>10</v>
      </c>
      <c r="B11">
        <v>21.8</v>
      </c>
      <c r="C11">
        <v>15</v>
      </c>
      <c r="D11" t="s">
        <v>5</v>
      </c>
      <c r="E11">
        <v>3</v>
      </c>
    </row>
    <row r="12" spans="1:5" x14ac:dyDescent="0.45">
      <c r="A12">
        <v>11</v>
      </c>
      <c r="B12">
        <v>24.8</v>
      </c>
      <c r="C12">
        <v>3</v>
      </c>
      <c r="D12" t="s">
        <v>5</v>
      </c>
      <c r="E12">
        <v>4</v>
      </c>
    </row>
    <row r="13" spans="1:5" x14ac:dyDescent="0.45">
      <c r="A13">
        <v>12</v>
      </c>
      <c r="B13">
        <v>27.7</v>
      </c>
      <c r="C13">
        <v>23</v>
      </c>
      <c r="D13" t="s">
        <v>5</v>
      </c>
      <c r="E13">
        <v>4</v>
      </c>
    </row>
    <row r="14" spans="1:5" x14ac:dyDescent="0.45">
      <c r="A14">
        <v>13</v>
      </c>
      <c r="B14">
        <v>29.5</v>
      </c>
      <c r="C14">
        <v>17</v>
      </c>
      <c r="D14" t="s">
        <v>5</v>
      </c>
      <c r="E14">
        <v>4</v>
      </c>
    </row>
    <row r="15" spans="1:5" x14ac:dyDescent="0.45">
      <c r="A15">
        <v>14</v>
      </c>
      <c r="B15">
        <v>29.8</v>
      </c>
      <c r="C15">
        <v>15</v>
      </c>
      <c r="D15" t="s">
        <v>5</v>
      </c>
      <c r="E15">
        <v>5</v>
      </c>
    </row>
    <row r="16" spans="1:5" x14ac:dyDescent="0.45">
      <c r="A16">
        <v>15</v>
      </c>
      <c r="B16">
        <v>28.3</v>
      </c>
      <c r="C16">
        <v>22</v>
      </c>
      <c r="D16" t="s">
        <v>5</v>
      </c>
      <c r="E16">
        <v>5</v>
      </c>
    </row>
    <row r="17" spans="1:5" x14ac:dyDescent="0.45">
      <c r="A17">
        <v>16</v>
      </c>
      <c r="B17">
        <v>25.5</v>
      </c>
      <c r="C17">
        <v>0</v>
      </c>
      <c r="D17">
        <v>0</v>
      </c>
      <c r="E17">
        <v>0</v>
      </c>
    </row>
    <row r="18" spans="1:5" x14ac:dyDescent="0.45">
      <c r="A18">
        <v>17</v>
      </c>
      <c r="B18">
        <v>22</v>
      </c>
      <c r="C18">
        <v>2</v>
      </c>
      <c r="D18" t="s">
        <v>5</v>
      </c>
      <c r="E18">
        <v>1</v>
      </c>
    </row>
    <row r="19" spans="1:5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</row>
    <row r="20" spans="1:5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</row>
    <row r="21" spans="1:5" x14ac:dyDescent="0.45">
      <c r="A21">
        <v>20</v>
      </c>
      <c r="B21">
        <v>16.3</v>
      </c>
      <c r="C21">
        <v>12</v>
      </c>
      <c r="D21" t="s">
        <v>5</v>
      </c>
      <c r="E21">
        <v>2</v>
      </c>
    </row>
    <row r="22" spans="1:5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</row>
    <row r="23" spans="1:5" x14ac:dyDescent="0.4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5" x14ac:dyDescent="0.4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5" x14ac:dyDescent="0.4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5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5" x14ac:dyDescent="0.4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5" x14ac:dyDescent="0.4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5" x14ac:dyDescent="0.45">
      <c r="A29">
        <v>28</v>
      </c>
      <c r="B29">
        <v>9.9</v>
      </c>
      <c r="C29">
        <v>4</v>
      </c>
      <c r="D29" t="s">
        <v>5</v>
      </c>
      <c r="E29">
        <v>4</v>
      </c>
    </row>
    <row r="30" spans="1:5" x14ac:dyDescent="0.4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5" x14ac:dyDescent="0.4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5" x14ac:dyDescent="0.4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x14ac:dyDescent="0.4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x14ac:dyDescent="0.45">
      <c r="A36">
        <v>35</v>
      </c>
      <c r="B36">
        <v>10</v>
      </c>
      <c r="C36">
        <v>0</v>
      </c>
      <c r="D36">
        <v>0</v>
      </c>
      <c r="E36">
        <v>0</v>
      </c>
    </row>
    <row r="37" spans="1:5" x14ac:dyDescent="0.4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x14ac:dyDescent="0.4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x14ac:dyDescent="0.4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x14ac:dyDescent="0.4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x14ac:dyDescent="0.4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x14ac:dyDescent="0.4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x14ac:dyDescent="0.4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x14ac:dyDescent="0.4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x14ac:dyDescent="0.4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x14ac:dyDescent="0.4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x14ac:dyDescent="0.45">
      <c r="A50">
        <v>49</v>
      </c>
      <c r="B50">
        <v>15.2</v>
      </c>
      <c r="C50">
        <v>0</v>
      </c>
      <c r="D50">
        <v>0</v>
      </c>
      <c r="E50">
        <v>0</v>
      </c>
    </row>
    <row r="51" spans="1:5" x14ac:dyDescent="0.4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x14ac:dyDescent="0.4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x14ac:dyDescent="0.4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x14ac:dyDescent="0.4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x14ac:dyDescent="0.4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4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x14ac:dyDescent="0.4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x14ac:dyDescent="0.4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x14ac:dyDescent="0.4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x14ac:dyDescent="0.4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x14ac:dyDescent="0.4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x14ac:dyDescent="0.4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4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4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x14ac:dyDescent="0.4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4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x14ac:dyDescent="0.4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x14ac:dyDescent="0.4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x14ac:dyDescent="0.4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4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x14ac:dyDescent="0.4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x14ac:dyDescent="0.4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x14ac:dyDescent="0.4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x14ac:dyDescent="0.4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x14ac:dyDescent="0.4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x14ac:dyDescent="0.4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x14ac:dyDescent="0.45">
      <c r="A78">
        <v>77</v>
      </c>
      <c r="B78">
        <v>12.5</v>
      </c>
      <c r="C78">
        <v>0</v>
      </c>
      <c r="D78">
        <v>0</v>
      </c>
      <c r="E78">
        <v>0</v>
      </c>
    </row>
    <row r="79" spans="1:5" x14ac:dyDescent="0.4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x14ac:dyDescent="0.4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x14ac:dyDescent="0.4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x14ac:dyDescent="0.4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x14ac:dyDescent="0.4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x14ac:dyDescent="0.4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x14ac:dyDescent="0.4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x14ac:dyDescent="0.4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x14ac:dyDescent="0.4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x14ac:dyDescent="0.4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x14ac:dyDescent="0.45">
      <c r="A93">
        <v>92</v>
      </c>
      <c r="B93">
        <v>10.3</v>
      </c>
      <c r="C93">
        <v>0</v>
      </c>
      <c r="D93">
        <v>0</v>
      </c>
      <c r="E93">
        <v>0</v>
      </c>
    </row>
    <row r="94" spans="1:5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x14ac:dyDescent="0.4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x14ac:dyDescent="0.4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x14ac:dyDescent="0.4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x14ac:dyDescent="0.4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x14ac:dyDescent="0.4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x14ac:dyDescent="0.4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4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x14ac:dyDescent="0.4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x14ac:dyDescent="0.4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x14ac:dyDescent="0.4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x14ac:dyDescent="0.4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x14ac:dyDescent="0.4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4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x14ac:dyDescent="0.4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x14ac:dyDescent="0.4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x14ac:dyDescent="0.4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4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x14ac:dyDescent="0.4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x14ac:dyDescent="0.4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x14ac:dyDescent="0.4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x14ac:dyDescent="0.4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x14ac:dyDescent="0.4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x14ac:dyDescent="0.4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x14ac:dyDescent="0.4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x14ac:dyDescent="0.4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4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x14ac:dyDescent="0.4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x14ac:dyDescent="0.4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x14ac:dyDescent="0.4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x14ac:dyDescent="0.4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x14ac:dyDescent="0.4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x14ac:dyDescent="0.4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x14ac:dyDescent="0.4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x14ac:dyDescent="0.4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x14ac:dyDescent="0.4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x14ac:dyDescent="0.4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x14ac:dyDescent="0.4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x14ac:dyDescent="0.4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x14ac:dyDescent="0.4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x14ac:dyDescent="0.4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x14ac:dyDescent="0.4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x14ac:dyDescent="0.4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x14ac:dyDescent="0.4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x14ac:dyDescent="0.4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x14ac:dyDescent="0.4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x14ac:dyDescent="0.4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x14ac:dyDescent="0.4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x14ac:dyDescent="0.4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x14ac:dyDescent="0.4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x14ac:dyDescent="0.4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x14ac:dyDescent="0.4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x14ac:dyDescent="0.4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x14ac:dyDescent="0.4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x14ac:dyDescent="0.4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x14ac:dyDescent="0.4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x14ac:dyDescent="0.4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x14ac:dyDescent="0.4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x14ac:dyDescent="0.4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4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x14ac:dyDescent="0.4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4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x14ac:dyDescent="0.4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x14ac:dyDescent="0.4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x14ac:dyDescent="0.4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4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4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4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4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x14ac:dyDescent="0.4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4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x14ac:dyDescent="0.4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x14ac:dyDescent="0.4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x14ac:dyDescent="0.4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x14ac:dyDescent="0.4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x14ac:dyDescent="0.4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x14ac:dyDescent="0.4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x14ac:dyDescent="0.4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x14ac:dyDescent="0.4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x14ac:dyDescent="0.4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x14ac:dyDescent="0.4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x14ac:dyDescent="0.4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x14ac:dyDescent="0.4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x14ac:dyDescent="0.4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x14ac:dyDescent="0.4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x14ac:dyDescent="0.4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x14ac:dyDescent="0.4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x14ac:dyDescent="0.4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x14ac:dyDescent="0.4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x14ac:dyDescent="0.4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x14ac:dyDescent="0.4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x14ac:dyDescent="0.4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x14ac:dyDescent="0.4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x14ac:dyDescent="0.4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x14ac:dyDescent="0.4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x14ac:dyDescent="0.4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x14ac:dyDescent="0.4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4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x14ac:dyDescent="0.4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x14ac:dyDescent="0.4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x14ac:dyDescent="0.4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x14ac:dyDescent="0.4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x14ac:dyDescent="0.4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4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4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4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4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x14ac:dyDescent="0.4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4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x14ac:dyDescent="0.4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x14ac:dyDescent="0.4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4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4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x14ac:dyDescent="0.4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x14ac:dyDescent="0.4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x14ac:dyDescent="0.4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x14ac:dyDescent="0.4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x14ac:dyDescent="0.4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x14ac:dyDescent="0.4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x14ac:dyDescent="0.4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x14ac:dyDescent="0.4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x14ac:dyDescent="0.4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x14ac:dyDescent="0.4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x14ac:dyDescent="0.4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x14ac:dyDescent="0.4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x14ac:dyDescent="0.4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x14ac:dyDescent="0.4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x14ac:dyDescent="0.4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x14ac:dyDescent="0.4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x14ac:dyDescent="0.4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x14ac:dyDescent="0.4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x14ac:dyDescent="0.4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x14ac:dyDescent="0.4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x14ac:dyDescent="0.4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x14ac:dyDescent="0.4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x14ac:dyDescent="0.4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x14ac:dyDescent="0.4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x14ac:dyDescent="0.4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x14ac:dyDescent="0.4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x14ac:dyDescent="0.4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x14ac:dyDescent="0.4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4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4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4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4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x14ac:dyDescent="0.4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4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x14ac:dyDescent="0.4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x14ac:dyDescent="0.4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x14ac:dyDescent="0.4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x14ac:dyDescent="0.4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4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x14ac:dyDescent="0.4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4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4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x14ac:dyDescent="0.4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x14ac:dyDescent="0.4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x14ac:dyDescent="0.4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x14ac:dyDescent="0.4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x14ac:dyDescent="0.4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x14ac:dyDescent="0.4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x14ac:dyDescent="0.4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x14ac:dyDescent="0.4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x14ac:dyDescent="0.4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x14ac:dyDescent="0.4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x14ac:dyDescent="0.4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x14ac:dyDescent="0.4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x14ac:dyDescent="0.4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x14ac:dyDescent="0.4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x14ac:dyDescent="0.4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x14ac:dyDescent="0.4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x14ac:dyDescent="0.4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x14ac:dyDescent="0.4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x14ac:dyDescent="0.4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x14ac:dyDescent="0.4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x14ac:dyDescent="0.4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x14ac:dyDescent="0.4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x14ac:dyDescent="0.4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x14ac:dyDescent="0.4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x14ac:dyDescent="0.4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</row>
    <row r="302" spans="1:5" x14ac:dyDescent="0.45">
      <c r="A302">
        <v>301</v>
      </c>
      <c r="B302">
        <v>20</v>
      </c>
      <c r="C302">
        <v>4</v>
      </c>
      <c r="D302">
        <v>0</v>
      </c>
      <c r="E302">
        <v>0</v>
      </c>
    </row>
    <row r="303" spans="1:5" x14ac:dyDescent="0.45">
      <c r="A303">
        <v>302</v>
      </c>
      <c r="B303">
        <v>18.899999999999999</v>
      </c>
      <c r="C303">
        <v>5</v>
      </c>
      <c r="D303">
        <v>0</v>
      </c>
      <c r="E303">
        <v>0</v>
      </c>
    </row>
    <row r="304" spans="1:5" x14ac:dyDescent="0.45">
      <c r="A304">
        <v>303</v>
      </c>
      <c r="B304">
        <v>17.3</v>
      </c>
      <c r="C304">
        <v>2</v>
      </c>
      <c r="D304">
        <v>0</v>
      </c>
      <c r="E304">
        <v>0</v>
      </c>
    </row>
    <row r="305" spans="1:5" x14ac:dyDescent="0.45">
      <c r="A305">
        <v>304</v>
      </c>
      <c r="B305">
        <v>16</v>
      </c>
      <c r="C305">
        <v>7</v>
      </c>
      <c r="D305">
        <v>0</v>
      </c>
      <c r="E305">
        <v>0</v>
      </c>
    </row>
    <row r="306" spans="1:5" x14ac:dyDescent="0.45">
      <c r="A306">
        <v>305</v>
      </c>
      <c r="B306">
        <v>15.9</v>
      </c>
      <c r="C306">
        <v>4</v>
      </c>
      <c r="D306">
        <v>0</v>
      </c>
      <c r="E306">
        <v>0</v>
      </c>
    </row>
    <row r="307" spans="1:5" x14ac:dyDescent="0.45">
      <c r="A307">
        <v>306</v>
      </c>
      <c r="B307">
        <v>17.3</v>
      </c>
      <c r="C307">
        <v>17</v>
      </c>
      <c r="D307">
        <v>0</v>
      </c>
      <c r="E307">
        <v>0</v>
      </c>
    </row>
    <row r="308" spans="1:5" x14ac:dyDescent="0.45">
      <c r="A308">
        <v>307</v>
      </c>
      <c r="B308">
        <v>20</v>
      </c>
      <c r="C308">
        <v>14</v>
      </c>
      <c r="D308">
        <v>0</v>
      </c>
      <c r="E308">
        <v>0</v>
      </c>
    </row>
    <row r="309" spans="1:5" x14ac:dyDescent="0.45">
      <c r="A309">
        <v>308</v>
      </c>
      <c r="B309">
        <v>23.4</v>
      </c>
      <c r="C309">
        <v>9</v>
      </c>
      <c r="D309">
        <v>0</v>
      </c>
      <c r="E309">
        <v>0</v>
      </c>
    </row>
    <row r="310" spans="1:5" x14ac:dyDescent="0.45">
      <c r="A310">
        <v>309</v>
      </c>
      <c r="B310">
        <v>26.8</v>
      </c>
      <c r="C310">
        <v>6</v>
      </c>
      <c r="D310">
        <v>0</v>
      </c>
      <c r="E310">
        <v>0</v>
      </c>
    </row>
    <row r="311" spans="1:5" x14ac:dyDescent="0.45">
      <c r="A311">
        <v>310</v>
      </c>
      <c r="B311">
        <v>29.1</v>
      </c>
      <c r="C311">
        <v>16</v>
      </c>
      <c r="D311">
        <v>0</v>
      </c>
      <c r="E311">
        <v>0</v>
      </c>
    </row>
    <row r="312" spans="1:5" x14ac:dyDescent="0.45">
      <c r="A312">
        <v>311</v>
      </c>
      <c r="B312">
        <v>29.8</v>
      </c>
      <c r="C312">
        <v>2</v>
      </c>
      <c r="D312">
        <v>0</v>
      </c>
      <c r="E312">
        <v>0</v>
      </c>
    </row>
    <row r="313" spans="1:5" x14ac:dyDescent="0.45">
      <c r="A313">
        <v>312</v>
      </c>
      <c r="B313">
        <v>28.8</v>
      </c>
      <c r="C313">
        <v>25</v>
      </c>
      <c r="D313">
        <v>0</v>
      </c>
      <c r="E313">
        <v>0</v>
      </c>
    </row>
    <row r="314" spans="1:5" x14ac:dyDescent="0.45">
      <c r="A314">
        <v>313</v>
      </c>
      <c r="B314">
        <v>26.4</v>
      </c>
      <c r="C314">
        <v>0</v>
      </c>
      <c r="D314">
        <v>0</v>
      </c>
      <c r="E314">
        <v>0</v>
      </c>
    </row>
    <row r="315" spans="1:5" x14ac:dyDescent="0.45">
      <c r="A315">
        <v>314</v>
      </c>
      <c r="B315">
        <v>23.4</v>
      </c>
      <c r="C315">
        <v>3</v>
      </c>
      <c r="D315">
        <v>0</v>
      </c>
      <c r="E315">
        <v>0</v>
      </c>
    </row>
    <row r="316" spans="1:5" x14ac:dyDescent="0.45">
      <c r="A316">
        <v>315</v>
      </c>
      <c r="B316">
        <v>20.7</v>
      </c>
      <c r="C316">
        <v>4</v>
      </c>
      <c r="D316">
        <v>0</v>
      </c>
      <c r="E316">
        <v>0</v>
      </c>
    </row>
    <row r="317" spans="1:5" x14ac:dyDescent="0.45">
      <c r="A317">
        <v>316</v>
      </c>
      <c r="B317">
        <v>19.100000000000001</v>
      </c>
      <c r="C317">
        <v>6</v>
      </c>
      <c r="D317">
        <v>0</v>
      </c>
      <c r="E317">
        <v>0</v>
      </c>
    </row>
    <row r="318" spans="1:5" x14ac:dyDescent="0.45">
      <c r="A318">
        <v>317</v>
      </c>
      <c r="B318">
        <v>18.899999999999999</v>
      </c>
      <c r="C318">
        <v>6</v>
      </c>
      <c r="D318">
        <v>0</v>
      </c>
      <c r="E318">
        <v>0</v>
      </c>
    </row>
    <row r="319" spans="1:5" x14ac:dyDescent="0.45">
      <c r="A319">
        <v>318</v>
      </c>
      <c r="B319">
        <v>20</v>
      </c>
      <c r="C319">
        <v>5</v>
      </c>
      <c r="D319">
        <v>0</v>
      </c>
      <c r="E319">
        <v>0</v>
      </c>
    </row>
    <row r="320" spans="1:5" x14ac:dyDescent="0.45">
      <c r="A320">
        <v>319</v>
      </c>
      <c r="B320">
        <v>21.8</v>
      </c>
      <c r="C320">
        <v>4</v>
      </c>
      <c r="D320">
        <v>0</v>
      </c>
      <c r="E320">
        <v>0</v>
      </c>
    </row>
    <row r="321" spans="1:5" x14ac:dyDescent="0.45">
      <c r="A321">
        <v>320</v>
      </c>
      <c r="B321">
        <v>23.6</v>
      </c>
      <c r="C321">
        <v>7</v>
      </c>
      <c r="D321">
        <v>0</v>
      </c>
      <c r="E321">
        <v>0</v>
      </c>
    </row>
    <row r="322" spans="1:5" x14ac:dyDescent="0.45">
      <c r="A322">
        <v>321</v>
      </c>
      <c r="B322">
        <v>24.4</v>
      </c>
      <c r="C322">
        <v>12</v>
      </c>
      <c r="D322">
        <v>0</v>
      </c>
      <c r="E322">
        <v>0</v>
      </c>
    </row>
    <row r="323" spans="1:5" x14ac:dyDescent="0.45">
      <c r="A323">
        <v>322</v>
      </c>
      <c r="B323">
        <v>23.6</v>
      </c>
      <c r="C323">
        <v>5</v>
      </c>
      <c r="D323">
        <v>0</v>
      </c>
      <c r="E323">
        <v>0</v>
      </c>
    </row>
    <row r="324" spans="1:5" x14ac:dyDescent="0.45">
      <c r="A324">
        <v>323</v>
      </c>
      <c r="B324">
        <v>21.3</v>
      </c>
      <c r="C324">
        <v>3</v>
      </c>
      <c r="D324">
        <v>0</v>
      </c>
      <c r="E324">
        <v>0</v>
      </c>
    </row>
    <row r="325" spans="1:5" x14ac:dyDescent="0.45">
      <c r="A325">
        <v>324</v>
      </c>
      <c r="B325">
        <v>17.7</v>
      </c>
      <c r="C325">
        <v>21</v>
      </c>
      <c r="D325">
        <v>0</v>
      </c>
      <c r="E325">
        <v>0</v>
      </c>
    </row>
    <row r="326" spans="1:5" x14ac:dyDescent="0.45">
      <c r="A326">
        <v>325</v>
      </c>
      <c r="B326">
        <v>13.6</v>
      </c>
      <c r="C326">
        <v>18</v>
      </c>
      <c r="D326">
        <v>0</v>
      </c>
      <c r="E326">
        <v>0</v>
      </c>
    </row>
    <row r="327" spans="1:5" x14ac:dyDescent="0.45">
      <c r="A327">
        <v>326</v>
      </c>
      <c r="B327">
        <v>10</v>
      </c>
      <c r="C327">
        <v>13</v>
      </c>
      <c r="D327">
        <v>0</v>
      </c>
      <c r="E327">
        <v>0</v>
      </c>
    </row>
    <row r="328" spans="1:5" x14ac:dyDescent="0.45">
      <c r="A328">
        <v>327</v>
      </c>
      <c r="B328">
        <v>7.6</v>
      </c>
      <c r="C328">
        <v>28</v>
      </c>
      <c r="D328">
        <v>0</v>
      </c>
      <c r="E328">
        <v>0</v>
      </c>
    </row>
    <row r="329" spans="1:5" x14ac:dyDescent="0.45">
      <c r="A329">
        <v>328</v>
      </c>
      <c r="B329">
        <v>6.8</v>
      </c>
      <c r="C329">
        <v>0</v>
      </c>
      <c r="D329">
        <v>0</v>
      </c>
      <c r="E329">
        <v>0</v>
      </c>
    </row>
    <row r="330" spans="1:5" x14ac:dyDescent="0.45">
      <c r="A330">
        <v>329</v>
      </c>
      <c r="B330">
        <v>7.5</v>
      </c>
      <c r="C330">
        <v>2</v>
      </c>
      <c r="D330">
        <v>0</v>
      </c>
      <c r="E330">
        <v>0</v>
      </c>
    </row>
    <row r="331" spans="1:5" x14ac:dyDescent="0.45">
      <c r="A331">
        <v>330</v>
      </c>
      <c r="B331">
        <v>9.1</v>
      </c>
      <c r="C331">
        <v>2</v>
      </c>
      <c r="D331">
        <v>0</v>
      </c>
      <c r="E331">
        <v>0</v>
      </c>
    </row>
    <row r="332" spans="1:5" x14ac:dyDescent="0.45">
      <c r="A332">
        <v>331</v>
      </c>
      <c r="B332">
        <v>10.9</v>
      </c>
      <c r="C332">
        <v>6</v>
      </c>
      <c r="D332">
        <v>0</v>
      </c>
      <c r="E332">
        <v>0</v>
      </c>
    </row>
    <row r="333" spans="1:5" x14ac:dyDescent="0.45">
      <c r="A333">
        <v>332</v>
      </c>
      <c r="B333">
        <v>11.8</v>
      </c>
      <c r="C333">
        <v>11</v>
      </c>
      <c r="D333">
        <v>0</v>
      </c>
      <c r="E333">
        <v>0</v>
      </c>
    </row>
    <row r="334" spans="1:5" x14ac:dyDescent="0.45">
      <c r="A334">
        <v>333</v>
      </c>
      <c r="B334">
        <v>11.5</v>
      </c>
      <c r="C334">
        <v>9</v>
      </c>
      <c r="D334">
        <v>0</v>
      </c>
      <c r="E334">
        <v>0</v>
      </c>
    </row>
    <row r="335" spans="1:5" x14ac:dyDescent="0.45">
      <c r="A335">
        <v>334</v>
      </c>
      <c r="B335">
        <v>9.6999999999999993</v>
      </c>
      <c r="C335">
        <v>7</v>
      </c>
      <c r="D335">
        <v>0</v>
      </c>
      <c r="E335">
        <v>0</v>
      </c>
    </row>
    <row r="336" spans="1:5" x14ac:dyDescent="0.45">
      <c r="A336">
        <v>335</v>
      </c>
      <c r="B336">
        <v>6.9</v>
      </c>
      <c r="C336">
        <v>17</v>
      </c>
      <c r="D336">
        <v>0</v>
      </c>
      <c r="E336">
        <v>0</v>
      </c>
    </row>
    <row r="337" spans="1:5" x14ac:dyDescent="0.45">
      <c r="A337">
        <v>336</v>
      </c>
      <c r="B337">
        <v>3.8</v>
      </c>
      <c r="C337">
        <v>1</v>
      </c>
      <c r="D337">
        <v>0</v>
      </c>
      <c r="E337">
        <v>0</v>
      </c>
    </row>
    <row r="338" spans="1:5" x14ac:dyDescent="0.45">
      <c r="A338">
        <v>337</v>
      </c>
      <c r="B338">
        <v>1.2</v>
      </c>
      <c r="C338">
        <v>2</v>
      </c>
      <c r="D338">
        <v>0</v>
      </c>
      <c r="E338">
        <v>0</v>
      </c>
    </row>
    <row r="339" spans="1:5" x14ac:dyDescent="0.45">
      <c r="A339">
        <v>338</v>
      </c>
      <c r="B339">
        <v>0.1</v>
      </c>
      <c r="C339">
        <v>15</v>
      </c>
      <c r="D339">
        <v>0</v>
      </c>
      <c r="E339">
        <v>0</v>
      </c>
    </row>
    <row r="340" spans="1:5" x14ac:dyDescent="0.45">
      <c r="A340">
        <v>339</v>
      </c>
      <c r="B340">
        <v>0.6</v>
      </c>
      <c r="C340">
        <v>21</v>
      </c>
      <c r="D340">
        <v>0</v>
      </c>
      <c r="E340">
        <v>0</v>
      </c>
    </row>
    <row r="341" spans="1:5" x14ac:dyDescent="0.45">
      <c r="A341">
        <v>340</v>
      </c>
      <c r="B341">
        <v>2.8</v>
      </c>
      <c r="C341">
        <v>8</v>
      </c>
      <c r="D341">
        <v>0</v>
      </c>
      <c r="E341">
        <v>0</v>
      </c>
    </row>
    <row r="342" spans="1:5" x14ac:dyDescent="0.45">
      <c r="A342">
        <v>341</v>
      </c>
      <c r="B342">
        <v>6</v>
      </c>
      <c r="C342">
        <v>27</v>
      </c>
      <c r="D342">
        <v>0</v>
      </c>
      <c r="E342">
        <v>0</v>
      </c>
    </row>
    <row r="343" spans="1:5" x14ac:dyDescent="0.45">
      <c r="A343">
        <v>342</v>
      </c>
      <c r="B343">
        <v>9.3000000000000007</v>
      </c>
      <c r="C343">
        <v>0</v>
      </c>
      <c r="D343">
        <v>0</v>
      </c>
      <c r="E343">
        <v>0</v>
      </c>
    </row>
    <row r="344" spans="1:5" x14ac:dyDescent="0.45">
      <c r="A344">
        <v>343</v>
      </c>
      <c r="B344">
        <v>11.8</v>
      </c>
      <c r="C344">
        <v>1</v>
      </c>
      <c r="D344">
        <v>0</v>
      </c>
      <c r="E344">
        <v>0</v>
      </c>
    </row>
    <row r="345" spans="1:5" x14ac:dyDescent="0.45">
      <c r="A345">
        <v>344</v>
      </c>
      <c r="B345">
        <v>13.1</v>
      </c>
      <c r="C345">
        <v>4</v>
      </c>
      <c r="D345">
        <v>0</v>
      </c>
      <c r="E345">
        <v>0</v>
      </c>
    </row>
    <row r="346" spans="1:5" x14ac:dyDescent="0.45">
      <c r="A346">
        <v>345</v>
      </c>
      <c r="B346">
        <v>12.9</v>
      </c>
      <c r="C346">
        <v>1</v>
      </c>
      <c r="D346">
        <v>0</v>
      </c>
      <c r="E346">
        <v>0</v>
      </c>
    </row>
    <row r="347" spans="1:5" x14ac:dyDescent="0.45">
      <c r="A347">
        <v>346</v>
      </c>
      <c r="B347">
        <v>11.6</v>
      </c>
      <c r="C347">
        <v>2</v>
      </c>
      <c r="D347">
        <v>0</v>
      </c>
      <c r="E347">
        <v>0</v>
      </c>
    </row>
    <row r="348" spans="1:5" x14ac:dyDescent="0.45">
      <c r="A348">
        <v>347</v>
      </c>
      <c r="B348">
        <v>9.9</v>
      </c>
      <c r="C348">
        <v>3</v>
      </c>
      <c r="D348">
        <v>0</v>
      </c>
      <c r="E348">
        <v>0</v>
      </c>
    </row>
    <row r="349" spans="1:5" x14ac:dyDescent="0.45">
      <c r="A349">
        <v>348</v>
      </c>
      <c r="B349">
        <v>8.6999999999999993</v>
      </c>
      <c r="C349">
        <v>8</v>
      </c>
      <c r="D349">
        <v>0</v>
      </c>
      <c r="E349">
        <v>0</v>
      </c>
    </row>
    <row r="350" spans="1:5" x14ac:dyDescent="0.45">
      <c r="A350">
        <v>349</v>
      </c>
      <c r="B350">
        <v>8.8000000000000007</v>
      </c>
      <c r="C350">
        <v>18</v>
      </c>
      <c r="D350">
        <v>0</v>
      </c>
      <c r="E350">
        <v>0</v>
      </c>
    </row>
    <row r="351" spans="1:5" x14ac:dyDescent="0.45">
      <c r="A351">
        <v>350</v>
      </c>
      <c r="B351">
        <v>10.5</v>
      </c>
      <c r="C351">
        <v>15</v>
      </c>
      <c r="D351">
        <v>0</v>
      </c>
      <c r="E351">
        <v>0</v>
      </c>
    </row>
    <row r="352" spans="1:5" x14ac:dyDescent="0.45">
      <c r="A352">
        <v>351</v>
      </c>
      <c r="B352">
        <v>13.5</v>
      </c>
      <c r="C352">
        <v>1</v>
      </c>
      <c r="D352">
        <v>0</v>
      </c>
      <c r="E352">
        <v>0</v>
      </c>
    </row>
    <row r="353" spans="1:5" x14ac:dyDescent="0.45">
      <c r="A353">
        <v>352</v>
      </c>
      <c r="B353">
        <v>17.5</v>
      </c>
      <c r="C353">
        <v>22</v>
      </c>
      <c r="D353">
        <v>0</v>
      </c>
      <c r="E353">
        <v>0</v>
      </c>
    </row>
    <row r="354" spans="1:5" x14ac:dyDescent="0.45">
      <c r="A354">
        <v>353</v>
      </c>
      <c r="B354">
        <v>21.4</v>
      </c>
      <c r="C354">
        <v>4</v>
      </c>
      <c r="D354">
        <v>0</v>
      </c>
      <c r="E354">
        <v>0</v>
      </c>
    </row>
    <row r="355" spans="1:5" x14ac:dyDescent="0.45">
      <c r="A355">
        <v>354</v>
      </c>
      <c r="B355">
        <v>24.4</v>
      </c>
      <c r="C355">
        <v>4</v>
      </c>
      <c r="D355">
        <v>0</v>
      </c>
      <c r="E355">
        <v>0</v>
      </c>
    </row>
    <row r="356" spans="1:5" x14ac:dyDescent="0.45">
      <c r="A356">
        <v>355</v>
      </c>
      <c r="B356">
        <v>25.8</v>
      </c>
      <c r="C356">
        <v>11</v>
      </c>
      <c r="D356">
        <v>0</v>
      </c>
      <c r="E356">
        <v>0</v>
      </c>
    </row>
    <row r="357" spans="1:5" x14ac:dyDescent="0.45">
      <c r="A357">
        <v>356</v>
      </c>
      <c r="B357">
        <v>25.6</v>
      </c>
      <c r="C357">
        <v>25</v>
      </c>
      <c r="D357">
        <v>0</v>
      </c>
      <c r="E357">
        <v>0</v>
      </c>
    </row>
    <row r="358" spans="1:5" x14ac:dyDescent="0.45">
      <c r="A358">
        <v>357</v>
      </c>
      <c r="B358">
        <v>24.1</v>
      </c>
      <c r="C358">
        <v>0</v>
      </c>
      <c r="D358">
        <v>0</v>
      </c>
      <c r="E358">
        <v>0</v>
      </c>
    </row>
    <row r="359" spans="1:5" x14ac:dyDescent="0.45">
      <c r="A359">
        <v>358</v>
      </c>
      <c r="B359">
        <v>22</v>
      </c>
      <c r="C359">
        <v>4</v>
      </c>
      <c r="D359">
        <v>0</v>
      </c>
      <c r="E359">
        <v>0</v>
      </c>
    </row>
    <row r="360" spans="1:5" x14ac:dyDescent="0.45">
      <c r="A360">
        <v>359</v>
      </c>
      <c r="B360">
        <v>20.3</v>
      </c>
      <c r="C360">
        <v>4</v>
      </c>
      <c r="D360">
        <v>0</v>
      </c>
      <c r="E360">
        <v>0</v>
      </c>
    </row>
    <row r="361" spans="1:5" x14ac:dyDescent="0.45">
      <c r="A361">
        <v>360</v>
      </c>
      <c r="B361">
        <v>19.600000000000001</v>
      </c>
      <c r="C361">
        <v>1</v>
      </c>
      <c r="D361">
        <v>0</v>
      </c>
      <c r="E361">
        <v>0</v>
      </c>
    </row>
    <row r="362" spans="1:5" x14ac:dyDescent="0.45">
      <c r="A362">
        <v>361</v>
      </c>
      <c r="B362">
        <v>20.3</v>
      </c>
      <c r="C362">
        <v>11</v>
      </c>
      <c r="D362">
        <v>0</v>
      </c>
      <c r="E362">
        <v>0</v>
      </c>
    </row>
    <row r="363" spans="1:5" x14ac:dyDescent="0.45">
      <c r="A363">
        <v>362</v>
      </c>
      <c r="B363">
        <v>22.3</v>
      </c>
      <c r="C363">
        <v>12</v>
      </c>
      <c r="D363">
        <v>0</v>
      </c>
      <c r="E363">
        <v>0</v>
      </c>
    </row>
    <row r="364" spans="1:5" x14ac:dyDescent="0.45">
      <c r="A364">
        <v>363</v>
      </c>
      <c r="B364">
        <v>25</v>
      </c>
      <c r="C364">
        <v>2</v>
      </c>
      <c r="D364">
        <v>0</v>
      </c>
      <c r="E364">
        <v>0</v>
      </c>
    </row>
    <row r="365" spans="1:5" x14ac:dyDescent="0.45">
      <c r="A365">
        <v>364</v>
      </c>
      <c r="B365">
        <v>27.5</v>
      </c>
      <c r="C365">
        <v>4</v>
      </c>
      <c r="D365">
        <v>0</v>
      </c>
      <c r="E365">
        <v>0</v>
      </c>
    </row>
    <row r="366" spans="1:5" x14ac:dyDescent="0.45">
      <c r="A366">
        <v>365</v>
      </c>
      <c r="B366">
        <v>29.1</v>
      </c>
      <c r="C366">
        <v>18</v>
      </c>
      <c r="D366">
        <v>0</v>
      </c>
      <c r="E366">
        <v>0</v>
      </c>
    </row>
    <row r="367" spans="1:5" x14ac:dyDescent="0.45">
      <c r="A367">
        <v>366</v>
      </c>
      <c r="B367">
        <v>29</v>
      </c>
      <c r="C367">
        <v>2</v>
      </c>
      <c r="D367">
        <v>0</v>
      </c>
      <c r="E367">
        <v>0</v>
      </c>
    </row>
    <row r="368" spans="1:5" x14ac:dyDescent="0.45">
      <c r="A368">
        <v>367</v>
      </c>
      <c r="B368">
        <v>27.2</v>
      </c>
      <c r="C368">
        <v>19</v>
      </c>
      <c r="D368">
        <v>0</v>
      </c>
      <c r="E368">
        <v>0</v>
      </c>
    </row>
    <row r="369" spans="1:5" x14ac:dyDescent="0.45">
      <c r="A369">
        <v>368</v>
      </c>
      <c r="B369">
        <v>24.1</v>
      </c>
      <c r="C369">
        <v>16</v>
      </c>
      <c r="D369">
        <v>0</v>
      </c>
      <c r="E369">
        <v>0</v>
      </c>
    </row>
    <row r="370" spans="1:5" x14ac:dyDescent="0.45">
      <c r="A370">
        <v>369</v>
      </c>
      <c r="B370">
        <v>20.399999999999999</v>
      </c>
      <c r="C370">
        <v>24</v>
      </c>
      <c r="D370">
        <v>0</v>
      </c>
      <c r="E370">
        <v>0</v>
      </c>
    </row>
    <row r="371" spans="1:5" x14ac:dyDescent="0.45">
      <c r="A371">
        <v>370</v>
      </c>
      <c r="B371">
        <v>17.100000000000001</v>
      </c>
      <c r="C371">
        <v>24</v>
      </c>
      <c r="D371">
        <v>0</v>
      </c>
      <c r="E371">
        <v>0</v>
      </c>
    </row>
    <row r="372" spans="1:5" x14ac:dyDescent="0.45">
      <c r="A372">
        <v>371</v>
      </c>
      <c r="B372">
        <v>14.9</v>
      </c>
      <c r="C372">
        <v>0</v>
      </c>
      <c r="D372">
        <v>0</v>
      </c>
      <c r="E372">
        <v>0</v>
      </c>
    </row>
    <row r="373" spans="1:5" x14ac:dyDescent="0.45">
      <c r="A373">
        <v>372</v>
      </c>
      <c r="B373">
        <v>14.1</v>
      </c>
      <c r="C373">
        <v>3</v>
      </c>
      <c r="D373">
        <v>0</v>
      </c>
      <c r="E373">
        <v>0</v>
      </c>
    </row>
    <row r="374" spans="1:5" x14ac:dyDescent="0.45">
      <c r="A374">
        <v>373</v>
      </c>
      <c r="B374">
        <v>14.8</v>
      </c>
      <c r="C374">
        <v>6</v>
      </c>
      <c r="D374">
        <v>0</v>
      </c>
      <c r="E374">
        <v>0</v>
      </c>
    </row>
    <row r="375" spans="1:5" x14ac:dyDescent="0.45">
      <c r="A375">
        <v>374</v>
      </c>
      <c r="B375">
        <v>16.3</v>
      </c>
      <c r="C375">
        <v>6</v>
      </c>
      <c r="D375">
        <v>0</v>
      </c>
      <c r="E375">
        <v>0</v>
      </c>
    </row>
    <row r="376" spans="1:5" x14ac:dyDescent="0.45">
      <c r="A376">
        <v>375</v>
      </c>
      <c r="B376">
        <v>17.7</v>
      </c>
      <c r="C376">
        <v>8</v>
      </c>
      <c r="D376">
        <v>0</v>
      </c>
      <c r="E376">
        <v>0</v>
      </c>
    </row>
    <row r="377" spans="1:5" x14ac:dyDescent="0.45">
      <c r="A377">
        <v>376</v>
      </c>
      <c r="B377">
        <v>18.3</v>
      </c>
      <c r="C377">
        <v>3</v>
      </c>
      <c r="D377">
        <v>0</v>
      </c>
      <c r="E377">
        <v>0</v>
      </c>
    </row>
    <row r="378" spans="1:5" x14ac:dyDescent="0.45">
      <c r="A378">
        <v>377</v>
      </c>
      <c r="B378">
        <v>17.5</v>
      </c>
      <c r="C378">
        <v>6</v>
      </c>
      <c r="D378">
        <v>0</v>
      </c>
      <c r="E378">
        <v>0</v>
      </c>
    </row>
    <row r="379" spans="1:5" x14ac:dyDescent="0.45">
      <c r="A379">
        <v>378</v>
      </c>
      <c r="B379">
        <v>15.1</v>
      </c>
      <c r="C379">
        <v>7</v>
      </c>
      <c r="D379">
        <v>0</v>
      </c>
      <c r="E379">
        <v>0</v>
      </c>
    </row>
    <row r="380" spans="1:5" x14ac:dyDescent="0.45">
      <c r="A380">
        <v>379</v>
      </c>
      <c r="B380">
        <v>11.6</v>
      </c>
      <c r="C380">
        <v>11</v>
      </c>
      <c r="D380">
        <v>0</v>
      </c>
      <c r="E380">
        <v>0</v>
      </c>
    </row>
    <row r="381" spans="1:5" x14ac:dyDescent="0.45">
      <c r="A381">
        <v>380</v>
      </c>
      <c r="B381">
        <v>7.7</v>
      </c>
      <c r="C381">
        <v>10</v>
      </c>
      <c r="D381">
        <v>0</v>
      </c>
      <c r="E381">
        <v>0</v>
      </c>
    </row>
    <row r="382" spans="1:5" x14ac:dyDescent="0.45">
      <c r="A382">
        <v>381</v>
      </c>
      <c r="B382">
        <v>4.4000000000000004</v>
      </c>
      <c r="C382">
        <v>21</v>
      </c>
      <c r="D382">
        <v>0</v>
      </c>
      <c r="E382">
        <v>0</v>
      </c>
    </row>
    <row r="383" spans="1:5" x14ac:dyDescent="0.45">
      <c r="A383">
        <v>382</v>
      </c>
      <c r="B383">
        <v>2.2999999999999998</v>
      </c>
      <c r="C383">
        <v>22</v>
      </c>
      <c r="D383">
        <v>0</v>
      </c>
      <c r="E383">
        <v>0</v>
      </c>
    </row>
    <row r="384" spans="1:5" x14ac:dyDescent="0.45">
      <c r="A384">
        <v>383</v>
      </c>
      <c r="B384">
        <v>2</v>
      </c>
      <c r="C384">
        <v>22</v>
      </c>
      <c r="D384">
        <v>0</v>
      </c>
      <c r="E384">
        <v>0</v>
      </c>
    </row>
    <row r="385" spans="1:5" x14ac:dyDescent="0.45">
      <c r="A385">
        <v>384</v>
      </c>
      <c r="B385">
        <v>3.2</v>
      </c>
      <c r="C385">
        <v>29</v>
      </c>
      <c r="D385">
        <v>0</v>
      </c>
      <c r="E385">
        <v>0</v>
      </c>
    </row>
    <row r="386" spans="1:5" x14ac:dyDescent="0.45">
      <c r="A386">
        <v>385</v>
      </c>
      <c r="B386">
        <v>5.5</v>
      </c>
      <c r="C386">
        <v>0</v>
      </c>
      <c r="D386">
        <v>0</v>
      </c>
      <c r="E386">
        <v>0</v>
      </c>
    </row>
    <row r="387" spans="1:5" x14ac:dyDescent="0.45">
      <c r="A387">
        <v>386</v>
      </c>
      <c r="B387">
        <v>7.9</v>
      </c>
      <c r="C387">
        <v>1</v>
      </c>
      <c r="D387">
        <v>0</v>
      </c>
      <c r="E387">
        <v>0</v>
      </c>
    </row>
    <row r="388" spans="1:5" x14ac:dyDescent="0.45">
      <c r="A388">
        <v>387</v>
      </c>
      <c r="B388">
        <v>9.6</v>
      </c>
      <c r="C388">
        <v>2</v>
      </c>
      <c r="D388">
        <v>0</v>
      </c>
      <c r="E388">
        <v>0</v>
      </c>
    </row>
    <row r="389" spans="1:5" x14ac:dyDescent="0.45">
      <c r="A389">
        <v>388</v>
      </c>
      <c r="B389">
        <v>10</v>
      </c>
      <c r="C389">
        <v>3</v>
      </c>
      <c r="D389">
        <v>0</v>
      </c>
      <c r="E389">
        <v>0</v>
      </c>
    </row>
    <row r="390" spans="1:5" x14ac:dyDescent="0.45">
      <c r="A390">
        <v>389</v>
      </c>
      <c r="B390">
        <v>9</v>
      </c>
      <c r="C390">
        <v>2</v>
      </c>
      <c r="D390">
        <v>0</v>
      </c>
      <c r="E390">
        <v>0</v>
      </c>
    </row>
    <row r="391" spans="1:5" x14ac:dyDescent="0.45">
      <c r="A391">
        <v>390</v>
      </c>
      <c r="B391">
        <v>6.9</v>
      </c>
      <c r="C391">
        <v>10</v>
      </c>
      <c r="D391">
        <v>0</v>
      </c>
      <c r="E391">
        <v>0</v>
      </c>
    </row>
    <row r="392" spans="1:5" x14ac:dyDescent="0.45">
      <c r="A392">
        <v>391</v>
      </c>
      <c r="B392">
        <v>4.5</v>
      </c>
      <c r="C392">
        <v>3</v>
      </c>
      <c r="D392">
        <v>0</v>
      </c>
      <c r="E392">
        <v>0</v>
      </c>
    </row>
    <row r="393" spans="1:5" x14ac:dyDescent="0.45">
      <c r="A393">
        <v>392</v>
      </c>
      <c r="B393">
        <v>2.8</v>
      </c>
      <c r="C393">
        <v>11</v>
      </c>
      <c r="D393">
        <v>0</v>
      </c>
      <c r="E393">
        <v>0</v>
      </c>
    </row>
    <row r="394" spans="1:5" x14ac:dyDescent="0.45">
      <c r="A394">
        <v>393</v>
      </c>
      <c r="B394">
        <v>2.2999999999999998</v>
      </c>
      <c r="C394">
        <v>17</v>
      </c>
      <c r="D394">
        <v>0</v>
      </c>
      <c r="E394">
        <v>0</v>
      </c>
    </row>
    <row r="395" spans="1:5" x14ac:dyDescent="0.45">
      <c r="A395">
        <v>394</v>
      </c>
      <c r="B395">
        <v>3.6</v>
      </c>
      <c r="C395">
        <v>1</v>
      </c>
      <c r="D395">
        <v>0</v>
      </c>
      <c r="E395">
        <v>0</v>
      </c>
    </row>
    <row r="396" spans="1:5" x14ac:dyDescent="0.45">
      <c r="A396">
        <v>395</v>
      </c>
      <c r="B396">
        <v>6.4</v>
      </c>
      <c r="C396">
        <v>8</v>
      </c>
      <c r="D396">
        <v>0</v>
      </c>
      <c r="E396">
        <v>0</v>
      </c>
    </row>
    <row r="397" spans="1:5" x14ac:dyDescent="0.45">
      <c r="A397">
        <v>396</v>
      </c>
      <c r="B397">
        <v>10.199999999999999</v>
      </c>
      <c r="C397">
        <v>11</v>
      </c>
      <c r="D397">
        <v>0</v>
      </c>
      <c r="E397">
        <v>0</v>
      </c>
    </row>
    <row r="398" spans="1:5" x14ac:dyDescent="0.45">
      <c r="A398">
        <v>397</v>
      </c>
      <c r="B398">
        <v>14</v>
      </c>
      <c r="C398">
        <v>23</v>
      </c>
      <c r="D398">
        <v>0</v>
      </c>
      <c r="E398">
        <v>0</v>
      </c>
    </row>
    <row r="399" spans="1:5" x14ac:dyDescent="0.45">
      <c r="A399">
        <v>398</v>
      </c>
      <c r="B399">
        <v>17.100000000000001</v>
      </c>
      <c r="C399">
        <v>29</v>
      </c>
      <c r="D399">
        <v>0</v>
      </c>
      <c r="E399">
        <v>0</v>
      </c>
    </row>
    <row r="400" spans="1:5" x14ac:dyDescent="0.45">
      <c r="A400">
        <v>399</v>
      </c>
      <c r="B400">
        <v>18.7</v>
      </c>
      <c r="C400">
        <v>0</v>
      </c>
      <c r="D400">
        <v>0</v>
      </c>
      <c r="E400">
        <v>0</v>
      </c>
    </row>
    <row r="401" spans="1:5" x14ac:dyDescent="0.45">
      <c r="A401">
        <v>400</v>
      </c>
      <c r="B401">
        <v>18.8</v>
      </c>
      <c r="C401">
        <v>5</v>
      </c>
      <c r="D401">
        <v>0</v>
      </c>
      <c r="E401">
        <v>0</v>
      </c>
    </row>
    <row r="402" spans="1:5" x14ac:dyDescent="0.45">
      <c r="A402">
        <v>401</v>
      </c>
      <c r="B402">
        <v>17.7</v>
      </c>
      <c r="C402">
        <v>2</v>
      </c>
      <c r="D402">
        <v>0</v>
      </c>
      <c r="E402">
        <v>0</v>
      </c>
    </row>
    <row r="403" spans="1:5" x14ac:dyDescent="0.45">
      <c r="A403">
        <v>402</v>
      </c>
      <c r="B403">
        <v>16.100000000000001</v>
      </c>
      <c r="C403">
        <v>2</v>
      </c>
      <c r="D403">
        <v>0</v>
      </c>
      <c r="E403">
        <v>0</v>
      </c>
    </row>
    <row r="404" spans="1:5" x14ac:dyDescent="0.45">
      <c r="A404">
        <v>403</v>
      </c>
      <c r="B404">
        <v>14.9</v>
      </c>
      <c r="C404">
        <v>7</v>
      </c>
      <c r="D404">
        <v>0</v>
      </c>
      <c r="E404">
        <v>0</v>
      </c>
    </row>
    <row r="405" spans="1:5" x14ac:dyDescent="0.45">
      <c r="A405">
        <v>404</v>
      </c>
      <c r="B405">
        <v>14.9</v>
      </c>
      <c r="C405">
        <v>2</v>
      </c>
      <c r="D405">
        <v>0</v>
      </c>
      <c r="E405">
        <v>0</v>
      </c>
    </row>
    <row r="406" spans="1:5" x14ac:dyDescent="0.45">
      <c r="A406">
        <v>405</v>
      </c>
      <c r="B406">
        <v>16.3</v>
      </c>
      <c r="C406">
        <v>3</v>
      </c>
      <c r="D406">
        <v>0</v>
      </c>
      <c r="E406">
        <v>0</v>
      </c>
    </row>
    <row r="407" spans="1:5" x14ac:dyDescent="0.45">
      <c r="A407">
        <v>406</v>
      </c>
      <c r="B407">
        <v>19.100000000000001</v>
      </c>
      <c r="C407">
        <v>14</v>
      </c>
      <c r="D407">
        <v>0</v>
      </c>
      <c r="E407">
        <v>0</v>
      </c>
    </row>
    <row r="408" spans="1:5" x14ac:dyDescent="0.45">
      <c r="A408">
        <v>407</v>
      </c>
      <c r="B408">
        <v>22.7</v>
      </c>
      <c r="C408">
        <v>12</v>
      </c>
      <c r="D408">
        <v>0</v>
      </c>
      <c r="E408">
        <v>0</v>
      </c>
    </row>
    <row r="409" spans="1:5" x14ac:dyDescent="0.45">
      <c r="A409">
        <v>408</v>
      </c>
      <c r="B409">
        <v>26.1</v>
      </c>
      <c r="C409">
        <v>9</v>
      </c>
      <c r="D409">
        <v>0</v>
      </c>
      <c r="E409">
        <v>0</v>
      </c>
    </row>
    <row r="410" spans="1:5" x14ac:dyDescent="0.45">
      <c r="A410">
        <v>409</v>
      </c>
      <c r="B410">
        <v>28.6</v>
      </c>
      <c r="C410">
        <v>14</v>
      </c>
      <c r="D410">
        <v>0</v>
      </c>
      <c r="E410">
        <v>0</v>
      </c>
    </row>
    <row r="411" spans="1:5" x14ac:dyDescent="0.45">
      <c r="A411">
        <v>410</v>
      </c>
      <c r="B411">
        <v>29.5</v>
      </c>
      <c r="C411">
        <v>17</v>
      </c>
      <c r="D411">
        <v>0</v>
      </c>
      <c r="E411">
        <v>0</v>
      </c>
    </row>
    <row r="412" spans="1:5" x14ac:dyDescent="0.45">
      <c r="A412">
        <v>411</v>
      </c>
      <c r="B412">
        <v>28.6</v>
      </c>
      <c r="C412">
        <v>9</v>
      </c>
      <c r="D412">
        <v>0</v>
      </c>
      <c r="E412">
        <v>0</v>
      </c>
    </row>
    <row r="413" spans="1:5" x14ac:dyDescent="0.45">
      <c r="A413">
        <v>412</v>
      </c>
      <c r="B413">
        <v>26.4</v>
      </c>
      <c r="C413">
        <v>28</v>
      </c>
      <c r="D413">
        <v>0</v>
      </c>
      <c r="E413">
        <v>0</v>
      </c>
    </row>
    <row r="414" spans="1:5" x14ac:dyDescent="0.45">
      <c r="A414">
        <v>413</v>
      </c>
      <c r="B414">
        <v>23.6</v>
      </c>
      <c r="C414">
        <v>0</v>
      </c>
      <c r="D414">
        <v>0</v>
      </c>
      <c r="E414">
        <v>0</v>
      </c>
    </row>
    <row r="415" spans="1:5" x14ac:dyDescent="0.45">
      <c r="A415">
        <v>414</v>
      </c>
      <c r="B415">
        <v>21</v>
      </c>
      <c r="C415">
        <v>1</v>
      </c>
      <c r="D415">
        <v>0</v>
      </c>
      <c r="E415">
        <v>0</v>
      </c>
    </row>
    <row r="416" spans="1:5" x14ac:dyDescent="0.45">
      <c r="A416">
        <v>415</v>
      </c>
      <c r="B416">
        <v>19.600000000000001</v>
      </c>
      <c r="C416">
        <v>6</v>
      </c>
      <c r="D416">
        <v>0</v>
      </c>
      <c r="E416">
        <v>0</v>
      </c>
    </row>
    <row r="417" spans="1:5" x14ac:dyDescent="0.45">
      <c r="A417">
        <v>416</v>
      </c>
      <c r="B417">
        <v>19.5</v>
      </c>
      <c r="C417">
        <v>4</v>
      </c>
      <c r="D417">
        <v>0</v>
      </c>
      <c r="E417">
        <v>0</v>
      </c>
    </row>
    <row r="418" spans="1:5" x14ac:dyDescent="0.45">
      <c r="A418">
        <v>417</v>
      </c>
      <c r="B418">
        <v>20.7</v>
      </c>
      <c r="C418">
        <v>10</v>
      </c>
      <c r="D418">
        <v>0</v>
      </c>
      <c r="E418">
        <v>0</v>
      </c>
    </row>
    <row r="419" spans="1:5" x14ac:dyDescent="0.45">
      <c r="A419">
        <v>418</v>
      </c>
      <c r="B419">
        <v>22.7</v>
      </c>
      <c r="C419">
        <v>4</v>
      </c>
      <c r="D419">
        <v>0</v>
      </c>
      <c r="E419">
        <v>0</v>
      </c>
    </row>
    <row r="420" spans="1:5" x14ac:dyDescent="0.45">
      <c r="A420">
        <v>419</v>
      </c>
      <c r="B420">
        <v>24.5</v>
      </c>
      <c r="C420">
        <v>5</v>
      </c>
      <c r="D420">
        <v>0</v>
      </c>
      <c r="E420">
        <v>0</v>
      </c>
    </row>
    <row r="421" spans="1:5" x14ac:dyDescent="0.45">
      <c r="A421">
        <v>420</v>
      </c>
      <c r="B421">
        <v>25.4</v>
      </c>
      <c r="C421">
        <v>8</v>
      </c>
      <c r="D421">
        <v>0</v>
      </c>
      <c r="E421">
        <v>0</v>
      </c>
    </row>
    <row r="422" spans="1:5" x14ac:dyDescent="0.45">
      <c r="A422">
        <v>421</v>
      </c>
      <c r="B422">
        <v>24.8</v>
      </c>
      <c r="C422">
        <v>12</v>
      </c>
      <c r="D422">
        <v>0</v>
      </c>
      <c r="E422">
        <v>0</v>
      </c>
    </row>
    <row r="423" spans="1:5" x14ac:dyDescent="0.45">
      <c r="A423">
        <v>422</v>
      </c>
      <c r="B423">
        <v>22.5</v>
      </c>
      <c r="C423">
        <v>8</v>
      </c>
      <c r="D423">
        <v>0</v>
      </c>
      <c r="E423">
        <v>0</v>
      </c>
    </row>
    <row r="424" spans="1:5" x14ac:dyDescent="0.45">
      <c r="A424">
        <v>423</v>
      </c>
      <c r="B424">
        <v>18.899999999999999</v>
      </c>
      <c r="C424">
        <v>7</v>
      </c>
      <c r="D424">
        <v>0</v>
      </c>
      <c r="E424">
        <v>0</v>
      </c>
    </row>
    <row r="425" spans="1:5" x14ac:dyDescent="0.45">
      <c r="A425">
        <v>424</v>
      </c>
      <c r="B425">
        <v>14.8</v>
      </c>
      <c r="C425">
        <v>8</v>
      </c>
      <c r="D425">
        <v>0</v>
      </c>
      <c r="E425">
        <v>0</v>
      </c>
    </row>
    <row r="426" spans="1:5" x14ac:dyDescent="0.45">
      <c r="A426">
        <v>425</v>
      </c>
      <c r="B426">
        <v>11.2</v>
      </c>
      <c r="C426">
        <v>7</v>
      </c>
      <c r="D426">
        <v>0</v>
      </c>
      <c r="E426">
        <v>0</v>
      </c>
    </row>
    <row r="427" spans="1:5" x14ac:dyDescent="0.45">
      <c r="A427">
        <v>426</v>
      </c>
      <c r="B427">
        <v>8.8000000000000007</v>
      </c>
      <c r="C427">
        <v>23</v>
      </c>
      <c r="D427">
        <v>0</v>
      </c>
      <c r="E427">
        <v>0</v>
      </c>
    </row>
    <row r="428" spans="1:5" x14ac:dyDescent="0.45">
      <c r="A428">
        <v>427</v>
      </c>
      <c r="B428">
        <v>8</v>
      </c>
      <c r="C428">
        <v>0</v>
      </c>
      <c r="D428">
        <v>0</v>
      </c>
      <c r="E428">
        <v>0</v>
      </c>
    </row>
    <row r="429" spans="1:5" x14ac:dyDescent="0.45">
      <c r="A429">
        <v>428</v>
      </c>
      <c r="B429">
        <v>8.6</v>
      </c>
      <c r="C429">
        <v>2</v>
      </c>
      <c r="D429">
        <v>0</v>
      </c>
      <c r="E429">
        <v>0</v>
      </c>
    </row>
    <row r="430" spans="1:5" x14ac:dyDescent="0.45">
      <c r="A430">
        <v>429</v>
      </c>
      <c r="B430">
        <v>10.199999999999999</v>
      </c>
      <c r="C430">
        <v>5</v>
      </c>
      <c r="D430">
        <v>0</v>
      </c>
      <c r="E430">
        <v>0</v>
      </c>
    </row>
    <row r="431" spans="1:5" x14ac:dyDescent="0.45">
      <c r="A431">
        <v>430</v>
      </c>
      <c r="B431">
        <v>11.8</v>
      </c>
      <c r="C431">
        <v>5</v>
      </c>
      <c r="D431">
        <v>0</v>
      </c>
      <c r="E431">
        <v>0</v>
      </c>
    </row>
    <row r="432" spans="1:5" x14ac:dyDescent="0.45">
      <c r="A432">
        <v>431</v>
      </c>
      <c r="B432">
        <v>12.7</v>
      </c>
      <c r="C432">
        <v>8</v>
      </c>
      <c r="D432">
        <v>0</v>
      </c>
      <c r="E432">
        <v>0</v>
      </c>
    </row>
    <row r="433" spans="1:5" x14ac:dyDescent="0.45">
      <c r="A433">
        <v>432</v>
      </c>
      <c r="B433">
        <v>12.2</v>
      </c>
      <c r="C433">
        <v>6</v>
      </c>
      <c r="D433">
        <v>0</v>
      </c>
      <c r="E433">
        <v>0</v>
      </c>
    </row>
    <row r="434" spans="1:5" x14ac:dyDescent="0.45">
      <c r="A434">
        <v>433</v>
      </c>
      <c r="B434">
        <v>10.3</v>
      </c>
      <c r="C434">
        <v>9</v>
      </c>
      <c r="D434">
        <v>0</v>
      </c>
      <c r="E434">
        <v>0</v>
      </c>
    </row>
    <row r="435" spans="1:5" x14ac:dyDescent="0.45">
      <c r="A435">
        <v>434</v>
      </c>
      <c r="B435">
        <v>7.4</v>
      </c>
      <c r="C435">
        <v>17</v>
      </c>
      <c r="D435">
        <v>0</v>
      </c>
      <c r="E435">
        <v>0</v>
      </c>
    </row>
    <row r="436" spans="1:5" x14ac:dyDescent="0.45">
      <c r="A436">
        <v>435</v>
      </c>
      <c r="B436">
        <v>4.0999999999999996</v>
      </c>
      <c r="C436">
        <v>17</v>
      </c>
      <c r="D436">
        <v>0</v>
      </c>
      <c r="E436">
        <v>0</v>
      </c>
    </row>
    <row r="437" spans="1:5" x14ac:dyDescent="0.45">
      <c r="A437">
        <v>436</v>
      </c>
      <c r="B437">
        <v>1.4</v>
      </c>
      <c r="C437">
        <v>7</v>
      </c>
      <c r="D437">
        <v>0</v>
      </c>
      <c r="E437">
        <v>0</v>
      </c>
    </row>
    <row r="438" spans="1:5" x14ac:dyDescent="0.45">
      <c r="A438">
        <v>437</v>
      </c>
      <c r="B438">
        <v>0.1</v>
      </c>
      <c r="C438">
        <v>24</v>
      </c>
      <c r="D438">
        <v>0</v>
      </c>
      <c r="E438">
        <v>0</v>
      </c>
    </row>
    <row r="439" spans="1:5" x14ac:dyDescent="0.45">
      <c r="A439">
        <v>438</v>
      </c>
      <c r="B439">
        <v>0.5</v>
      </c>
      <c r="C439">
        <v>16</v>
      </c>
      <c r="D439">
        <v>0</v>
      </c>
      <c r="E439">
        <v>0</v>
      </c>
    </row>
    <row r="440" spans="1:5" x14ac:dyDescent="0.45">
      <c r="A440">
        <v>439</v>
      </c>
      <c r="B440">
        <v>2.5</v>
      </c>
      <c r="C440">
        <v>2</v>
      </c>
      <c r="D440">
        <v>0</v>
      </c>
      <c r="E440">
        <v>0</v>
      </c>
    </row>
    <row r="441" spans="1:5" x14ac:dyDescent="0.45">
      <c r="A441">
        <v>440</v>
      </c>
      <c r="B441">
        <v>5.5</v>
      </c>
      <c r="C441">
        <v>17</v>
      </c>
      <c r="D441">
        <v>0</v>
      </c>
      <c r="E441">
        <v>0</v>
      </c>
    </row>
    <row r="442" spans="1:5" x14ac:dyDescent="0.45">
      <c r="A442">
        <v>441</v>
      </c>
      <c r="B442">
        <v>8.6999999999999993</v>
      </c>
      <c r="C442">
        <v>23</v>
      </c>
      <c r="D442">
        <v>0</v>
      </c>
      <c r="E442">
        <v>0</v>
      </c>
    </row>
    <row r="443" spans="1:5" x14ac:dyDescent="0.45">
      <c r="A443">
        <v>442</v>
      </c>
      <c r="B443">
        <v>11.1</v>
      </c>
      <c r="C443">
        <v>0</v>
      </c>
      <c r="D443">
        <v>0</v>
      </c>
      <c r="E443">
        <v>0</v>
      </c>
    </row>
    <row r="444" spans="1:5" x14ac:dyDescent="0.45">
      <c r="A444">
        <v>443</v>
      </c>
      <c r="B444">
        <v>12.2</v>
      </c>
      <c r="C444">
        <v>4</v>
      </c>
      <c r="D444">
        <v>0</v>
      </c>
      <c r="E444">
        <v>0</v>
      </c>
    </row>
    <row r="445" spans="1:5" x14ac:dyDescent="0.45">
      <c r="A445">
        <v>444</v>
      </c>
      <c r="B445">
        <v>11.9</v>
      </c>
      <c r="C445">
        <v>1</v>
      </c>
      <c r="D445">
        <v>0</v>
      </c>
      <c r="E445">
        <v>0</v>
      </c>
    </row>
    <row r="446" spans="1:5" x14ac:dyDescent="0.45">
      <c r="A446">
        <v>445</v>
      </c>
      <c r="B446">
        <v>10.5</v>
      </c>
      <c r="C446">
        <v>1</v>
      </c>
      <c r="D446">
        <v>0</v>
      </c>
      <c r="E446">
        <v>0</v>
      </c>
    </row>
    <row r="447" spans="1:5" x14ac:dyDescent="0.45">
      <c r="A447">
        <v>446</v>
      </c>
      <c r="B447">
        <v>8.8000000000000007</v>
      </c>
      <c r="C447">
        <v>6</v>
      </c>
      <c r="D447">
        <v>0</v>
      </c>
      <c r="E447">
        <v>0</v>
      </c>
    </row>
    <row r="448" spans="1:5" x14ac:dyDescent="0.45">
      <c r="A448">
        <v>447</v>
      </c>
      <c r="B448">
        <v>7.5</v>
      </c>
      <c r="C448">
        <v>10</v>
      </c>
      <c r="D448">
        <v>0</v>
      </c>
      <c r="E448">
        <v>0</v>
      </c>
    </row>
    <row r="449" spans="1:5" x14ac:dyDescent="0.45">
      <c r="A449">
        <v>448</v>
      </c>
      <c r="B449">
        <v>7.6</v>
      </c>
      <c r="C449">
        <v>10</v>
      </c>
      <c r="D449">
        <v>0</v>
      </c>
      <c r="E449">
        <v>0</v>
      </c>
    </row>
    <row r="450" spans="1:5" x14ac:dyDescent="0.45">
      <c r="A450">
        <v>449</v>
      </c>
      <c r="B450">
        <v>9.1999999999999993</v>
      </c>
      <c r="C450">
        <v>2</v>
      </c>
      <c r="D450">
        <v>0</v>
      </c>
      <c r="E450">
        <v>0</v>
      </c>
    </row>
    <row r="451" spans="1:5" x14ac:dyDescent="0.45">
      <c r="A451">
        <v>450</v>
      </c>
      <c r="B451">
        <v>12.3</v>
      </c>
      <c r="C451">
        <v>7</v>
      </c>
      <c r="D451">
        <v>0</v>
      </c>
      <c r="E451">
        <v>0</v>
      </c>
    </row>
    <row r="452" spans="1:5" x14ac:dyDescent="0.45">
      <c r="A452">
        <v>451</v>
      </c>
      <c r="B452">
        <v>16.3</v>
      </c>
      <c r="C452">
        <v>18</v>
      </c>
      <c r="D452">
        <v>0</v>
      </c>
      <c r="E452">
        <v>0</v>
      </c>
    </row>
    <row r="453" spans="1:5" x14ac:dyDescent="0.45">
      <c r="A453">
        <v>452</v>
      </c>
      <c r="B453">
        <v>20.2</v>
      </c>
      <c r="C453">
        <v>23</v>
      </c>
      <c r="D453">
        <v>0</v>
      </c>
      <c r="E453">
        <v>0</v>
      </c>
    </row>
    <row r="454" spans="1:5" x14ac:dyDescent="0.45">
      <c r="A454">
        <v>453</v>
      </c>
      <c r="B454">
        <v>23.2</v>
      </c>
      <c r="C454">
        <v>7</v>
      </c>
      <c r="D454">
        <v>0</v>
      </c>
      <c r="E454">
        <v>0</v>
      </c>
    </row>
    <row r="455" spans="1:5" x14ac:dyDescent="0.45">
      <c r="A455">
        <v>454</v>
      </c>
      <c r="B455">
        <v>24.8</v>
      </c>
      <c r="C455">
        <v>20</v>
      </c>
      <c r="D455">
        <v>0</v>
      </c>
      <c r="E455">
        <v>0</v>
      </c>
    </row>
    <row r="456" spans="1:5" x14ac:dyDescent="0.45">
      <c r="A456">
        <v>455</v>
      </c>
      <c r="B456">
        <v>24.9</v>
      </c>
      <c r="C456">
        <v>14</v>
      </c>
      <c r="D456">
        <v>0</v>
      </c>
      <c r="E456">
        <v>0</v>
      </c>
    </row>
    <row r="457" spans="1:5" x14ac:dyDescent="0.45">
      <c r="A457">
        <v>456</v>
      </c>
      <c r="B457">
        <v>23.3</v>
      </c>
      <c r="C457">
        <v>11</v>
      </c>
      <c r="D457">
        <v>0</v>
      </c>
      <c r="E457">
        <v>0</v>
      </c>
    </row>
    <row r="458" spans="1:5" x14ac:dyDescent="0.45">
      <c r="A458">
        <v>457</v>
      </c>
      <c r="B458">
        <v>21.3</v>
      </c>
      <c r="C458">
        <v>10</v>
      </c>
      <c r="D458">
        <v>0</v>
      </c>
      <c r="E458">
        <v>0</v>
      </c>
    </row>
    <row r="459" spans="1:5" x14ac:dyDescent="0.45">
      <c r="A459">
        <v>458</v>
      </c>
      <c r="B459">
        <v>19.7</v>
      </c>
      <c r="C459">
        <v>13</v>
      </c>
      <c r="D459">
        <v>0</v>
      </c>
      <c r="E459">
        <v>0</v>
      </c>
    </row>
    <row r="460" spans="1:5" x14ac:dyDescent="0.45">
      <c r="A460">
        <v>459</v>
      </c>
      <c r="B460">
        <v>19.100000000000001</v>
      </c>
      <c r="C460">
        <v>24</v>
      </c>
      <c r="D460">
        <v>0</v>
      </c>
      <c r="E460">
        <v>0</v>
      </c>
    </row>
    <row r="461" spans="1:5" x14ac:dyDescent="0.45">
      <c r="A461">
        <v>460</v>
      </c>
      <c r="B461">
        <v>20</v>
      </c>
      <c r="C461">
        <v>0</v>
      </c>
      <c r="D461">
        <v>0</v>
      </c>
      <c r="E461">
        <v>0</v>
      </c>
    </row>
    <row r="462" spans="1:5" x14ac:dyDescent="0.45">
      <c r="A462">
        <v>461</v>
      </c>
      <c r="B462">
        <v>22.1</v>
      </c>
      <c r="C462">
        <v>1</v>
      </c>
      <c r="D462">
        <v>0</v>
      </c>
      <c r="E462">
        <v>0</v>
      </c>
    </row>
    <row r="463" spans="1:5" x14ac:dyDescent="0.45">
      <c r="A463">
        <v>462</v>
      </c>
      <c r="B463">
        <v>25</v>
      </c>
      <c r="C463">
        <v>4</v>
      </c>
      <c r="D463">
        <v>0</v>
      </c>
      <c r="E463">
        <v>0</v>
      </c>
    </row>
    <row r="464" spans="1:5" x14ac:dyDescent="0.45">
      <c r="A464">
        <v>463</v>
      </c>
      <c r="B464">
        <v>27.7</v>
      </c>
      <c r="C464">
        <v>1</v>
      </c>
      <c r="D464">
        <v>0</v>
      </c>
      <c r="E464">
        <v>0</v>
      </c>
    </row>
    <row r="465" spans="1:5" x14ac:dyDescent="0.45">
      <c r="A465">
        <v>464</v>
      </c>
      <c r="B465">
        <v>29.4</v>
      </c>
      <c r="C465">
        <v>12</v>
      </c>
      <c r="D465">
        <v>0</v>
      </c>
      <c r="E465">
        <v>0</v>
      </c>
    </row>
    <row r="466" spans="1:5" x14ac:dyDescent="0.45">
      <c r="A466">
        <v>465</v>
      </c>
      <c r="B466">
        <v>29.5</v>
      </c>
      <c r="C466">
        <v>12</v>
      </c>
      <c r="D466">
        <v>0</v>
      </c>
      <c r="E466">
        <v>0</v>
      </c>
    </row>
    <row r="467" spans="1:5" x14ac:dyDescent="0.45">
      <c r="A467">
        <v>466</v>
      </c>
      <c r="B467">
        <v>27.8</v>
      </c>
      <c r="C467">
        <v>8</v>
      </c>
      <c r="D467">
        <v>0</v>
      </c>
      <c r="E467">
        <v>0</v>
      </c>
    </row>
    <row r="468" spans="1:5" x14ac:dyDescent="0.45">
      <c r="A468">
        <v>467</v>
      </c>
      <c r="B468">
        <v>24.9</v>
      </c>
      <c r="C468">
        <v>13</v>
      </c>
      <c r="D468">
        <v>0</v>
      </c>
      <c r="E468">
        <v>0</v>
      </c>
    </row>
    <row r="469" spans="1:5" x14ac:dyDescent="0.45">
      <c r="A469">
        <v>468</v>
      </c>
      <c r="B469">
        <v>21.3</v>
      </c>
      <c r="C469">
        <v>18</v>
      </c>
      <c r="D469">
        <v>0</v>
      </c>
      <c r="E469">
        <v>0</v>
      </c>
    </row>
    <row r="470" spans="1:5" x14ac:dyDescent="0.45">
      <c r="A470">
        <v>469</v>
      </c>
      <c r="B470">
        <v>18.100000000000001</v>
      </c>
      <c r="C470">
        <v>15</v>
      </c>
      <c r="D470">
        <v>0</v>
      </c>
      <c r="E470">
        <v>0</v>
      </c>
    </row>
    <row r="471" spans="1:5" x14ac:dyDescent="0.45">
      <c r="A471">
        <v>470</v>
      </c>
      <c r="B471">
        <v>15.9</v>
      </c>
      <c r="C471">
        <v>10</v>
      </c>
      <c r="D471">
        <v>0</v>
      </c>
      <c r="E471">
        <v>0</v>
      </c>
    </row>
    <row r="472" spans="1:5" x14ac:dyDescent="0.45">
      <c r="A472">
        <v>471</v>
      </c>
      <c r="B472">
        <v>15.3</v>
      </c>
      <c r="C472">
        <v>7</v>
      </c>
      <c r="D472">
        <v>0</v>
      </c>
      <c r="E472">
        <v>0</v>
      </c>
    </row>
    <row r="473" spans="1:5" x14ac:dyDescent="0.45">
      <c r="A473">
        <v>472</v>
      </c>
      <c r="B473">
        <v>16</v>
      </c>
      <c r="C473">
        <v>5</v>
      </c>
      <c r="D473">
        <v>0</v>
      </c>
      <c r="E473">
        <v>0</v>
      </c>
    </row>
    <row r="474" spans="1:5" x14ac:dyDescent="0.45">
      <c r="A474">
        <v>473</v>
      </c>
      <c r="B474">
        <v>17.5</v>
      </c>
      <c r="C474">
        <v>26</v>
      </c>
      <c r="D474">
        <v>0</v>
      </c>
      <c r="E474">
        <v>0</v>
      </c>
    </row>
    <row r="475" spans="1:5" x14ac:dyDescent="0.45">
      <c r="A475">
        <v>474</v>
      </c>
      <c r="B475">
        <v>19</v>
      </c>
      <c r="C475">
        <v>0</v>
      </c>
      <c r="D475">
        <v>0</v>
      </c>
      <c r="E475">
        <v>0</v>
      </c>
    </row>
    <row r="476" spans="1:5" x14ac:dyDescent="0.45">
      <c r="A476">
        <v>475</v>
      </c>
      <c r="B476">
        <v>19.5</v>
      </c>
      <c r="C476">
        <v>2</v>
      </c>
      <c r="D476">
        <v>0</v>
      </c>
      <c r="E476">
        <v>0</v>
      </c>
    </row>
    <row r="477" spans="1:5" x14ac:dyDescent="0.45">
      <c r="A477">
        <v>476</v>
      </c>
      <c r="B477">
        <v>18.7</v>
      </c>
      <c r="C477">
        <v>6</v>
      </c>
      <c r="D477">
        <v>0</v>
      </c>
      <c r="E477">
        <v>0</v>
      </c>
    </row>
    <row r="478" spans="1:5" x14ac:dyDescent="0.45">
      <c r="A478">
        <v>477</v>
      </c>
      <c r="B478">
        <v>16.3</v>
      </c>
      <c r="C478">
        <v>5</v>
      </c>
      <c r="D478">
        <v>0</v>
      </c>
      <c r="E478">
        <v>0</v>
      </c>
    </row>
    <row r="479" spans="1:5" x14ac:dyDescent="0.45">
      <c r="A479">
        <v>478</v>
      </c>
      <c r="B479">
        <v>12.7</v>
      </c>
      <c r="C479">
        <v>6</v>
      </c>
      <c r="D479">
        <v>0</v>
      </c>
      <c r="E479">
        <v>0</v>
      </c>
    </row>
    <row r="480" spans="1:5" x14ac:dyDescent="0.45">
      <c r="A480">
        <v>479</v>
      </c>
      <c r="B480">
        <v>8.8000000000000007</v>
      </c>
      <c r="C480">
        <v>7</v>
      </c>
      <c r="D480">
        <v>0</v>
      </c>
      <c r="E480">
        <v>0</v>
      </c>
    </row>
    <row r="481" spans="1:5" x14ac:dyDescent="0.45">
      <c r="A481">
        <v>480</v>
      </c>
      <c r="B481">
        <v>5.3</v>
      </c>
      <c r="C481">
        <v>2</v>
      </c>
      <c r="D481">
        <v>0</v>
      </c>
      <c r="E481">
        <v>0</v>
      </c>
    </row>
    <row r="482" spans="1:5" x14ac:dyDescent="0.45">
      <c r="A482">
        <v>481</v>
      </c>
      <c r="B482">
        <v>3.2</v>
      </c>
      <c r="C482">
        <v>7</v>
      </c>
      <c r="D482">
        <v>0</v>
      </c>
      <c r="E482">
        <v>0</v>
      </c>
    </row>
    <row r="483" spans="1:5" x14ac:dyDescent="0.45">
      <c r="A483">
        <v>482</v>
      </c>
      <c r="B483">
        <v>2.7</v>
      </c>
      <c r="C483">
        <v>7</v>
      </c>
      <c r="D483">
        <v>0</v>
      </c>
      <c r="E483">
        <v>0</v>
      </c>
    </row>
    <row r="484" spans="1:5" x14ac:dyDescent="0.45">
      <c r="A484">
        <v>483</v>
      </c>
      <c r="B484">
        <v>3.9</v>
      </c>
      <c r="C484">
        <v>8</v>
      </c>
      <c r="D484">
        <v>0</v>
      </c>
      <c r="E484">
        <v>0</v>
      </c>
    </row>
    <row r="485" spans="1:5" x14ac:dyDescent="0.45">
      <c r="A485">
        <v>484</v>
      </c>
      <c r="B485">
        <v>6</v>
      </c>
      <c r="C485">
        <v>18</v>
      </c>
      <c r="D485">
        <v>0</v>
      </c>
      <c r="E485">
        <v>0</v>
      </c>
    </row>
    <row r="486" spans="1:5" x14ac:dyDescent="0.45">
      <c r="A486">
        <v>485</v>
      </c>
      <c r="B486">
        <v>8.1999999999999993</v>
      </c>
      <c r="C486">
        <v>23</v>
      </c>
      <c r="D486">
        <v>0</v>
      </c>
      <c r="E486">
        <v>0</v>
      </c>
    </row>
    <row r="487" spans="1:5" x14ac:dyDescent="0.45">
      <c r="A487">
        <v>486</v>
      </c>
      <c r="B487">
        <v>9.6999999999999993</v>
      </c>
      <c r="C487">
        <v>23</v>
      </c>
      <c r="D487">
        <v>0</v>
      </c>
      <c r="E487">
        <v>0</v>
      </c>
    </row>
    <row r="488" spans="1:5" x14ac:dyDescent="0.45">
      <c r="A488">
        <v>487</v>
      </c>
      <c r="B488">
        <v>10</v>
      </c>
      <c r="C488">
        <v>11</v>
      </c>
      <c r="D488">
        <v>0</v>
      </c>
      <c r="E488">
        <v>0</v>
      </c>
    </row>
    <row r="489" spans="1:5" x14ac:dyDescent="0.45">
      <c r="A489">
        <v>488</v>
      </c>
      <c r="B489">
        <v>8.8000000000000007</v>
      </c>
      <c r="C489">
        <v>16</v>
      </c>
      <c r="D489">
        <v>0</v>
      </c>
      <c r="E489">
        <v>0</v>
      </c>
    </row>
    <row r="490" spans="1:5" x14ac:dyDescent="0.45">
      <c r="A490">
        <v>489</v>
      </c>
      <c r="B490">
        <v>6.6</v>
      </c>
      <c r="C490">
        <v>22</v>
      </c>
      <c r="D490">
        <v>0</v>
      </c>
      <c r="E490">
        <v>0</v>
      </c>
    </row>
    <row r="491" spans="1:5" x14ac:dyDescent="0.45">
      <c r="A491">
        <v>490</v>
      </c>
      <c r="B491">
        <v>4.0999999999999996</v>
      </c>
      <c r="C491">
        <v>0</v>
      </c>
      <c r="D491">
        <v>0</v>
      </c>
      <c r="E491">
        <v>0</v>
      </c>
    </row>
    <row r="492" spans="1:5" x14ac:dyDescent="0.45">
      <c r="A492">
        <v>491</v>
      </c>
      <c r="B492">
        <v>2.2000000000000002</v>
      </c>
      <c r="C492">
        <v>1</v>
      </c>
      <c r="D492">
        <v>0</v>
      </c>
      <c r="E492">
        <v>0</v>
      </c>
    </row>
    <row r="493" spans="1:5" x14ac:dyDescent="0.45">
      <c r="A493">
        <v>492</v>
      </c>
      <c r="B493">
        <v>1.6</v>
      </c>
      <c r="C493">
        <v>4</v>
      </c>
      <c r="D493">
        <v>0</v>
      </c>
      <c r="E493">
        <v>0</v>
      </c>
    </row>
    <row r="494" spans="1:5" x14ac:dyDescent="0.45">
      <c r="A494">
        <v>493</v>
      </c>
      <c r="B494">
        <v>2.7</v>
      </c>
      <c r="C494">
        <v>1</v>
      </c>
      <c r="D494">
        <v>0</v>
      </c>
      <c r="E494">
        <v>0</v>
      </c>
    </row>
    <row r="495" spans="1:5" x14ac:dyDescent="0.45">
      <c r="A495">
        <v>494</v>
      </c>
      <c r="B495">
        <v>5.4</v>
      </c>
      <c r="C495">
        <v>9</v>
      </c>
      <c r="D495">
        <v>0</v>
      </c>
      <c r="E495">
        <v>0</v>
      </c>
    </row>
    <row r="496" spans="1:5" x14ac:dyDescent="0.45">
      <c r="A496">
        <v>495</v>
      </c>
      <c r="B496">
        <v>9.1</v>
      </c>
      <c r="C496">
        <v>11</v>
      </c>
      <c r="D496">
        <v>0</v>
      </c>
      <c r="E496">
        <v>0</v>
      </c>
    </row>
    <row r="497" spans="1:5" x14ac:dyDescent="0.45">
      <c r="A497">
        <v>496</v>
      </c>
      <c r="B497">
        <v>12.9</v>
      </c>
      <c r="C497">
        <v>8</v>
      </c>
      <c r="D497">
        <v>0</v>
      </c>
      <c r="E497">
        <v>0</v>
      </c>
    </row>
    <row r="498" spans="1:5" x14ac:dyDescent="0.45">
      <c r="A498">
        <v>497</v>
      </c>
      <c r="B498">
        <v>15.9</v>
      </c>
      <c r="C498">
        <v>16</v>
      </c>
      <c r="D498">
        <v>0</v>
      </c>
      <c r="E498">
        <v>0</v>
      </c>
    </row>
    <row r="499" spans="1:5" x14ac:dyDescent="0.45">
      <c r="A499">
        <v>498</v>
      </c>
      <c r="B499">
        <v>17.5</v>
      </c>
      <c r="C499">
        <v>15</v>
      </c>
      <c r="D499">
        <v>0</v>
      </c>
      <c r="E499">
        <v>0</v>
      </c>
    </row>
    <row r="500" spans="1:5" x14ac:dyDescent="0.45">
      <c r="A500">
        <v>499</v>
      </c>
      <c r="B500">
        <v>17.5</v>
      </c>
      <c r="C500">
        <v>8</v>
      </c>
      <c r="D500">
        <v>0</v>
      </c>
      <c r="E500">
        <v>0</v>
      </c>
    </row>
    <row r="501" spans="1:5" x14ac:dyDescent="0.45">
      <c r="A501">
        <v>500</v>
      </c>
      <c r="B501">
        <v>16.399999999999999</v>
      </c>
      <c r="C501">
        <v>14</v>
      </c>
      <c r="D501">
        <v>0</v>
      </c>
      <c r="E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CF37-2A2C-4B37-BE5D-BAEDA29F710C}">
  <dimension ref="A1:K501"/>
  <sheetViews>
    <sheetView workbookViewId="0">
      <selection activeCell="K3" sqref="K3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11" x14ac:dyDescent="0.45">
      <c r="A2">
        <v>1</v>
      </c>
      <c r="B2">
        <v>19</v>
      </c>
      <c r="C2">
        <v>0</v>
      </c>
      <c r="D2">
        <v>0</v>
      </c>
      <c r="E2">
        <v>0</v>
      </c>
      <c r="F2">
        <f>IF(B2&gt;=20,1,0)</f>
        <v>0</v>
      </c>
      <c r="G2">
        <f>IF(C2&lt;=5,1,0)</f>
        <v>1</v>
      </c>
      <c r="H2">
        <f>SUM(F2:G2)</f>
        <v>1</v>
      </c>
      <c r="K2" t="s">
        <v>10</v>
      </c>
    </row>
    <row r="3" spans="1:11" x14ac:dyDescent="0.45">
      <c r="A3">
        <v>2</v>
      </c>
      <c r="B3">
        <v>22</v>
      </c>
      <c r="C3">
        <v>1</v>
      </c>
      <c r="D3" t="s">
        <v>5</v>
      </c>
      <c r="E3">
        <v>1</v>
      </c>
      <c r="F3">
        <f t="shared" ref="F3:F66" si="0">IF(B3&gt;=20,1,0)</f>
        <v>1</v>
      </c>
      <c r="G3">
        <f t="shared" ref="G3:G66" si="1">IF(C3&lt;=5,1,0)</f>
        <v>1</v>
      </c>
      <c r="H3">
        <f t="shared" ref="H3:H66" si="2">SUM(F3:G3)</f>
        <v>2</v>
      </c>
      <c r="K3">
        <f>COUNTIF(H2:H501,2)</f>
        <v>63</v>
      </c>
    </row>
    <row r="4" spans="1:11" x14ac:dyDescent="0.45">
      <c r="A4">
        <v>3</v>
      </c>
      <c r="B4">
        <v>23.6</v>
      </c>
      <c r="C4">
        <v>4</v>
      </c>
      <c r="D4" t="s">
        <v>5</v>
      </c>
      <c r="E4">
        <v>1</v>
      </c>
      <c r="F4">
        <f t="shared" si="0"/>
        <v>1</v>
      </c>
      <c r="G4">
        <f t="shared" si="1"/>
        <v>1</v>
      </c>
      <c r="H4">
        <f t="shared" si="2"/>
        <v>2</v>
      </c>
    </row>
    <row r="5" spans="1:11" x14ac:dyDescent="0.45">
      <c r="A5">
        <v>4</v>
      </c>
      <c r="B5">
        <v>23.6</v>
      </c>
      <c r="C5">
        <v>4</v>
      </c>
      <c r="D5" t="s">
        <v>5</v>
      </c>
      <c r="E5">
        <v>1</v>
      </c>
      <c r="F5">
        <f t="shared" si="0"/>
        <v>1</v>
      </c>
      <c r="G5">
        <f t="shared" si="1"/>
        <v>1</v>
      </c>
      <c r="H5">
        <f t="shared" si="2"/>
        <v>2</v>
      </c>
    </row>
    <row r="6" spans="1:11" x14ac:dyDescent="0.45">
      <c r="A6">
        <v>5</v>
      </c>
      <c r="B6">
        <v>22.3</v>
      </c>
      <c r="C6">
        <v>10</v>
      </c>
      <c r="D6" t="s">
        <v>5</v>
      </c>
      <c r="E6">
        <v>2</v>
      </c>
      <c r="F6">
        <f t="shared" si="0"/>
        <v>1</v>
      </c>
      <c r="G6">
        <f t="shared" si="1"/>
        <v>0</v>
      </c>
      <c r="H6">
        <f t="shared" si="2"/>
        <v>1</v>
      </c>
    </row>
    <row r="7" spans="1:11" x14ac:dyDescent="0.45">
      <c r="A7">
        <v>6</v>
      </c>
      <c r="B7">
        <v>20.399999999999999</v>
      </c>
      <c r="C7">
        <v>8</v>
      </c>
      <c r="D7" t="s">
        <v>5</v>
      </c>
      <c r="E7">
        <v>2</v>
      </c>
      <c r="F7">
        <f t="shared" si="0"/>
        <v>1</v>
      </c>
      <c r="G7">
        <f t="shared" si="1"/>
        <v>0</v>
      </c>
      <c r="H7">
        <f t="shared" si="2"/>
        <v>1</v>
      </c>
    </row>
    <row r="8" spans="1:11" x14ac:dyDescent="0.45">
      <c r="A8">
        <v>7</v>
      </c>
      <c r="B8">
        <v>18.899999999999999</v>
      </c>
      <c r="C8">
        <v>10</v>
      </c>
      <c r="D8" t="s">
        <v>5</v>
      </c>
      <c r="E8">
        <v>2</v>
      </c>
      <c r="F8">
        <f t="shared" si="0"/>
        <v>0</v>
      </c>
      <c r="G8">
        <f t="shared" si="1"/>
        <v>0</v>
      </c>
      <c r="H8">
        <f t="shared" si="2"/>
        <v>0</v>
      </c>
    </row>
    <row r="9" spans="1:11" x14ac:dyDescent="0.45">
      <c r="A9">
        <v>8</v>
      </c>
      <c r="B9">
        <v>18.5</v>
      </c>
      <c r="C9">
        <v>11</v>
      </c>
      <c r="D9" t="s">
        <v>5</v>
      </c>
      <c r="E9">
        <v>3</v>
      </c>
      <c r="F9">
        <f t="shared" si="0"/>
        <v>0</v>
      </c>
      <c r="G9">
        <f t="shared" si="1"/>
        <v>0</v>
      </c>
      <c r="H9">
        <f t="shared" si="2"/>
        <v>0</v>
      </c>
    </row>
    <row r="10" spans="1:11" x14ac:dyDescent="0.45">
      <c r="A10">
        <v>9</v>
      </c>
      <c r="B10">
        <v>19.5</v>
      </c>
      <c r="C10">
        <v>14</v>
      </c>
      <c r="D10" t="s">
        <v>5</v>
      </c>
      <c r="E10">
        <v>3</v>
      </c>
      <c r="F10">
        <f t="shared" si="0"/>
        <v>0</v>
      </c>
      <c r="G10">
        <f t="shared" si="1"/>
        <v>0</v>
      </c>
      <c r="H10">
        <f t="shared" si="2"/>
        <v>0</v>
      </c>
    </row>
    <row r="11" spans="1:11" x14ac:dyDescent="0.45">
      <c r="A11">
        <v>10</v>
      </c>
      <c r="B11">
        <v>21.8</v>
      </c>
      <c r="C11">
        <v>15</v>
      </c>
      <c r="D11" t="s">
        <v>5</v>
      </c>
      <c r="E11">
        <v>3</v>
      </c>
      <c r="F11">
        <f t="shared" si="0"/>
        <v>1</v>
      </c>
      <c r="G11">
        <f t="shared" si="1"/>
        <v>0</v>
      </c>
      <c r="H11">
        <f t="shared" si="2"/>
        <v>1</v>
      </c>
    </row>
    <row r="12" spans="1:11" x14ac:dyDescent="0.45">
      <c r="A12">
        <v>11</v>
      </c>
      <c r="B12">
        <v>24.8</v>
      </c>
      <c r="C12">
        <v>3</v>
      </c>
      <c r="D12" t="s">
        <v>5</v>
      </c>
      <c r="E12">
        <v>4</v>
      </c>
      <c r="F12">
        <f t="shared" si="0"/>
        <v>1</v>
      </c>
      <c r="G12">
        <f t="shared" si="1"/>
        <v>1</v>
      </c>
      <c r="H12">
        <f t="shared" si="2"/>
        <v>2</v>
      </c>
    </row>
    <row r="13" spans="1:11" x14ac:dyDescent="0.45">
      <c r="A13">
        <v>12</v>
      </c>
      <c r="B13">
        <v>27.7</v>
      </c>
      <c r="C13">
        <v>23</v>
      </c>
      <c r="D13" t="s">
        <v>5</v>
      </c>
      <c r="E13">
        <v>4</v>
      </c>
      <c r="F13">
        <f t="shared" si="0"/>
        <v>1</v>
      </c>
      <c r="G13">
        <f t="shared" si="1"/>
        <v>0</v>
      </c>
      <c r="H13">
        <f t="shared" si="2"/>
        <v>1</v>
      </c>
    </row>
    <row r="14" spans="1:11" x14ac:dyDescent="0.45">
      <c r="A14">
        <v>13</v>
      </c>
      <c r="B14">
        <v>29.5</v>
      </c>
      <c r="C14">
        <v>17</v>
      </c>
      <c r="D14" t="s">
        <v>5</v>
      </c>
      <c r="E14">
        <v>4</v>
      </c>
      <c r="F14">
        <f t="shared" si="0"/>
        <v>1</v>
      </c>
      <c r="G14">
        <f t="shared" si="1"/>
        <v>0</v>
      </c>
      <c r="H14">
        <f t="shared" si="2"/>
        <v>1</v>
      </c>
    </row>
    <row r="15" spans="1:11" x14ac:dyDescent="0.45">
      <c r="A15">
        <v>14</v>
      </c>
      <c r="B15">
        <v>29.8</v>
      </c>
      <c r="C15">
        <v>15</v>
      </c>
      <c r="D15" t="s">
        <v>5</v>
      </c>
      <c r="E15">
        <v>5</v>
      </c>
      <c r="F15">
        <f t="shared" si="0"/>
        <v>1</v>
      </c>
      <c r="G15">
        <f t="shared" si="1"/>
        <v>0</v>
      </c>
      <c r="H15">
        <f t="shared" si="2"/>
        <v>1</v>
      </c>
    </row>
    <row r="16" spans="1:11" x14ac:dyDescent="0.45">
      <c r="A16">
        <v>15</v>
      </c>
      <c r="B16">
        <v>28.3</v>
      </c>
      <c r="C16">
        <v>22</v>
      </c>
      <c r="D16" t="s">
        <v>5</v>
      </c>
      <c r="E16">
        <v>5</v>
      </c>
      <c r="F16">
        <f t="shared" si="0"/>
        <v>1</v>
      </c>
      <c r="G16">
        <f t="shared" si="1"/>
        <v>0</v>
      </c>
      <c r="H16">
        <f t="shared" si="2"/>
        <v>1</v>
      </c>
    </row>
    <row r="17" spans="1:8" x14ac:dyDescent="0.45">
      <c r="A17">
        <v>16</v>
      </c>
      <c r="B17">
        <v>25.5</v>
      </c>
      <c r="C17">
        <v>0</v>
      </c>
      <c r="D17">
        <v>0</v>
      </c>
      <c r="E17">
        <v>0</v>
      </c>
      <c r="F17">
        <f t="shared" si="0"/>
        <v>1</v>
      </c>
      <c r="G17">
        <f t="shared" si="1"/>
        <v>1</v>
      </c>
      <c r="H17">
        <f t="shared" si="2"/>
        <v>2</v>
      </c>
    </row>
    <row r="18" spans="1:8" x14ac:dyDescent="0.45">
      <c r="A18">
        <v>17</v>
      </c>
      <c r="B18">
        <v>22</v>
      </c>
      <c r="C18">
        <v>2</v>
      </c>
      <c r="D18" t="s">
        <v>5</v>
      </c>
      <c r="E18">
        <v>1</v>
      </c>
      <c r="F18">
        <f t="shared" si="0"/>
        <v>1</v>
      </c>
      <c r="G18">
        <f t="shared" si="1"/>
        <v>1</v>
      </c>
      <c r="H18">
        <f t="shared" si="2"/>
        <v>2</v>
      </c>
    </row>
    <row r="19" spans="1:8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f t="shared" si="0"/>
        <v>0</v>
      </c>
      <c r="G19">
        <f t="shared" si="1"/>
        <v>1</v>
      </c>
      <c r="H19">
        <f t="shared" si="2"/>
        <v>1</v>
      </c>
    </row>
    <row r="20" spans="1:8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f t="shared" si="0"/>
        <v>0</v>
      </c>
      <c r="G20">
        <f t="shared" si="1"/>
        <v>1</v>
      </c>
      <c r="H20">
        <f t="shared" si="2"/>
        <v>1</v>
      </c>
    </row>
    <row r="21" spans="1:8" x14ac:dyDescent="0.45">
      <c r="A21">
        <v>20</v>
      </c>
      <c r="B21">
        <v>16.3</v>
      </c>
      <c r="C21">
        <v>12</v>
      </c>
      <c r="D21" t="s">
        <v>5</v>
      </c>
      <c r="E21">
        <v>2</v>
      </c>
      <c r="F21">
        <f t="shared" si="0"/>
        <v>0</v>
      </c>
      <c r="G21">
        <f t="shared" si="1"/>
        <v>0</v>
      </c>
      <c r="H21">
        <f t="shared" si="2"/>
        <v>0</v>
      </c>
    </row>
    <row r="22" spans="1:8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f t="shared" si="0"/>
        <v>0</v>
      </c>
      <c r="G22">
        <f t="shared" si="1"/>
        <v>0</v>
      </c>
      <c r="H22">
        <f t="shared" si="2"/>
        <v>0</v>
      </c>
    </row>
    <row r="23" spans="1:8" x14ac:dyDescent="0.45">
      <c r="A23">
        <v>22</v>
      </c>
      <c r="B23">
        <v>18.7</v>
      </c>
      <c r="C23">
        <v>6</v>
      </c>
      <c r="D23" t="s">
        <v>5</v>
      </c>
      <c r="E23">
        <v>2</v>
      </c>
      <c r="F23">
        <f t="shared" si="0"/>
        <v>0</v>
      </c>
      <c r="G23">
        <f t="shared" si="1"/>
        <v>0</v>
      </c>
      <c r="H23">
        <f t="shared" si="2"/>
        <v>0</v>
      </c>
    </row>
    <row r="24" spans="1:8" x14ac:dyDescent="0.45">
      <c r="A24">
        <v>23</v>
      </c>
      <c r="B24">
        <v>20.2</v>
      </c>
      <c r="C24">
        <v>18</v>
      </c>
      <c r="D24" t="s">
        <v>5</v>
      </c>
      <c r="E24">
        <v>2</v>
      </c>
      <c r="F24">
        <f t="shared" si="0"/>
        <v>1</v>
      </c>
      <c r="G24">
        <f t="shared" si="1"/>
        <v>0</v>
      </c>
      <c r="H24">
        <f t="shared" si="2"/>
        <v>1</v>
      </c>
    </row>
    <row r="25" spans="1:8" x14ac:dyDescent="0.45">
      <c r="A25">
        <v>24</v>
      </c>
      <c r="B25">
        <v>20.8</v>
      </c>
      <c r="C25">
        <v>15</v>
      </c>
      <c r="D25" t="s">
        <v>5</v>
      </c>
      <c r="E25">
        <v>3</v>
      </c>
      <c r="F25">
        <f t="shared" si="0"/>
        <v>1</v>
      </c>
      <c r="G25">
        <f t="shared" si="1"/>
        <v>0</v>
      </c>
      <c r="H25">
        <f t="shared" si="2"/>
        <v>1</v>
      </c>
    </row>
    <row r="26" spans="1:8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f t="shared" si="0"/>
        <v>0</v>
      </c>
      <c r="G26">
        <f t="shared" si="1"/>
        <v>1</v>
      </c>
      <c r="H26">
        <f t="shared" si="2"/>
        <v>1</v>
      </c>
    </row>
    <row r="27" spans="1:8" x14ac:dyDescent="0.45">
      <c r="A27">
        <v>26</v>
      </c>
      <c r="B27">
        <v>17.5</v>
      </c>
      <c r="C27">
        <v>19</v>
      </c>
      <c r="D27" t="s">
        <v>5</v>
      </c>
      <c r="E27">
        <v>4</v>
      </c>
      <c r="F27">
        <f t="shared" si="0"/>
        <v>0</v>
      </c>
      <c r="G27">
        <f t="shared" si="1"/>
        <v>0</v>
      </c>
      <c r="H27">
        <f t="shared" si="2"/>
        <v>0</v>
      </c>
    </row>
    <row r="28" spans="1:8" x14ac:dyDescent="0.45">
      <c r="A28">
        <v>27</v>
      </c>
      <c r="B28">
        <v>13.9</v>
      </c>
      <c r="C28">
        <v>18</v>
      </c>
      <c r="D28" t="s">
        <v>5</v>
      </c>
      <c r="E28">
        <v>4</v>
      </c>
      <c r="F28">
        <f t="shared" si="0"/>
        <v>0</v>
      </c>
      <c r="G28">
        <f t="shared" si="1"/>
        <v>0</v>
      </c>
      <c r="H28">
        <f t="shared" si="2"/>
        <v>0</v>
      </c>
    </row>
    <row r="29" spans="1:8" x14ac:dyDescent="0.45">
      <c r="A29">
        <v>28</v>
      </c>
      <c r="B29">
        <v>9.9</v>
      </c>
      <c r="C29">
        <v>4</v>
      </c>
      <c r="D29" t="s">
        <v>5</v>
      </c>
      <c r="E29">
        <v>4</v>
      </c>
      <c r="F29">
        <f t="shared" si="0"/>
        <v>0</v>
      </c>
      <c r="G29">
        <f t="shared" si="1"/>
        <v>1</v>
      </c>
      <c r="H29">
        <f t="shared" si="2"/>
        <v>1</v>
      </c>
    </row>
    <row r="30" spans="1:8" x14ac:dyDescent="0.45">
      <c r="A30">
        <v>29</v>
      </c>
      <c r="B30">
        <v>6.4</v>
      </c>
      <c r="C30">
        <v>17</v>
      </c>
      <c r="D30" t="s">
        <v>5</v>
      </c>
      <c r="E30">
        <v>5</v>
      </c>
      <c r="F30">
        <f t="shared" si="0"/>
        <v>0</v>
      </c>
      <c r="G30">
        <f t="shared" si="1"/>
        <v>0</v>
      </c>
      <c r="H30">
        <f t="shared" si="2"/>
        <v>0</v>
      </c>
    </row>
    <row r="31" spans="1:8" x14ac:dyDescent="0.45">
      <c r="A31">
        <v>30</v>
      </c>
      <c r="B31">
        <v>4.2</v>
      </c>
      <c r="C31">
        <v>14</v>
      </c>
      <c r="D31" t="s">
        <v>5</v>
      </c>
      <c r="E31">
        <v>5</v>
      </c>
      <c r="F31">
        <f t="shared" si="0"/>
        <v>0</v>
      </c>
      <c r="G31">
        <f t="shared" si="1"/>
        <v>0</v>
      </c>
      <c r="H31">
        <f t="shared" si="2"/>
        <v>0</v>
      </c>
    </row>
    <row r="32" spans="1:8" x14ac:dyDescent="0.45">
      <c r="A32">
        <v>31</v>
      </c>
      <c r="B32">
        <v>3.6</v>
      </c>
      <c r="C32">
        <v>12</v>
      </c>
      <c r="D32" t="s">
        <v>5</v>
      </c>
      <c r="E32">
        <v>5</v>
      </c>
      <c r="F32">
        <f t="shared" si="0"/>
        <v>0</v>
      </c>
      <c r="G32">
        <f t="shared" si="1"/>
        <v>0</v>
      </c>
      <c r="H32">
        <f t="shared" si="2"/>
        <v>0</v>
      </c>
    </row>
    <row r="33" spans="1:8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f t="shared" si="0"/>
        <v>0</v>
      </c>
      <c r="G33">
        <f t="shared" si="1"/>
        <v>0</v>
      </c>
      <c r="H33">
        <f t="shared" si="2"/>
        <v>0</v>
      </c>
    </row>
    <row r="34" spans="1:8" x14ac:dyDescent="0.45">
      <c r="A34">
        <v>33</v>
      </c>
      <c r="B34">
        <v>6.6</v>
      </c>
      <c r="C34">
        <v>17</v>
      </c>
      <c r="D34" t="s">
        <v>5</v>
      </c>
      <c r="E34">
        <v>5</v>
      </c>
      <c r="F34">
        <f t="shared" si="0"/>
        <v>0</v>
      </c>
      <c r="G34">
        <f t="shared" si="1"/>
        <v>0</v>
      </c>
      <c r="H34">
        <f t="shared" si="2"/>
        <v>0</v>
      </c>
    </row>
    <row r="35" spans="1:8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f t="shared" si="0"/>
        <v>0</v>
      </c>
      <c r="G35">
        <f t="shared" si="1"/>
        <v>0</v>
      </c>
      <c r="H35">
        <f t="shared" si="2"/>
        <v>0</v>
      </c>
    </row>
    <row r="36" spans="1:8" x14ac:dyDescent="0.45">
      <c r="A36">
        <v>35</v>
      </c>
      <c r="B36">
        <v>10</v>
      </c>
      <c r="C36">
        <v>0</v>
      </c>
      <c r="D36">
        <v>0</v>
      </c>
      <c r="E36">
        <v>0</v>
      </c>
      <c r="F36">
        <f t="shared" si="0"/>
        <v>0</v>
      </c>
      <c r="G36">
        <f t="shared" si="1"/>
        <v>1</v>
      </c>
      <c r="H36">
        <f t="shared" si="2"/>
        <v>1</v>
      </c>
    </row>
    <row r="37" spans="1:8" x14ac:dyDescent="0.45">
      <c r="A37">
        <v>36</v>
      </c>
      <c r="B37">
        <v>10.1</v>
      </c>
      <c r="C37">
        <v>3</v>
      </c>
      <c r="D37" t="s">
        <v>5</v>
      </c>
      <c r="E37">
        <v>1</v>
      </c>
      <c r="F37">
        <f t="shared" si="0"/>
        <v>0</v>
      </c>
      <c r="G37">
        <f t="shared" si="1"/>
        <v>1</v>
      </c>
      <c r="H37">
        <f t="shared" si="2"/>
        <v>1</v>
      </c>
    </row>
    <row r="38" spans="1:8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f t="shared" si="0"/>
        <v>0</v>
      </c>
      <c r="G38">
        <f t="shared" si="1"/>
        <v>1</v>
      </c>
      <c r="H38">
        <f t="shared" si="2"/>
        <v>1</v>
      </c>
    </row>
    <row r="39" spans="1:8" x14ac:dyDescent="0.45">
      <c r="A39">
        <v>38</v>
      </c>
      <c r="B39">
        <v>6.4</v>
      </c>
      <c r="C39">
        <v>5</v>
      </c>
      <c r="D39" t="s">
        <v>5</v>
      </c>
      <c r="E39">
        <v>1</v>
      </c>
      <c r="F39">
        <f t="shared" si="0"/>
        <v>0</v>
      </c>
      <c r="G39">
        <f t="shared" si="1"/>
        <v>1</v>
      </c>
      <c r="H39">
        <f t="shared" si="2"/>
        <v>1</v>
      </c>
    </row>
    <row r="40" spans="1:8" x14ac:dyDescent="0.45">
      <c r="A40">
        <v>39</v>
      </c>
      <c r="B40">
        <v>3.8</v>
      </c>
      <c r="C40">
        <v>11</v>
      </c>
      <c r="D40" t="s">
        <v>5</v>
      </c>
      <c r="E40">
        <v>2</v>
      </c>
      <c r="F40">
        <f t="shared" si="0"/>
        <v>0</v>
      </c>
      <c r="G40">
        <f t="shared" si="1"/>
        <v>0</v>
      </c>
      <c r="H40">
        <f t="shared" si="2"/>
        <v>0</v>
      </c>
    </row>
    <row r="41" spans="1:8" x14ac:dyDescent="0.45">
      <c r="A41">
        <v>40</v>
      </c>
      <c r="B41">
        <v>1.7</v>
      </c>
      <c r="C41">
        <v>6</v>
      </c>
      <c r="D41" t="s">
        <v>5</v>
      </c>
      <c r="E41">
        <v>2</v>
      </c>
      <c r="F41">
        <f t="shared" si="0"/>
        <v>0</v>
      </c>
      <c r="G41">
        <f t="shared" si="1"/>
        <v>0</v>
      </c>
      <c r="H41">
        <f t="shared" si="2"/>
        <v>0</v>
      </c>
    </row>
    <row r="42" spans="1:8" x14ac:dyDescent="0.45">
      <c r="A42">
        <v>41</v>
      </c>
      <c r="B42">
        <v>1</v>
      </c>
      <c r="C42">
        <v>3</v>
      </c>
      <c r="D42" t="s">
        <v>5</v>
      </c>
      <c r="E42">
        <v>2</v>
      </c>
      <c r="F42">
        <f t="shared" si="0"/>
        <v>0</v>
      </c>
      <c r="G42">
        <f t="shared" si="1"/>
        <v>1</v>
      </c>
      <c r="H42">
        <f t="shared" si="2"/>
        <v>1</v>
      </c>
    </row>
    <row r="43" spans="1:8" x14ac:dyDescent="0.45">
      <c r="A43">
        <v>42</v>
      </c>
      <c r="B43">
        <v>2</v>
      </c>
      <c r="C43">
        <v>17</v>
      </c>
      <c r="D43" t="s">
        <v>5</v>
      </c>
      <c r="E43">
        <v>3</v>
      </c>
      <c r="F43">
        <f t="shared" si="0"/>
        <v>0</v>
      </c>
      <c r="G43">
        <f t="shared" si="1"/>
        <v>0</v>
      </c>
      <c r="H43">
        <f t="shared" si="2"/>
        <v>0</v>
      </c>
    </row>
    <row r="44" spans="1:8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f t="shared" si="0"/>
        <v>0</v>
      </c>
      <c r="G44">
        <f t="shared" si="1"/>
        <v>1</v>
      </c>
      <c r="H44">
        <f t="shared" si="2"/>
        <v>1</v>
      </c>
    </row>
    <row r="45" spans="1:8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f t="shared" si="0"/>
        <v>0</v>
      </c>
      <c r="G45">
        <f t="shared" si="1"/>
        <v>0</v>
      </c>
      <c r="H45">
        <f t="shared" si="2"/>
        <v>0</v>
      </c>
    </row>
    <row r="46" spans="1:8" x14ac:dyDescent="0.45">
      <c r="A46">
        <v>45</v>
      </c>
      <c r="B46">
        <v>11.8</v>
      </c>
      <c r="C46">
        <v>2</v>
      </c>
      <c r="D46" t="s">
        <v>5</v>
      </c>
      <c r="E46">
        <v>4</v>
      </c>
      <c r="F46">
        <f t="shared" si="0"/>
        <v>0</v>
      </c>
      <c r="G46">
        <f t="shared" si="1"/>
        <v>1</v>
      </c>
      <c r="H46">
        <f t="shared" si="2"/>
        <v>1</v>
      </c>
    </row>
    <row r="47" spans="1:8" x14ac:dyDescent="0.45">
      <c r="A47">
        <v>46</v>
      </c>
      <c r="B47">
        <v>14.7</v>
      </c>
      <c r="C47">
        <v>1</v>
      </c>
      <c r="D47" t="s">
        <v>5</v>
      </c>
      <c r="E47">
        <v>4</v>
      </c>
      <c r="F47">
        <f t="shared" si="0"/>
        <v>0</v>
      </c>
      <c r="G47">
        <f t="shared" si="1"/>
        <v>1</v>
      </c>
      <c r="H47">
        <f t="shared" si="2"/>
        <v>1</v>
      </c>
    </row>
    <row r="48" spans="1:8" x14ac:dyDescent="0.45">
      <c r="A48">
        <v>47</v>
      </c>
      <c r="B48">
        <v>16.3</v>
      </c>
      <c r="C48">
        <v>11</v>
      </c>
      <c r="D48" t="s">
        <v>5</v>
      </c>
      <c r="E48">
        <v>4</v>
      </c>
      <c r="F48">
        <f t="shared" si="0"/>
        <v>0</v>
      </c>
      <c r="G48">
        <f t="shared" si="1"/>
        <v>0</v>
      </c>
      <c r="H48">
        <f t="shared" si="2"/>
        <v>0</v>
      </c>
    </row>
    <row r="49" spans="1:8" x14ac:dyDescent="0.45">
      <c r="A49">
        <v>48</v>
      </c>
      <c r="B49">
        <v>16.3</v>
      </c>
      <c r="C49">
        <v>25</v>
      </c>
      <c r="D49" t="s">
        <v>5</v>
      </c>
      <c r="E49">
        <v>5</v>
      </c>
      <c r="F49">
        <f t="shared" si="0"/>
        <v>0</v>
      </c>
      <c r="G49">
        <f t="shared" si="1"/>
        <v>0</v>
      </c>
      <c r="H49">
        <f t="shared" si="2"/>
        <v>0</v>
      </c>
    </row>
    <row r="50" spans="1:8" x14ac:dyDescent="0.45">
      <c r="A50">
        <v>49</v>
      </c>
      <c r="B50">
        <v>15.2</v>
      </c>
      <c r="C50">
        <v>0</v>
      </c>
      <c r="D50">
        <v>0</v>
      </c>
      <c r="E50">
        <v>0</v>
      </c>
      <c r="F50">
        <f t="shared" si="0"/>
        <v>0</v>
      </c>
      <c r="G50">
        <f t="shared" si="1"/>
        <v>1</v>
      </c>
      <c r="H50">
        <f t="shared" si="2"/>
        <v>1</v>
      </c>
    </row>
    <row r="51" spans="1:8" x14ac:dyDescent="0.45">
      <c r="A51">
        <v>50</v>
      </c>
      <c r="B51">
        <v>13.6</v>
      </c>
      <c r="C51">
        <v>2</v>
      </c>
      <c r="D51" t="s">
        <v>5</v>
      </c>
      <c r="E51">
        <v>1</v>
      </c>
      <c r="F51">
        <f t="shared" si="0"/>
        <v>0</v>
      </c>
      <c r="G51">
        <f t="shared" si="1"/>
        <v>1</v>
      </c>
      <c r="H51">
        <f t="shared" si="2"/>
        <v>1</v>
      </c>
    </row>
    <row r="52" spans="1:8" x14ac:dyDescent="0.45">
      <c r="A52">
        <v>51</v>
      </c>
      <c r="B52">
        <v>12.5</v>
      </c>
      <c r="C52">
        <v>3</v>
      </c>
      <c r="D52" t="s">
        <v>5</v>
      </c>
      <c r="E52">
        <v>1</v>
      </c>
      <c r="F52">
        <f t="shared" si="0"/>
        <v>0</v>
      </c>
      <c r="G52">
        <f t="shared" si="1"/>
        <v>1</v>
      </c>
      <c r="H52">
        <f t="shared" si="2"/>
        <v>1</v>
      </c>
    </row>
    <row r="53" spans="1:8" x14ac:dyDescent="0.45">
      <c r="A53">
        <v>52</v>
      </c>
      <c r="B53">
        <v>12.5</v>
      </c>
      <c r="C53">
        <v>2</v>
      </c>
      <c r="D53" t="s">
        <v>5</v>
      </c>
      <c r="E53">
        <v>1</v>
      </c>
      <c r="F53">
        <f t="shared" si="0"/>
        <v>0</v>
      </c>
      <c r="G53">
        <f t="shared" si="1"/>
        <v>1</v>
      </c>
      <c r="H53">
        <f t="shared" si="2"/>
        <v>1</v>
      </c>
    </row>
    <row r="54" spans="1:8" x14ac:dyDescent="0.45">
      <c r="A54">
        <v>53</v>
      </c>
      <c r="B54">
        <v>14.1</v>
      </c>
      <c r="C54">
        <v>4</v>
      </c>
      <c r="D54" t="s">
        <v>5</v>
      </c>
      <c r="E54">
        <v>2</v>
      </c>
      <c r="F54">
        <f t="shared" si="0"/>
        <v>0</v>
      </c>
      <c r="G54">
        <f t="shared" si="1"/>
        <v>1</v>
      </c>
      <c r="H54">
        <f t="shared" si="2"/>
        <v>1</v>
      </c>
    </row>
    <row r="55" spans="1:8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f t="shared" si="0"/>
        <v>0</v>
      </c>
      <c r="G55">
        <f t="shared" si="1"/>
        <v>1</v>
      </c>
      <c r="H55">
        <f t="shared" si="2"/>
        <v>1</v>
      </c>
    </row>
    <row r="56" spans="1:8" x14ac:dyDescent="0.45">
      <c r="A56">
        <v>55</v>
      </c>
      <c r="B56">
        <v>20.9</v>
      </c>
      <c r="C56">
        <v>9</v>
      </c>
      <c r="D56" t="s">
        <v>5</v>
      </c>
      <c r="E56">
        <v>2</v>
      </c>
      <c r="F56">
        <f t="shared" si="0"/>
        <v>1</v>
      </c>
      <c r="G56">
        <f t="shared" si="1"/>
        <v>0</v>
      </c>
      <c r="H56">
        <f t="shared" si="2"/>
        <v>1</v>
      </c>
    </row>
    <row r="57" spans="1:8" x14ac:dyDescent="0.45">
      <c r="A57">
        <v>56</v>
      </c>
      <c r="B57">
        <v>24.5</v>
      </c>
      <c r="C57">
        <v>2</v>
      </c>
      <c r="D57" t="s">
        <v>5</v>
      </c>
      <c r="E57">
        <v>3</v>
      </c>
      <c r="F57">
        <f t="shared" si="0"/>
        <v>1</v>
      </c>
      <c r="G57">
        <f t="shared" si="1"/>
        <v>1</v>
      </c>
      <c r="H57">
        <f t="shared" si="2"/>
        <v>2</v>
      </c>
    </row>
    <row r="58" spans="1:8" x14ac:dyDescent="0.45">
      <c r="A58">
        <v>57</v>
      </c>
      <c r="B58">
        <v>27.3</v>
      </c>
      <c r="C58">
        <v>16</v>
      </c>
      <c r="D58" t="s">
        <v>5</v>
      </c>
      <c r="E58">
        <v>3</v>
      </c>
      <c r="F58">
        <f t="shared" si="0"/>
        <v>1</v>
      </c>
      <c r="G58">
        <f t="shared" si="1"/>
        <v>0</v>
      </c>
      <c r="H58">
        <f t="shared" si="2"/>
        <v>1</v>
      </c>
    </row>
    <row r="59" spans="1:8" x14ac:dyDescent="0.45">
      <c r="A59">
        <v>58</v>
      </c>
      <c r="B59">
        <v>28.4</v>
      </c>
      <c r="C59">
        <v>14</v>
      </c>
      <c r="D59" t="s">
        <v>5</v>
      </c>
      <c r="E59">
        <v>3</v>
      </c>
      <c r="F59">
        <f t="shared" si="0"/>
        <v>1</v>
      </c>
      <c r="G59">
        <f t="shared" si="1"/>
        <v>0</v>
      </c>
      <c r="H59">
        <f t="shared" si="2"/>
        <v>1</v>
      </c>
    </row>
    <row r="60" spans="1:8" x14ac:dyDescent="0.45">
      <c r="A60">
        <v>59</v>
      </c>
      <c r="B60">
        <v>27.8</v>
      </c>
      <c r="C60">
        <v>14</v>
      </c>
      <c r="D60" t="s">
        <v>5</v>
      </c>
      <c r="E60">
        <v>3</v>
      </c>
      <c r="F60">
        <f t="shared" si="0"/>
        <v>1</v>
      </c>
      <c r="G60">
        <f t="shared" si="1"/>
        <v>0</v>
      </c>
      <c r="H60">
        <f t="shared" si="2"/>
        <v>1</v>
      </c>
    </row>
    <row r="61" spans="1:8" x14ac:dyDescent="0.45">
      <c r="A61">
        <v>60</v>
      </c>
      <c r="B61">
        <v>25.9</v>
      </c>
      <c r="C61">
        <v>6</v>
      </c>
      <c r="D61" t="s">
        <v>5</v>
      </c>
      <c r="E61">
        <v>4</v>
      </c>
      <c r="F61">
        <f t="shared" si="0"/>
        <v>1</v>
      </c>
      <c r="G61">
        <f t="shared" si="1"/>
        <v>0</v>
      </c>
      <c r="H61">
        <f t="shared" si="2"/>
        <v>1</v>
      </c>
    </row>
    <row r="62" spans="1:8" x14ac:dyDescent="0.45">
      <c r="A62">
        <v>61</v>
      </c>
      <c r="B62">
        <v>23.4</v>
      </c>
      <c r="C62">
        <v>21</v>
      </c>
      <c r="D62" t="s">
        <v>5</v>
      </c>
      <c r="E62">
        <v>4</v>
      </c>
      <c r="F62">
        <f t="shared" si="0"/>
        <v>1</v>
      </c>
      <c r="G62">
        <f t="shared" si="1"/>
        <v>0</v>
      </c>
      <c r="H62">
        <f t="shared" si="2"/>
        <v>1</v>
      </c>
    </row>
    <row r="63" spans="1:8" x14ac:dyDescent="0.45">
      <c r="A63">
        <v>62</v>
      </c>
      <c r="B63">
        <v>21.2</v>
      </c>
      <c r="C63">
        <v>21</v>
      </c>
      <c r="D63" t="s">
        <v>5</v>
      </c>
      <c r="E63">
        <v>5</v>
      </c>
      <c r="F63">
        <f t="shared" si="0"/>
        <v>1</v>
      </c>
      <c r="G63">
        <f t="shared" si="1"/>
        <v>0</v>
      </c>
      <c r="H63">
        <f t="shared" si="2"/>
        <v>1</v>
      </c>
    </row>
    <row r="64" spans="1:8" x14ac:dyDescent="0.45">
      <c r="A64">
        <v>63</v>
      </c>
      <c r="B64">
        <v>20</v>
      </c>
      <c r="C64">
        <v>0</v>
      </c>
      <c r="D64">
        <v>0</v>
      </c>
      <c r="E64">
        <v>0</v>
      </c>
      <c r="F64">
        <f t="shared" si="0"/>
        <v>1</v>
      </c>
      <c r="G64">
        <f t="shared" si="1"/>
        <v>1</v>
      </c>
      <c r="H64">
        <f t="shared" si="2"/>
        <v>2</v>
      </c>
    </row>
    <row r="65" spans="1:8" x14ac:dyDescent="0.45">
      <c r="A65">
        <v>64</v>
      </c>
      <c r="B65">
        <v>20.3</v>
      </c>
      <c r="C65">
        <v>4</v>
      </c>
      <c r="D65" t="s">
        <v>5</v>
      </c>
      <c r="E65">
        <v>1</v>
      </c>
      <c r="F65">
        <f t="shared" si="0"/>
        <v>1</v>
      </c>
      <c r="G65">
        <f t="shared" si="1"/>
        <v>1</v>
      </c>
      <c r="H65">
        <f t="shared" si="2"/>
        <v>2</v>
      </c>
    </row>
    <row r="66" spans="1:8" x14ac:dyDescent="0.45">
      <c r="A66">
        <v>65</v>
      </c>
      <c r="B66">
        <v>21.8</v>
      </c>
      <c r="C66">
        <v>6</v>
      </c>
      <c r="D66" t="s">
        <v>5</v>
      </c>
      <c r="E66">
        <v>1</v>
      </c>
      <c r="F66">
        <f t="shared" si="0"/>
        <v>1</v>
      </c>
      <c r="G66">
        <f t="shared" si="1"/>
        <v>0</v>
      </c>
      <c r="H66">
        <f t="shared" si="2"/>
        <v>1</v>
      </c>
    </row>
    <row r="67" spans="1:8" x14ac:dyDescent="0.45">
      <c r="A67">
        <v>66</v>
      </c>
      <c r="B67">
        <v>24</v>
      </c>
      <c r="C67">
        <v>3</v>
      </c>
      <c r="D67" t="s">
        <v>5</v>
      </c>
      <c r="E67">
        <v>1</v>
      </c>
      <c r="F67">
        <f t="shared" ref="F67:F130" si="3">IF(B67&gt;=20,1,0)</f>
        <v>1</v>
      </c>
      <c r="G67">
        <f t="shared" ref="G67:G130" si="4">IF(C67&lt;=5,1,0)</f>
        <v>1</v>
      </c>
      <c r="H67">
        <f t="shared" ref="H67:H130" si="5">SUM(F67:G67)</f>
        <v>2</v>
      </c>
    </row>
    <row r="68" spans="1:8" x14ac:dyDescent="0.45">
      <c r="A68">
        <v>67</v>
      </c>
      <c r="B68">
        <v>26.1</v>
      </c>
      <c r="C68">
        <v>7</v>
      </c>
      <c r="D68" t="s">
        <v>5</v>
      </c>
      <c r="E68">
        <v>2</v>
      </c>
      <c r="F68">
        <f t="shared" si="3"/>
        <v>1</v>
      </c>
      <c r="G68">
        <f t="shared" si="4"/>
        <v>0</v>
      </c>
      <c r="H68">
        <f t="shared" si="5"/>
        <v>1</v>
      </c>
    </row>
    <row r="69" spans="1:8" x14ac:dyDescent="0.45">
      <c r="A69">
        <v>68</v>
      </c>
      <c r="B69">
        <v>27.3</v>
      </c>
      <c r="C69">
        <v>6</v>
      </c>
      <c r="D69" t="s">
        <v>5</v>
      </c>
      <c r="E69">
        <v>2</v>
      </c>
      <c r="F69">
        <f t="shared" si="3"/>
        <v>1</v>
      </c>
      <c r="G69">
        <f t="shared" si="4"/>
        <v>0</v>
      </c>
      <c r="H69">
        <f t="shared" si="5"/>
        <v>1</v>
      </c>
    </row>
    <row r="70" spans="1:8" x14ac:dyDescent="0.45">
      <c r="A70">
        <v>69</v>
      </c>
      <c r="B70">
        <v>26.8</v>
      </c>
      <c r="C70">
        <v>8</v>
      </c>
      <c r="D70" t="s">
        <v>5</v>
      </c>
      <c r="E70">
        <v>2</v>
      </c>
      <c r="F70">
        <f t="shared" si="3"/>
        <v>1</v>
      </c>
      <c r="G70">
        <f t="shared" si="4"/>
        <v>0</v>
      </c>
      <c r="H70">
        <f t="shared" si="5"/>
        <v>1</v>
      </c>
    </row>
    <row r="71" spans="1:8" x14ac:dyDescent="0.45">
      <c r="A71">
        <v>70</v>
      </c>
      <c r="B71">
        <v>24.7</v>
      </c>
      <c r="C71">
        <v>3</v>
      </c>
      <c r="D71" t="s">
        <v>5</v>
      </c>
      <c r="E71">
        <v>3</v>
      </c>
      <c r="F71">
        <f t="shared" si="3"/>
        <v>1</v>
      </c>
      <c r="G71">
        <f t="shared" si="4"/>
        <v>1</v>
      </c>
      <c r="H71">
        <f t="shared" si="5"/>
        <v>2</v>
      </c>
    </row>
    <row r="72" spans="1:8" x14ac:dyDescent="0.45">
      <c r="A72">
        <v>71</v>
      </c>
      <c r="B72">
        <v>21.2</v>
      </c>
      <c r="C72">
        <v>16</v>
      </c>
      <c r="D72" t="s">
        <v>5</v>
      </c>
      <c r="E72">
        <v>3</v>
      </c>
      <c r="F72">
        <f t="shared" si="3"/>
        <v>1</v>
      </c>
      <c r="G72">
        <f t="shared" si="4"/>
        <v>0</v>
      </c>
      <c r="H72">
        <f t="shared" si="5"/>
        <v>1</v>
      </c>
    </row>
    <row r="73" spans="1:8" x14ac:dyDescent="0.45">
      <c r="A73">
        <v>72</v>
      </c>
      <c r="B73">
        <v>17.3</v>
      </c>
      <c r="C73">
        <v>8</v>
      </c>
      <c r="D73" t="s">
        <v>5</v>
      </c>
      <c r="E73">
        <v>3</v>
      </c>
      <c r="F73">
        <f t="shared" si="3"/>
        <v>0</v>
      </c>
      <c r="G73">
        <f t="shared" si="4"/>
        <v>0</v>
      </c>
      <c r="H73">
        <f t="shared" si="5"/>
        <v>0</v>
      </c>
    </row>
    <row r="74" spans="1:8" x14ac:dyDescent="0.45">
      <c r="A74">
        <v>73</v>
      </c>
      <c r="B74">
        <v>13.7</v>
      </c>
      <c r="C74">
        <v>19</v>
      </c>
      <c r="D74" t="s">
        <v>5</v>
      </c>
      <c r="E74">
        <v>4</v>
      </c>
      <c r="F74">
        <f t="shared" si="3"/>
        <v>0</v>
      </c>
      <c r="G74">
        <f t="shared" si="4"/>
        <v>0</v>
      </c>
      <c r="H74">
        <f t="shared" si="5"/>
        <v>0</v>
      </c>
    </row>
    <row r="75" spans="1:8" x14ac:dyDescent="0.45">
      <c r="A75">
        <v>74</v>
      </c>
      <c r="B75">
        <v>11.3</v>
      </c>
      <c r="C75">
        <v>5</v>
      </c>
      <c r="D75" t="s">
        <v>5</v>
      </c>
      <c r="E75">
        <v>4</v>
      </c>
      <c r="F75">
        <f t="shared" si="3"/>
        <v>0</v>
      </c>
      <c r="G75">
        <f t="shared" si="4"/>
        <v>1</v>
      </c>
      <c r="H75">
        <f t="shared" si="5"/>
        <v>1</v>
      </c>
    </row>
    <row r="76" spans="1:8" x14ac:dyDescent="0.45">
      <c r="A76">
        <v>75</v>
      </c>
      <c r="B76">
        <v>10.5</v>
      </c>
      <c r="C76">
        <v>2</v>
      </c>
      <c r="D76" t="s">
        <v>5</v>
      </c>
      <c r="E76">
        <v>4</v>
      </c>
      <c r="F76">
        <f t="shared" si="3"/>
        <v>0</v>
      </c>
      <c r="G76">
        <f t="shared" si="4"/>
        <v>1</v>
      </c>
      <c r="H76">
        <f t="shared" si="5"/>
        <v>1</v>
      </c>
    </row>
    <row r="77" spans="1:8" x14ac:dyDescent="0.45">
      <c r="A77">
        <v>76</v>
      </c>
      <c r="B77">
        <v>11</v>
      </c>
      <c r="C77">
        <v>22</v>
      </c>
      <c r="D77" t="s">
        <v>5</v>
      </c>
      <c r="E77">
        <v>5</v>
      </c>
      <c r="F77">
        <f t="shared" si="3"/>
        <v>0</v>
      </c>
      <c r="G77">
        <f t="shared" si="4"/>
        <v>0</v>
      </c>
      <c r="H77">
        <f t="shared" si="5"/>
        <v>0</v>
      </c>
    </row>
    <row r="78" spans="1:8" x14ac:dyDescent="0.45">
      <c r="A78">
        <v>77</v>
      </c>
      <c r="B78">
        <v>12.5</v>
      </c>
      <c r="C78">
        <v>0</v>
      </c>
      <c r="D78">
        <v>0</v>
      </c>
      <c r="E78">
        <v>0</v>
      </c>
      <c r="F78">
        <f t="shared" si="3"/>
        <v>0</v>
      </c>
      <c r="G78">
        <f t="shared" si="4"/>
        <v>1</v>
      </c>
      <c r="H78">
        <f t="shared" si="5"/>
        <v>1</v>
      </c>
    </row>
    <row r="79" spans="1:8" x14ac:dyDescent="0.45">
      <c r="A79">
        <v>78</v>
      </c>
      <c r="B79">
        <v>14</v>
      </c>
      <c r="C79">
        <v>2</v>
      </c>
      <c r="D79" t="s">
        <v>5</v>
      </c>
      <c r="E79">
        <v>1</v>
      </c>
      <c r="F79">
        <f t="shared" si="3"/>
        <v>0</v>
      </c>
      <c r="G79">
        <f t="shared" si="4"/>
        <v>1</v>
      </c>
      <c r="H79">
        <f t="shared" si="5"/>
        <v>1</v>
      </c>
    </row>
    <row r="80" spans="1:8" x14ac:dyDescent="0.45">
      <c r="A80">
        <v>79</v>
      </c>
      <c r="B80">
        <v>14.7</v>
      </c>
      <c r="C80">
        <v>4</v>
      </c>
      <c r="D80" t="s">
        <v>5</v>
      </c>
      <c r="E80">
        <v>1</v>
      </c>
      <c r="F80">
        <f t="shared" si="3"/>
        <v>0</v>
      </c>
      <c r="G80">
        <f t="shared" si="4"/>
        <v>1</v>
      </c>
      <c r="H80">
        <f t="shared" si="5"/>
        <v>1</v>
      </c>
    </row>
    <row r="81" spans="1:8" x14ac:dyDescent="0.45">
      <c r="A81">
        <v>80</v>
      </c>
      <c r="B81">
        <v>14.1</v>
      </c>
      <c r="C81">
        <v>5</v>
      </c>
      <c r="D81" t="s">
        <v>6</v>
      </c>
      <c r="E81">
        <v>1</v>
      </c>
      <c r="F81">
        <f t="shared" si="3"/>
        <v>0</v>
      </c>
      <c r="G81">
        <f t="shared" si="4"/>
        <v>1</v>
      </c>
      <c r="H81">
        <f t="shared" si="5"/>
        <v>1</v>
      </c>
    </row>
    <row r="82" spans="1:8" x14ac:dyDescent="0.45">
      <c r="A82">
        <v>81</v>
      </c>
      <c r="B82">
        <v>11.9</v>
      </c>
      <c r="C82">
        <v>8</v>
      </c>
      <c r="D82" t="s">
        <v>5</v>
      </c>
      <c r="E82">
        <v>2</v>
      </c>
      <c r="F82">
        <f t="shared" si="3"/>
        <v>0</v>
      </c>
      <c r="G82">
        <f t="shared" si="4"/>
        <v>0</v>
      </c>
      <c r="H82">
        <f t="shared" si="5"/>
        <v>0</v>
      </c>
    </row>
    <row r="83" spans="1:8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f t="shared" si="3"/>
        <v>0</v>
      </c>
      <c r="G83">
        <f t="shared" si="4"/>
        <v>0</v>
      </c>
      <c r="H83">
        <f t="shared" si="5"/>
        <v>0</v>
      </c>
    </row>
    <row r="84" spans="1:8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f t="shared" si="3"/>
        <v>0</v>
      </c>
      <c r="G84">
        <f t="shared" si="4"/>
        <v>1</v>
      </c>
      <c r="H84">
        <f t="shared" si="5"/>
        <v>1</v>
      </c>
    </row>
    <row r="85" spans="1:8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f t="shared" si="3"/>
        <v>0</v>
      </c>
      <c r="G85">
        <f t="shared" si="4"/>
        <v>1</v>
      </c>
      <c r="H85">
        <f t="shared" si="5"/>
        <v>1</v>
      </c>
    </row>
    <row r="86" spans="1:8" x14ac:dyDescent="0.45">
      <c r="A86">
        <v>85</v>
      </c>
      <c r="B86">
        <v>0.5</v>
      </c>
      <c r="C86">
        <v>5</v>
      </c>
      <c r="D86" t="s">
        <v>5</v>
      </c>
      <c r="E86">
        <v>3</v>
      </c>
      <c r="F86">
        <f t="shared" si="3"/>
        <v>0</v>
      </c>
      <c r="G86">
        <f t="shared" si="4"/>
        <v>1</v>
      </c>
      <c r="H86">
        <f t="shared" si="5"/>
        <v>1</v>
      </c>
    </row>
    <row r="87" spans="1:8" x14ac:dyDescent="0.45">
      <c r="A87">
        <v>86</v>
      </c>
      <c r="B87">
        <v>0.6</v>
      </c>
      <c r="C87">
        <v>13</v>
      </c>
      <c r="D87" t="s">
        <v>5</v>
      </c>
      <c r="E87">
        <v>3</v>
      </c>
      <c r="F87">
        <f t="shared" si="3"/>
        <v>0</v>
      </c>
      <c r="G87">
        <f t="shared" si="4"/>
        <v>0</v>
      </c>
      <c r="H87">
        <f t="shared" si="5"/>
        <v>0</v>
      </c>
    </row>
    <row r="88" spans="1:8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f t="shared" si="3"/>
        <v>0</v>
      </c>
      <c r="G88">
        <f t="shared" si="4"/>
        <v>1</v>
      </c>
      <c r="H88">
        <f t="shared" si="5"/>
        <v>1</v>
      </c>
    </row>
    <row r="89" spans="1:8" x14ac:dyDescent="0.45">
      <c r="A89">
        <v>88</v>
      </c>
      <c r="B89">
        <v>5</v>
      </c>
      <c r="C89">
        <v>9</v>
      </c>
      <c r="D89" t="s">
        <v>5</v>
      </c>
      <c r="E89">
        <v>4</v>
      </c>
      <c r="F89">
        <f t="shared" si="3"/>
        <v>0</v>
      </c>
      <c r="G89">
        <f t="shared" si="4"/>
        <v>0</v>
      </c>
      <c r="H89">
        <f t="shared" si="5"/>
        <v>0</v>
      </c>
    </row>
    <row r="90" spans="1:8" x14ac:dyDescent="0.45">
      <c r="A90">
        <v>89</v>
      </c>
      <c r="B90">
        <v>7.9</v>
      </c>
      <c r="C90">
        <v>24</v>
      </c>
      <c r="D90" t="s">
        <v>5</v>
      </c>
      <c r="E90">
        <v>4</v>
      </c>
      <c r="F90">
        <f t="shared" si="3"/>
        <v>0</v>
      </c>
      <c r="G90">
        <f t="shared" si="4"/>
        <v>0</v>
      </c>
      <c r="H90">
        <f t="shared" si="5"/>
        <v>0</v>
      </c>
    </row>
    <row r="91" spans="1:8" x14ac:dyDescent="0.45">
      <c r="A91">
        <v>90</v>
      </c>
      <c r="B91">
        <v>10</v>
      </c>
      <c r="C91">
        <v>15</v>
      </c>
      <c r="D91" t="s">
        <v>5</v>
      </c>
      <c r="E91">
        <v>5</v>
      </c>
      <c r="F91">
        <f t="shared" si="3"/>
        <v>0</v>
      </c>
      <c r="G91">
        <f t="shared" si="4"/>
        <v>0</v>
      </c>
      <c r="H91">
        <f t="shared" si="5"/>
        <v>0</v>
      </c>
    </row>
    <row r="92" spans="1:8" x14ac:dyDescent="0.45">
      <c r="A92">
        <v>91</v>
      </c>
      <c r="B92">
        <v>10.9</v>
      </c>
      <c r="C92">
        <v>29</v>
      </c>
      <c r="D92" t="s">
        <v>5</v>
      </c>
      <c r="E92">
        <v>5</v>
      </c>
      <c r="F92">
        <f t="shared" si="3"/>
        <v>0</v>
      </c>
      <c r="G92">
        <f t="shared" si="4"/>
        <v>0</v>
      </c>
      <c r="H92">
        <f t="shared" si="5"/>
        <v>0</v>
      </c>
    </row>
    <row r="93" spans="1:8" x14ac:dyDescent="0.45">
      <c r="A93">
        <v>92</v>
      </c>
      <c r="B93">
        <v>10.3</v>
      </c>
      <c r="C93">
        <v>0</v>
      </c>
      <c r="D93">
        <v>0</v>
      </c>
      <c r="E93">
        <v>0</v>
      </c>
      <c r="F93">
        <f t="shared" si="3"/>
        <v>0</v>
      </c>
      <c r="G93">
        <f t="shared" si="4"/>
        <v>1</v>
      </c>
      <c r="H93">
        <f t="shared" si="5"/>
        <v>1</v>
      </c>
    </row>
    <row r="94" spans="1:8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f t="shared" si="3"/>
        <v>0</v>
      </c>
      <c r="G94">
        <f t="shared" si="4"/>
        <v>1</v>
      </c>
      <c r="H94">
        <f t="shared" si="5"/>
        <v>1</v>
      </c>
    </row>
    <row r="95" spans="1:8" x14ac:dyDescent="0.45">
      <c r="A95">
        <v>94</v>
      </c>
      <c r="B95">
        <v>6.7</v>
      </c>
      <c r="C95">
        <v>3</v>
      </c>
      <c r="D95" t="s">
        <v>6</v>
      </c>
      <c r="E95">
        <v>1</v>
      </c>
      <c r="F95">
        <f t="shared" si="3"/>
        <v>0</v>
      </c>
      <c r="G95">
        <f t="shared" si="4"/>
        <v>1</v>
      </c>
      <c r="H95">
        <f t="shared" si="5"/>
        <v>1</v>
      </c>
    </row>
    <row r="96" spans="1:8" x14ac:dyDescent="0.45">
      <c r="A96">
        <v>95</v>
      </c>
      <c r="B96">
        <v>5.3</v>
      </c>
      <c r="C96">
        <v>6</v>
      </c>
      <c r="D96" t="s">
        <v>6</v>
      </c>
      <c r="E96">
        <v>1</v>
      </c>
      <c r="F96">
        <f t="shared" si="3"/>
        <v>0</v>
      </c>
      <c r="G96">
        <f t="shared" si="4"/>
        <v>0</v>
      </c>
      <c r="H96">
        <f t="shared" si="5"/>
        <v>0</v>
      </c>
    </row>
    <row r="97" spans="1:8" x14ac:dyDescent="0.45">
      <c r="A97">
        <v>96</v>
      </c>
      <c r="B97">
        <v>5.2</v>
      </c>
      <c r="C97">
        <v>3</v>
      </c>
      <c r="D97" t="s">
        <v>6</v>
      </c>
      <c r="E97">
        <v>2</v>
      </c>
      <c r="F97">
        <f t="shared" si="3"/>
        <v>0</v>
      </c>
      <c r="G97">
        <f t="shared" si="4"/>
        <v>1</v>
      </c>
      <c r="H97">
        <f t="shared" si="5"/>
        <v>1</v>
      </c>
    </row>
    <row r="98" spans="1:8" x14ac:dyDescent="0.45">
      <c r="A98">
        <v>97</v>
      </c>
      <c r="B98">
        <v>6.8</v>
      </c>
      <c r="C98">
        <v>2</v>
      </c>
      <c r="D98" t="s">
        <v>6</v>
      </c>
      <c r="E98">
        <v>2</v>
      </c>
      <c r="F98">
        <f t="shared" si="3"/>
        <v>0</v>
      </c>
      <c r="G98">
        <f t="shared" si="4"/>
        <v>1</v>
      </c>
      <c r="H98">
        <f t="shared" si="5"/>
        <v>1</v>
      </c>
    </row>
    <row r="99" spans="1:8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f t="shared" si="3"/>
        <v>0</v>
      </c>
      <c r="G99">
        <f t="shared" si="4"/>
        <v>0</v>
      </c>
      <c r="H99">
        <f t="shared" si="5"/>
        <v>0</v>
      </c>
    </row>
    <row r="100" spans="1:8" x14ac:dyDescent="0.45">
      <c r="A100">
        <v>99</v>
      </c>
      <c r="B100">
        <v>13.7</v>
      </c>
      <c r="C100">
        <v>8</v>
      </c>
      <c r="D100" t="s">
        <v>6</v>
      </c>
      <c r="E100">
        <v>3</v>
      </c>
      <c r="F100">
        <f t="shared" si="3"/>
        <v>0</v>
      </c>
      <c r="G100">
        <f t="shared" si="4"/>
        <v>0</v>
      </c>
      <c r="H100">
        <f t="shared" si="5"/>
        <v>0</v>
      </c>
    </row>
    <row r="101" spans="1:8" x14ac:dyDescent="0.45">
      <c r="A101">
        <v>100</v>
      </c>
      <c r="B101">
        <v>17.7</v>
      </c>
      <c r="C101">
        <v>6</v>
      </c>
      <c r="D101" t="s">
        <v>6</v>
      </c>
      <c r="E101">
        <v>3</v>
      </c>
      <c r="F101">
        <f t="shared" si="3"/>
        <v>0</v>
      </c>
      <c r="G101">
        <f t="shared" si="4"/>
        <v>0</v>
      </c>
      <c r="H101">
        <f t="shared" si="5"/>
        <v>0</v>
      </c>
    </row>
    <row r="102" spans="1:8" x14ac:dyDescent="0.45">
      <c r="A102">
        <v>101</v>
      </c>
      <c r="B102">
        <v>20.8</v>
      </c>
      <c r="C102">
        <v>5</v>
      </c>
      <c r="D102" t="s">
        <v>6</v>
      </c>
      <c r="E102">
        <v>3</v>
      </c>
      <c r="F102">
        <f t="shared" si="3"/>
        <v>1</v>
      </c>
      <c r="G102">
        <f t="shared" si="4"/>
        <v>1</v>
      </c>
      <c r="H102">
        <f t="shared" si="5"/>
        <v>2</v>
      </c>
    </row>
    <row r="103" spans="1:8" x14ac:dyDescent="0.45">
      <c r="A103">
        <v>102</v>
      </c>
      <c r="B103">
        <v>22.4</v>
      </c>
      <c r="C103">
        <v>20</v>
      </c>
      <c r="D103" t="s">
        <v>6</v>
      </c>
      <c r="E103">
        <v>4</v>
      </c>
      <c r="F103">
        <f t="shared" si="3"/>
        <v>1</v>
      </c>
      <c r="G103">
        <f t="shared" si="4"/>
        <v>0</v>
      </c>
      <c r="H103">
        <f t="shared" si="5"/>
        <v>1</v>
      </c>
    </row>
    <row r="104" spans="1:8" x14ac:dyDescent="0.45">
      <c r="A104">
        <v>103</v>
      </c>
      <c r="B104">
        <v>22.5</v>
      </c>
      <c r="C104">
        <v>17</v>
      </c>
      <c r="D104" t="s">
        <v>6</v>
      </c>
      <c r="E104">
        <v>4</v>
      </c>
      <c r="F104">
        <f t="shared" si="3"/>
        <v>1</v>
      </c>
      <c r="G104">
        <f t="shared" si="4"/>
        <v>0</v>
      </c>
      <c r="H104">
        <f t="shared" si="5"/>
        <v>1</v>
      </c>
    </row>
    <row r="105" spans="1:8" x14ac:dyDescent="0.45">
      <c r="A105">
        <v>104</v>
      </c>
      <c r="B105">
        <v>21.2</v>
      </c>
      <c r="C105">
        <v>11</v>
      </c>
      <c r="D105" t="s">
        <v>6</v>
      </c>
      <c r="E105">
        <v>4</v>
      </c>
      <c r="F105">
        <f t="shared" si="3"/>
        <v>1</v>
      </c>
      <c r="G105">
        <f t="shared" si="4"/>
        <v>0</v>
      </c>
      <c r="H105">
        <f t="shared" si="5"/>
        <v>1</v>
      </c>
    </row>
    <row r="106" spans="1:8" x14ac:dyDescent="0.45">
      <c r="A106">
        <v>105</v>
      </c>
      <c r="B106">
        <v>19.5</v>
      </c>
      <c r="C106">
        <v>27</v>
      </c>
      <c r="D106" t="s">
        <v>6</v>
      </c>
      <c r="E106">
        <v>5</v>
      </c>
      <c r="F106">
        <f t="shared" si="3"/>
        <v>0</v>
      </c>
      <c r="G106">
        <f t="shared" si="4"/>
        <v>0</v>
      </c>
      <c r="H106">
        <f t="shared" si="5"/>
        <v>0</v>
      </c>
    </row>
    <row r="107" spans="1:8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f t="shared" si="3"/>
        <v>0</v>
      </c>
      <c r="G107">
        <f t="shared" si="4"/>
        <v>1</v>
      </c>
      <c r="H107">
        <f t="shared" si="5"/>
        <v>1</v>
      </c>
    </row>
    <row r="108" spans="1:8" x14ac:dyDescent="0.45">
      <c r="A108">
        <v>107</v>
      </c>
      <c r="B108">
        <v>17.8</v>
      </c>
      <c r="C108">
        <v>5</v>
      </c>
      <c r="D108" t="s">
        <v>5</v>
      </c>
      <c r="E108">
        <v>1</v>
      </c>
      <c r="F108">
        <f t="shared" si="3"/>
        <v>0</v>
      </c>
      <c r="G108">
        <f t="shared" si="4"/>
        <v>1</v>
      </c>
      <c r="H108">
        <f t="shared" si="5"/>
        <v>1</v>
      </c>
    </row>
    <row r="109" spans="1:8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f t="shared" si="3"/>
        <v>0</v>
      </c>
      <c r="G109">
        <f t="shared" si="4"/>
        <v>1</v>
      </c>
      <c r="H109">
        <f t="shared" si="5"/>
        <v>1</v>
      </c>
    </row>
    <row r="110" spans="1:8" x14ac:dyDescent="0.45">
      <c r="A110">
        <v>109</v>
      </c>
      <c r="B110">
        <v>21.3</v>
      </c>
      <c r="C110">
        <v>1</v>
      </c>
      <c r="D110" t="s">
        <v>5</v>
      </c>
      <c r="E110">
        <v>1</v>
      </c>
      <c r="F110">
        <f t="shared" si="3"/>
        <v>1</v>
      </c>
      <c r="G110">
        <f t="shared" si="4"/>
        <v>1</v>
      </c>
      <c r="H110">
        <f t="shared" si="5"/>
        <v>2</v>
      </c>
    </row>
    <row r="111" spans="1:8" x14ac:dyDescent="0.45">
      <c r="A111">
        <v>110</v>
      </c>
      <c r="B111">
        <v>24.5</v>
      </c>
      <c r="C111">
        <v>7</v>
      </c>
      <c r="D111" t="s">
        <v>5</v>
      </c>
      <c r="E111">
        <v>2</v>
      </c>
      <c r="F111">
        <f t="shared" si="3"/>
        <v>1</v>
      </c>
      <c r="G111">
        <f t="shared" si="4"/>
        <v>0</v>
      </c>
      <c r="H111">
        <f t="shared" si="5"/>
        <v>1</v>
      </c>
    </row>
    <row r="112" spans="1:8" x14ac:dyDescent="0.45">
      <c r="A112">
        <v>111</v>
      </c>
      <c r="B112">
        <v>27.5</v>
      </c>
      <c r="C112">
        <v>12</v>
      </c>
      <c r="D112" t="s">
        <v>5</v>
      </c>
      <c r="E112">
        <v>2</v>
      </c>
      <c r="F112">
        <f t="shared" si="3"/>
        <v>1</v>
      </c>
      <c r="G112">
        <f t="shared" si="4"/>
        <v>0</v>
      </c>
      <c r="H112">
        <f t="shared" si="5"/>
        <v>1</v>
      </c>
    </row>
    <row r="113" spans="1:8" x14ac:dyDescent="0.45">
      <c r="A113">
        <v>112</v>
      </c>
      <c r="B113">
        <v>29.5</v>
      </c>
      <c r="C113">
        <v>6</v>
      </c>
      <c r="D113" t="s">
        <v>5</v>
      </c>
      <c r="E113">
        <v>2</v>
      </c>
      <c r="F113">
        <f t="shared" si="3"/>
        <v>1</v>
      </c>
      <c r="G113">
        <f t="shared" si="4"/>
        <v>0</v>
      </c>
      <c r="H113">
        <f t="shared" si="5"/>
        <v>1</v>
      </c>
    </row>
    <row r="114" spans="1:8" x14ac:dyDescent="0.45">
      <c r="A114">
        <v>113</v>
      </c>
      <c r="B114">
        <v>29.9</v>
      </c>
      <c r="C114">
        <v>5</v>
      </c>
      <c r="D114" t="s">
        <v>5</v>
      </c>
      <c r="E114">
        <v>3</v>
      </c>
      <c r="F114">
        <f t="shared" si="3"/>
        <v>1</v>
      </c>
      <c r="G114">
        <f t="shared" si="4"/>
        <v>1</v>
      </c>
      <c r="H114">
        <f t="shared" si="5"/>
        <v>2</v>
      </c>
    </row>
    <row r="115" spans="1:8" x14ac:dyDescent="0.45">
      <c r="A115">
        <v>114</v>
      </c>
      <c r="B115">
        <v>28.6</v>
      </c>
      <c r="C115">
        <v>6</v>
      </c>
      <c r="D115" t="s">
        <v>5</v>
      </c>
      <c r="E115">
        <v>3</v>
      </c>
      <c r="F115">
        <f t="shared" si="3"/>
        <v>1</v>
      </c>
      <c r="G115">
        <f t="shared" si="4"/>
        <v>0</v>
      </c>
      <c r="H115">
        <f t="shared" si="5"/>
        <v>1</v>
      </c>
    </row>
    <row r="116" spans="1:8" x14ac:dyDescent="0.45">
      <c r="A116">
        <v>115</v>
      </c>
      <c r="B116">
        <v>25.9</v>
      </c>
      <c r="C116">
        <v>6</v>
      </c>
      <c r="D116" t="s">
        <v>5</v>
      </c>
      <c r="E116">
        <v>3</v>
      </c>
      <c r="F116">
        <f t="shared" si="3"/>
        <v>1</v>
      </c>
      <c r="G116">
        <f t="shared" si="4"/>
        <v>0</v>
      </c>
      <c r="H116">
        <f t="shared" si="5"/>
        <v>1</v>
      </c>
    </row>
    <row r="117" spans="1:8" x14ac:dyDescent="0.45">
      <c r="A117">
        <v>116</v>
      </c>
      <c r="B117">
        <v>22.6</v>
      </c>
      <c r="C117">
        <v>23</v>
      </c>
      <c r="D117" t="s">
        <v>5</v>
      </c>
      <c r="E117">
        <v>4</v>
      </c>
      <c r="F117">
        <f t="shared" si="3"/>
        <v>1</v>
      </c>
      <c r="G117">
        <f t="shared" si="4"/>
        <v>0</v>
      </c>
      <c r="H117">
        <f t="shared" si="5"/>
        <v>1</v>
      </c>
    </row>
    <row r="118" spans="1:8" x14ac:dyDescent="0.45">
      <c r="A118">
        <v>117</v>
      </c>
      <c r="B118">
        <v>19.7</v>
      </c>
      <c r="C118">
        <v>16</v>
      </c>
      <c r="D118" t="s">
        <v>5</v>
      </c>
      <c r="E118">
        <v>4</v>
      </c>
      <c r="F118">
        <f t="shared" si="3"/>
        <v>0</v>
      </c>
      <c r="G118">
        <f t="shared" si="4"/>
        <v>0</v>
      </c>
      <c r="H118">
        <f t="shared" si="5"/>
        <v>0</v>
      </c>
    </row>
    <row r="119" spans="1:8" x14ac:dyDescent="0.45">
      <c r="A119">
        <v>118</v>
      </c>
      <c r="B119">
        <v>17.8</v>
      </c>
      <c r="C119">
        <v>1</v>
      </c>
      <c r="D119" t="s">
        <v>5</v>
      </c>
      <c r="E119">
        <v>4</v>
      </c>
      <c r="F119">
        <f t="shared" si="3"/>
        <v>0</v>
      </c>
      <c r="G119">
        <f t="shared" si="4"/>
        <v>1</v>
      </c>
      <c r="H119">
        <f t="shared" si="5"/>
        <v>1</v>
      </c>
    </row>
    <row r="120" spans="1:8" x14ac:dyDescent="0.45">
      <c r="A120">
        <v>119</v>
      </c>
      <c r="B120">
        <v>17.3</v>
      </c>
      <c r="C120">
        <v>27</v>
      </c>
      <c r="D120" t="s">
        <v>5</v>
      </c>
      <c r="E120">
        <v>5</v>
      </c>
      <c r="F120">
        <f t="shared" si="3"/>
        <v>0</v>
      </c>
      <c r="G120">
        <f t="shared" si="4"/>
        <v>0</v>
      </c>
      <c r="H120">
        <f t="shared" si="5"/>
        <v>0</v>
      </c>
    </row>
    <row r="121" spans="1:8" x14ac:dyDescent="0.45">
      <c r="A121">
        <v>120</v>
      </c>
      <c r="B121">
        <v>18.2</v>
      </c>
      <c r="C121">
        <v>0</v>
      </c>
      <c r="D121">
        <v>0</v>
      </c>
      <c r="E121">
        <v>0</v>
      </c>
      <c r="F121">
        <f t="shared" si="3"/>
        <v>0</v>
      </c>
      <c r="G121">
        <f t="shared" si="4"/>
        <v>1</v>
      </c>
      <c r="H121">
        <f t="shared" si="5"/>
        <v>1</v>
      </c>
    </row>
    <row r="122" spans="1:8" x14ac:dyDescent="0.45">
      <c r="A122">
        <v>121</v>
      </c>
      <c r="B122">
        <v>19.8</v>
      </c>
      <c r="C122">
        <v>1</v>
      </c>
      <c r="D122" t="s">
        <v>5</v>
      </c>
      <c r="E122">
        <v>1</v>
      </c>
      <c r="F122">
        <f t="shared" si="3"/>
        <v>0</v>
      </c>
      <c r="G122">
        <f t="shared" si="4"/>
        <v>1</v>
      </c>
      <c r="H122">
        <f t="shared" si="5"/>
        <v>1</v>
      </c>
    </row>
    <row r="123" spans="1:8" x14ac:dyDescent="0.45">
      <c r="A123">
        <v>122</v>
      </c>
      <c r="B123">
        <v>21.4</v>
      </c>
      <c r="C123">
        <v>1</v>
      </c>
      <c r="D123" t="s">
        <v>5</v>
      </c>
      <c r="E123">
        <v>1</v>
      </c>
      <c r="F123">
        <f t="shared" si="3"/>
        <v>1</v>
      </c>
      <c r="G123">
        <f t="shared" si="4"/>
        <v>1</v>
      </c>
      <c r="H123">
        <f t="shared" si="5"/>
        <v>2</v>
      </c>
    </row>
    <row r="124" spans="1:8" x14ac:dyDescent="0.45">
      <c r="A124">
        <v>123</v>
      </c>
      <c r="B124">
        <v>22</v>
      </c>
      <c r="C124">
        <v>6</v>
      </c>
      <c r="D124" t="s">
        <v>5</v>
      </c>
      <c r="E124">
        <v>1</v>
      </c>
      <c r="F124">
        <f t="shared" si="3"/>
        <v>1</v>
      </c>
      <c r="G124">
        <f t="shared" si="4"/>
        <v>0</v>
      </c>
      <c r="H124">
        <f t="shared" si="5"/>
        <v>1</v>
      </c>
    </row>
    <row r="125" spans="1:8" x14ac:dyDescent="0.45">
      <c r="A125">
        <v>124</v>
      </c>
      <c r="B125">
        <v>21.2</v>
      </c>
      <c r="C125">
        <v>9</v>
      </c>
      <c r="D125" t="s">
        <v>5</v>
      </c>
      <c r="E125">
        <v>2</v>
      </c>
      <c r="F125">
        <f t="shared" si="3"/>
        <v>1</v>
      </c>
      <c r="G125">
        <f t="shared" si="4"/>
        <v>0</v>
      </c>
      <c r="H125">
        <f t="shared" si="5"/>
        <v>1</v>
      </c>
    </row>
    <row r="126" spans="1:8" x14ac:dyDescent="0.45">
      <c r="A126">
        <v>125</v>
      </c>
      <c r="B126">
        <v>18.8</v>
      </c>
      <c r="C126">
        <v>7</v>
      </c>
      <c r="D126" t="s">
        <v>5</v>
      </c>
      <c r="E126">
        <v>2</v>
      </c>
      <c r="F126">
        <f t="shared" si="3"/>
        <v>0</v>
      </c>
      <c r="G126">
        <f t="shared" si="4"/>
        <v>0</v>
      </c>
      <c r="H126">
        <f t="shared" si="5"/>
        <v>0</v>
      </c>
    </row>
    <row r="127" spans="1:8" x14ac:dyDescent="0.45">
      <c r="A127">
        <v>126</v>
      </c>
      <c r="B127">
        <v>15.2</v>
      </c>
      <c r="C127">
        <v>12</v>
      </c>
      <c r="D127" t="s">
        <v>5</v>
      </c>
      <c r="E127">
        <v>2</v>
      </c>
      <c r="F127">
        <f t="shared" si="3"/>
        <v>0</v>
      </c>
      <c r="G127">
        <f t="shared" si="4"/>
        <v>0</v>
      </c>
      <c r="H127">
        <f t="shared" si="5"/>
        <v>0</v>
      </c>
    </row>
    <row r="128" spans="1:8" x14ac:dyDescent="0.45">
      <c r="A128">
        <v>127</v>
      </c>
      <c r="B128">
        <v>11.1</v>
      </c>
      <c r="C128">
        <v>15</v>
      </c>
      <c r="D128" t="s">
        <v>5</v>
      </c>
      <c r="E128">
        <v>3</v>
      </c>
      <c r="F128">
        <f t="shared" si="3"/>
        <v>0</v>
      </c>
      <c r="G128">
        <f t="shared" si="4"/>
        <v>0</v>
      </c>
      <c r="H128">
        <f t="shared" si="5"/>
        <v>0</v>
      </c>
    </row>
    <row r="129" spans="1:8" x14ac:dyDescent="0.45">
      <c r="A129">
        <v>128</v>
      </c>
      <c r="B129">
        <v>7.5</v>
      </c>
      <c r="C129">
        <v>10</v>
      </c>
      <c r="D129" t="s">
        <v>5</v>
      </c>
      <c r="E129">
        <v>3</v>
      </c>
      <c r="F129">
        <f t="shared" si="3"/>
        <v>0</v>
      </c>
      <c r="G129">
        <f t="shared" si="4"/>
        <v>0</v>
      </c>
      <c r="H129">
        <f t="shared" si="5"/>
        <v>0</v>
      </c>
    </row>
    <row r="130" spans="1:8" x14ac:dyDescent="0.45">
      <c r="A130">
        <v>129</v>
      </c>
      <c r="B130">
        <v>5.2</v>
      </c>
      <c r="C130">
        <v>5</v>
      </c>
      <c r="D130" t="s">
        <v>5</v>
      </c>
      <c r="E130">
        <v>3</v>
      </c>
      <c r="F130">
        <f t="shared" si="3"/>
        <v>0</v>
      </c>
      <c r="G130">
        <f t="shared" si="4"/>
        <v>1</v>
      </c>
      <c r="H130">
        <f t="shared" si="5"/>
        <v>1</v>
      </c>
    </row>
    <row r="131" spans="1:8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f t="shared" ref="F131:F194" si="6">IF(B131&gt;=20,1,0)</f>
        <v>0</v>
      </c>
      <c r="G131">
        <f t="shared" ref="G131:G194" si="7">IF(C131&lt;=5,1,0)</f>
        <v>0</v>
      </c>
      <c r="H131">
        <f t="shared" ref="H131:H194" si="8">SUM(F131:G131)</f>
        <v>0</v>
      </c>
    </row>
    <row r="132" spans="1:8" x14ac:dyDescent="0.45">
      <c r="A132">
        <v>131</v>
      </c>
      <c r="B132">
        <v>5.5</v>
      </c>
      <c r="C132">
        <v>11</v>
      </c>
      <c r="D132" t="s">
        <v>5</v>
      </c>
      <c r="E132">
        <v>4</v>
      </c>
      <c r="F132">
        <f t="shared" si="6"/>
        <v>0</v>
      </c>
      <c r="G132">
        <f t="shared" si="7"/>
        <v>0</v>
      </c>
      <c r="H132">
        <f t="shared" si="8"/>
        <v>0</v>
      </c>
    </row>
    <row r="133" spans="1:8" x14ac:dyDescent="0.45">
      <c r="A133">
        <v>132</v>
      </c>
      <c r="B133">
        <v>7.3</v>
      </c>
      <c r="C133">
        <v>23</v>
      </c>
      <c r="D133" t="s">
        <v>5</v>
      </c>
      <c r="E133">
        <v>4</v>
      </c>
      <c r="F133">
        <f t="shared" si="6"/>
        <v>0</v>
      </c>
      <c r="G133">
        <f t="shared" si="7"/>
        <v>0</v>
      </c>
      <c r="H133">
        <f t="shared" si="8"/>
        <v>0</v>
      </c>
    </row>
    <row r="134" spans="1:8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f t="shared" si="6"/>
        <v>0</v>
      </c>
      <c r="G134">
        <f t="shared" si="7"/>
        <v>0</v>
      </c>
      <c r="H134">
        <f t="shared" si="8"/>
        <v>0</v>
      </c>
    </row>
    <row r="135" spans="1:8" x14ac:dyDescent="0.45">
      <c r="A135">
        <v>134</v>
      </c>
      <c r="B135">
        <v>10.5</v>
      </c>
      <c r="C135">
        <v>21</v>
      </c>
      <c r="D135" t="s">
        <v>5</v>
      </c>
      <c r="E135">
        <v>5</v>
      </c>
      <c r="F135">
        <f t="shared" si="6"/>
        <v>0</v>
      </c>
      <c r="G135">
        <f t="shared" si="7"/>
        <v>0</v>
      </c>
      <c r="H135">
        <f t="shared" si="8"/>
        <v>0</v>
      </c>
    </row>
    <row r="136" spans="1:8" x14ac:dyDescent="0.45">
      <c r="A136">
        <v>135</v>
      </c>
      <c r="B136">
        <v>10.4</v>
      </c>
      <c r="C136">
        <v>0</v>
      </c>
      <c r="D136">
        <v>0</v>
      </c>
      <c r="E136">
        <v>0</v>
      </c>
      <c r="F136">
        <f t="shared" si="6"/>
        <v>0</v>
      </c>
      <c r="G136">
        <f t="shared" si="7"/>
        <v>1</v>
      </c>
      <c r="H136">
        <f t="shared" si="8"/>
        <v>1</v>
      </c>
    </row>
    <row r="137" spans="1:8" x14ac:dyDescent="0.45">
      <c r="A137">
        <v>136</v>
      </c>
      <c r="B137">
        <v>9</v>
      </c>
      <c r="C137">
        <v>4</v>
      </c>
      <c r="D137" t="s">
        <v>6</v>
      </c>
      <c r="E137">
        <v>1</v>
      </c>
      <c r="F137">
        <f t="shared" si="6"/>
        <v>0</v>
      </c>
      <c r="G137">
        <f t="shared" si="7"/>
        <v>1</v>
      </c>
      <c r="H137">
        <f t="shared" si="8"/>
        <v>1</v>
      </c>
    </row>
    <row r="138" spans="1:8" x14ac:dyDescent="0.45">
      <c r="A138">
        <v>137</v>
      </c>
      <c r="B138">
        <v>6.4</v>
      </c>
      <c r="C138">
        <v>3</v>
      </c>
      <c r="D138" t="s">
        <v>6</v>
      </c>
      <c r="E138">
        <v>1</v>
      </c>
      <c r="F138">
        <f t="shared" si="6"/>
        <v>0</v>
      </c>
      <c r="G138">
        <f t="shared" si="7"/>
        <v>1</v>
      </c>
      <c r="H138">
        <f t="shared" si="8"/>
        <v>1</v>
      </c>
    </row>
    <row r="139" spans="1:8" x14ac:dyDescent="0.45">
      <c r="A139">
        <v>138</v>
      </c>
      <c r="B139">
        <v>3.6</v>
      </c>
      <c r="C139">
        <v>3</v>
      </c>
      <c r="D139" t="s">
        <v>6</v>
      </c>
      <c r="E139">
        <v>1</v>
      </c>
      <c r="F139">
        <f t="shared" si="6"/>
        <v>0</v>
      </c>
      <c r="G139">
        <f t="shared" si="7"/>
        <v>1</v>
      </c>
      <c r="H139">
        <f t="shared" si="8"/>
        <v>1</v>
      </c>
    </row>
    <row r="140" spans="1:8" x14ac:dyDescent="0.45">
      <c r="A140">
        <v>139</v>
      </c>
      <c r="B140">
        <v>1.4</v>
      </c>
      <c r="C140">
        <v>4</v>
      </c>
      <c r="D140" t="s">
        <v>6</v>
      </c>
      <c r="E140">
        <v>2</v>
      </c>
      <c r="F140">
        <f t="shared" si="6"/>
        <v>0</v>
      </c>
      <c r="G140">
        <f t="shared" si="7"/>
        <v>1</v>
      </c>
      <c r="H140">
        <f t="shared" si="8"/>
        <v>1</v>
      </c>
    </row>
    <row r="141" spans="1:8" x14ac:dyDescent="0.45">
      <c r="A141">
        <v>140</v>
      </c>
      <c r="B141">
        <v>0.5</v>
      </c>
      <c r="C141">
        <v>5</v>
      </c>
      <c r="D141" t="s">
        <v>6</v>
      </c>
      <c r="E141">
        <v>2</v>
      </c>
      <c r="F141">
        <f t="shared" si="6"/>
        <v>0</v>
      </c>
      <c r="G141">
        <f t="shared" si="7"/>
        <v>1</v>
      </c>
      <c r="H141">
        <f t="shared" si="8"/>
        <v>1</v>
      </c>
    </row>
    <row r="142" spans="1:8" x14ac:dyDescent="0.45">
      <c r="A142">
        <v>141</v>
      </c>
      <c r="B142">
        <v>1.4</v>
      </c>
      <c r="C142">
        <v>1</v>
      </c>
      <c r="D142" t="s">
        <v>6</v>
      </c>
      <c r="E142">
        <v>2</v>
      </c>
      <c r="F142">
        <f t="shared" si="6"/>
        <v>0</v>
      </c>
      <c r="G142">
        <f t="shared" si="7"/>
        <v>1</v>
      </c>
      <c r="H142">
        <f t="shared" si="8"/>
        <v>1</v>
      </c>
    </row>
    <row r="143" spans="1:8" x14ac:dyDescent="0.45">
      <c r="A143">
        <v>142</v>
      </c>
      <c r="B143">
        <v>3.9</v>
      </c>
      <c r="C143">
        <v>3</v>
      </c>
      <c r="D143" t="s">
        <v>6</v>
      </c>
      <c r="E143">
        <v>3</v>
      </c>
      <c r="F143">
        <f t="shared" si="6"/>
        <v>0</v>
      </c>
      <c r="G143">
        <f t="shared" si="7"/>
        <v>1</v>
      </c>
      <c r="H143">
        <f t="shared" si="8"/>
        <v>1</v>
      </c>
    </row>
    <row r="144" spans="1:8" x14ac:dyDescent="0.45">
      <c r="A144">
        <v>143</v>
      </c>
      <c r="B144">
        <v>7.3</v>
      </c>
      <c r="C144">
        <v>13</v>
      </c>
      <c r="D144" t="s">
        <v>6</v>
      </c>
      <c r="E144">
        <v>3</v>
      </c>
      <c r="F144">
        <f t="shared" si="6"/>
        <v>0</v>
      </c>
      <c r="G144">
        <f t="shared" si="7"/>
        <v>0</v>
      </c>
      <c r="H144">
        <f t="shared" si="8"/>
        <v>0</v>
      </c>
    </row>
    <row r="145" spans="1:8" x14ac:dyDescent="0.45">
      <c r="A145">
        <v>144</v>
      </c>
      <c r="B145">
        <v>10.9</v>
      </c>
      <c r="C145">
        <v>12</v>
      </c>
      <c r="D145" t="s">
        <v>6</v>
      </c>
      <c r="E145">
        <v>3</v>
      </c>
      <c r="F145">
        <f t="shared" si="6"/>
        <v>0</v>
      </c>
      <c r="G145">
        <f t="shared" si="7"/>
        <v>0</v>
      </c>
      <c r="H145">
        <f t="shared" si="8"/>
        <v>0</v>
      </c>
    </row>
    <row r="146" spans="1:8" x14ac:dyDescent="0.45">
      <c r="A146">
        <v>145</v>
      </c>
      <c r="B146">
        <v>13.7</v>
      </c>
      <c r="C146">
        <v>9</v>
      </c>
      <c r="D146" t="s">
        <v>6</v>
      </c>
      <c r="E146">
        <v>4</v>
      </c>
      <c r="F146">
        <f t="shared" si="6"/>
        <v>0</v>
      </c>
      <c r="G146">
        <f t="shared" si="7"/>
        <v>0</v>
      </c>
      <c r="H146">
        <f t="shared" si="8"/>
        <v>0</v>
      </c>
    </row>
    <row r="147" spans="1:8" x14ac:dyDescent="0.45">
      <c r="A147">
        <v>146</v>
      </c>
      <c r="B147">
        <v>15.1</v>
      </c>
      <c r="C147">
        <v>21</v>
      </c>
      <c r="D147" t="s">
        <v>6</v>
      </c>
      <c r="E147">
        <v>4</v>
      </c>
      <c r="F147">
        <f t="shared" si="6"/>
        <v>0</v>
      </c>
      <c r="G147">
        <f t="shared" si="7"/>
        <v>0</v>
      </c>
      <c r="H147">
        <f t="shared" si="8"/>
        <v>0</v>
      </c>
    </row>
    <row r="148" spans="1:8" x14ac:dyDescent="0.45">
      <c r="A148">
        <v>147</v>
      </c>
      <c r="B148">
        <v>15.1</v>
      </c>
      <c r="C148">
        <v>14</v>
      </c>
      <c r="D148" t="s">
        <v>6</v>
      </c>
      <c r="E148">
        <v>4</v>
      </c>
      <c r="F148">
        <f t="shared" si="6"/>
        <v>0</v>
      </c>
      <c r="G148">
        <f t="shared" si="7"/>
        <v>0</v>
      </c>
      <c r="H148">
        <f t="shared" si="8"/>
        <v>0</v>
      </c>
    </row>
    <row r="149" spans="1:8" x14ac:dyDescent="0.45">
      <c r="A149">
        <v>148</v>
      </c>
      <c r="B149">
        <v>13.9</v>
      </c>
      <c r="C149">
        <v>11</v>
      </c>
      <c r="D149" t="s">
        <v>6</v>
      </c>
      <c r="E149">
        <v>5</v>
      </c>
      <c r="F149">
        <f t="shared" si="6"/>
        <v>0</v>
      </c>
      <c r="G149">
        <f t="shared" si="7"/>
        <v>0</v>
      </c>
      <c r="H149">
        <f t="shared" si="8"/>
        <v>0</v>
      </c>
    </row>
    <row r="150" spans="1:8" x14ac:dyDescent="0.45">
      <c r="A150">
        <v>149</v>
      </c>
      <c r="B150">
        <v>12.3</v>
      </c>
      <c r="C150">
        <v>20</v>
      </c>
      <c r="D150" t="s">
        <v>6</v>
      </c>
      <c r="E150">
        <v>5</v>
      </c>
      <c r="F150">
        <f t="shared" si="6"/>
        <v>0</v>
      </c>
      <c r="G150">
        <f t="shared" si="7"/>
        <v>0</v>
      </c>
      <c r="H150">
        <f t="shared" si="8"/>
        <v>0</v>
      </c>
    </row>
    <row r="151" spans="1:8" x14ac:dyDescent="0.45">
      <c r="A151">
        <v>150</v>
      </c>
      <c r="B151">
        <v>11.2</v>
      </c>
      <c r="C151">
        <v>0</v>
      </c>
      <c r="D151">
        <v>0</v>
      </c>
      <c r="E151">
        <v>0</v>
      </c>
      <c r="F151">
        <f t="shared" si="6"/>
        <v>0</v>
      </c>
      <c r="G151">
        <f t="shared" si="7"/>
        <v>1</v>
      </c>
      <c r="H151">
        <f t="shared" si="8"/>
        <v>1</v>
      </c>
    </row>
    <row r="152" spans="1:8" x14ac:dyDescent="0.45">
      <c r="A152">
        <v>151</v>
      </c>
      <c r="B152">
        <v>11.3</v>
      </c>
      <c r="C152">
        <v>6</v>
      </c>
      <c r="D152" t="s">
        <v>5</v>
      </c>
      <c r="E152">
        <v>1</v>
      </c>
      <c r="F152">
        <f t="shared" si="6"/>
        <v>0</v>
      </c>
      <c r="G152">
        <f t="shared" si="7"/>
        <v>0</v>
      </c>
      <c r="H152">
        <f t="shared" si="8"/>
        <v>0</v>
      </c>
    </row>
    <row r="153" spans="1:8" x14ac:dyDescent="0.45">
      <c r="A153">
        <v>152</v>
      </c>
      <c r="B153">
        <v>12.9</v>
      </c>
      <c r="C153">
        <v>3</v>
      </c>
      <c r="D153" t="s">
        <v>5</v>
      </c>
      <c r="E153">
        <v>1</v>
      </c>
      <c r="F153">
        <f t="shared" si="6"/>
        <v>0</v>
      </c>
      <c r="G153">
        <f t="shared" si="7"/>
        <v>1</v>
      </c>
      <c r="H153">
        <f t="shared" si="8"/>
        <v>1</v>
      </c>
    </row>
    <row r="154" spans="1:8" x14ac:dyDescent="0.45">
      <c r="A154">
        <v>153</v>
      </c>
      <c r="B154">
        <v>16</v>
      </c>
      <c r="C154">
        <v>6</v>
      </c>
      <c r="D154" t="s">
        <v>5</v>
      </c>
      <c r="E154">
        <v>1</v>
      </c>
      <c r="F154">
        <f t="shared" si="6"/>
        <v>0</v>
      </c>
      <c r="G154">
        <f t="shared" si="7"/>
        <v>0</v>
      </c>
      <c r="H154">
        <f t="shared" si="8"/>
        <v>0</v>
      </c>
    </row>
    <row r="155" spans="1:8" x14ac:dyDescent="0.45">
      <c r="A155">
        <v>154</v>
      </c>
      <c r="B155">
        <v>19.8</v>
      </c>
      <c r="C155">
        <v>2</v>
      </c>
      <c r="D155" t="s">
        <v>5</v>
      </c>
      <c r="E155">
        <v>2</v>
      </c>
      <c r="F155">
        <f t="shared" si="6"/>
        <v>0</v>
      </c>
      <c r="G155">
        <f t="shared" si="7"/>
        <v>1</v>
      </c>
      <c r="H155">
        <f t="shared" si="8"/>
        <v>1</v>
      </c>
    </row>
    <row r="156" spans="1:8" x14ac:dyDescent="0.45">
      <c r="A156">
        <v>155</v>
      </c>
      <c r="B156">
        <v>23.6</v>
      </c>
      <c r="C156">
        <v>11</v>
      </c>
      <c r="D156" t="s">
        <v>5</v>
      </c>
      <c r="E156">
        <v>2</v>
      </c>
      <c r="F156">
        <f t="shared" si="6"/>
        <v>1</v>
      </c>
      <c r="G156">
        <f t="shared" si="7"/>
        <v>0</v>
      </c>
      <c r="H156">
        <f t="shared" si="8"/>
        <v>1</v>
      </c>
    </row>
    <row r="157" spans="1:8" x14ac:dyDescent="0.45">
      <c r="A157">
        <v>156</v>
      </c>
      <c r="B157">
        <v>26.4</v>
      </c>
      <c r="C157">
        <v>11</v>
      </c>
      <c r="D157" t="s">
        <v>5</v>
      </c>
      <c r="E157">
        <v>2</v>
      </c>
      <c r="F157">
        <f t="shared" si="6"/>
        <v>1</v>
      </c>
      <c r="G157">
        <f t="shared" si="7"/>
        <v>0</v>
      </c>
      <c r="H157">
        <f t="shared" si="8"/>
        <v>1</v>
      </c>
    </row>
    <row r="158" spans="1:8" x14ac:dyDescent="0.45">
      <c r="A158">
        <v>157</v>
      </c>
      <c r="B158">
        <v>27.7</v>
      </c>
      <c r="C158">
        <v>5</v>
      </c>
      <c r="D158" t="s">
        <v>5</v>
      </c>
      <c r="E158">
        <v>3</v>
      </c>
      <c r="F158">
        <f t="shared" si="6"/>
        <v>1</v>
      </c>
      <c r="G158">
        <f t="shared" si="7"/>
        <v>1</v>
      </c>
      <c r="H158">
        <f t="shared" si="8"/>
        <v>2</v>
      </c>
    </row>
    <row r="159" spans="1:8" x14ac:dyDescent="0.45">
      <c r="A159">
        <v>158</v>
      </c>
      <c r="B159">
        <v>27.2</v>
      </c>
      <c r="C159">
        <v>18</v>
      </c>
      <c r="D159" t="s">
        <v>5</v>
      </c>
      <c r="E159">
        <v>3</v>
      </c>
      <c r="F159">
        <f t="shared" si="6"/>
        <v>1</v>
      </c>
      <c r="G159">
        <f t="shared" si="7"/>
        <v>0</v>
      </c>
      <c r="H159">
        <f t="shared" si="8"/>
        <v>1</v>
      </c>
    </row>
    <row r="160" spans="1:8" x14ac:dyDescent="0.45">
      <c r="A160">
        <v>159</v>
      </c>
      <c r="B160">
        <v>25.5</v>
      </c>
      <c r="C160">
        <v>5</v>
      </c>
      <c r="D160" t="s">
        <v>5</v>
      </c>
      <c r="E160">
        <v>3</v>
      </c>
      <c r="F160">
        <f t="shared" si="6"/>
        <v>1</v>
      </c>
      <c r="G160">
        <f t="shared" si="7"/>
        <v>1</v>
      </c>
      <c r="H160">
        <f t="shared" si="8"/>
        <v>2</v>
      </c>
    </row>
    <row r="161" spans="1:8" x14ac:dyDescent="0.45">
      <c r="A161">
        <v>160</v>
      </c>
      <c r="B161">
        <v>23.1</v>
      </c>
      <c r="C161">
        <v>8</v>
      </c>
      <c r="D161" t="s">
        <v>5</v>
      </c>
      <c r="E161">
        <v>4</v>
      </c>
      <c r="F161">
        <f t="shared" si="6"/>
        <v>1</v>
      </c>
      <c r="G161">
        <f t="shared" si="7"/>
        <v>0</v>
      </c>
      <c r="H161">
        <f t="shared" si="8"/>
        <v>1</v>
      </c>
    </row>
    <row r="162" spans="1:8" x14ac:dyDescent="0.45">
      <c r="A162">
        <v>161</v>
      </c>
      <c r="B162">
        <v>21</v>
      </c>
      <c r="C162">
        <v>22</v>
      </c>
      <c r="D162" t="s">
        <v>5</v>
      </c>
      <c r="E162">
        <v>4</v>
      </c>
      <c r="F162">
        <f t="shared" si="6"/>
        <v>1</v>
      </c>
      <c r="G162">
        <f t="shared" si="7"/>
        <v>0</v>
      </c>
      <c r="H162">
        <f t="shared" si="8"/>
        <v>1</v>
      </c>
    </row>
    <row r="163" spans="1:8" x14ac:dyDescent="0.45">
      <c r="A163">
        <v>162</v>
      </c>
      <c r="B163">
        <v>20</v>
      </c>
      <c r="C163">
        <v>19</v>
      </c>
      <c r="D163" t="s">
        <v>5</v>
      </c>
      <c r="E163">
        <v>4</v>
      </c>
      <c r="F163">
        <f t="shared" si="6"/>
        <v>1</v>
      </c>
      <c r="G163">
        <f t="shared" si="7"/>
        <v>0</v>
      </c>
      <c r="H163">
        <f t="shared" si="8"/>
        <v>1</v>
      </c>
    </row>
    <row r="164" spans="1:8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f t="shared" si="6"/>
        <v>1</v>
      </c>
      <c r="G164">
        <f t="shared" si="7"/>
        <v>0</v>
      </c>
      <c r="H164">
        <f t="shared" si="8"/>
        <v>1</v>
      </c>
    </row>
    <row r="165" spans="1:8" x14ac:dyDescent="0.45">
      <c r="A165">
        <v>164</v>
      </c>
      <c r="B165">
        <v>22.1</v>
      </c>
      <c r="C165">
        <v>0</v>
      </c>
      <c r="D165">
        <v>0</v>
      </c>
      <c r="E165">
        <v>0</v>
      </c>
      <c r="F165">
        <f t="shared" si="6"/>
        <v>1</v>
      </c>
      <c r="G165">
        <f t="shared" si="7"/>
        <v>1</v>
      </c>
      <c r="H165">
        <f t="shared" si="8"/>
        <v>2</v>
      </c>
    </row>
    <row r="166" spans="1:8" x14ac:dyDescent="0.45">
      <c r="A166">
        <v>165</v>
      </c>
      <c r="B166">
        <v>24.5</v>
      </c>
      <c r="C166">
        <v>1</v>
      </c>
      <c r="D166" t="s">
        <v>6</v>
      </c>
      <c r="E166">
        <v>1</v>
      </c>
      <c r="F166">
        <f t="shared" si="6"/>
        <v>1</v>
      </c>
      <c r="G166">
        <f t="shared" si="7"/>
        <v>1</v>
      </c>
      <c r="H166">
        <f t="shared" si="8"/>
        <v>2</v>
      </c>
    </row>
    <row r="167" spans="1:8" x14ac:dyDescent="0.45">
      <c r="A167">
        <v>166</v>
      </c>
      <c r="B167">
        <v>26.8</v>
      </c>
      <c r="C167">
        <v>2</v>
      </c>
      <c r="D167" t="s">
        <v>6</v>
      </c>
      <c r="E167">
        <v>1</v>
      </c>
      <c r="F167">
        <f t="shared" si="6"/>
        <v>1</v>
      </c>
      <c r="G167">
        <f t="shared" si="7"/>
        <v>1</v>
      </c>
      <c r="H167">
        <f t="shared" si="8"/>
        <v>2</v>
      </c>
    </row>
    <row r="168" spans="1:8" x14ac:dyDescent="0.45">
      <c r="A168">
        <v>167</v>
      </c>
      <c r="B168">
        <v>28</v>
      </c>
      <c r="C168">
        <v>4</v>
      </c>
      <c r="D168" t="s">
        <v>6</v>
      </c>
      <c r="E168">
        <v>1</v>
      </c>
      <c r="F168">
        <f t="shared" si="6"/>
        <v>1</v>
      </c>
      <c r="G168">
        <f t="shared" si="7"/>
        <v>1</v>
      </c>
      <c r="H168">
        <f t="shared" si="8"/>
        <v>2</v>
      </c>
    </row>
    <row r="169" spans="1:8" x14ac:dyDescent="0.45">
      <c r="A169">
        <v>168</v>
      </c>
      <c r="B169">
        <v>27.7</v>
      </c>
      <c r="C169">
        <v>8</v>
      </c>
      <c r="D169" t="s">
        <v>6</v>
      </c>
      <c r="E169">
        <v>2</v>
      </c>
      <c r="F169">
        <f t="shared" si="6"/>
        <v>1</v>
      </c>
      <c r="G169">
        <f t="shared" si="7"/>
        <v>0</v>
      </c>
      <c r="H169">
        <f t="shared" si="8"/>
        <v>1</v>
      </c>
    </row>
    <row r="170" spans="1:8" x14ac:dyDescent="0.45">
      <c r="A170">
        <v>169</v>
      </c>
      <c r="B170">
        <v>25.6</v>
      </c>
      <c r="C170">
        <v>4</v>
      </c>
      <c r="D170" t="s">
        <v>6</v>
      </c>
      <c r="E170">
        <v>2</v>
      </c>
      <c r="F170">
        <f t="shared" si="6"/>
        <v>1</v>
      </c>
      <c r="G170">
        <f t="shared" si="7"/>
        <v>1</v>
      </c>
      <c r="H170">
        <f t="shared" si="8"/>
        <v>2</v>
      </c>
    </row>
    <row r="171" spans="1:8" x14ac:dyDescent="0.45">
      <c r="A171">
        <v>170</v>
      </c>
      <c r="B171">
        <v>22.3</v>
      </c>
      <c r="C171">
        <v>7</v>
      </c>
      <c r="D171" t="s">
        <v>6</v>
      </c>
      <c r="E171">
        <v>2</v>
      </c>
      <c r="F171">
        <f t="shared" si="6"/>
        <v>1</v>
      </c>
      <c r="G171">
        <f t="shared" si="7"/>
        <v>0</v>
      </c>
      <c r="H171">
        <f t="shared" si="8"/>
        <v>1</v>
      </c>
    </row>
    <row r="172" spans="1:8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f t="shared" si="6"/>
        <v>0</v>
      </c>
      <c r="G172">
        <f t="shared" si="7"/>
        <v>0</v>
      </c>
      <c r="H172">
        <f t="shared" si="8"/>
        <v>0</v>
      </c>
    </row>
    <row r="173" spans="1:8" x14ac:dyDescent="0.45">
      <c r="A173">
        <v>172</v>
      </c>
      <c r="B173">
        <v>14.9</v>
      </c>
      <c r="C173">
        <v>18</v>
      </c>
      <c r="D173" t="s">
        <v>6</v>
      </c>
      <c r="E173">
        <v>3</v>
      </c>
      <c r="F173">
        <f t="shared" si="6"/>
        <v>0</v>
      </c>
      <c r="G173">
        <f t="shared" si="7"/>
        <v>0</v>
      </c>
      <c r="H173">
        <f t="shared" si="8"/>
        <v>0</v>
      </c>
    </row>
    <row r="174" spans="1:8" x14ac:dyDescent="0.45">
      <c r="A174">
        <v>173</v>
      </c>
      <c r="B174">
        <v>12.5</v>
      </c>
      <c r="C174">
        <v>6</v>
      </c>
      <c r="D174" t="s">
        <v>6</v>
      </c>
      <c r="E174">
        <v>3</v>
      </c>
      <c r="F174">
        <f t="shared" si="6"/>
        <v>0</v>
      </c>
      <c r="G174">
        <f t="shared" si="7"/>
        <v>0</v>
      </c>
      <c r="H174">
        <f t="shared" si="8"/>
        <v>0</v>
      </c>
    </row>
    <row r="175" spans="1:8" x14ac:dyDescent="0.45">
      <c r="A175">
        <v>174</v>
      </c>
      <c r="B175">
        <v>11.7</v>
      </c>
      <c r="C175">
        <v>20</v>
      </c>
      <c r="D175" t="s">
        <v>6</v>
      </c>
      <c r="E175">
        <v>4</v>
      </c>
      <c r="F175">
        <f t="shared" si="6"/>
        <v>0</v>
      </c>
      <c r="G175">
        <f t="shared" si="7"/>
        <v>0</v>
      </c>
      <c r="H175">
        <f t="shared" si="8"/>
        <v>0</v>
      </c>
    </row>
    <row r="176" spans="1:8" x14ac:dyDescent="0.45">
      <c r="A176">
        <v>175</v>
      </c>
      <c r="B176">
        <v>12.3</v>
      </c>
      <c r="C176">
        <v>14</v>
      </c>
      <c r="D176" t="s">
        <v>6</v>
      </c>
      <c r="E176">
        <v>4</v>
      </c>
      <c r="F176">
        <f t="shared" si="6"/>
        <v>0</v>
      </c>
      <c r="G176">
        <f t="shared" si="7"/>
        <v>0</v>
      </c>
      <c r="H176">
        <f t="shared" si="8"/>
        <v>0</v>
      </c>
    </row>
    <row r="177" spans="1:8" x14ac:dyDescent="0.45">
      <c r="A177">
        <v>176</v>
      </c>
      <c r="B177">
        <v>13.7</v>
      </c>
      <c r="C177">
        <v>22</v>
      </c>
      <c r="D177" t="s">
        <v>6</v>
      </c>
      <c r="E177">
        <v>4</v>
      </c>
      <c r="F177">
        <f t="shared" si="6"/>
        <v>0</v>
      </c>
      <c r="G177">
        <f t="shared" si="7"/>
        <v>0</v>
      </c>
      <c r="H177">
        <f t="shared" si="8"/>
        <v>0</v>
      </c>
    </row>
    <row r="178" spans="1:8" x14ac:dyDescent="0.45">
      <c r="A178">
        <v>177</v>
      </c>
      <c r="B178">
        <v>15.2</v>
      </c>
      <c r="C178">
        <v>23</v>
      </c>
      <c r="D178" t="s">
        <v>6</v>
      </c>
      <c r="E178">
        <v>5</v>
      </c>
      <c r="F178">
        <f t="shared" si="6"/>
        <v>0</v>
      </c>
      <c r="G178">
        <f t="shared" si="7"/>
        <v>0</v>
      </c>
      <c r="H178">
        <f t="shared" si="8"/>
        <v>0</v>
      </c>
    </row>
    <row r="179" spans="1:8" x14ac:dyDescent="0.45">
      <c r="A179">
        <v>178</v>
      </c>
      <c r="B179">
        <v>15.9</v>
      </c>
      <c r="C179">
        <v>0</v>
      </c>
      <c r="D179">
        <v>0</v>
      </c>
      <c r="E179">
        <v>0</v>
      </c>
      <c r="F179">
        <f t="shared" si="6"/>
        <v>0</v>
      </c>
      <c r="G179">
        <f t="shared" si="7"/>
        <v>1</v>
      </c>
      <c r="H179">
        <f t="shared" si="8"/>
        <v>1</v>
      </c>
    </row>
    <row r="180" spans="1:8" x14ac:dyDescent="0.45">
      <c r="A180">
        <v>179</v>
      </c>
      <c r="B180">
        <v>15.1</v>
      </c>
      <c r="C180">
        <v>1</v>
      </c>
      <c r="D180" t="s">
        <v>5</v>
      </c>
      <c r="E180">
        <v>1</v>
      </c>
      <c r="F180">
        <f t="shared" si="6"/>
        <v>0</v>
      </c>
      <c r="G180">
        <f t="shared" si="7"/>
        <v>1</v>
      </c>
      <c r="H180">
        <f t="shared" si="8"/>
        <v>1</v>
      </c>
    </row>
    <row r="181" spans="1:8" x14ac:dyDescent="0.45">
      <c r="A181">
        <v>180</v>
      </c>
      <c r="B181">
        <v>12.9</v>
      </c>
      <c r="C181">
        <v>1</v>
      </c>
      <c r="D181" t="s">
        <v>5</v>
      </c>
      <c r="E181">
        <v>1</v>
      </c>
      <c r="F181">
        <f t="shared" si="6"/>
        <v>0</v>
      </c>
      <c r="G181">
        <f t="shared" si="7"/>
        <v>1</v>
      </c>
      <c r="H181">
        <f t="shared" si="8"/>
        <v>1</v>
      </c>
    </row>
    <row r="182" spans="1:8" x14ac:dyDescent="0.45">
      <c r="A182">
        <v>181</v>
      </c>
      <c r="B182">
        <v>9.6</v>
      </c>
      <c r="C182">
        <v>1</v>
      </c>
      <c r="D182" t="s">
        <v>5</v>
      </c>
      <c r="E182">
        <v>1</v>
      </c>
      <c r="F182">
        <f t="shared" si="6"/>
        <v>0</v>
      </c>
      <c r="G182">
        <f t="shared" si="7"/>
        <v>1</v>
      </c>
      <c r="H182">
        <f t="shared" si="8"/>
        <v>1</v>
      </c>
    </row>
    <row r="183" spans="1:8" x14ac:dyDescent="0.45">
      <c r="A183">
        <v>182</v>
      </c>
      <c r="B183">
        <v>5.9</v>
      </c>
      <c r="C183">
        <v>2</v>
      </c>
      <c r="D183" t="s">
        <v>5</v>
      </c>
      <c r="E183">
        <v>2</v>
      </c>
      <c r="F183">
        <f t="shared" si="6"/>
        <v>0</v>
      </c>
      <c r="G183">
        <f t="shared" si="7"/>
        <v>1</v>
      </c>
      <c r="H183">
        <f t="shared" si="8"/>
        <v>1</v>
      </c>
    </row>
    <row r="184" spans="1:8" x14ac:dyDescent="0.45">
      <c r="A184">
        <v>183</v>
      </c>
      <c r="B184">
        <v>2.8</v>
      </c>
      <c r="C184">
        <v>6</v>
      </c>
      <c r="D184" t="s">
        <v>5</v>
      </c>
      <c r="E184">
        <v>2</v>
      </c>
      <c r="F184">
        <f t="shared" si="6"/>
        <v>0</v>
      </c>
      <c r="G184">
        <f t="shared" si="7"/>
        <v>0</v>
      </c>
      <c r="H184">
        <f t="shared" si="8"/>
        <v>0</v>
      </c>
    </row>
    <row r="185" spans="1:8" x14ac:dyDescent="0.45">
      <c r="A185">
        <v>184</v>
      </c>
      <c r="B185">
        <v>1</v>
      </c>
      <c r="C185">
        <v>9</v>
      </c>
      <c r="D185" t="s">
        <v>5</v>
      </c>
      <c r="E185">
        <v>2</v>
      </c>
      <c r="F185">
        <f t="shared" si="6"/>
        <v>0</v>
      </c>
      <c r="G185">
        <f t="shared" si="7"/>
        <v>0</v>
      </c>
      <c r="H185">
        <f t="shared" si="8"/>
        <v>0</v>
      </c>
    </row>
    <row r="186" spans="1:8" x14ac:dyDescent="0.45">
      <c r="A186">
        <v>185</v>
      </c>
      <c r="B186">
        <v>0.9</v>
      </c>
      <c r="C186">
        <v>6</v>
      </c>
      <c r="D186" t="s">
        <v>5</v>
      </c>
      <c r="E186">
        <v>3</v>
      </c>
      <c r="F186">
        <f t="shared" si="6"/>
        <v>0</v>
      </c>
      <c r="G186">
        <f t="shared" si="7"/>
        <v>0</v>
      </c>
      <c r="H186">
        <f t="shared" si="8"/>
        <v>0</v>
      </c>
    </row>
    <row r="187" spans="1:8" x14ac:dyDescent="0.45">
      <c r="A187">
        <v>186</v>
      </c>
      <c r="B187">
        <v>2.5</v>
      </c>
      <c r="C187">
        <v>1</v>
      </c>
      <c r="D187" t="s">
        <v>5</v>
      </c>
      <c r="E187">
        <v>3</v>
      </c>
      <c r="F187">
        <f t="shared" si="6"/>
        <v>0</v>
      </c>
      <c r="G187">
        <f t="shared" si="7"/>
        <v>1</v>
      </c>
      <c r="H187">
        <f t="shared" si="8"/>
        <v>1</v>
      </c>
    </row>
    <row r="188" spans="1:8" x14ac:dyDescent="0.45">
      <c r="A188">
        <v>187</v>
      </c>
      <c r="B188">
        <v>5</v>
      </c>
      <c r="C188">
        <v>3</v>
      </c>
      <c r="D188" t="s">
        <v>5</v>
      </c>
      <c r="E188">
        <v>3</v>
      </c>
      <c r="F188">
        <f t="shared" si="6"/>
        <v>0</v>
      </c>
      <c r="G188">
        <f t="shared" si="7"/>
        <v>1</v>
      </c>
      <c r="H188">
        <f t="shared" si="8"/>
        <v>1</v>
      </c>
    </row>
    <row r="189" spans="1:8" x14ac:dyDescent="0.45">
      <c r="A189">
        <v>188</v>
      </c>
      <c r="B189">
        <v>7.7</v>
      </c>
      <c r="C189">
        <v>7</v>
      </c>
      <c r="D189" t="s">
        <v>5</v>
      </c>
      <c r="E189">
        <v>4</v>
      </c>
      <c r="F189">
        <f t="shared" si="6"/>
        <v>0</v>
      </c>
      <c r="G189">
        <f t="shared" si="7"/>
        <v>0</v>
      </c>
      <c r="H189">
        <f t="shared" si="8"/>
        <v>0</v>
      </c>
    </row>
    <row r="190" spans="1:8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f t="shared" si="6"/>
        <v>0</v>
      </c>
      <c r="G190">
        <f t="shared" si="7"/>
        <v>0</v>
      </c>
      <c r="H190">
        <f t="shared" si="8"/>
        <v>0</v>
      </c>
    </row>
    <row r="191" spans="1:8" x14ac:dyDescent="0.45">
      <c r="A191">
        <v>190</v>
      </c>
      <c r="B191">
        <v>10.4</v>
      </c>
      <c r="C191">
        <v>3</v>
      </c>
      <c r="D191" t="s">
        <v>5</v>
      </c>
      <c r="E191">
        <v>4</v>
      </c>
      <c r="F191">
        <f t="shared" si="6"/>
        <v>0</v>
      </c>
      <c r="G191">
        <f t="shared" si="7"/>
        <v>1</v>
      </c>
      <c r="H191">
        <f t="shared" si="8"/>
        <v>1</v>
      </c>
    </row>
    <row r="192" spans="1:8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f t="shared" si="6"/>
        <v>0</v>
      </c>
      <c r="G192">
        <f t="shared" si="7"/>
        <v>0</v>
      </c>
      <c r="H192">
        <f t="shared" si="8"/>
        <v>0</v>
      </c>
    </row>
    <row r="193" spans="1:8" x14ac:dyDescent="0.45">
      <c r="A193">
        <v>192</v>
      </c>
      <c r="B193">
        <v>8</v>
      </c>
      <c r="C193">
        <v>0</v>
      </c>
      <c r="D193">
        <v>0</v>
      </c>
      <c r="E193">
        <v>0</v>
      </c>
      <c r="F193">
        <f t="shared" si="6"/>
        <v>0</v>
      </c>
      <c r="G193">
        <f t="shared" si="7"/>
        <v>1</v>
      </c>
      <c r="H193">
        <f t="shared" si="8"/>
        <v>1</v>
      </c>
    </row>
    <row r="194" spans="1:8" x14ac:dyDescent="0.45">
      <c r="A194">
        <v>193</v>
      </c>
      <c r="B194">
        <v>5.9</v>
      </c>
      <c r="C194">
        <v>3</v>
      </c>
      <c r="D194" t="s">
        <v>6</v>
      </c>
      <c r="E194">
        <v>1</v>
      </c>
      <c r="F194">
        <f t="shared" si="6"/>
        <v>0</v>
      </c>
      <c r="G194">
        <f t="shared" si="7"/>
        <v>1</v>
      </c>
      <c r="H194">
        <f t="shared" si="8"/>
        <v>1</v>
      </c>
    </row>
    <row r="195" spans="1:8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f t="shared" ref="F195:F258" si="9">IF(B195&gt;=20,1,0)</f>
        <v>0</v>
      </c>
      <c r="G195">
        <f t="shared" ref="G195:G258" si="10">IF(C195&lt;=5,1,0)</f>
        <v>1</v>
      </c>
      <c r="H195">
        <f t="shared" ref="H195:H258" si="11">SUM(F195:G195)</f>
        <v>1</v>
      </c>
    </row>
    <row r="196" spans="1:8" x14ac:dyDescent="0.45">
      <c r="A196">
        <v>195</v>
      </c>
      <c r="B196">
        <v>4.2</v>
      </c>
      <c r="C196">
        <v>6</v>
      </c>
      <c r="D196" t="s">
        <v>6</v>
      </c>
      <c r="E196">
        <v>1</v>
      </c>
      <c r="F196">
        <f t="shared" si="9"/>
        <v>0</v>
      </c>
      <c r="G196">
        <f t="shared" si="10"/>
        <v>0</v>
      </c>
      <c r="H196">
        <f t="shared" si="11"/>
        <v>0</v>
      </c>
    </row>
    <row r="197" spans="1:8" x14ac:dyDescent="0.45">
      <c r="A197">
        <v>196</v>
      </c>
      <c r="B197">
        <v>5.6</v>
      </c>
      <c r="C197">
        <v>8</v>
      </c>
      <c r="D197" t="s">
        <v>6</v>
      </c>
      <c r="E197">
        <v>2</v>
      </c>
      <c r="F197">
        <f t="shared" si="9"/>
        <v>0</v>
      </c>
      <c r="G197">
        <f t="shared" si="10"/>
        <v>0</v>
      </c>
      <c r="H197">
        <f t="shared" si="11"/>
        <v>0</v>
      </c>
    </row>
    <row r="198" spans="1:8" x14ac:dyDescent="0.45">
      <c r="A198">
        <v>197</v>
      </c>
      <c r="B198">
        <v>8.6</v>
      </c>
      <c r="C198">
        <v>12</v>
      </c>
      <c r="D198" t="s">
        <v>6</v>
      </c>
      <c r="E198">
        <v>2</v>
      </c>
      <c r="F198">
        <f t="shared" si="9"/>
        <v>0</v>
      </c>
      <c r="G198">
        <f t="shared" si="10"/>
        <v>0</v>
      </c>
      <c r="H198">
        <f t="shared" si="11"/>
        <v>0</v>
      </c>
    </row>
    <row r="199" spans="1:8" x14ac:dyDescent="0.45">
      <c r="A199">
        <v>198</v>
      </c>
      <c r="B199">
        <v>12.5</v>
      </c>
      <c r="C199">
        <v>9</v>
      </c>
      <c r="D199" t="s">
        <v>6</v>
      </c>
      <c r="E199">
        <v>2</v>
      </c>
      <c r="F199">
        <f t="shared" si="9"/>
        <v>0</v>
      </c>
      <c r="G199">
        <f t="shared" si="10"/>
        <v>0</v>
      </c>
      <c r="H199">
        <f t="shared" si="11"/>
        <v>0</v>
      </c>
    </row>
    <row r="200" spans="1:8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f t="shared" si="9"/>
        <v>0</v>
      </c>
      <c r="G200">
        <f t="shared" si="10"/>
        <v>0</v>
      </c>
      <c r="H200">
        <f t="shared" si="11"/>
        <v>0</v>
      </c>
    </row>
    <row r="201" spans="1:8" x14ac:dyDescent="0.45">
      <c r="A201">
        <v>200</v>
      </c>
      <c r="B201">
        <v>19.5</v>
      </c>
      <c r="C201">
        <v>12</v>
      </c>
      <c r="D201" t="s">
        <v>6</v>
      </c>
      <c r="E201">
        <v>3</v>
      </c>
      <c r="F201">
        <f t="shared" si="9"/>
        <v>0</v>
      </c>
      <c r="G201">
        <f t="shared" si="10"/>
        <v>0</v>
      </c>
      <c r="H201">
        <f t="shared" si="11"/>
        <v>0</v>
      </c>
    </row>
    <row r="202" spans="1:8" x14ac:dyDescent="0.45">
      <c r="A202">
        <v>201</v>
      </c>
      <c r="B202">
        <v>21.2</v>
      </c>
      <c r="C202">
        <v>1</v>
      </c>
      <c r="D202" t="s">
        <v>6</v>
      </c>
      <c r="E202">
        <v>3</v>
      </c>
      <c r="F202">
        <f t="shared" si="9"/>
        <v>1</v>
      </c>
      <c r="G202">
        <f t="shared" si="10"/>
        <v>1</v>
      </c>
      <c r="H202">
        <f t="shared" si="11"/>
        <v>2</v>
      </c>
    </row>
    <row r="203" spans="1:8" x14ac:dyDescent="0.45">
      <c r="A203">
        <v>202</v>
      </c>
      <c r="B203">
        <v>21.3</v>
      </c>
      <c r="C203">
        <v>11</v>
      </c>
      <c r="D203" t="s">
        <v>6</v>
      </c>
      <c r="E203">
        <v>4</v>
      </c>
      <c r="F203">
        <f t="shared" si="9"/>
        <v>1</v>
      </c>
      <c r="G203">
        <f t="shared" si="10"/>
        <v>0</v>
      </c>
      <c r="H203">
        <f t="shared" si="11"/>
        <v>1</v>
      </c>
    </row>
    <row r="204" spans="1:8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f t="shared" si="9"/>
        <v>1</v>
      </c>
      <c r="G204">
        <f t="shared" si="10"/>
        <v>0</v>
      </c>
      <c r="H204">
        <f t="shared" si="11"/>
        <v>1</v>
      </c>
    </row>
    <row r="205" spans="1:8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f t="shared" si="9"/>
        <v>0</v>
      </c>
      <c r="G205">
        <f t="shared" si="10"/>
        <v>1</v>
      </c>
      <c r="H205">
        <f t="shared" si="11"/>
        <v>1</v>
      </c>
    </row>
    <row r="206" spans="1:8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f t="shared" si="9"/>
        <v>0</v>
      </c>
      <c r="G206">
        <f t="shared" si="10"/>
        <v>0</v>
      </c>
      <c r="H206">
        <f t="shared" si="11"/>
        <v>0</v>
      </c>
    </row>
    <row r="207" spans="1:8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f t="shared" si="9"/>
        <v>0</v>
      </c>
      <c r="G207">
        <f t="shared" si="10"/>
        <v>0</v>
      </c>
      <c r="H207">
        <f t="shared" si="11"/>
        <v>0</v>
      </c>
    </row>
    <row r="208" spans="1:8" x14ac:dyDescent="0.45">
      <c r="A208">
        <v>207</v>
      </c>
      <c r="B208">
        <v>18.2</v>
      </c>
      <c r="C208">
        <v>17</v>
      </c>
      <c r="D208" t="s">
        <v>6</v>
      </c>
      <c r="E208">
        <v>5</v>
      </c>
      <c r="F208">
        <f t="shared" si="9"/>
        <v>0</v>
      </c>
      <c r="G208">
        <f t="shared" si="10"/>
        <v>0</v>
      </c>
      <c r="H208">
        <f t="shared" si="11"/>
        <v>0</v>
      </c>
    </row>
    <row r="209" spans="1:8" x14ac:dyDescent="0.45">
      <c r="A209">
        <v>208</v>
      </c>
      <c r="B209">
        <v>20.7</v>
      </c>
      <c r="C209">
        <v>18</v>
      </c>
      <c r="D209" t="s">
        <v>6</v>
      </c>
      <c r="E209">
        <v>5</v>
      </c>
      <c r="F209">
        <f t="shared" si="9"/>
        <v>1</v>
      </c>
      <c r="G209">
        <f t="shared" si="10"/>
        <v>0</v>
      </c>
      <c r="H209">
        <f t="shared" si="11"/>
        <v>1</v>
      </c>
    </row>
    <row r="210" spans="1:8" x14ac:dyDescent="0.45">
      <c r="A210">
        <v>209</v>
      </c>
      <c r="B210">
        <v>24</v>
      </c>
      <c r="C210">
        <v>13</v>
      </c>
      <c r="D210" t="s">
        <v>6</v>
      </c>
      <c r="E210">
        <v>5</v>
      </c>
      <c r="F210">
        <f t="shared" si="9"/>
        <v>1</v>
      </c>
      <c r="G210">
        <f t="shared" si="10"/>
        <v>0</v>
      </c>
      <c r="H210">
        <f t="shared" si="11"/>
        <v>1</v>
      </c>
    </row>
    <row r="211" spans="1:8" x14ac:dyDescent="0.45">
      <c r="A211">
        <v>210</v>
      </c>
      <c r="B211">
        <v>27.2</v>
      </c>
      <c r="C211">
        <v>27</v>
      </c>
      <c r="D211" t="s">
        <v>6</v>
      </c>
      <c r="E211">
        <v>5</v>
      </c>
      <c r="F211">
        <f t="shared" si="9"/>
        <v>1</v>
      </c>
      <c r="G211">
        <f t="shared" si="10"/>
        <v>0</v>
      </c>
      <c r="H211">
        <f t="shared" si="11"/>
        <v>1</v>
      </c>
    </row>
    <row r="212" spans="1:8" x14ac:dyDescent="0.45">
      <c r="A212">
        <v>211</v>
      </c>
      <c r="B212">
        <v>29.4</v>
      </c>
      <c r="C212">
        <v>0</v>
      </c>
      <c r="D212">
        <v>0</v>
      </c>
      <c r="E212">
        <v>0</v>
      </c>
      <c r="F212">
        <f t="shared" si="9"/>
        <v>1</v>
      </c>
      <c r="G212">
        <f t="shared" si="10"/>
        <v>1</v>
      </c>
      <c r="H212">
        <f t="shared" si="11"/>
        <v>2</v>
      </c>
    </row>
    <row r="213" spans="1:8" x14ac:dyDescent="0.45">
      <c r="A213">
        <v>212</v>
      </c>
      <c r="B213">
        <v>29.9</v>
      </c>
      <c r="C213">
        <v>2</v>
      </c>
      <c r="D213" t="s">
        <v>5</v>
      </c>
      <c r="E213">
        <v>1</v>
      </c>
      <c r="F213">
        <f t="shared" si="9"/>
        <v>1</v>
      </c>
      <c r="G213">
        <f t="shared" si="10"/>
        <v>1</v>
      </c>
      <c r="H213">
        <f t="shared" si="11"/>
        <v>2</v>
      </c>
    </row>
    <row r="214" spans="1:8" x14ac:dyDescent="0.45">
      <c r="A214">
        <v>213</v>
      </c>
      <c r="B214">
        <v>28.8</v>
      </c>
      <c r="C214">
        <v>4</v>
      </c>
      <c r="D214" t="s">
        <v>5</v>
      </c>
      <c r="E214">
        <v>1</v>
      </c>
      <c r="F214">
        <f t="shared" si="9"/>
        <v>1</v>
      </c>
      <c r="G214">
        <f t="shared" si="10"/>
        <v>1</v>
      </c>
      <c r="H214">
        <f t="shared" si="11"/>
        <v>2</v>
      </c>
    </row>
    <row r="215" spans="1:8" x14ac:dyDescent="0.45">
      <c r="A215">
        <v>214</v>
      </c>
      <c r="B215">
        <v>26.2</v>
      </c>
      <c r="C215">
        <v>2</v>
      </c>
      <c r="D215" t="s">
        <v>5</v>
      </c>
      <c r="E215">
        <v>1</v>
      </c>
      <c r="F215">
        <f t="shared" si="9"/>
        <v>1</v>
      </c>
      <c r="G215">
        <f t="shared" si="10"/>
        <v>1</v>
      </c>
      <c r="H215">
        <f t="shared" si="11"/>
        <v>2</v>
      </c>
    </row>
    <row r="216" spans="1:8" x14ac:dyDescent="0.45">
      <c r="A216">
        <v>215</v>
      </c>
      <c r="B216">
        <v>23.1</v>
      </c>
      <c r="C216">
        <v>11</v>
      </c>
      <c r="D216" t="s">
        <v>5</v>
      </c>
      <c r="E216">
        <v>1</v>
      </c>
      <c r="F216">
        <f t="shared" si="9"/>
        <v>1</v>
      </c>
      <c r="G216">
        <f t="shared" si="10"/>
        <v>0</v>
      </c>
      <c r="H216">
        <f t="shared" si="11"/>
        <v>1</v>
      </c>
    </row>
    <row r="217" spans="1:8" x14ac:dyDescent="0.45">
      <c r="A217">
        <v>216</v>
      </c>
      <c r="B217">
        <v>20.3</v>
      </c>
      <c r="C217">
        <v>1</v>
      </c>
      <c r="D217" t="s">
        <v>5</v>
      </c>
      <c r="E217">
        <v>2</v>
      </c>
      <c r="F217">
        <f t="shared" si="9"/>
        <v>1</v>
      </c>
      <c r="G217">
        <f t="shared" si="10"/>
        <v>1</v>
      </c>
      <c r="H217">
        <f t="shared" si="11"/>
        <v>2</v>
      </c>
    </row>
    <row r="218" spans="1:8" x14ac:dyDescent="0.45">
      <c r="A218">
        <v>217</v>
      </c>
      <c r="B218">
        <v>18.5</v>
      </c>
      <c r="C218">
        <v>7</v>
      </c>
      <c r="D218" t="s">
        <v>5</v>
      </c>
      <c r="E218">
        <v>2</v>
      </c>
      <c r="F218">
        <f t="shared" si="9"/>
        <v>0</v>
      </c>
      <c r="G218">
        <f t="shared" si="10"/>
        <v>0</v>
      </c>
      <c r="H218">
        <f t="shared" si="11"/>
        <v>0</v>
      </c>
    </row>
    <row r="219" spans="1:8" x14ac:dyDescent="0.45">
      <c r="A219">
        <v>218</v>
      </c>
      <c r="B219">
        <v>18.2</v>
      </c>
      <c r="C219">
        <v>10</v>
      </c>
      <c r="D219" t="s">
        <v>5</v>
      </c>
      <c r="E219">
        <v>3</v>
      </c>
      <c r="F219">
        <f t="shared" si="9"/>
        <v>0</v>
      </c>
      <c r="G219">
        <f t="shared" si="10"/>
        <v>0</v>
      </c>
      <c r="H219">
        <f t="shared" si="11"/>
        <v>0</v>
      </c>
    </row>
    <row r="220" spans="1:8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f t="shared" si="9"/>
        <v>0</v>
      </c>
      <c r="G220">
        <f t="shared" si="10"/>
        <v>0</v>
      </c>
      <c r="H220">
        <f t="shared" si="11"/>
        <v>0</v>
      </c>
    </row>
    <row r="221" spans="1:8" x14ac:dyDescent="0.45">
      <c r="A221">
        <v>220</v>
      </c>
      <c r="B221">
        <v>20.9</v>
      </c>
      <c r="C221">
        <v>1</v>
      </c>
      <c r="D221" t="s">
        <v>5</v>
      </c>
      <c r="E221">
        <v>3</v>
      </c>
      <c r="F221">
        <f t="shared" si="9"/>
        <v>1</v>
      </c>
      <c r="G221">
        <f t="shared" si="10"/>
        <v>1</v>
      </c>
      <c r="H221">
        <f t="shared" si="11"/>
        <v>2</v>
      </c>
    </row>
    <row r="222" spans="1:8" x14ac:dyDescent="0.45">
      <c r="A222">
        <v>221</v>
      </c>
      <c r="B222">
        <v>22.5</v>
      </c>
      <c r="C222">
        <v>4</v>
      </c>
      <c r="D222" t="s">
        <v>5</v>
      </c>
      <c r="E222">
        <v>4</v>
      </c>
      <c r="F222">
        <f t="shared" si="9"/>
        <v>1</v>
      </c>
      <c r="G222">
        <f t="shared" si="10"/>
        <v>1</v>
      </c>
      <c r="H222">
        <f t="shared" si="11"/>
        <v>2</v>
      </c>
    </row>
    <row r="223" spans="1:8" x14ac:dyDescent="0.45">
      <c r="A223">
        <v>222</v>
      </c>
      <c r="B223">
        <v>23.2</v>
      </c>
      <c r="C223">
        <v>12</v>
      </c>
      <c r="D223" t="s">
        <v>5</v>
      </c>
      <c r="E223">
        <v>4</v>
      </c>
      <c r="F223">
        <f t="shared" si="9"/>
        <v>1</v>
      </c>
      <c r="G223">
        <f t="shared" si="10"/>
        <v>0</v>
      </c>
      <c r="H223">
        <f t="shared" si="11"/>
        <v>1</v>
      </c>
    </row>
    <row r="224" spans="1:8" x14ac:dyDescent="0.45">
      <c r="A224">
        <v>223</v>
      </c>
      <c r="B224">
        <v>22.4</v>
      </c>
      <c r="C224">
        <v>7</v>
      </c>
      <c r="D224" t="s">
        <v>5</v>
      </c>
      <c r="E224">
        <v>4</v>
      </c>
      <c r="F224">
        <f t="shared" si="9"/>
        <v>1</v>
      </c>
      <c r="G224">
        <f t="shared" si="10"/>
        <v>0</v>
      </c>
      <c r="H224">
        <f t="shared" si="11"/>
        <v>1</v>
      </c>
    </row>
    <row r="225" spans="1:8" x14ac:dyDescent="0.45">
      <c r="A225">
        <v>224</v>
      </c>
      <c r="B225">
        <v>20</v>
      </c>
      <c r="C225">
        <v>16</v>
      </c>
      <c r="D225" t="s">
        <v>5</v>
      </c>
      <c r="E225">
        <v>5</v>
      </c>
      <c r="F225">
        <f t="shared" si="9"/>
        <v>1</v>
      </c>
      <c r="G225">
        <f t="shared" si="10"/>
        <v>0</v>
      </c>
      <c r="H225">
        <f t="shared" si="11"/>
        <v>1</v>
      </c>
    </row>
    <row r="226" spans="1:8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f t="shared" si="9"/>
        <v>0</v>
      </c>
      <c r="G226">
        <f t="shared" si="10"/>
        <v>0</v>
      </c>
      <c r="H226">
        <f t="shared" si="11"/>
        <v>0</v>
      </c>
    </row>
    <row r="227" spans="1:8" x14ac:dyDescent="0.45">
      <c r="A227">
        <v>226</v>
      </c>
      <c r="B227">
        <v>12.3</v>
      </c>
      <c r="C227">
        <v>0</v>
      </c>
      <c r="D227">
        <v>0</v>
      </c>
      <c r="E227">
        <v>0</v>
      </c>
      <c r="F227">
        <f t="shared" si="9"/>
        <v>0</v>
      </c>
      <c r="G227">
        <f t="shared" si="10"/>
        <v>1</v>
      </c>
      <c r="H227">
        <f t="shared" si="11"/>
        <v>1</v>
      </c>
    </row>
    <row r="228" spans="1:8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f t="shared" si="9"/>
        <v>0</v>
      </c>
      <c r="G228">
        <f t="shared" si="10"/>
        <v>1</v>
      </c>
      <c r="H228">
        <f t="shared" si="11"/>
        <v>1</v>
      </c>
    </row>
    <row r="229" spans="1:8" x14ac:dyDescent="0.45">
      <c r="A229">
        <v>228</v>
      </c>
      <c r="B229">
        <v>6.4</v>
      </c>
      <c r="C229">
        <v>1</v>
      </c>
      <c r="D229" t="s">
        <v>6</v>
      </c>
      <c r="E229">
        <v>1</v>
      </c>
      <c r="F229">
        <f t="shared" si="9"/>
        <v>0</v>
      </c>
      <c r="G229">
        <f t="shared" si="10"/>
        <v>1</v>
      </c>
      <c r="H229">
        <f t="shared" si="11"/>
        <v>1</v>
      </c>
    </row>
    <row r="230" spans="1:8" x14ac:dyDescent="0.45">
      <c r="A230">
        <v>229</v>
      </c>
      <c r="B230">
        <v>5.6</v>
      </c>
      <c r="C230">
        <v>6</v>
      </c>
      <c r="D230" t="s">
        <v>6</v>
      </c>
      <c r="E230">
        <v>1</v>
      </c>
      <c r="F230">
        <f t="shared" si="9"/>
        <v>0</v>
      </c>
      <c r="G230">
        <f t="shared" si="10"/>
        <v>0</v>
      </c>
      <c r="H230">
        <f t="shared" si="11"/>
        <v>0</v>
      </c>
    </row>
    <row r="231" spans="1:8" x14ac:dyDescent="0.45">
      <c r="A231">
        <v>230</v>
      </c>
      <c r="B231">
        <v>6.4</v>
      </c>
      <c r="C231">
        <v>12</v>
      </c>
      <c r="D231" t="s">
        <v>6</v>
      </c>
      <c r="E231">
        <v>2</v>
      </c>
      <c r="F231">
        <f t="shared" si="9"/>
        <v>0</v>
      </c>
      <c r="G231">
        <f t="shared" si="10"/>
        <v>0</v>
      </c>
      <c r="H231">
        <f t="shared" si="11"/>
        <v>0</v>
      </c>
    </row>
    <row r="232" spans="1:8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f t="shared" si="9"/>
        <v>0</v>
      </c>
      <c r="G232">
        <f t="shared" si="10"/>
        <v>1</v>
      </c>
      <c r="H232">
        <f t="shared" si="11"/>
        <v>1</v>
      </c>
    </row>
    <row r="233" spans="1:8" x14ac:dyDescent="0.45">
      <c r="A233">
        <v>232</v>
      </c>
      <c r="B233">
        <v>10</v>
      </c>
      <c r="C233">
        <v>12</v>
      </c>
      <c r="D233" t="s">
        <v>6</v>
      </c>
      <c r="E233">
        <v>2</v>
      </c>
      <c r="F233">
        <f t="shared" si="9"/>
        <v>0</v>
      </c>
      <c r="G233">
        <f t="shared" si="10"/>
        <v>0</v>
      </c>
      <c r="H233">
        <f t="shared" si="11"/>
        <v>0</v>
      </c>
    </row>
    <row r="234" spans="1:8" x14ac:dyDescent="0.45">
      <c r="A234">
        <v>233</v>
      </c>
      <c r="B234">
        <v>11.1</v>
      </c>
      <c r="C234">
        <v>17</v>
      </c>
      <c r="D234" t="s">
        <v>6</v>
      </c>
      <c r="E234">
        <v>3</v>
      </c>
      <c r="F234">
        <f t="shared" si="9"/>
        <v>0</v>
      </c>
      <c r="G234">
        <f t="shared" si="10"/>
        <v>0</v>
      </c>
      <c r="H234">
        <f t="shared" si="11"/>
        <v>0</v>
      </c>
    </row>
    <row r="235" spans="1:8" x14ac:dyDescent="0.45">
      <c r="A235">
        <v>234</v>
      </c>
      <c r="B235">
        <v>10.9</v>
      </c>
      <c r="C235">
        <v>16</v>
      </c>
      <c r="D235" t="s">
        <v>6</v>
      </c>
      <c r="E235">
        <v>3</v>
      </c>
      <c r="F235">
        <f t="shared" si="9"/>
        <v>0</v>
      </c>
      <c r="G235">
        <f t="shared" si="10"/>
        <v>0</v>
      </c>
      <c r="H235">
        <f t="shared" si="11"/>
        <v>0</v>
      </c>
    </row>
    <row r="236" spans="1:8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f t="shared" si="9"/>
        <v>0</v>
      </c>
      <c r="G236">
        <f t="shared" si="10"/>
        <v>1</v>
      </c>
      <c r="H236">
        <f t="shared" si="11"/>
        <v>1</v>
      </c>
    </row>
    <row r="237" spans="1:8" x14ac:dyDescent="0.45">
      <c r="A237">
        <v>236</v>
      </c>
      <c r="B237">
        <v>6.6</v>
      </c>
      <c r="C237">
        <v>21</v>
      </c>
      <c r="D237" t="s">
        <v>6</v>
      </c>
      <c r="E237">
        <v>4</v>
      </c>
      <c r="F237">
        <f t="shared" si="9"/>
        <v>0</v>
      </c>
      <c r="G237">
        <f t="shared" si="10"/>
        <v>0</v>
      </c>
      <c r="H237">
        <f t="shared" si="11"/>
        <v>0</v>
      </c>
    </row>
    <row r="238" spans="1:8" x14ac:dyDescent="0.45">
      <c r="A238">
        <v>237</v>
      </c>
      <c r="B238">
        <v>3.6</v>
      </c>
      <c r="C238">
        <v>18</v>
      </c>
      <c r="D238" t="s">
        <v>6</v>
      </c>
      <c r="E238">
        <v>4</v>
      </c>
      <c r="F238">
        <f t="shared" si="9"/>
        <v>0</v>
      </c>
      <c r="G238">
        <f t="shared" si="10"/>
        <v>0</v>
      </c>
      <c r="H238">
        <f t="shared" si="11"/>
        <v>0</v>
      </c>
    </row>
    <row r="239" spans="1:8" x14ac:dyDescent="0.45">
      <c r="A239">
        <v>238</v>
      </c>
      <c r="B239">
        <v>1.2</v>
      </c>
      <c r="C239">
        <v>13</v>
      </c>
      <c r="D239" t="s">
        <v>6</v>
      </c>
      <c r="E239">
        <v>4</v>
      </c>
      <c r="F239">
        <f t="shared" si="9"/>
        <v>0</v>
      </c>
      <c r="G239">
        <f t="shared" si="10"/>
        <v>0</v>
      </c>
      <c r="H239">
        <f t="shared" si="11"/>
        <v>0</v>
      </c>
    </row>
    <row r="240" spans="1:8" x14ac:dyDescent="0.45">
      <c r="A240">
        <v>239</v>
      </c>
      <c r="B240">
        <v>0.2</v>
      </c>
      <c r="C240">
        <v>29</v>
      </c>
      <c r="D240" t="s">
        <v>6</v>
      </c>
      <c r="E240">
        <v>5</v>
      </c>
      <c r="F240">
        <f t="shared" si="9"/>
        <v>0</v>
      </c>
      <c r="G240">
        <f t="shared" si="10"/>
        <v>0</v>
      </c>
      <c r="H240">
        <f t="shared" si="11"/>
        <v>0</v>
      </c>
    </row>
    <row r="241" spans="1:8" x14ac:dyDescent="0.45">
      <c r="A241">
        <v>240</v>
      </c>
      <c r="B241">
        <v>0.9</v>
      </c>
      <c r="C241">
        <v>0</v>
      </c>
      <c r="D241">
        <v>0</v>
      </c>
      <c r="E241">
        <v>0</v>
      </c>
      <c r="F241">
        <f t="shared" si="9"/>
        <v>0</v>
      </c>
      <c r="G241">
        <f t="shared" si="10"/>
        <v>1</v>
      </c>
      <c r="H241">
        <f t="shared" si="11"/>
        <v>1</v>
      </c>
    </row>
    <row r="242" spans="1:8" x14ac:dyDescent="0.45">
      <c r="A242">
        <v>241</v>
      </c>
      <c r="B242">
        <v>3.2</v>
      </c>
      <c r="C242">
        <v>6</v>
      </c>
      <c r="D242" t="s">
        <v>6</v>
      </c>
      <c r="E242">
        <v>1</v>
      </c>
      <c r="F242">
        <f t="shared" si="9"/>
        <v>0</v>
      </c>
      <c r="G242">
        <f t="shared" si="10"/>
        <v>0</v>
      </c>
      <c r="H242">
        <f t="shared" si="11"/>
        <v>0</v>
      </c>
    </row>
    <row r="243" spans="1:8" x14ac:dyDescent="0.45">
      <c r="A243">
        <v>242</v>
      </c>
      <c r="B243">
        <v>6.6</v>
      </c>
      <c r="C243">
        <v>5</v>
      </c>
      <c r="D243" t="s">
        <v>6</v>
      </c>
      <c r="E243">
        <v>1</v>
      </c>
      <c r="F243">
        <f t="shared" si="9"/>
        <v>0</v>
      </c>
      <c r="G243">
        <f t="shared" si="10"/>
        <v>1</v>
      </c>
      <c r="H243">
        <f t="shared" si="11"/>
        <v>1</v>
      </c>
    </row>
    <row r="244" spans="1:8" x14ac:dyDescent="0.45">
      <c r="A244">
        <v>243</v>
      </c>
      <c r="B244">
        <v>10</v>
      </c>
      <c r="C244">
        <v>2</v>
      </c>
      <c r="D244" t="s">
        <v>6</v>
      </c>
      <c r="E244">
        <v>1</v>
      </c>
      <c r="F244">
        <f t="shared" si="9"/>
        <v>0</v>
      </c>
      <c r="G244">
        <f t="shared" si="10"/>
        <v>1</v>
      </c>
      <c r="H244">
        <f t="shared" si="11"/>
        <v>1</v>
      </c>
    </row>
    <row r="245" spans="1:8" x14ac:dyDescent="0.45">
      <c r="A245">
        <v>244</v>
      </c>
      <c r="B245">
        <v>12.7</v>
      </c>
      <c r="C245">
        <v>8</v>
      </c>
      <c r="D245" t="s">
        <v>6</v>
      </c>
      <c r="E245">
        <v>2</v>
      </c>
      <c r="F245">
        <f t="shared" si="9"/>
        <v>0</v>
      </c>
      <c r="G245">
        <f t="shared" si="10"/>
        <v>0</v>
      </c>
      <c r="H245">
        <f t="shared" si="11"/>
        <v>0</v>
      </c>
    </row>
    <row r="246" spans="1:8" x14ac:dyDescent="0.45">
      <c r="A246">
        <v>245</v>
      </c>
      <c r="B246">
        <v>14.1</v>
      </c>
      <c r="C246">
        <v>1</v>
      </c>
      <c r="D246" t="s">
        <v>6</v>
      </c>
      <c r="E246">
        <v>2</v>
      </c>
      <c r="F246">
        <f t="shared" si="9"/>
        <v>0</v>
      </c>
      <c r="G246">
        <f t="shared" si="10"/>
        <v>1</v>
      </c>
      <c r="H246">
        <f t="shared" si="11"/>
        <v>1</v>
      </c>
    </row>
    <row r="247" spans="1:8" x14ac:dyDescent="0.45">
      <c r="A247">
        <v>246</v>
      </c>
      <c r="B247">
        <v>14</v>
      </c>
      <c r="C247">
        <v>11</v>
      </c>
      <c r="D247" t="s">
        <v>6</v>
      </c>
      <c r="E247">
        <v>2</v>
      </c>
      <c r="F247">
        <f t="shared" si="9"/>
        <v>0</v>
      </c>
      <c r="G247">
        <f t="shared" si="10"/>
        <v>0</v>
      </c>
      <c r="H247">
        <f t="shared" si="11"/>
        <v>0</v>
      </c>
    </row>
    <row r="248" spans="1:8" x14ac:dyDescent="0.45">
      <c r="A248">
        <v>247</v>
      </c>
      <c r="B248">
        <v>12.7</v>
      </c>
      <c r="C248">
        <v>13</v>
      </c>
      <c r="D248" t="s">
        <v>6</v>
      </c>
      <c r="E248">
        <v>3</v>
      </c>
      <c r="F248">
        <f t="shared" si="9"/>
        <v>0</v>
      </c>
      <c r="G248">
        <f t="shared" si="10"/>
        <v>0</v>
      </c>
      <c r="H248">
        <f t="shared" si="11"/>
        <v>0</v>
      </c>
    </row>
    <row r="249" spans="1:8" x14ac:dyDescent="0.45">
      <c r="A249">
        <v>248</v>
      </c>
      <c r="B249">
        <v>11.1</v>
      </c>
      <c r="C249">
        <v>18</v>
      </c>
      <c r="D249" t="s">
        <v>6</v>
      </c>
      <c r="E249">
        <v>3</v>
      </c>
      <c r="F249">
        <f t="shared" si="9"/>
        <v>0</v>
      </c>
      <c r="G249">
        <f t="shared" si="10"/>
        <v>0</v>
      </c>
      <c r="H249">
        <f t="shared" si="11"/>
        <v>0</v>
      </c>
    </row>
    <row r="250" spans="1:8" x14ac:dyDescent="0.45">
      <c r="A250">
        <v>249</v>
      </c>
      <c r="B250">
        <v>10</v>
      </c>
      <c r="C250">
        <v>15</v>
      </c>
      <c r="D250" t="s">
        <v>6</v>
      </c>
      <c r="E250">
        <v>3</v>
      </c>
      <c r="F250">
        <f t="shared" si="9"/>
        <v>0</v>
      </c>
      <c r="G250">
        <f t="shared" si="10"/>
        <v>0</v>
      </c>
      <c r="H250">
        <f t="shared" si="11"/>
        <v>0</v>
      </c>
    </row>
    <row r="251" spans="1:8" x14ac:dyDescent="0.45">
      <c r="A251">
        <v>250</v>
      </c>
      <c r="B251">
        <v>10.1</v>
      </c>
      <c r="C251">
        <v>12</v>
      </c>
      <c r="D251" t="s">
        <v>6</v>
      </c>
      <c r="E251">
        <v>4</v>
      </c>
      <c r="F251">
        <f t="shared" si="9"/>
        <v>0</v>
      </c>
      <c r="G251">
        <f t="shared" si="10"/>
        <v>0</v>
      </c>
      <c r="H251">
        <f t="shared" si="11"/>
        <v>0</v>
      </c>
    </row>
    <row r="252" spans="1:8" x14ac:dyDescent="0.45">
      <c r="A252">
        <v>251</v>
      </c>
      <c r="B252">
        <v>11.7</v>
      </c>
      <c r="C252">
        <v>2</v>
      </c>
      <c r="D252" t="s">
        <v>6</v>
      </c>
      <c r="E252">
        <v>4</v>
      </c>
      <c r="F252">
        <f t="shared" si="9"/>
        <v>0</v>
      </c>
      <c r="G252">
        <f t="shared" si="10"/>
        <v>1</v>
      </c>
      <c r="H252">
        <f t="shared" si="11"/>
        <v>1</v>
      </c>
    </row>
    <row r="253" spans="1:8" x14ac:dyDescent="0.45">
      <c r="A253">
        <v>252</v>
      </c>
      <c r="B253">
        <v>14.8</v>
      </c>
      <c r="C253">
        <v>21</v>
      </c>
      <c r="D253" t="s">
        <v>6</v>
      </c>
      <c r="E253">
        <v>4</v>
      </c>
      <c r="F253">
        <f t="shared" si="9"/>
        <v>0</v>
      </c>
      <c r="G253">
        <f t="shared" si="10"/>
        <v>0</v>
      </c>
      <c r="H253">
        <f t="shared" si="11"/>
        <v>0</v>
      </c>
    </row>
    <row r="254" spans="1:8" x14ac:dyDescent="0.45">
      <c r="A254">
        <v>253</v>
      </c>
      <c r="B254">
        <v>18.7</v>
      </c>
      <c r="C254">
        <v>28</v>
      </c>
      <c r="D254" t="s">
        <v>6</v>
      </c>
      <c r="E254">
        <v>5</v>
      </c>
      <c r="F254">
        <f t="shared" si="9"/>
        <v>0</v>
      </c>
      <c r="G254">
        <f t="shared" si="10"/>
        <v>0</v>
      </c>
      <c r="H254">
        <f t="shared" si="11"/>
        <v>0</v>
      </c>
    </row>
    <row r="255" spans="1:8" x14ac:dyDescent="0.45">
      <c r="A255">
        <v>254</v>
      </c>
      <c r="B255">
        <v>22.5</v>
      </c>
      <c r="C255">
        <v>0</v>
      </c>
      <c r="D255">
        <v>0</v>
      </c>
      <c r="E255">
        <v>0</v>
      </c>
      <c r="F255">
        <f t="shared" si="9"/>
        <v>1</v>
      </c>
      <c r="G255">
        <f t="shared" si="10"/>
        <v>1</v>
      </c>
      <c r="H255">
        <f t="shared" si="11"/>
        <v>2</v>
      </c>
    </row>
    <row r="256" spans="1:8" x14ac:dyDescent="0.45">
      <c r="A256">
        <v>255</v>
      </c>
      <c r="B256">
        <v>25.4</v>
      </c>
      <c r="C256">
        <v>3</v>
      </c>
      <c r="D256" t="s">
        <v>5</v>
      </c>
      <c r="E256">
        <v>1</v>
      </c>
      <c r="F256">
        <f t="shared" si="9"/>
        <v>1</v>
      </c>
      <c r="G256">
        <f t="shared" si="10"/>
        <v>1</v>
      </c>
      <c r="H256">
        <f t="shared" si="11"/>
        <v>2</v>
      </c>
    </row>
    <row r="257" spans="1:8" x14ac:dyDescent="0.45">
      <c r="A257">
        <v>256</v>
      </c>
      <c r="B257">
        <v>26.8</v>
      </c>
      <c r="C257">
        <v>5</v>
      </c>
      <c r="D257" t="s">
        <v>5</v>
      </c>
      <c r="E257">
        <v>1</v>
      </c>
      <c r="F257">
        <f t="shared" si="9"/>
        <v>1</v>
      </c>
      <c r="G257">
        <f t="shared" si="10"/>
        <v>1</v>
      </c>
      <c r="H257">
        <f t="shared" si="11"/>
        <v>2</v>
      </c>
    </row>
    <row r="258" spans="1:8" x14ac:dyDescent="0.45">
      <c r="A258">
        <v>257</v>
      </c>
      <c r="B258">
        <v>26.5</v>
      </c>
      <c r="C258">
        <v>5</v>
      </c>
      <c r="D258" t="s">
        <v>5</v>
      </c>
      <c r="E258">
        <v>1</v>
      </c>
      <c r="F258">
        <f t="shared" si="9"/>
        <v>1</v>
      </c>
      <c r="G258">
        <f t="shared" si="10"/>
        <v>1</v>
      </c>
      <c r="H258">
        <f t="shared" si="11"/>
        <v>2</v>
      </c>
    </row>
    <row r="259" spans="1:8" x14ac:dyDescent="0.45">
      <c r="A259">
        <v>258</v>
      </c>
      <c r="B259">
        <v>24.9</v>
      </c>
      <c r="C259">
        <v>7</v>
      </c>
      <c r="D259" t="s">
        <v>5</v>
      </c>
      <c r="E259">
        <v>2</v>
      </c>
      <c r="F259">
        <f t="shared" ref="F259:F322" si="12">IF(B259&gt;=20,1,0)</f>
        <v>1</v>
      </c>
      <c r="G259">
        <f t="shared" ref="G259:G322" si="13">IF(C259&lt;=5,1,0)</f>
        <v>0</v>
      </c>
      <c r="H259">
        <f t="shared" ref="H259:H322" si="14">SUM(F259:G259)</f>
        <v>1</v>
      </c>
    </row>
    <row r="260" spans="1:8" x14ac:dyDescent="0.45">
      <c r="A260">
        <v>259</v>
      </c>
      <c r="B260">
        <v>22.6</v>
      </c>
      <c r="C260">
        <v>1</v>
      </c>
      <c r="D260" t="s">
        <v>5</v>
      </c>
      <c r="E260">
        <v>2</v>
      </c>
      <c r="F260">
        <f t="shared" si="12"/>
        <v>1</v>
      </c>
      <c r="G260">
        <f t="shared" si="13"/>
        <v>1</v>
      </c>
      <c r="H260">
        <f t="shared" si="14"/>
        <v>2</v>
      </c>
    </row>
    <row r="261" spans="1:8" x14ac:dyDescent="0.45">
      <c r="A261">
        <v>260</v>
      </c>
      <c r="B261">
        <v>20.7</v>
      </c>
      <c r="C261">
        <v>6</v>
      </c>
      <c r="D261" t="s">
        <v>5</v>
      </c>
      <c r="E261">
        <v>2</v>
      </c>
      <c r="F261">
        <f t="shared" si="12"/>
        <v>1</v>
      </c>
      <c r="G261">
        <f t="shared" si="13"/>
        <v>0</v>
      </c>
      <c r="H261">
        <f t="shared" si="14"/>
        <v>1</v>
      </c>
    </row>
    <row r="262" spans="1:8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f t="shared" si="12"/>
        <v>0</v>
      </c>
      <c r="G262">
        <f t="shared" si="13"/>
        <v>0</v>
      </c>
      <c r="H262">
        <f t="shared" si="14"/>
        <v>0</v>
      </c>
    </row>
    <row r="263" spans="1:8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f t="shared" si="12"/>
        <v>1</v>
      </c>
      <c r="G263">
        <f t="shared" si="13"/>
        <v>0</v>
      </c>
      <c r="H263">
        <f t="shared" si="14"/>
        <v>1</v>
      </c>
    </row>
    <row r="264" spans="1:8" x14ac:dyDescent="0.45">
      <c r="A264">
        <v>263</v>
      </c>
      <c r="B264">
        <v>22.3</v>
      </c>
      <c r="C264">
        <v>16</v>
      </c>
      <c r="D264" t="s">
        <v>5</v>
      </c>
      <c r="E264">
        <v>3</v>
      </c>
      <c r="F264">
        <f t="shared" si="12"/>
        <v>1</v>
      </c>
      <c r="G264">
        <f t="shared" si="13"/>
        <v>0</v>
      </c>
      <c r="H264">
        <f t="shared" si="14"/>
        <v>1</v>
      </c>
    </row>
    <row r="265" spans="1:8" x14ac:dyDescent="0.45">
      <c r="A265">
        <v>264</v>
      </c>
      <c r="B265">
        <v>24.8</v>
      </c>
      <c r="C265">
        <v>9</v>
      </c>
      <c r="D265" t="s">
        <v>5</v>
      </c>
      <c r="E265">
        <v>4</v>
      </c>
      <c r="F265">
        <f t="shared" si="12"/>
        <v>1</v>
      </c>
      <c r="G265">
        <f t="shared" si="13"/>
        <v>0</v>
      </c>
      <c r="H265">
        <f t="shared" si="14"/>
        <v>1</v>
      </c>
    </row>
    <row r="266" spans="1:8" x14ac:dyDescent="0.45">
      <c r="A266">
        <v>265</v>
      </c>
      <c r="B266">
        <v>27.2</v>
      </c>
      <c r="C266">
        <v>18</v>
      </c>
      <c r="D266" t="s">
        <v>5</v>
      </c>
      <c r="E266">
        <v>4</v>
      </c>
      <c r="F266">
        <f t="shared" si="12"/>
        <v>1</v>
      </c>
      <c r="G266">
        <f t="shared" si="13"/>
        <v>0</v>
      </c>
      <c r="H266">
        <f t="shared" si="14"/>
        <v>1</v>
      </c>
    </row>
    <row r="267" spans="1:8" x14ac:dyDescent="0.45">
      <c r="A267">
        <v>266</v>
      </c>
      <c r="B267">
        <v>28.6</v>
      </c>
      <c r="C267">
        <v>4</v>
      </c>
      <c r="D267" t="s">
        <v>5</v>
      </c>
      <c r="E267">
        <v>4</v>
      </c>
      <c r="F267">
        <f t="shared" si="12"/>
        <v>1</v>
      </c>
      <c r="G267">
        <f t="shared" si="13"/>
        <v>1</v>
      </c>
      <c r="H267">
        <f t="shared" si="14"/>
        <v>2</v>
      </c>
    </row>
    <row r="268" spans="1:8" x14ac:dyDescent="0.45">
      <c r="A268">
        <v>267</v>
      </c>
      <c r="B268">
        <v>28.4</v>
      </c>
      <c r="C268">
        <v>22</v>
      </c>
      <c r="D268" t="s">
        <v>5</v>
      </c>
      <c r="E268">
        <v>5</v>
      </c>
      <c r="F268">
        <f t="shared" si="12"/>
        <v>1</v>
      </c>
      <c r="G268">
        <f t="shared" si="13"/>
        <v>0</v>
      </c>
      <c r="H268">
        <f t="shared" si="14"/>
        <v>1</v>
      </c>
    </row>
    <row r="269" spans="1:8" x14ac:dyDescent="0.45">
      <c r="A269">
        <v>268</v>
      </c>
      <c r="B269">
        <v>26.5</v>
      </c>
      <c r="C269">
        <v>0</v>
      </c>
      <c r="D269">
        <v>0</v>
      </c>
      <c r="E269">
        <v>0</v>
      </c>
      <c r="F269">
        <f t="shared" si="12"/>
        <v>1</v>
      </c>
      <c r="G269">
        <f t="shared" si="13"/>
        <v>1</v>
      </c>
      <c r="H269">
        <f t="shared" si="14"/>
        <v>2</v>
      </c>
    </row>
    <row r="270" spans="1:8" x14ac:dyDescent="0.45">
      <c r="A270">
        <v>269</v>
      </c>
      <c r="B270">
        <v>23.3</v>
      </c>
      <c r="C270">
        <v>4</v>
      </c>
      <c r="D270" t="s">
        <v>5</v>
      </c>
      <c r="E270">
        <v>1</v>
      </c>
      <c r="F270">
        <f t="shared" si="12"/>
        <v>1</v>
      </c>
      <c r="G270">
        <f t="shared" si="13"/>
        <v>1</v>
      </c>
      <c r="H270">
        <f t="shared" si="14"/>
        <v>2</v>
      </c>
    </row>
    <row r="271" spans="1:8" x14ac:dyDescent="0.45">
      <c r="A271">
        <v>270</v>
      </c>
      <c r="B271">
        <v>19.5</v>
      </c>
      <c r="C271">
        <v>6</v>
      </c>
      <c r="D271" t="s">
        <v>5</v>
      </c>
      <c r="E271">
        <v>1</v>
      </c>
      <c r="F271">
        <f t="shared" si="12"/>
        <v>0</v>
      </c>
      <c r="G271">
        <f t="shared" si="13"/>
        <v>0</v>
      </c>
      <c r="H271">
        <f t="shared" si="14"/>
        <v>0</v>
      </c>
    </row>
    <row r="272" spans="1:8" x14ac:dyDescent="0.45">
      <c r="A272">
        <v>271</v>
      </c>
      <c r="B272">
        <v>16</v>
      </c>
      <c r="C272">
        <v>6</v>
      </c>
      <c r="D272" t="s">
        <v>5</v>
      </c>
      <c r="E272">
        <v>1</v>
      </c>
      <c r="F272">
        <f t="shared" si="12"/>
        <v>0</v>
      </c>
      <c r="G272">
        <f t="shared" si="13"/>
        <v>0</v>
      </c>
      <c r="H272">
        <f t="shared" si="14"/>
        <v>0</v>
      </c>
    </row>
    <row r="273" spans="1:8" x14ac:dyDescent="0.45">
      <c r="A273">
        <v>272</v>
      </c>
      <c r="B273">
        <v>13.7</v>
      </c>
      <c r="C273">
        <v>9</v>
      </c>
      <c r="D273" t="s">
        <v>5</v>
      </c>
      <c r="E273">
        <v>2</v>
      </c>
      <c r="F273">
        <f t="shared" si="12"/>
        <v>0</v>
      </c>
      <c r="G273">
        <f t="shared" si="13"/>
        <v>0</v>
      </c>
      <c r="H273">
        <f t="shared" si="14"/>
        <v>0</v>
      </c>
    </row>
    <row r="274" spans="1:8" x14ac:dyDescent="0.45">
      <c r="A274">
        <v>273</v>
      </c>
      <c r="B274">
        <v>12.9</v>
      </c>
      <c r="C274">
        <v>7</v>
      </c>
      <c r="D274" t="s">
        <v>5</v>
      </c>
      <c r="E274">
        <v>2</v>
      </c>
      <c r="F274">
        <f t="shared" si="12"/>
        <v>0</v>
      </c>
      <c r="G274">
        <f t="shared" si="13"/>
        <v>0</v>
      </c>
      <c r="H274">
        <f t="shared" si="14"/>
        <v>0</v>
      </c>
    </row>
    <row r="275" spans="1:8" x14ac:dyDescent="0.45">
      <c r="A275">
        <v>274</v>
      </c>
      <c r="B275">
        <v>13.5</v>
      </c>
      <c r="C275">
        <v>1</v>
      </c>
      <c r="D275" t="s">
        <v>5</v>
      </c>
      <c r="E275">
        <v>2</v>
      </c>
      <c r="F275">
        <f t="shared" si="12"/>
        <v>0</v>
      </c>
      <c r="G275">
        <f t="shared" si="13"/>
        <v>1</v>
      </c>
      <c r="H275">
        <f t="shared" si="14"/>
        <v>1</v>
      </c>
    </row>
    <row r="276" spans="1:8" x14ac:dyDescent="0.45">
      <c r="A276">
        <v>275</v>
      </c>
      <c r="B276">
        <v>15</v>
      </c>
      <c r="C276">
        <v>18</v>
      </c>
      <c r="D276" t="s">
        <v>5</v>
      </c>
      <c r="E276">
        <v>3</v>
      </c>
      <c r="F276">
        <f t="shared" si="12"/>
        <v>0</v>
      </c>
      <c r="G276">
        <f t="shared" si="13"/>
        <v>0</v>
      </c>
      <c r="H276">
        <f t="shared" si="14"/>
        <v>0</v>
      </c>
    </row>
    <row r="277" spans="1:8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f t="shared" si="12"/>
        <v>0</v>
      </c>
      <c r="G277">
        <f t="shared" si="13"/>
        <v>0</v>
      </c>
      <c r="H277">
        <f t="shared" si="14"/>
        <v>0</v>
      </c>
    </row>
    <row r="278" spans="1:8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f t="shared" si="12"/>
        <v>0</v>
      </c>
      <c r="G278">
        <f t="shared" si="13"/>
        <v>1</v>
      </c>
      <c r="H278">
        <f t="shared" si="14"/>
        <v>1</v>
      </c>
    </row>
    <row r="279" spans="1:8" x14ac:dyDescent="0.45">
      <c r="A279">
        <v>278</v>
      </c>
      <c r="B279">
        <v>16.3</v>
      </c>
      <c r="C279">
        <v>10</v>
      </c>
      <c r="D279" t="s">
        <v>5</v>
      </c>
      <c r="E279">
        <v>4</v>
      </c>
      <c r="F279">
        <f t="shared" si="12"/>
        <v>0</v>
      </c>
      <c r="G279">
        <f t="shared" si="13"/>
        <v>0</v>
      </c>
      <c r="H279">
        <f t="shared" si="14"/>
        <v>0</v>
      </c>
    </row>
    <row r="280" spans="1:8" x14ac:dyDescent="0.45">
      <c r="A280">
        <v>279</v>
      </c>
      <c r="B280">
        <v>14</v>
      </c>
      <c r="C280">
        <v>6</v>
      </c>
      <c r="D280" t="s">
        <v>5</v>
      </c>
      <c r="E280">
        <v>4</v>
      </c>
      <c r="F280">
        <f t="shared" si="12"/>
        <v>0</v>
      </c>
      <c r="G280">
        <f t="shared" si="13"/>
        <v>0</v>
      </c>
      <c r="H280">
        <f t="shared" si="14"/>
        <v>0</v>
      </c>
    </row>
    <row r="281" spans="1:8" x14ac:dyDescent="0.45">
      <c r="A281">
        <v>280</v>
      </c>
      <c r="B281">
        <v>10.5</v>
      </c>
      <c r="C281">
        <v>20</v>
      </c>
      <c r="D281" t="s">
        <v>5</v>
      </c>
      <c r="E281">
        <v>4</v>
      </c>
      <c r="F281">
        <f t="shared" si="12"/>
        <v>0</v>
      </c>
      <c r="G281">
        <f t="shared" si="13"/>
        <v>0</v>
      </c>
      <c r="H281">
        <f t="shared" si="14"/>
        <v>0</v>
      </c>
    </row>
    <row r="282" spans="1:8" x14ac:dyDescent="0.45">
      <c r="A282">
        <v>281</v>
      </c>
      <c r="B282">
        <v>6.7</v>
      </c>
      <c r="C282">
        <v>17</v>
      </c>
      <c r="D282" t="s">
        <v>5</v>
      </c>
      <c r="E282">
        <v>5</v>
      </c>
      <c r="F282">
        <f t="shared" si="12"/>
        <v>0</v>
      </c>
      <c r="G282">
        <f t="shared" si="13"/>
        <v>0</v>
      </c>
      <c r="H282">
        <f t="shared" si="14"/>
        <v>0</v>
      </c>
    </row>
    <row r="283" spans="1:8" x14ac:dyDescent="0.45">
      <c r="A283">
        <v>282</v>
      </c>
      <c r="B283">
        <v>3.5</v>
      </c>
      <c r="C283">
        <v>13</v>
      </c>
      <c r="D283" t="s">
        <v>5</v>
      </c>
      <c r="E283">
        <v>5</v>
      </c>
      <c r="F283">
        <f t="shared" si="12"/>
        <v>0</v>
      </c>
      <c r="G283">
        <f t="shared" si="13"/>
        <v>0</v>
      </c>
      <c r="H283">
        <f t="shared" si="14"/>
        <v>0</v>
      </c>
    </row>
    <row r="284" spans="1:8" x14ac:dyDescent="0.45">
      <c r="A284">
        <v>283</v>
      </c>
      <c r="B284">
        <v>1.6</v>
      </c>
      <c r="C284">
        <v>18</v>
      </c>
      <c r="D284" t="s">
        <v>5</v>
      </c>
      <c r="E284">
        <v>5</v>
      </c>
      <c r="F284">
        <f t="shared" si="12"/>
        <v>0</v>
      </c>
      <c r="G284">
        <f t="shared" si="13"/>
        <v>0</v>
      </c>
      <c r="H284">
        <f t="shared" si="14"/>
        <v>0</v>
      </c>
    </row>
    <row r="285" spans="1:8" x14ac:dyDescent="0.45">
      <c r="A285">
        <v>284</v>
      </c>
      <c r="B285">
        <v>1.4</v>
      </c>
      <c r="C285">
        <v>20</v>
      </c>
      <c r="D285" t="s">
        <v>5</v>
      </c>
      <c r="E285">
        <v>5</v>
      </c>
      <c r="F285">
        <f t="shared" si="12"/>
        <v>0</v>
      </c>
      <c r="G285">
        <f t="shared" si="13"/>
        <v>0</v>
      </c>
      <c r="H285">
        <f t="shared" si="14"/>
        <v>0</v>
      </c>
    </row>
    <row r="286" spans="1:8" x14ac:dyDescent="0.45">
      <c r="A286">
        <v>285</v>
      </c>
      <c r="B286">
        <v>2.8</v>
      </c>
      <c r="C286">
        <v>0</v>
      </c>
      <c r="D286">
        <v>0</v>
      </c>
      <c r="E286">
        <v>0</v>
      </c>
      <c r="F286">
        <f t="shared" si="12"/>
        <v>0</v>
      </c>
      <c r="G286">
        <f t="shared" si="13"/>
        <v>1</v>
      </c>
      <c r="H286">
        <f t="shared" si="14"/>
        <v>1</v>
      </c>
    </row>
    <row r="287" spans="1:8" x14ac:dyDescent="0.45">
      <c r="A287">
        <v>286</v>
      </c>
      <c r="B287">
        <v>5.2</v>
      </c>
      <c r="C287">
        <v>6</v>
      </c>
      <c r="D287" t="s">
        <v>6</v>
      </c>
      <c r="E287">
        <v>1</v>
      </c>
      <c r="F287">
        <f t="shared" si="12"/>
        <v>0</v>
      </c>
      <c r="G287">
        <f t="shared" si="13"/>
        <v>0</v>
      </c>
      <c r="H287">
        <f t="shared" si="14"/>
        <v>0</v>
      </c>
    </row>
    <row r="288" spans="1:8" x14ac:dyDescent="0.45">
      <c r="A288">
        <v>287</v>
      </c>
      <c r="B288">
        <v>7.7</v>
      </c>
      <c r="C288">
        <v>5</v>
      </c>
      <c r="D288" t="s">
        <v>6</v>
      </c>
      <c r="E288">
        <v>1</v>
      </c>
      <c r="F288">
        <f t="shared" si="12"/>
        <v>0</v>
      </c>
      <c r="G288">
        <f t="shared" si="13"/>
        <v>1</v>
      </c>
      <c r="H288">
        <f t="shared" si="14"/>
        <v>1</v>
      </c>
    </row>
    <row r="289" spans="1:8" x14ac:dyDescent="0.45">
      <c r="A289">
        <v>288</v>
      </c>
      <c r="B289">
        <v>9.6</v>
      </c>
      <c r="C289">
        <v>1</v>
      </c>
      <c r="D289" t="s">
        <v>6</v>
      </c>
      <c r="E289">
        <v>1</v>
      </c>
      <c r="F289">
        <f t="shared" si="12"/>
        <v>0</v>
      </c>
      <c r="G289">
        <f t="shared" si="13"/>
        <v>1</v>
      </c>
      <c r="H289">
        <f t="shared" si="14"/>
        <v>1</v>
      </c>
    </row>
    <row r="290" spans="1:8" x14ac:dyDescent="0.45">
      <c r="A290">
        <v>289</v>
      </c>
      <c r="B290">
        <v>10.1</v>
      </c>
      <c r="C290">
        <v>8</v>
      </c>
      <c r="D290" t="s">
        <v>6</v>
      </c>
      <c r="E290">
        <v>2</v>
      </c>
      <c r="F290">
        <f t="shared" si="12"/>
        <v>0</v>
      </c>
      <c r="G290">
        <f t="shared" si="13"/>
        <v>0</v>
      </c>
      <c r="H290">
        <f t="shared" si="14"/>
        <v>0</v>
      </c>
    </row>
    <row r="291" spans="1:8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f t="shared" si="12"/>
        <v>0</v>
      </c>
      <c r="G291">
        <f t="shared" si="13"/>
        <v>1</v>
      </c>
      <c r="H291">
        <f t="shared" si="14"/>
        <v>1</v>
      </c>
    </row>
    <row r="292" spans="1:8" x14ac:dyDescent="0.45">
      <c r="A292">
        <v>291</v>
      </c>
      <c r="B292">
        <v>7.4</v>
      </c>
      <c r="C292">
        <v>5</v>
      </c>
      <c r="D292" t="s">
        <v>6</v>
      </c>
      <c r="E292">
        <v>2</v>
      </c>
      <c r="F292">
        <f t="shared" si="12"/>
        <v>0</v>
      </c>
      <c r="G292">
        <f t="shared" si="13"/>
        <v>1</v>
      </c>
      <c r="H292">
        <f t="shared" si="14"/>
        <v>1</v>
      </c>
    </row>
    <row r="293" spans="1:8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f t="shared" si="12"/>
        <v>0</v>
      </c>
      <c r="G293">
        <f t="shared" si="13"/>
        <v>0</v>
      </c>
      <c r="H293">
        <f t="shared" si="14"/>
        <v>0</v>
      </c>
    </row>
    <row r="294" spans="1:8" x14ac:dyDescent="0.45">
      <c r="A294">
        <v>293</v>
      </c>
      <c r="B294">
        <v>3.5</v>
      </c>
      <c r="C294">
        <v>9</v>
      </c>
      <c r="D294" t="s">
        <v>6</v>
      </c>
      <c r="E294">
        <v>3</v>
      </c>
      <c r="F294">
        <f t="shared" si="12"/>
        <v>0</v>
      </c>
      <c r="G294">
        <f t="shared" si="13"/>
        <v>0</v>
      </c>
      <c r="H294">
        <f t="shared" si="14"/>
        <v>0</v>
      </c>
    </row>
    <row r="295" spans="1:8" x14ac:dyDescent="0.45">
      <c r="A295">
        <v>294</v>
      </c>
      <c r="B295">
        <v>3.2</v>
      </c>
      <c r="C295">
        <v>4</v>
      </c>
      <c r="D295" t="s">
        <v>6</v>
      </c>
      <c r="E295">
        <v>3</v>
      </c>
      <c r="F295">
        <f t="shared" si="12"/>
        <v>0</v>
      </c>
      <c r="G295">
        <f t="shared" si="13"/>
        <v>1</v>
      </c>
      <c r="H295">
        <f t="shared" si="14"/>
        <v>1</v>
      </c>
    </row>
    <row r="296" spans="1:8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f t="shared" si="12"/>
        <v>0</v>
      </c>
      <c r="G296">
        <f t="shared" si="13"/>
        <v>0</v>
      </c>
      <c r="H296">
        <f t="shared" si="14"/>
        <v>0</v>
      </c>
    </row>
    <row r="297" spans="1:8" x14ac:dyDescent="0.45">
      <c r="A297">
        <v>296</v>
      </c>
      <c r="B297">
        <v>7.5</v>
      </c>
      <c r="C297">
        <v>21</v>
      </c>
      <c r="D297" t="s">
        <v>6</v>
      </c>
      <c r="E297">
        <v>4</v>
      </c>
      <c r="F297">
        <f t="shared" si="12"/>
        <v>0</v>
      </c>
      <c r="G297">
        <f t="shared" si="13"/>
        <v>0</v>
      </c>
      <c r="H297">
        <f t="shared" si="14"/>
        <v>0</v>
      </c>
    </row>
    <row r="298" spans="1:8" x14ac:dyDescent="0.45">
      <c r="A298">
        <v>297</v>
      </c>
      <c r="B298">
        <v>11.3</v>
      </c>
      <c r="C298">
        <v>8</v>
      </c>
      <c r="D298" t="s">
        <v>6</v>
      </c>
      <c r="E298">
        <v>5</v>
      </c>
      <c r="F298">
        <f t="shared" si="12"/>
        <v>0</v>
      </c>
      <c r="G298">
        <f t="shared" si="13"/>
        <v>0</v>
      </c>
      <c r="H298">
        <f t="shared" si="14"/>
        <v>0</v>
      </c>
    </row>
    <row r="299" spans="1:8" x14ac:dyDescent="0.45">
      <c r="A299">
        <v>298</v>
      </c>
      <c r="B299">
        <v>15.2</v>
      </c>
      <c r="C299">
        <v>23</v>
      </c>
      <c r="D299" t="s">
        <v>6</v>
      </c>
      <c r="E299">
        <v>5</v>
      </c>
      <c r="F299">
        <f t="shared" si="12"/>
        <v>0</v>
      </c>
      <c r="G299">
        <f t="shared" si="13"/>
        <v>0</v>
      </c>
      <c r="H299">
        <f t="shared" si="14"/>
        <v>0</v>
      </c>
    </row>
    <row r="300" spans="1:8" x14ac:dyDescent="0.45">
      <c r="A300">
        <v>299</v>
      </c>
      <c r="B300">
        <v>18.3</v>
      </c>
      <c r="C300">
        <v>0</v>
      </c>
      <c r="D300">
        <v>0</v>
      </c>
      <c r="E300">
        <v>0</v>
      </c>
      <c r="F300">
        <f t="shared" si="12"/>
        <v>0</v>
      </c>
      <c r="G300">
        <f t="shared" si="13"/>
        <v>1</v>
      </c>
      <c r="H300">
        <f t="shared" si="14"/>
        <v>1</v>
      </c>
    </row>
    <row r="301" spans="1:8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f t="shared" si="12"/>
        <v>0</v>
      </c>
      <c r="G301">
        <f t="shared" si="13"/>
        <v>1</v>
      </c>
      <c r="H301">
        <f t="shared" si="14"/>
        <v>1</v>
      </c>
    </row>
    <row r="302" spans="1:8" x14ac:dyDescent="0.45">
      <c r="A302">
        <v>301</v>
      </c>
      <c r="B302">
        <v>20</v>
      </c>
      <c r="C302">
        <v>4</v>
      </c>
      <c r="D302">
        <v>0</v>
      </c>
      <c r="E302">
        <v>0</v>
      </c>
      <c r="F302">
        <f t="shared" si="12"/>
        <v>1</v>
      </c>
      <c r="G302">
        <f t="shared" si="13"/>
        <v>1</v>
      </c>
      <c r="H302">
        <f t="shared" si="14"/>
        <v>2</v>
      </c>
    </row>
    <row r="303" spans="1:8" x14ac:dyDescent="0.4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f t="shared" si="12"/>
        <v>0</v>
      </c>
      <c r="G303">
        <f t="shared" si="13"/>
        <v>1</v>
      </c>
      <c r="H303">
        <f t="shared" si="14"/>
        <v>1</v>
      </c>
    </row>
    <row r="304" spans="1:8" x14ac:dyDescent="0.45">
      <c r="A304">
        <v>303</v>
      </c>
      <c r="B304">
        <v>17.3</v>
      </c>
      <c r="C304">
        <v>2</v>
      </c>
      <c r="D304">
        <v>0</v>
      </c>
      <c r="E304">
        <v>0</v>
      </c>
      <c r="F304">
        <f t="shared" si="12"/>
        <v>0</v>
      </c>
      <c r="G304">
        <f t="shared" si="13"/>
        <v>1</v>
      </c>
      <c r="H304">
        <f t="shared" si="14"/>
        <v>1</v>
      </c>
    </row>
    <row r="305" spans="1:8" x14ac:dyDescent="0.45">
      <c r="A305">
        <v>304</v>
      </c>
      <c r="B305">
        <v>16</v>
      </c>
      <c r="C305">
        <v>7</v>
      </c>
      <c r="D305">
        <v>0</v>
      </c>
      <c r="E305">
        <v>0</v>
      </c>
      <c r="F305">
        <f t="shared" si="12"/>
        <v>0</v>
      </c>
      <c r="G305">
        <f t="shared" si="13"/>
        <v>0</v>
      </c>
      <c r="H305">
        <f t="shared" si="14"/>
        <v>0</v>
      </c>
    </row>
    <row r="306" spans="1:8" x14ac:dyDescent="0.45">
      <c r="A306">
        <v>305</v>
      </c>
      <c r="B306">
        <v>15.9</v>
      </c>
      <c r="C306">
        <v>4</v>
      </c>
      <c r="D306">
        <v>0</v>
      </c>
      <c r="E306">
        <v>0</v>
      </c>
      <c r="F306">
        <f t="shared" si="12"/>
        <v>0</v>
      </c>
      <c r="G306">
        <f t="shared" si="13"/>
        <v>1</v>
      </c>
      <c r="H306">
        <f t="shared" si="14"/>
        <v>1</v>
      </c>
    </row>
    <row r="307" spans="1:8" x14ac:dyDescent="0.45">
      <c r="A307">
        <v>306</v>
      </c>
      <c r="B307">
        <v>17.3</v>
      </c>
      <c r="C307">
        <v>17</v>
      </c>
      <c r="D307">
        <v>0</v>
      </c>
      <c r="E307">
        <v>0</v>
      </c>
      <c r="F307">
        <f t="shared" si="12"/>
        <v>0</v>
      </c>
      <c r="G307">
        <f t="shared" si="13"/>
        <v>0</v>
      </c>
      <c r="H307">
        <f t="shared" si="14"/>
        <v>0</v>
      </c>
    </row>
    <row r="308" spans="1:8" x14ac:dyDescent="0.45">
      <c r="A308">
        <v>307</v>
      </c>
      <c r="B308">
        <v>20</v>
      </c>
      <c r="C308">
        <v>14</v>
      </c>
      <c r="D308">
        <v>0</v>
      </c>
      <c r="E308">
        <v>0</v>
      </c>
      <c r="F308">
        <f t="shared" si="12"/>
        <v>1</v>
      </c>
      <c r="G308">
        <f t="shared" si="13"/>
        <v>0</v>
      </c>
      <c r="H308">
        <f t="shared" si="14"/>
        <v>1</v>
      </c>
    </row>
    <row r="309" spans="1:8" x14ac:dyDescent="0.45">
      <c r="A309">
        <v>308</v>
      </c>
      <c r="B309">
        <v>23.4</v>
      </c>
      <c r="C309">
        <v>9</v>
      </c>
      <c r="D309">
        <v>0</v>
      </c>
      <c r="E309">
        <v>0</v>
      </c>
      <c r="F309">
        <f t="shared" si="12"/>
        <v>1</v>
      </c>
      <c r="G309">
        <f t="shared" si="13"/>
        <v>0</v>
      </c>
      <c r="H309">
        <f t="shared" si="14"/>
        <v>1</v>
      </c>
    </row>
    <row r="310" spans="1:8" x14ac:dyDescent="0.45">
      <c r="A310">
        <v>309</v>
      </c>
      <c r="B310">
        <v>26.8</v>
      </c>
      <c r="C310">
        <v>6</v>
      </c>
      <c r="D310">
        <v>0</v>
      </c>
      <c r="E310">
        <v>0</v>
      </c>
      <c r="F310">
        <f t="shared" si="12"/>
        <v>1</v>
      </c>
      <c r="G310">
        <f t="shared" si="13"/>
        <v>0</v>
      </c>
      <c r="H310">
        <f t="shared" si="14"/>
        <v>1</v>
      </c>
    </row>
    <row r="311" spans="1:8" x14ac:dyDescent="0.45">
      <c r="A311">
        <v>310</v>
      </c>
      <c r="B311">
        <v>29.1</v>
      </c>
      <c r="C311">
        <v>16</v>
      </c>
      <c r="D311">
        <v>0</v>
      </c>
      <c r="E311">
        <v>0</v>
      </c>
      <c r="F311">
        <f t="shared" si="12"/>
        <v>1</v>
      </c>
      <c r="G311">
        <f t="shared" si="13"/>
        <v>0</v>
      </c>
      <c r="H311">
        <f t="shared" si="14"/>
        <v>1</v>
      </c>
    </row>
    <row r="312" spans="1:8" x14ac:dyDescent="0.45">
      <c r="A312">
        <v>311</v>
      </c>
      <c r="B312">
        <v>29.8</v>
      </c>
      <c r="C312">
        <v>2</v>
      </c>
      <c r="D312">
        <v>0</v>
      </c>
      <c r="E312">
        <v>0</v>
      </c>
      <c r="F312">
        <f t="shared" si="12"/>
        <v>1</v>
      </c>
      <c r="G312">
        <f t="shared" si="13"/>
        <v>1</v>
      </c>
      <c r="H312">
        <f t="shared" si="14"/>
        <v>2</v>
      </c>
    </row>
    <row r="313" spans="1:8" x14ac:dyDescent="0.45">
      <c r="A313">
        <v>312</v>
      </c>
      <c r="B313">
        <v>28.8</v>
      </c>
      <c r="C313">
        <v>25</v>
      </c>
      <c r="D313">
        <v>0</v>
      </c>
      <c r="E313">
        <v>0</v>
      </c>
      <c r="F313">
        <f t="shared" si="12"/>
        <v>1</v>
      </c>
      <c r="G313">
        <f t="shared" si="13"/>
        <v>0</v>
      </c>
      <c r="H313">
        <f t="shared" si="14"/>
        <v>1</v>
      </c>
    </row>
    <row r="314" spans="1:8" x14ac:dyDescent="0.45">
      <c r="A314">
        <v>313</v>
      </c>
      <c r="B314">
        <v>26.4</v>
      </c>
      <c r="C314">
        <v>0</v>
      </c>
      <c r="D314">
        <v>0</v>
      </c>
      <c r="E314">
        <v>0</v>
      </c>
      <c r="F314">
        <f t="shared" si="12"/>
        <v>1</v>
      </c>
      <c r="G314">
        <f t="shared" si="13"/>
        <v>1</v>
      </c>
      <c r="H314">
        <f t="shared" si="14"/>
        <v>2</v>
      </c>
    </row>
    <row r="315" spans="1:8" x14ac:dyDescent="0.45">
      <c r="A315">
        <v>314</v>
      </c>
      <c r="B315">
        <v>23.4</v>
      </c>
      <c r="C315">
        <v>3</v>
      </c>
      <c r="D315">
        <v>0</v>
      </c>
      <c r="E315">
        <v>0</v>
      </c>
      <c r="F315">
        <f t="shared" si="12"/>
        <v>1</v>
      </c>
      <c r="G315">
        <f t="shared" si="13"/>
        <v>1</v>
      </c>
      <c r="H315">
        <f t="shared" si="14"/>
        <v>2</v>
      </c>
    </row>
    <row r="316" spans="1:8" x14ac:dyDescent="0.45">
      <c r="A316">
        <v>315</v>
      </c>
      <c r="B316">
        <v>20.7</v>
      </c>
      <c r="C316">
        <v>4</v>
      </c>
      <c r="D316">
        <v>0</v>
      </c>
      <c r="E316">
        <v>0</v>
      </c>
      <c r="F316">
        <f t="shared" si="12"/>
        <v>1</v>
      </c>
      <c r="G316">
        <f t="shared" si="13"/>
        <v>1</v>
      </c>
      <c r="H316">
        <f t="shared" si="14"/>
        <v>2</v>
      </c>
    </row>
    <row r="317" spans="1:8" x14ac:dyDescent="0.4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f t="shared" si="12"/>
        <v>0</v>
      </c>
      <c r="G317">
        <f t="shared" si="13"/>
        <v>0</v>
      </c>
      <c r="H317">
        <f t="shared" si="14"/>
        <v>0</v>
      </c>
    </row>
    <row r="318" spans="1:8" x14ac:dyDescent="0.4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f t="shared" si="12"/>
        <v>0</v>
      </c>
      <c r="G318">
        <f t="shared" si="13"/>
        <v>0</v>
      </c>
      <c r="H318">
        <f t="shared" si="14"/>
        <v>0</v>
      </c>
    </row>
    <row r="319" spans="1:8" x14ac:dyDescent="0.45">
      <c r="A319">
        <v>318</v>
      </c>
      <c r="B319">
        <v>20</v>
      </c>
      <c r="C319">
        <v>5</v>
      </c>
      <c r="D319">
        <v>0</v>
      </c>
      <c r="E319">
        <v>0</v>
      </c>
      <c r="F319">
        <f t="shared" si="12"/>
        <v>1</v>
      </c>
      <c r="G319">
        <f t="shared" si="13"/>
        <v>1</v>
      </c>
      <c r="H319">
        <f t="shared" si="14"/>
        <v>2</v>
      </c>
    </row>
    <row r="320" spans="1:8" x14ac:dyDescent="0.45">
      <c r="A320">
        <v>319</v>
      </c>
      <c r="B320">
        <v>21.8</v>
      </c>
      <c r="C320">
        <v>4</v>
      </c>
      <c r="D320">
        <v>0</v>
      </c>
      <c r="E320">
        <v>0</v>
      </c>
      <c r="F320">
        <f t="shared" si="12"/>
        <v>1</v>
      </c>
      <c r="G320">
        <f t="shared" si="13"/>
        <v>1</v>
      </c>
      <c r="H320">
        <f t="shared" si="14"/>
        <v>2</v>
      </c>
    </row>
    <row r="321" spans="1:8" x14ac:dyDescent="0.45">
      <c r="A321">
        <v>320</v>
      </c>
      <c r="B321">
        <v>23.6</v>
      </c>
      <c r="C321">
        <v>7</v>
      </c>
      <c r="D321">
        <v>0</v>
      </c>
      <c r="E321">
        <v>0</v>
      </c>
      <c r="F321">
        <f t="shared" si="12"/>
        <v>1</v>
      </c>
      <c r="G321">
        <f t="shared" si="13"/>
        <v>0</v>
      </c>
      <c r="H321">
        <f t="shared" si="14"/>
        <v>1</v>
      </c>
    </row>
    <row r="322" spans="1:8" x14ac:dyDescent="0.45">
      <c r="A322">
        <v>321</v>
      </c>
      <c r="B322">
        <v>24.4</v>
      </c>
      <c r="C322">
        <v>12</v>
      </c>
      <c r="D322">
        <v>0</v>
      </c>
      <c r="E322">
        <v>0</v>
      </c>
      <c r="F322">
        <f t="shared" si="12"/>
        <v>1</v>
      </c>
      <c r="G322">
        <f t="shared" si="13"/>
        <v>0</v>
      </c>
      <c r="H322">
        <f t="shared" si="14"/>
        <v>1</v>
      </c>
    </row>
    <row r="323" spans="1:8" x14ac:dyDescent="0.45">
      <c r="A323">
        <v>322</v>
      </c>
      <c r="B323">
        <v>23.6</v>
      </c>
      <c r="C323">
        <v>5</v>
      </c>
      <c r="D323">
        <v>0</v>
      </c>
      <c r="E323">
        <v>0</v>
      </c>
      <c r="F323">
        <f t="shared" ref="F323:F386" si="15">IF(B323&gt;=20,1,0)</f>
        <v>1</v>
      </c>
      <c r="G323">
        <f t="shared" ref="G323:G386" si="16">IF(C323&lt;=5,1,0)</f>
        <v>1</v>
      </c>
      <c r="H323">
        <f t="shared" ref="H323:H386" si="17">SUM(F323:G323)</f>
        <v>2</v>
      </c>
    </row>
    <row r="324" spans="1:8" x14ac:dyDescent="0.45">
      <c r="A324">
        <v>323</v>
      </c>
      <c r="B324">
        <v>21.3</v>
      </c>
      <c r="C324">
        <v>3</v>
      </c>
      <c r="D324">
        <v>0</v>
      </c>
      <c r="E324">
        <v>0</v>
      </c>
      <c r="F324">
        <f t="shared" si="15"/>
        <v>1</v>
      </c>
      <c r="G324">
        <f t="shared" si="16"/>
        <v>1</v>
      </c>
      <c r="H324">
        <f t="shared" si="17"/>
        <v>2</v>
      </c>
    </row>
    <row r="325" spans="1:8" x14ac:dyDescent="0.45">
      <c r="A325">
        <v>324</v>
      </c>
      <c r="B325">
        <v>17.7</v>
      </c>
      <c r="C325">
        <v>21</v>
      </c>
      <c r="D325">
        <v>0</v>
      </c>
      <c r="E325">
        <v>0</v>
      </c>
      <c r="F325">
        <f t="shared" si="15"/>
        <v>0</v>
      </c>
      <c r="G325">
        <f t="shared" si="16"/>
        <v>0</v>
      </c>
      <c r="H325">
        <f t="shared" si="17"/>
        <v>0</v>
      </c>
    </row>
    <row r="326" spans="1:8" x14ac:dyDescent="0.45">
      <c r="A326">
        <v>325</v>
      </c>
      <c r="B326">
        <v>13.6</v>
      </c>
      <c r="C326">
        <v>18</v>
      </c>
      <c r="D326">
        <v>0</v>
      </c>
      <c r="E326">
        <v>0</v>
      </c>
      <c r="F326">
        <f t="shared" si="15"/>
        <v>0</v>
      </c>
      <c r="G326">
        <f t="shared" si="16"/>
        <v>0</v>
      </c>
      <c r="H326">
        <f t="shared" si="17"/>
        <v>0</v>
      </c>
    </row>
    <row r="327" spans="1:8" x14ac:dyDescent="0.45">
      <c r="A327">
        <v>326</v>
      </c>
      <c r="B327">
        <v>10</v>
      </c>
      <c r="C327">
        <v>13</v>
      </c>
      <c r="D327">
        <v>0</v>
      </c>
      <c r="E327">
        <v>0</v>
      </c>
      <c r="F327">
        <f t="shared" si="15"/>
        <v>0</v>
      </c>
      <c r="G327">
        <f t="shared" si="16"/>
        <v>0</v>
      </c>
      <c r="H327">
        <f t="shared" si="17"/>
        <v>0</v>
      </c>
    </row>
    <row r="328" spans="1:8" x14ac:dyDescent="0.45">
      <c r="A328">
        <v>327</v>
      </c>
      <c r="B328">
        <v>7.6</v>
      </c>
      <c r="C328">
        <v>28</v>
      </c>
      <c r="D328">
        <v>0</v>
      </c>
      <c r="E328">
        <v>0</v>
      </c>
      <c r="F328">
        <f t="shared" si="15"/>
        <v>0</v>
      </c>
      <c r="G328">
        <f t="shared" si="16"/>
        <v>0</v>
      </c>
      <c r="H328">
        <f t="shared" si="17"/>
        <v>0</v>
      </c>
    </row>
    <row r="329" spans="1:8" x14ac:dyDescent="0.45">
      <c r="A329">
        <v>328</v>
      </c>
      <c r="B329">
        <v>6.8</v>
      </c>
      <c r="C329">
        <v>0</v>
      </c>
      <c r="D329">
        <v>0</v>
      </c>
      <c r="E329">
        <v>0</v>
      </c>
      <c r="F329">
        <f t="shared" si="15"/>
        <v>0</v>
      </c>
      <c r="G329">
        <f t="shared" si="16"/>
        <v>1</v>
      </c>
      <c r="H329">
        <f t="shared" si="17"/>
        <v>1</v>
      </c>
    </row>
    <row r="330" spans="1:8" x14ac:dyDescent="0.45">
      <c r="A330">
        <v>329</v>
      </c>
      <c r="B330">
        <v>7.5</v>
      </c>
      <c r="C330">
        <v>2</v>
      </c>
      <c r="D330">
        <v>0</v>
      </c>
      <c r="E330">
        <v>0</v>
      </c>
      <c r="F330">
        <f t="shared" si="15"/>
        <v>0</v>
      </c>
      <c r="G330">
        <f t="shared" si="16"/>
        <v>1</v>
      </c>
      <c r="H330">
        <f t="shared" si="17"/>
        <v>1</v>
      </c>
    </row>
    <row r="331" spans="1:8" x14ac:dyDescent="0.45">
      <c r="A331">
        <v>330</v>
      </c>
      <c r="B331">
        <v>9.1</v>
      </c>
      <c r="C331">
        <v>2</v>
      </c>
      <c r="D331">
        <v>0</v>
      </c>
      <c r="E331">
        <v>0</v>
      </c>
      <c r="F331">
        <f t="shared" si="15"/>
        <v>0</v>
      </c>
      <c r="G331">
        <f t="shared" si="16"/>
        <v>1</v>
      </c>
      <c r="H331">
        <f t="shared" si="17"/>
        <v>1</v>
      </c>
    </row>
    <row r="332" spans="1:8" x14ac:dyDescent="0.45">
      <c r="A332">
        <v>331</v>
      </c>
      <c r="B332">
        <v>10.9</v>
      </c>
      <c r="C332">
        <v>6</v>
      </c>
      <c r="D332">
        <v>0</v>
      </c>
      <c r="E332">
        <v>0</v>
      </c>
      <c r="F332">
        <f t="shared" si="15"/>
        <v>0</v>
      </c>
      <c r="G332">
        <f t="shared" si="16"/>
        <v>0</v>
      </c>
      <c r="H332">
        <f t="shared" si="17"/>
        <v>0</v>
      </c>
    </row>
    <row r="333" spans="1:8" x14ac:dyDescent="0.45">
      <c r="A333">
        <v>332</v>
      </c>
      <c r="B333">
        <v>11.8</v>
      </c>
      <c r="C333">
        <v>11</v>
      </c>
      <c r="D333">
        <v>0</v>
      </c>
      <c r="E333">
        <v>0</v>
      </c>
      <c r="F333">
        <f t="shared" si="15"/>
        <v>0</v>
      </c>
      <c r="G333">
        <f t="shared" si="16"/>
        <v>0</v>
      </c>
      <c r="H333">
        <f t="shared" si="17"/>
        <v>0</v>
      </c>
    </row>
    <row r="334" spans="1:8" x14ac:dyDescent="0.45">
      <c r="A334">
        <v>333</v>
      </c>
      <c r="B334">
        <v>11.5</v>
      </c>
      <c r="C334">
        <v>9</v>
      </c>
      <c r="D334">
        <v>0</v>
      </c>
      <c r="E334">
        <v>0</v>
      </c>
      <c r="F334">
        <f t="shared" si="15"/>
        <v>0</v>
      </c>
      <c r="G334">
        <f t="shared" si="16"/>
        <v>0</v>
      </c>
      <c r="H334">
        <f t="shared" si="17"/>
        <v>0</v>
      </c>
    </row>
    <row r="335" spans="1:8" x14ac:dyDescent="0.4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f t="shared" si="15"/>
        <v>0</v>
      </c>
      <c r="G335">
        <f t="shared" si="16"/>
        <v>0</v>
      </c>
      <c r="H335">
        <f t="shared" si="17"/>
        <v>0</v>
      </c>
    </row>
    <row r="336" spans="1:8" x14ac:dyDescent="0.45">
      <c r="A336">
        <v>335</v>
      </c>
      <c r="B336">
        <v>6.9</v>
      </c>
      <c r="C336">
        <v>17</v>
      </c>
      <c r="D336">
        <v>0</v>
      </c>
      <c r="E336">
        <v>0</v>
      </c>
      <c r="F336">
        <f t="shared" si="15"/>
        <v>0</v>
      </c>
      <c r="G336">
        <f t="shared" si="16"/>
        <v>0</v>
      </c>
      <c r="H336">
        <f t="shared" si="17"/>
        <v>0</v>
      </c>
    </row>
    <row r="337" spans="1:8" x14ac:dyDescent="0.45">
      <c r="A337">
        <v>336</v>
      </c>
      <c r="B337">
        <v>3.8</v>
      </c>
      <c r="C337">
        <v>1</v>
      </c>
      <c r="D337">
        <v>0</v>
      </c>
      <c r="E337">
        <v>0</v>
      </c>
      <c r="F337">
        <f t="shared" si="15"/>
        <v>0</v>
      </c>
      <c r="G337">
        <f t="shared" si="16"/>
        <v>1</v>
      </c>
      <c r="H337">
        <f t="shared" si="17"/>
        <v>1</v>
      </c>
    </row>
    <row r="338" spans="1:8" x14ac:dyDescent="0.45">
      <c r="A338">
        <v>337</v>
      </c>
      <c r="B338">
        <v>1.2</v>
      </c>
      <c r="C338">
        <v>2</v>
      </c>
      <c r="D338">
        <v>0</v>
      </c>
      <c r="E338">
        <v>0</v>
      </c>
      <c r="F338">
        <f t="shared" si="15"/>
        <v>0</v>
      </c>
      <c r="G338">
        <f t="shared" si="16"/>
        <v>1</v>
      </c>
      <c r="H338">
        <f t="shared" si="17"/>
        <v>1</v>
      </c>
    </row>
    <row r="339" spans="1:8" x14ac:dyDescent="0.45">
      <c r="A339">
        <v>338</v>
      </c>
      <c r="B339">
        <v>0.1</v>
      </c>
      <c r="C339">
        <v>15</v>
      </c>
      <c r="D339">
        <v>0</v>
      </c>
      <c r="E339">
        <v>0</v>
      </c>
      <c r="F339">
        <f t="shared" si="15"/>
        <v>0</v>
      </c>
      <c r="G339">
        <f t="shared" si="16"/>
        <v>0</v>
      </c>
      <c r="H339">
        <f t="shared" si="17"/>
        <v>0</v>
      </c>
    </row>
    <row r="340" spans="1:8" x14ac:dyDescent="0.45">
      <c r="A340">
        <v>339</v>
      </c>
      <c r="B340">
        <v>0.6</v>
      </c>
      <c r="C340">
        <v>21</v>
      </c>
      <c r="D340">
        <v>0</v>
      </c>
      <c r="E340">
        <v>0</v>
      </c>
      <c r="F340">
        <f t="shared" si="15"/>
        <v>0</v>
      </c>
      <c r="G340">
        <f t="shared" si="16"/>
        <v>0</v>
      </c>
      <c r="H340">
        <f t="shared" si="17"/>
        <v>0</v>
      </c>
    </row>
    <row r="341" spans="1:8" x14ac:dyDescent="0.45">
      <c r="A341">
        <v>340</v>
      </c>
      <c r="B341">
        <v>2.8</v>
      </c>
      <c r="C341">
        <v>8</v>
      </c>
      <c r="D341">
        <v>0</v>
      </c>
      <c r="E341">
        <v>0</v>
      </c>
      <c r="F341">
        <f t="shared" si="15"/>
        <v>0</v>
      </c>
      <c r="G341">
        <f t="shared" si="16"/>
        <v>0</v>
      </c>
      <c r="H341">
        <f t="shared" si="17"/>
        <v>0</v>
      </c>
    </row>
    <row r="342" spans="1:8" x14ac:dyDescent="0.45">
      <c r="A342">
        <v>341</v>
      </c>
      <c r="B342">
        <v>6</v>
      </c>
      <c r="C342">
        <v>27</v>
      </c>
      <c r="D342">
        <v>0</v>
      </c>
      <c r="E342">
        <v>0</v>
      </c>
      <c r="F342">
        <f t="shared" si="15"/>
        <v>0</v>
      </c>
      <c r="G342">
        <f t="shared" si="16"/>
        <v>0</v>
      </c>
      <c r="H342">
        <f t="shared" si="17"/>
        <v>0</v>
      </c>
    </row>
    <row r="343" spans="1:8" x14ac:dyDescent="0.4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f t="shared" si="15"/>
        <v>0</v>
      </c>
      <c r="G343">
        <f t="shared" si="16"/>
        <v>1</v>
      </c>
      <c r="H343">
        <f t="shared" si="17"/>
        <v>1</v>
      </c>
    </row>
    <row r="344" spans="1:8" x14ac:dyDescent="0.45">
      <c r="A344">
        <v>343</v>
      </c>
      <c r="B344">
        <v>11.8</v>
      </c>
      <c r="C344">
        <v>1</v>
      </c>
      <c r="D344">
        <v>0</v>
      </c>
      <c r="E344">
        <v>0</v>
      </c>
      <c r="F344">
        <f t="shared" si="15"/>
        <v>0</v>
      </c>
      <c r="G344">
        <f t="shared" si="16"/>
        <v>1</v>
      </c>
      <c r="H344">
        <f t="shared" si="17"/>
        <v>1</v>
      </c>
    </row>
    <row r="345" spans="1:8" x14ac:dyDescent="0.45">
      <c r="A345">
        <v>344</v>
      </c>
      <c r="B345">
        <v>13.1</v>
      </c>
      <c r="C345">
        <v>4</v>
      </c>
      <c r="D345">
        <v>0</v>
      </c>
      <c r="E345">
        <v>0</v>
      </c>
      <c r="F345">
        <f t="shared" si="15"/>
        <v>0</v>
      </c>
      <c r="G345">
        <f t="shared" si="16"/>
        <v>1</v>
      </c>
      <c r="H345">
        <f t="shared" si="17"/>
        <v>1</v>
      </c>
    </row>
    <row r="346" spans="1:8" x14ac:dyDescent="0.45">
      <c r="A346">
        <v>345</v>
      </c>
      <c r="B346">
        <v>12.9</v>
      </c>
      <c r="C346">
        <v>1</v>
      </c>
      <c r="D346">
        <v>0</v>
      </c>
      <c r="E346">
        <v>0</v>
      </c>
      <c r="F346">
        <f t="shared" si="15"/>
        <v>0</v>
      </c>
      <c r="G346">
        <f t="shared" si="16"/>
        <v>1</v>
      </c>
      <c r="H346">
        <f t="shared" si="17"/>
        <v>1</v>
      </c>
    </row>
    <row r="347" spans="1:8" x14ac:dyDescent="0.45">
      <c r="A347">
        <v>346</v>
      </c>
      <c r="B347">
        <v>11.6</v>
      </c>
      <c r="C347">
        <v>2</v>
      </c>
      <c r="D347">
        <v>0</v>
      </c>
      <c r="E347">
        <v>0</v>
      </c>
      <c r="F347">
        <f t="shared" si="15"/>
        <v>0</v>
      </c>
      <c r="G347">
        <f t="shared" si="16"/>
        <v>1</v>
      </c>
      <c r="H347">
        <f t="shared" si="17"/>
        <v>1</v>
      </c>
    </row>
    <row r="348" spans="1:8" x14ac:dyDescent="0.45">
      <c r="A348">
        <v>347</v>
      </c>
      <c r="B348">
        <v>9.9</v>
      </c>
      <c r="C348">
        <v>3</v>
      </c>
      <c r="D348">
        <v>0</v>
      </c>
      <c r="E348">
        <v>0</v>
      </c>
      <c r="F348">
        <f t="shared" si="15"/>
        <v>0</v>
      </c>
      <c r="G348">
        <f t="shared" si="16"/>
        <v>1</v>
      </c>
      <c r="H348">
        <f t="shared" si="17"/>
        <v>1</v>
      </c>
    </row>
    <row r="349" spans="1:8" x14ac:dyDescent="0.4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f t="shared" si="15"/>
        <v>0</v>
      </c>
      <c r="G349">
        <f t="shared" si="16"/>
        <v>0</v>
      </c>
      <c r="H349">
        <f t="shared" si="17"/>
        <v>0</v>
      </c>
    </row>
    <row r="350" spans="1:8" x14ac:dyDescent="0.4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f t="shared" si="15"/>
        <v>0</v>
      </c>
      <c r="G350">
        <f t="shared" si="16"/>
        <v>0</v>
      </c>
      <c r="H350">
        <f t="shared" si="17"/>
        <v>0</v>
      </c>
    </row>
    <row r="351" spans="1:8" x14ac:dyDescent="0.45">
      <c r="A351">
        <v>350</v>
      </c>
      <c r="B351">
        <v>10.5</v>
      </c>
      <c r="C351">
        <v>15</v>
      </c>
      <c r="D351">
        <v>0</v>
      </c>
      <c r="E351">
        <v>0</v>
      </c>
      <c r="F351">
        <f t="shared" si="15"/>
        <v>0</v>
      </c>
      <c r="G351">
        <f t="shared" si="16"/>
        <v>0</v>
      </c>
      <c r="H351">
        <f t="shared" si="17"/>
        <v>0</v>
      </c>
    </row>
    <row r="352" spans="1:8" x14ac:dyDescent="0.45">
      <c r="A352">
        <v>351</v>
      </c>
      <c r="B352">
        <v>13.5</v>
      </c>
      <c r="C352">
        <v>1</v>
      </c>
      <c r="D352">
        <v>0</v>
      </c>
      <c r="E352">
        <v>0</v>
      </c>
      <c r="F352">
        <f t="shared" si="15"/>
        <v>0</v>
      </c>
      <c r="G352">
        <f t="shared" si="16"/>
        <v>1</v>
      </c>
      <c r="H352">
        <f t="shared" si="17"/>
        <v>1</v>
      </c>
    </row>
    <row r="353" spans="1:8" x14ac:dyDescent="0.45">
      <c r="A353">
        <v>352</v>
      </c>
      <c r="B353">
        <v>17.5</v>
      </c>
      <c r="C353">
        <v>22</v>
      </c>
      <c r="D353">
        <v>0</v>
      </c>
      <c r="E353">
        <v>0</v>
      </c>
      <c r="F353">
        <f t="shared" si="15"/>
        <v>0</v>
      </c>
      <c r="G353">
        <f t="shared" si="16"/>
        <v>0</v>
      </c>
      <c r="H353">
        <f t="shared" si="17"/>
        <v>0</v>
      </c>
    </row>
    <row r="354" spans="1:8" x14ac:dyDescent="0.45">
      <c r="A354">
        <v>353</v>
      </c>
      <c r="B354">
        <v>21.4</v>
      </c>
      <c r="C354">
        <v>4</v>
      </c>
      <c r="D354">
        <v>0</v>
      </c>
      <c r="E354">
        <v>0</v>
      </c>
      <c r="F354">
        <f t="shared" si="15"/>
        <v>1</v>
      </c>
      <c r="G354">
        <f t="shared" si="16"/>
        <v>1</v>
      </c>
      <c r="H354">
        <f t="shared" si="17"/>
        <v>2</v>
      </c>
    </row>
    <row r="355" spans="1:8" x14ac:dyDescent="0.45">
      <c r="A355">
        <v>354</v>
      </c>
      <c r="B355">
        <v>24.4</v>
      </c>
      <c r="C355">
        <v>4</v>
      </c>
      <c r="D355">
        <v>0</v>
      </c>
      <c r="E355">
        <v>0</v>
      </c>
      <c r="F355">
        <f t="shared" si="15"/>
        <v>1</v>
      </c>
      <c r="G355">
        <f t="shared" si="16"/>
        <v>1</v>
      </c>
      <c r="H355">
        <f t="shared" si="17"/>
        <v>2</v>
      </c>
    </row>
    <row r="356" spans="1:8" x14ac:dyDescent="0.45">
      <c r="A356">
        <v>355</v>
      </c>
      <c r="B356">
        <v>25.8</v>
      </c>
      <c r="C356">
        <v>11</v>
      </c>
      <c r="D356">
        <v>0</v>
      </c>
      <c r="E356">
        <v>0</v>
      </c>
      <c r="F356">
        <f t="shared" si="15"/>
        <v>1</v>
      </c>
      <c r="G356">
        <f t="shared" si="16"/>
        <v>0</v>
      </c>
      <c r="H356">
        <f t="shared" si="17"/>
        <v>1</v>
      </c>
    </row>
    <row r="357" spans="1:8" x14ac:dyDescent="0.45">
      <c r="A357">
        <v>356</v>
      </c>
      <c r="B357">
        <v>25.6</v>
      </c>
      <c r="C357">
        <v>25</v>
      </c>
      <c r="D357">
        <v>0</v>
      </c>
      <c r="E357">
        <v>0</v>
      </c>
      <c r="F357">
        <f t="shared" si="15"/>
        <v>1</v>
      </c>
      <c r="G357">
        <f t="shared" si="16"/>
        <v>0</v>
      </c>
      <c r="H357">
        <f t="shared" si="17"/>
        <v>1</v>
      </c>
    </row>
    <row r="358" spans="1:8" x14ac:dyDescent="0.45">
      <c r="A358">
        <v>357</v>
      </c>
      <c r="B358">
        <v>24.1</v>
      </c>
      <c r="C358">
        <v>0</v>
      </c>
      <c r="D358">
        <v>0</v>
      </c>
      <c r="E358">
        <v>0</v>
      </c>
      <c r="F358">
        <f t="shared" si="15"/>
        <v>1</v>
      </c>
      <c r="G358">
        <f t="shared" si="16"/>
        <v>1</v>
      </c>
      <c r="H358">
        <f t="shared" si="17"/>
        <v>2</v>
      </c>
    </row>
    <row r="359" spans="1:8" x14ac:dyDescent="0.45">
      <c r="A359">
        <v>358</v>
      </c>
      <c r="B359">
        <v>22</v>
      </c>
      <c r="C359">
        <v>4</v>
      </c>
      <c r="D359">
        <v>0</v>
      </c>
      <c r="E359">
        <v>0</v>
      </c>
      <c r="F359">
        <f t="shared" si="15"/>
        <v>1</v>
      </c>
      <c r="G359">
        <f t="shared" si="16"/>
        <v>1</v>
      </c>
      <c r="H359">
        <f t="shared" si="17"/>
        <v>2</v>
      </c>
    </row>
    <row r="360" spans="1:8" x14ac:dyDescent="0.45">
      <c r="A360">
        <v>359</v>
      </c>
      <c r="B360">
        <v>20.3</v>
      </c>
      <c r="C360">
        <v>4</v>
      </c>
      <c r="D360">
        <v>0</v>
      </c>
      <c r="E360">
        <v>0</v>
      </c>
      <c r="F360">
        <f t="shared" si="15"/>
        <v>1</v>
      </c>
      <c r="G360">
        <f t="shared" si="16"/>
        <v>1</v>
      </c>
      <c r="H360">
        <f t="shared" si="17"/>
        <v>2</v>
      </c>
    </row>
    <row r="361" spans="1:8" x14ac:dyDescent="0.4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f t="shared" si="15"/>
        <v>0</v>
      </c>
      <c r="G361">
        <f t="shared" si="16"/>
        <v>1</v>
      </c>
      <c r="H361">
        <f t="shared" si="17"/>
        <v>1</v>
      </c>
    </row>
    <row r="362" spans="1:8" x14ac:dyDescent="0.45">
      <c r="A362">
        <v>361</v>
      </c>
      <c r="B362">
        <v>20.3</v>
      </c>
      <c r="C362">
        <v>11</v>
      </c>
      <c r="D362">
        <v>0</v>
      </c>
      <c r="E362">
        <v>0</v>
      </c>
      <c r="F362">
        <f t="shared" si="15"/>
        <v>1</v>
      </c>
      <c r="G362">
        <f t="shared" si="16"/>
        <v>0</v>
      </c>
      <c r="H362">
        <f t="shared" si="17"/>
        <v>1</v>
      </c>
    </row>
    <row r="363" spans="1:8" x14ac:dyDescent="0.45">
      <c r="A363">
        <v>362</v>
      </c>
      <c r="B363">
        <v>22.3</v>
      </c>
      <c r="C363">
        <v>12</v>
      </c>
      <c r="D363">
        <v>0</v>
      </c>
      <c r="E363">
        <v>0</v>
      </c>
      <c r="F363">
        <f t="shared" si="15"/>
        <v>1</v>
      </c>
      <c r="G363">
        <f t="shared" si="16"/>
        <v>0</v>
      </c>
      <c r="H363">
        <f t="shared" si="17"/>
        <v>1</v>
      </c>
    </row>
    <row r="364" spans="1:8" x14ac:dyDescent="0.45">
      <c r="A364">
        <v>363</v>
      </c>
      <c r="B364">
        <v>25</v>
      </c>
      <c r="C364">
        <v>2</v>
      </c>
      <c r="D364">
        <v>0</v>
      </c>
      <c r="E364">
        <v>0</v>
      </c>
      <c r="F364">
        <f t="shared" si="15"/>
        <v>1</v>
      </c>
      <c r="G364">
        <f t="shared" si="16"/>
        <v>1</v>
      </c>
      <c r="H364">
        <f t="shared" si="17"/>
        <v>2</v>
      </c>
    </row>
    <row r="365" spans="1:8" x14ac:dyDescent="0.45">
      <c r="A365">
        <v>364</v>
      </c>
      <c r="B365">
        <v>27.5</v>
      </c>
      <c r="C365">
        <v>4</v>
      </c>
      <c r="D365">
        <v>0</v>
      </c>
      <c r="E365">
        <v>0</v>
      </c>
      <c r="F365">
        <f t="shared" si="15"/>
        <v>1</v>
      </c>
      <c r="G365">
        <f t="shared" si="16"/>
        <v>1</v>
      </c>
      <c r="H365">
        <f t="shared" si="17"/>
        <v>2</v>
      </c>
    </row>
    <row r="366" spans="1:8" x14ac:dyDescent="0.45">
      <c r="A366">
        <v>365</v>
      </c>
      <c r="B366">
        <v>29.1</v>
      </c>
      <c r="C366">
        <v>18</v>
      </c>
      <c r="D366">
        <v>0</v>
      </c>
      <c r="E366">
        <v>0</v>
      </c>
      <c r="F366">
        <f t="shared" si="15"/>
        <v>1</v>
      </c>
      <c r="G366">
        <f t="shared" si="16"/>
        <v>0</v>
      </c>
      <c r="H366">
        <f t="shared" si="17"/>
        <v>1</v>
      </c>
    </row>
    <row r="367" spans="1:8" x14ac:dyDescent="0.45">
      <c r="A367">
        <v>366</v>
      </c>
      <c r="B367">
        <v>29</v>
      </c>
      <c r="C367">
        <v>2</v>
      </c>
      <c r="D367">
        <v>0</v>
      </c>
      <c r="E367">
        <v>0</v>
      </c>
      <c r="F367">
        <f t="shared" si="15"/>
        <v>1</v>
      </c>
      <c r="G367">
        <f t="shared" si="16"/>
        <v>1</v>
      </c>
      <c r="H367">
        <f t="shared" si="17"/>
        <v>2</v>
      </c>
    </row>
    <row r="368" spans="1:8" x14ac:dyDescent="0.45">
      <c r="A368">
        <v>367</v>
      </c>
      <c r="B368">
        <v>27.2</v>
      </c>
      <c r="C368">
        <v>19</v>
      </c>
      <c r="D368">
        <v>0</v>
      </c>
      <c r="E368">
        <v>0</v>
      </c>
      <c r="F368">
        <f t="shared" si="15"/>
        <v>1</v>
      </c>
      <c r="G368">
        <f t="shared" si="16"/>
        <v>0</v>
      </c>
      <c r="H368">
        <f t="shared" si="17"/>
        <v>1</v>
      </c>
    </row>
    <row r="369" spans="1:8" x14ac:dyDescent="0.45">
      <c r="A369">
        <v>368</v>
      </c>
      <c r="B369">
        <v>24.1</v>
      </c>
      <c r="C369">
        <v>16</v>
      </c>
      <c r="D369">
        <v>0</v>
      </c>
      <c r="E369">
        <v>0</v>
      </c>
      <c r="F369">
        <f t="shared" si="15"/>
        <v>1</v>
      </c>
      <c r="G369">
        <f t="shared" si="16"/>
        <v>0</v>
      </c>
      <c r="H369">
        <f t="shared" si="17"/>
        <v>1</v>
      </c>
    </row>
    <row r="370" spans="1:8" x14ac:dyDescent="0.4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f t="shared" si="15"/>
        <v>1</v>
      </c>
      <c r="G370">
        <f t="shared" si="16"/>
        <v>0</v>
      </c>
      <c r="H370">
        <f t="shared" si="17"/>
        <v>1</v>
      </c>
    </row>
    <row r="371" spans="1:8" x14ac:dyDescent="0.4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f t="shared" si="15"/>
        <v>0</v>
      </c>
      <c r="G371">
        <f t="shared" si="16"/>
        <v>0</v>
      </c>
      <c r="H371">
        <f t="shared" si="17"/>
        <v>0</v>
      </c>
    </row>
    <row r="372" spans="1:8" x14ac:dyDescent="0.45">
      <c r="A372">
        <v>371</v>
      </c>
      <c r="B372">
        <v>14.9</v>
      </c>
      <c r="C372">
        <v>0</v>
      </c>
      <c r="D372">
        <v>0</v>
      </c>
      <c r="E372">
        <v>0</v>
      </c>
      <c r="F372">
        <f t="shared" si="15"/>
        <v>0</v>
      </c>
      <c r="G372">
        <f t="shared" si="16"/>
        <v>1</v>
      </c>
      <c r="H372">
        <f t="shared" si="17"/>
        <v>1</v>
      </c>
    </row>
    <row r="373" spans="1:8" x14ac:dyDescent="0.45">
      <c r="A373">
        <v>372</v>
      </c>
      <c r="B373">
        <v>14.1</v>
      </c>
      <c r="C373">
        <v>3</v>
      </c>
      <c r="D373">
        <v>0</v>
      </c>
      <c r="E373">
        <v>0</v>
      </c>
      <c r="F373">
        <f t="shared" si="15"/>
        <v>0</v>
      </c>
      <c r="G373">
        <f t="shared" si="16"/>
        <v>1</v>
      </c>
      <c r="H373">
        <f t="shared" si="17"/>
        <v>1</v>
      </c>
    </row>
    <row r="374" spans="1:8" x14ac:dyDescent="0.45">
      <c r="A374">
        <v>373</v>
      </c>
      <c r="B374">
        <v>14.8</v>
      </c>
      <c r="C374">
        <v>6</v>
      </c>
      <c r="D374">
        <v>0</v>
      </c>
      <c r="E374">
        <v>0</v>
      </c>
      <c r="F374">
        <f t="shared" si="15"/>
        <v>0</v>
      </c>
      <c r="G374">
        <f t="shared" si="16"/>
        <v>0</v>
      </c>
      <c r="H374">
        <f t="shared" si="17"/>
        <v>0</v>
      </c>
    </row>
    <row r="375" spans="1:8" x14ac:dyDescent="0.45">
      <c r="A375">
        <v>374</v>
      </c>
      <c r="B375">
        <v>16.3</v>
      </c>
      <c r="C375">
        <v>6</v>
      </c>
      <c r="D375">
        <v>0</v>
      </c>
      <c r="E375">
        <v>0</v>
      </c>
      <c r="F375">
        <f t="shared" si="15"/>
        <v>0</v>
      </c>
      <c r="G375">
        <f t="shared" si="16"/>
        <v>0</v>
      </c>
      <c r="H375">
        <f t="shared" si="17"/>
        <v>0</v>
      </c>
    </row>
    <row r="376" spans="1:8" x14ac:dyDescent="0.45">
      <c r="A376">
        <v>375</v>
      </c>
      <c r="B376">
        <v>17.7</v>
      </c>
      <c r="C376">
        <v>8</v>
      </c>
      <c r="D376">
        <v>0</v>
      </c>
      <c r="E376">
        <v>0</v>
      </c>
      <c r="F376">
        <f t="shared" si="15"/>
        <v>0</v>
      </c>
      <c r="G376">
        <f t="shared" si="16"/>
        <v>0</v>
      </c>
      <c r="H376">
        <f t="shared" si="17"/>
        <v>0</v>
      </c>
    </row>
    <row r="377" spans="1:8" x14ac:dyDescent="0.45">
      <c r="A377">
        <v>376</v>
      </c>
      <c r="B377">
        <v>18.3</v>
      </c>
      <c r="C377">
        <v>3</v>
      </c>
      <c r="D377">
        <v>0</v>
      </c>
      <c r="E377">
        <v>0</v>
      </c>
      <c r="F377">
        <f t="shared" si="15"/>
        <v>0</v>
      </c>
      <c r="G377">
        <f t="shared" si="16"/>
        <v>1</v>
      </c>
      <c r="H377">
        <f t="shared" si="17"/>
        <v>1</v>
      </c>
    </row>
    <row r="378" spans="1:8" x14ac:dyDescent="0.45">
      <c r="A378">
        <v>377</v>
      </c>
      <c r="B378">
        <v>17.5</v>
      </c>
      <c r="C378">
        <v>6</v>
      </c>
      <c r="D378">
        <v>0</v>
      </c>
      <c r="E378">
        <v>0</v>
      </c>
      <c r="F378">
        <f t="shared" si="15"/>
        <v>0</v>
      </c>
      <c r="G378">
        <f t="shared" si="16"/>
        <v>0</v>
      </c>
      <c r="H378">
        <f t="shared" si="17"/>
        <v>0</v>
      </c>
    </row>
    <row r="379" spans="1:8" x14ac:dyDescent="0.45">
      <c r="A379">
        <v>378</v>
      </c>
      <c r="B379">
        <v>15.1</v>
      </c>
      <c r="C379">
        <v>7</v>
      </c>
      <c r="D379">
        <v>0</v>
      </c>
      <c r="E379">
        <v>0</v>
      </c>
      <c r="F379">
        <f t="shared" si="15"/>
        <v>0</v>
      </c>
      <c r="G379">
        <f t="shared" si="16"/>
        <v>0</v>
      </c>
      <c r="H379">
        <f t="shared" si="17"/>
        <v>0</v>
      </c>
    </row>
    <row r="380" spans="1:8" x14ac:dyDescent="0.45">
      <c r="A380">
        <v>379</v>
      </c>
      <c r="B380">
        <v>11.6</v>
      </c>
      <c r="C380">
        <v>11</v>
      </c>
      <c r="D380">
        <v>0</v>
      </c>
      <c r="E380">
        <v>0</v>
      </c>
      <c r="F380">
        <f t="shared" si="15"/>
        <v>0</v>
      </c>
      <c r="G380">
        <f t="shared" si="16"/>
        <v>0</v>
      </c>
      <c r="H380">
        <f t="shared" si="17"/>
        <v>0</v>
      </c>
    </row>
    <row r="381" spans="1:8" x14ac:dyDescent="0.45">
      <c r="A381">
        <v>380</v>
      </c>
      <c r="B381">
        <v>7.7</v>
      </c>
      <c r="C381">
        <v>10</v>
      </c>
      <c r="D381">
        <v>0</v>
      </c>
      <c r="E381">
        <v>0</v>
      </c>
      <c r="F381">
        <f t="shared" si="15"/>
        <v>0</v>
      </c>
      <c r="G381">
        <f t="shared" si="16"/>
        <v>0</v>
      </c>
      <c r="H381">
        <f t="shared" si="17"/>
        <v>0</v>
      </c>
    </row>
    <row r="382" spans="1:8" x14ac:dyDescent="0.4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f t="shared" si="15"/>
        <v>0</v>
      </c>
      <c r="G382">
        <f t="shared" si="16"/>
        <v>0</v>
      </c>
      <c r="H382">
        <f t="shared" si="17"/>
        <v>0</v>
      </c>
    </row>
    <row r="383" spans="1:8" x14ac:dyDescent="0.4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f t="shared" si="15"/>
        <v>0</v>
      </c>
      <c r="G383">
        <f t="shared" si="16"/>
        <v>0</v>
      </c>
      <c r="H383">
        <f t="shared" si="17"/>
        <v>0</v>
      </c>
    </row>
    <row r="384" spans="1:8" x14ac:dyDescent="0.45">
      <c r="A384">
        <v>383</v>
      </c>
      <c r="B384">
        <v>2</v>
      </c>
      <c r="C384">
        <v>22</v>
      </c>
      <c r="D384">
        <v>0</v>
      </c>
      <c r="E384">
        <v>0</v>
      </c>
      <c r="F384">
        <f t="shared" si="15"/>
        <v>0</v>
      </c>
      <c r="G384">
        <f t="shared" si="16"/>
        <v>0</v>
      </c>
      <c r="H384">
        <f t="shared" si="17"/>
        <v>0</v>
      </c>
    </row>
    <row r="385" spans="1:8" x14ac:dyDescent="0.45">
      <c r="A385">
        <v>384</v>
      </c>
      <c r="B385">
        <v>3.2</v>
      </c>
      <c r="C385">
        <v>29</v>
      </c>
      <c r="D385">
        <v>0</v>
      </c>
      <c r="E385">
        <v>0</v>
      </c>
      <c r="F385">
        <f t="shared" si="15"/>
        <v>0</v>
      </c>
      <c r="G385">
        <f t="shared" si="16"/>
        <v>0</v>
      </c>
      <c r="H385">
        <f t="shared" si="17"/>
        <v>0</v>
      </c>
    </row>
    <row r="386" spans="1:8" x14ac:dyDescent="0.45">
      <c r="A386">
        <v>385</v>
      </c>
      <c r="B386">
        <v>5.5</v>
      </c>
      <c r="C386">
        <v>0</v>
      </c>
      <c r="D386">
        <v>0</v>
      </c>
      <c r="E386">
        <v>0</v>
      </c>
      <c r="F386">
        <f t="shared" si="15"/>
        <v>0</v>
      </c>
      <c r="G386">
        <f t="shared" si="16"/>
        <v>1</v>
      </c>
      <c r="H386">
        <f t="shared" si="17"/>
        <v>1</v>
      </c>
    </row>
    <row r="387" spans="1:8" x14ac:dyDescent="0.45">
      <c r="A387">
        <v>386</v>
      </c>
      <c r="B387">
        <v>7.9</v>
      </c>
      <c r="C387">
        <v>1</v>
      </c>
      <c r="D387">
        <v>0</v>
      </c>
      <c r="E387">
        <v>0</v>
      </c>
      <c r="F387">
        <f t="shared" ref="F387:F450" si="18">IF(B387&gt;=20,1,0)</f>
        <v>0</v>
      </c>
      <c r="G387">
        <f t="shared" ref="G387:G450" si="19">IF(C387&lt;=5,1,0)</f>
        <v>1</v>
      </c>
      <c r="H387">
        <f t="shared" ref="H387:H450" si="20">SUM(F387:G387)</f>
        <v>1</v>
      </c>
    </row>
    <row r="388" spans="1:8" x14ac:dyDescent="0.45">
      <c r="A388">
        <v>387</v>
      </c>
      <c r="B388">
        <v>9.6</v>
      </c>
      <c r="C388">
        <v>2</v>
      </c>
      <c r="D388">
        <v>0</v>
      </c>
      <c r="E388">
        <v>0</v>
      </c>
      <c r="F388">
        <f t="shared" si="18"/>
        <v>0</v>
      </c>
      <c r="G388">
        <f t="shared" si="19"/>
        <v>1</v>
      </c>
      <c r="H388">
        <f t="shared" si="20"/>
        <v>1</v>
      </c>
    </row>
    <row r="389" spans="1:8" x14ac:dyDescent="0.45">
      <c r="A389">
        <v>388</v>
      </c>
      <c r="B389">
        <v>10</v>
      </c>
      <c r="C389">
        <v>3</v>
      </c>
      <c r="D389">
        <v>0</v>
      </c>
      <c r="E389">
        <v>0</v>
      </c>
      <c r="F389">
        <f t="shared" si="18"/>
        <v>0</v>
      </c>
      <c r="G389">
        <f t="shared" si="19"/>
        <v>1</v>
      </c>
      <c r="H389">
        <f t="shared" si="20"/>
        <v>1</v>
      </c>
    </row>
    <row r="390" spans="1:8" x14ac:dyDescent="0.45">
      <c r="A390">
        <v>389</v>
      </c>
      <c r="B390">
        <v>9</v>
      </c>
      <c r="C390">
        <v>2</v>
      </c>
      <c r="D390">
        <v>0</v>
      </c>
      <c r="E390">
        <v>0</v>
      </c>
      <c r="F390">
        <f t="shared" si="18"/>
        <v>0</v>
      </c>
      <c r="G390">
        <f t="shared" si="19"/>
        <v>1</v>
      </c>
      <c r="H390">
        <f t="shared" si="20"/>
        <v>1</v>
      </c>
    </row>
    <row r="391" spans="1:8" x14ac:dyDescent="0.45">
      <c r="A391">
        <v>390</v>
      </c>
      <c r="B391">
        <v>6.9</v>
      </c>
      <c r="C391">
        <v>10</v>
      </c>
      <c r="D391">
        <v>0</v>
      </c>
      <c r="E391">
        <v>0</v>
      </c>
      <c r="F391">
        <f t="shared" si="18"/>
        <v>0</v>
      </c>
      <c r="G391">
        <f t="shared" si="19"/>
        <v>0</v>
      </c>
      <c r="H391">
        <f t="shared" si="20"/>
        <v>0</v>
      </c>
    </row>
    <row r="392" spans="1:8" x14ac:dyDescent="0.45">
      <c r="A392">
        <v>391</v>
      </c>
      <c r="B392">
        <v>4.5</v>
      </c>
      <c r="C392">
        <v>3</v>
      </c>
      <c r="D392">
        <v>0</v>
      </c>
      <c r="E392">
        <v>0</v>
      </c>
      <c r="F392">
        <f t="shared" si="18"/>
        <v>0</v>
      </c>
      <c r="G392">
        <f t="shared" si="19"/>
        <v>1</v>
      </c>
      <c r="H392">
        <f t="shared" si="20"/>
        <v>1</v>
      </c>
    </row>
    <row r="393" spans="1:8" x14ac:dyDescent="0.45">
      <c r="A393">
        <v>392</v>
      </c>
      <c r="B393">
        <v>2.8</v>
      </c>
      <c r="C393">
        <v>11</v>
      </c>
      <c r="D393">
        <v>0</v>
      </c>
      <c r="E393">
        <v>0</v>
      </c>
      <c r="F393">
        <f t="shared" si="18"/>
        <v>0</v>
      </c>
      <c r="G393">
        <f t="shared" si="19"/>
        <v>0</v>
      </c>
      <c r="H393">
        <f t="shared" si="20"/>
        <v>0</v>
      </c>
    </row>
    <row r="394" spans="1:8" x14ac:dyDescent="0.4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f t="shared" si="18"/>
        <v>0</v>
      </c>
      <c r="G394">
        <f t="shared" si="19"/>
        <v>0</v>
      </c>
      <c r="H394">
        <f t="shared" si="20"/>
        <v>0</v>
      </c>
    </row>
    <row r="395" spans="1:8" x14ac:dyDescent="0.45">
      <c r="A395">
        <v>394</v>
      </c>
      <c r="B395">
        <v>3.6</v>
      </c>
      <c r="C395">
        <v>1</v>
      </c>
      <c r="D395">
        <v>0</v>
      </c>
      <c r="E395">
        <v>0</v>
      </c>
      <c r="F395">
        <f t="shared" si="18"/>
        <v>0</v>
      </c>
      <c r="G395">
        <f t="shared" si="19"/>
        <v>1</v>
      </c>
      <c r="H395">
        <f t="shared" si="20"/>
        <v>1</v>
      </c>
    </row>
    <row r="396" spans="1:8" x14ac:dyDescent="0.45">
      <c r="A396">
        <v>395</v>
      </c>
      <c r="B396">
        <v>6.4</v>
      </c>
      <c r="C396">
        <v>8</v>
      </c>
      <c r="D396">
        <v>0</v>
      </c>
      <c r="E396">
        <v>0</v>
      </c>
      <c r="F396">
        <f t="shared" si="18"/>
        <v>0</v>
      </c>
      <c r="G396">
        <f t="shared" si="19"/>
        <v>0</v>
      </c>
      <c r="H396">
        <f t="shared" si="20"/>
        <v>0</v>
      </c>
    </row>
    <row r="397" spans="1:8" x14ac:dyDescent="0.4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f t="shared" si="18"/>
        <v>0</v>
      </c>
      <c r="G397">
        <f t="shared" si="19"/>
        <v>0</v>
      </c>
      <c r="H397">
        <f t="shared" si="20"/>
        <v>0</v>
      </c>
    </row>
    <row r="398" spans="1:8" x14ac:dyDescent="0.45">
      <c r="A398">
        <v>397</v>
      </c>
      <c r="B398">
        <v>14</v>
      </c>
      <c r="C398">
        <v>23</v>
      </c>
      <c r="D398">
        <v>0</v>
      </c>
      <c r="E398">
        <v>0</v>
      </c>
      <c r="F398">
        <f t="shared" si="18"/>
        <v>0</v>
      </c>
      <c r="G398">
        <f t="shared" si="19"/>
        <v>0</v>
      </c>
      <c r="H398">
        <f t="shared" si="20"/>
        <v>0</v>
      </c>
    </row>
    <row r="399" spans="1:8" x14ac:dyDescent="0.4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f t="shared" si="18"/>
        <v>0</v>
      </c>
      <c r="G399">
        <f t="shared" si="19"/>
        <v>0</v>
      </c>
      <c r="H399">
        <f t="shared" si="20"/>
        <v>0</v>
      </c>
    </row>
    <row r="400" spans="1:8" x14ac:dyDescent="0.45">
      <c r="A400">
        <v>399</v>
      </c>
      <c r="B400">
        <v>18.7</v>
      </c>
      <c r="C400">
        <v>0</v>
      </c>
      <c r="D400">
        <v>0</v>
      </c>
      <c r="E400">
        <v>0</v>
      </c>
      <c r="F400">
        <f t="shared" si="18"/>
        <v>0</v>
      </c>
      <c r="G400">
        <f t="shared" si="19"/>
        <v>1</v>
      </c>
      <c r="H400">
        <f t="shared" si="20"/>
        <v>1</v>
      </c>
    </row>
    <row r="401" spans="1:8" x14ac:dyDescent="0.45">
      <c r="A401">
        <v>400</v>
      </c>
      <c r="B401">
        <v>18.8</v>
      </c>
      <c r="C401">
        <v>5</v>
      </c>
      <c r="D401">
        <v>0</v>
      </c>
      <c r="E401">
        <v>0</v>
      </c>
      <c r="F401">
        <f t="shared" si="18"/>
        <v>0</v>
      </c>
      <c r="G401">
        <f t="shared" si="19"/>
        <v>1</v>
      </c>
      <c r="H401">
        <f t="shared" si="20"/>
        <v>1</v>
      </c>
    </row>
    <row r="402" spans="1:8" x14ac:dyDescent="0.45">
      <c r="A402">
        <v>401</v>
      </c>
      <c r="B402">
        <v>17.7</v>
      </c>
      <c r="C402">
        <v>2</v>
      </c>
      <c r="D402">
        <v>0</v>
      </c>
      <c r="E402">
        <v>0</v>
      </c>
      <c r="F402">
        <f t="shared" si="18"/>
        <v>0</v>
      </c>
      <c r="G402">
        <f t="shared" si="19"/>
        <v>1</v>
      </c>
      <c r="H402">
        <f t="shared" si="20"/>
        <v>1</v>
      </c>
    </row>
    <row r="403" spans="1:8" x14ac:dyDescent="0.4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f t="shared" si="18"/>
        <v>0</v>
      </c>
      <c r="G403">
        <f t="shared" si="19"/>
        <v>1</v>
      </c>
      <c r="H403">
        <f t="shared" si="20"/>
        <v>1</v>
      </c>
    </row>
    <row r="404" spans="1:8" x14ac:dyDescent="0.45">
      <c r="A404">
        <v>403</v>
      </c>
      <c r="B404">
        <v>14.9</v>
      </c>
      <c r="C404">
        <v>7</v>
      </c>
      <c r="D404">
        <v>0</v>
      </c>
      <c r="E404">
        <v>0</v>
      </c>
      <c r="F404">
        <f t="shared" si="18"/>
        <v>0</v>
      </c>
      <c r="G404">
        <f t="shared" si="19"/>
        <v>0</v>
      </c>
      <c r="H404">
        <f t="shared" si="20"/>
        <v>0</v>
      </c>
    </row>
    <row r="405" spans="1:8" x14ac:dyDescent="0.45">
      <c r="A405">
        <v>404</v>
      </c>
      <c r="B405">
        <v>14.9</v>
      </c>
      <c r="C405">
        <v>2</v>
      </c>
      <c r="D405">
        <v>0</v>
      </c>
      <c r="E405">
        <v>0</v>
      </c>
      <c r="F405">
        <f t="shared" si="18"/>
        <v>0</v>
      </c>
      <c r="G405">
        <f t="shared" si="19"/>
        <v>1</v>
      </c>
      <c r="H405">
        <f t="shared" si="20"/>
        <v>1</v>
      </c>
    </row>
    <row r="406" spans="1:8" x14ac:dyDescent="0.45">
      <c r="A406">
        <v>405</v>
      </c>
      <c r="B406">
        <v>16.3</v>
      </c>
      <c r="C406">
        <v>3</v>
      </c>
      <c r="D406">
        <v>0</v>
      </c>
      <c r="E406">
        <v>0</v>
      </c>
      <c r="F406">
        <f t="shared" si="18"/>
        <v>0</v>
      </c>
      <c r="G406">
        <f t="shared" si="19"/>
        <v>1</v>
      </c>
      <c r="H406">
        <f t="shared" si="20"/>
        <v>1</v>
      </c>
    </row>
    <row r="407" spans="1:8" x14ac:dyDescent="0.4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f t="shared" si="18"/>
        <v>0</v>
      </c>
      <c r="G407">
        <f t="shared" si="19"/>
        <v>0</v>
      </c>
      <c r="H407">
        <f t="shared" si="20"/>
        <v>0</v>
      </c>
    </row>
    <row r="408" spans="1:8" x14ac:dyDescent="0.45">
      <c r="A408">
        <v>407</v>
      </c>
      <c r="B408">
        <v>22.7</v>
      </c>
      <c r="C408">
        <v>12</v>
      </c>
      <c r="D408">
        <v>0</v>
      </c>
      <c r="E408">
        <v>0</v>
      </c>
      <c r="F408">
        <f t="shared" si="18"/>
        <v>1</v>
      </c>
      <c r="G408">
        <f t="shared" si="19"/>
        <v>0</v>
      </c>
      <c r="H408">
        <f t="shared" si="20"/>
        <v>1</v>
      </c>
    </row>
    <row r="409" spans="1:8" x14ac:dyDescent="0.45">
      <c r="A409">
        <v>408</v>
      </c>
      <c r="B409">
        <v>26.1</v>
      </c>
      <c r="C409">
        <v>9</v>
      </c>
      <c r="D409">
        <v>0</v>
      </c>
      <c r="E409">
        <v>0</v>
      </c>
      <c r="F409">
        <f t="shared" si="18"/>
        <v>1</v>
      </c>
      <c r="G409">
        <f t="shared" si="19"/>
        <v>0</v>
      </c>
      <c r="H409">
        <f t="shared" si="20"/>
        <v>1</v>
      </c>
    </row>
    <row r="410" spans="1:8" x14ac:dyDescent="0.45">
      <c r="A410">
        <v>409</v>
      </c>
      <c r="B410">
        <v>28.6</v>
      </c>
      <c r="C410">
        <v>14</v>
      </c>
      <c r="D410">
        <v>0</v>
      </c>
      <c r="E410">
        <v>0</v>
      </c>
      <c r="F410">
        <f t="shared" si="18"/>
        <v>1</v>
      </c>
      <c r="G410">
        <f t="shared" si="19"/>
        <v>0</v>
      </c>
      <c r="H410">
        <f t="shared" si="20"/>
        <v>1</v>
      </c>
    </row>
    <row r="411" spans="1:8" x14ac:dyDescent="0.45">
      <c r="A411">
        <v>410</v>
      </c>
      <c r="B411">
        <v>29.5</v>
      </c>
      <c r="C411">
        <v>17</v>
      </c>
      <c r="D411">
        <v>0</v>
      </c>
      <c r="E411">
        <v>0</v>
      </c>
      <c r="F411">
        <f t="shared" si="18"/>
        <v>1</v>
      </c>
      <c r="G411">
        <f t="shared" si="19"/>
        <v>0</v>
      </c>
      <c r="H411">
        <f t="shared" si="20"/>
        <v>1</v>
      </c>
    </row>
    <row r="412" spans="1:8" x14ac:dyDescent="0.45">
      <c r="A412">
        <v>411</v>
      </c>
      <c r="B412">
        <v>28.6</v>
      </c>
      <c r="C412">
        <v>9</v>
      </c>
      <c r="D412">
        <v>0</v>
      </c>
      <c r="E412">
        <v>0</v>
      </c>
      <c r="F412">
        <f t="shared" si="18"/>
        <v>1</v>
      </c>
      <c r="G412">
        <f t="shared" si="19"/>
        <v>0</v>
      </c>
      <c r="H412">
        <f t="shared" si="20"/>
        <v>1</v>
      </c>
    </row>
    <row r="413" spans="1:8" x14ac:dyDescent="0.45">
      <c r="A413">
        <v>412</v>
      </c>
      <c r="B413">
        <v>26.4</v>
      </c>
      <c r="C413">
        <v>28</v>
      </c>
      <c r="D413">
        <v>0</v>
      </c>
      <c r="E413">
        <v>0</v>
      </c>
      <c r="F413">
        <f t="shared" si="18"/>
        <v>1</v>
      </c>
      <c r="G413">
        <f t="shared" si="19"/>
        <v>0</v>
      </c>
      <c r="H413">
        <f t="shared" si="20"/>
        <v>1</v>
      </c>
    </row>
    <row r="414" spans="1:8" x14ac:dyDescent="0.45">
      <c r="A414">
        <v>413</v>
      </c>
      <c r="B414">
        <v>23.6</v>
      </c>
      <c r="C414">
        <v>0</v>
      </c>
      <c r="D414">
        <v>0</v>
      </c>
      <c r="E414">
        <v>0</v>
      </c>
      <c r="F414">
        <f t="shared" si="18"/>
        <v>1</v>
      </c>
      <c r="G414">
        <f t="shared" si="19"/>
        <v>1</v>
      </c>
      <c r="H414">
        <f t="shared" si="20"/>
        <v>2</v>
      </c>
    </row>
    <row r="415" spans="1:8" x14ac:dyDescent="0.45">
      <c r="A415">
        <v>414</v>
      </c>
      <c r="B415">
        <v>21</v>
      </c>
      <c r="C415">
        <v>1</v>
      </c>
      <c r="D415">
        <v>0</v>
      </c>
      <c r="E415">
        <v>0</v>
      </c>
      <c r="F415">
        <f t="shared" si="18"/>
        <v>1</v>
      </c>
      <c r="G415">
        <f t="shared" si="19"/>
        <v>1</v>
      </c>
      <c r="H415">
        <f t="shared" si="20"/>
        <v>2</v>
      </c>
    </row>
    <row r="416" spans="1:8" x14ac:dyDescent="0.4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f t="shared" si="18"/>
        <v>0</v>
      </c>
      <c r="G416">
        <f t="shared" si="19"/>
        <v>0</v>
      </c>
      <c r="H416">
        <f t="shared" si="20"/>
        <v>0</v>
      </c>
    </row>
    <row r="417" spans="1:8" x14ac:dyDescent="0.45">
      <c r="A417">
        <v>416</v>
      </c>
      <c r="B417">
        <v>19.5</v>
      </c>
      <c r="C417">
        <v>4</v>
      </c>
      <c r="D417">
        <v>0</v>
      </c>
      <c r="E417">
        <v>0</v>
      </c>
      <c r="F417">
        <f t="shared" si="18"/>
        <v>0</v>
      </c>
      <c r="G417">
        <f t="shared" si="19"/>
        <v>1</v>
      </c>
      <c r="H417">
        <f t="shared" si="20"/>
        <v>1</v>
      </c>
    </row>
    <row r="418" spans="1:8" x14ac:dyDescent="0.45">
      <c r="A418">
        <v>417</v>
      </c>
      <c r="B418">
        <v>20.7</v>
      </c>
      <c r="C418">
        <v>10</v>
      </c>
      <c r="D418">
        <v>0</v>
      </c>
      <c r="E418">
        <v>0</v>
      </c>
      <c r="F418">
        <f t="shared" si="18"/>
        <v>1</v>
      </c>
      <c r="G418">
        <f t="shared" si="19"/>
        <v>0</v>
      </c>
      <c r="H418">
        <f t="shared" si="20"/>
        <v>1</v>
      </c>
    </row>
    <row r="419" spans="1:8" x14ac:dyDescent="0.45">
      <c r="A419">
        <v>418</v>
      </c>
      <c r="B419">
        <v>22.7</v>
      </c>
      <c r="C419">
        <v>4</v>
      </c>
      <c r="D419">
        <v>0</v>
      </c>
      <c r="E419">
        <v>0</v>
      </c>
      <c r="F419">
        <f t="shared" si="18"/>
        <v>1</v>
      </c>
      <c r="G419">
        <f t="shared" si="19"/>
        <v>1</v>
      </c>
      <c r="H419">
        <f t="shared" si="20"/>
        <v>2</v>
      </c>
    </row>
    <row r="420" spans="1:8" x14ac:dyDescent="0.45">
      <c r="A420">
        <v>419</v>
      </c>
      <c r="B420">
        <v>24.5</v>
      </c>
      <c r="C420">
        <v>5</v>
      </c>
      <c r="D420">
        <v>0</v>
      </c>
      <c r="E420">
        <v>0</v>
      </c>
      <c r="F420">
        <f t="shared" si="18"/>
        <v>1</v>
      </c>
      <c r="G420">
        <f t="shared" si="19"/>
        <v>1</v>
      </c>
      <c r="H420">
        <f t="shared" si="20"/>
        <v>2</v>
      </c>
    </row>
    <row r="421" spans="1:8" x14ac:dyDescent="0.45">
      <c r="A421">
        <v>420</v>
      </c>
      <c r="B421">
        <v>25.4</v>
      </c>
      <c r="C421">
        <v>8</v>
      </c>
      <c r="D421">
        <v>0</v>
      </c>
      <c r="E421">
        <v>0</v>
      </c>
      <c r="F421">
        <f t="shared" si="18"/>
        <v>1</v>
      </c>
      <c r="G421">
        <f t="shared" si="19"/>
        <v>0</v>
      </c>
      <c r="H421">
        <f t="shared" si="20"/>
        <v>1</v>
      </c>
    </row>
    <row r="422" spans="1:8" x14ac:dyDescent="0.45">
      <c r="A422">
        <v>421</v>
      </c>
      <c r="B422">
        <v>24.8</v>
      </c>
      <c r="C422">
        <v>12</v>
      </c>
      <c r="D422">
        <v>0</v>
      </c>
      <c r="E422">
        <v>0</v>
      </c>
      <c r="F422">
        <f t="shared" si="18"/>
        <v>1</v>
      </c>
      <c r="G422">
        <f t="shared" si="19"/>
        <v>0</v>
      </c>
      <c r="H422">
        <f t="shared" si="20"/>
        <v>1</v>
      </c>
    </row>
    <row r="423" spans="1:8" x14ac:dyDescent="0.45">
      <c r="A423">
        <v>422</v>
      </c>
      <c r="B423">
        <v>22.5</v>
      </c>
      <c r="C423">
        <v>8</v>
      </c>
      <c r="D423">
        <v>0</v>
      </c>
      <c r="E423">
        <v>0</v>
      </c>
      <c r="F423">
        <f t="shared" si="18"/>
        <v>1</v>
      </c>
      <c r="G423">
        <f t="shared" si="19"/>
        <v>0</v>
      </c>
      <c r="H423">
        <f t="shared" si="20"/>
        <v>1</v>
      </c>
    </row>
    <row r="424" spans="1:8" x14ac:dyDescent="0.4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f t="shared" si="18"/>
        <v>0</v>
      </c>
      <c r="G424">
        <f t="shared" si="19"/>
        <v>0</v>
      </c>
      <c r="H424">
        <f t="shared" si="20"/>
        <v>0</v>
      </c>
    </row>
    <row r="425" spans="1:8" x14ac:dyDescent="0.45">
      <c r="A425">
        <v>424</v>
      </c>
      <c r="B425">
        <v>14.8</v>
      </c>
      <c r="C425">
        <v>8</v>
      </c>
      <c r="D425">
        <v>0</v>
      </c>
      <c r="E425">
        <v>0</v>
      </c>
      <c r="F425">
        <f t="shared" si="18"/>
        <v>0</v>
      </c>
      <c r="G425">
        <f t="shared" si="19"/>
        <v>0</v>
      </c>
      <c r="H425">
        <f t="shared" si="20"/>
        <v>0</v>
      </c>
    </row>
    <row r="426" spans="1:8" x14ac:dyDescent="0.45">
      <c r="A426">
        <v>425</v>
      </c>
      <c r="B426">
        <v>11.2</v>
      </c>
      <c r="C426">
        <v>7</v>
      </c>
      <c r="D426">
        <v>0</v>
      </c>
      <c r="E426">
        <v>0</v>
      </c>
      <c r="F426">
        <f t="shared" si="18"/>
        <v>0</v>
      </c>
      <c r="G426">
        <f t="shared" si="19"/>
        <v>0</v>
      </c>
      <c r="H426">
        <f t="shared" si="20"/>
        <v>0</v>
      </c>
    </row>
    <row r="427" spans="1:8" x14ac:dyDescent="0.4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f t="shared" si="18"/>
        <v>0</v>
      </c>
      <c r="G427">
        <f t="shared" si="19"/>
        <v>0</v>
      </c>
      <c r="H427">
        <f t="shared" si="20"/>
        <v>0</v>
      </c>
    </row>
    <row r="428" spans="1:8" x14ac:dyDescent="0.45">
      <c r="A428">
        <v>427</v>
      </c>
      <c r="B428">
        <v>8</v>
      </c>
      <c r="C428">
        <v>0</v>
      </c>
      <c r="D428">
        <v>0</v>
      </c>
      <c r="E428">
        <v>0</v>
      </c>
      <c r="F428">
        <f t="shared" si="18"/>
        <v>0</v>
      </c>
      <c r="G428">
        <f t="shared" si="19"/>
        <v>1</v>
      </c>
      <c r="H428">
        <f t="shared" si="20"/>
        <v>1</v>
      </c>
    </row>
    <row r="429" spans="1:8" x14ac:dyDescent="0.45">
      <c r="A429">
        <v>428</v>
      </c>
      <c r="B429">
        <v>8.6</v>
      </c>
      <c r="C429">
        <v>2</v>
      </c>
      <c r="D429">
        <v>0</v>
      </c>
      <c r="E429">
        <v>0</v>
      </c>
      <c r="F429">
        <f t="shared" si="18"/>
        <v>0</v>
      </c>
      <c r="G429">
        <f t="shared" si="19"/>
        <v>1</v>
      </c>
      <c r="H429">
        <f t="shared" si="20"/>
        <v>1</v>
      </c>
    </row>
    <row r="430" spans="1:8" x14ac:dyDescent="0.4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f t="shared" si="18"/>
        <v>0</v>
      </c>
      <c r="G430">
        <f t="shared" si="19"/>
        <v>1</v>
      </c>
      <c r="H430">
        <f t="shared" si="20"/>
        <v>1</v>
      </c>
    </row>
    <row r="431" spans="1:8" x14ac:dyDescent="0.45">
      <c r="A431">
        <v>430</v>
      </c>
      <c r="B431">
        <v>11.8</v>
      </c>
      <c r="C431">
        <v>5</v>
      </c>
      <c r="D431">
        <v>0</v>
      </c>
      <c r="E431">
        <v>0</v>
      </c>
      <c r="F431">
        <f t="shared" si="18"/>
        <v>0</v>
      </c>
      <c r="G431">
        <f t="shared" si="19"/>
        <v>1</v>
      </c>
      <c r="H431">
        <f t="shared" si="20"/>
        <v>1</v>
      </c>
    </row>
    <row r="432" spans="1:8" x14ac:dyDescent="0.45">
      <c r="A432">
        <v>431</v>
      </c>
      <c r="B432">
        <v>12.7</v>
      </c>
      <c r="C432">
        <v>8</v>
      </c>
      <c r="D432">
        <v>0</v>
      </c>
      <c r="E432">
        <v>0</v>
      </c>
      <c r="F432">
        <f t="shared" si="18"/>
        <v>0</v>
      </c>
      <c r="G432">
        <f t="shared" si="19"/>
        <v>0</v>
      </c>
      <c r="H432">
        <f t="shared" si="20"/>
        <v>0</v>
      </c>
    </row>
    <row r="433" spans="1:8" x14ac:dyDescent="0.45">
      <c r="A433">
        <v>432</v>
      </c>
      <c r="B433">
        <v>12.2</v>
      </c>
      <c r="C433">
        <v>6</v>
      </c>
      <c r="D433">
        <v>0</v>
      </c>
      <c r="E433">
        <v>0</v>
      </c>
      <c r="F433">
        <f t="shared" si="18"/>
        <v>0</v>
      </c>
      <c r="G433">
        <f t="shared" si="19"/>
        <v>0</v>
      </c>
      <c r="H433">
        <f t="shared" si="20"/>
        <v>0</v>
      </c>
    </row>
    <row r="434" spans="1:8" x14ac:dyDescent="0.45">
      <c r="A434">
        <v>433</v>
      </c>
      <c r="B434">
        <v>10.3</v>
      </c>
      <c r="C434">
        <v>9</v>
      </c>
      <c r="D434">
        <v>0</v>
      </c>
      <c r="E434">
        <v>0</v>
      </c>
      <c r="F434">
        <f t="shared" si="18"/>
        <v>0</v>
      </c>
      <c r="G434">
        <f t="shared" si="19"/>
        <v>0</v>
      </c>
      <c r="H434">
        <f t="shared" si="20"/>
        <v>0</v>
      </c>
    </row>
    <row r="435" spans="1:8" x14ac:dyDescent="0.45">
      <c r="A435">
        <v>434</v>
      </c>
      <c r="B435">
        <v>7.4</v>
      </c>
      <c r="C435">
        <v>17</v>
      </c>
      <c r="D435">
        <v>0</v>
      </c>
      <c r="E435">
        <v>0</v>
      </c>
      <c r="F435">
        <f t="shared" si="18"/>
        <v>0</v>
      </c>
      <c r="G435">
        <f t="shared" si="19"/>
        <v>0</v>
      </c>
      <c r="H435">
        <f t="shared" si="20"/>
        <v>0</v>
      </c>
    </row>
    <row r="436" spans="1:8" x14ac:dyDescent="0.4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f t="shared" si="18"/>
        <v>0</v>
      </c>
      <c r="G436">
        <f t="shared" si="19"/>
        <v>0</v>
      </c>
      <c r="H436">
        <f t="shared" si="20"/>
        <v>0</v>
      </c>
    </row>
    <row r="437" spans="1:8" x14ac:dyDescent="0.45">
      <c r="A437">
        <v>436</v>
      </c>
      <c r="B437">
        <v>1.4</v>
      </c>
      <c r="C437">
        <v>7</v>
      </c>
      <c r="D437">
        <v>0</v>
      </c>
      <c r="E437">
        <v>0</v>
      </c>
      <c r="F437">
        <f t="shared" si="18"/>
        <v>0</v>
      </c>
      <c r="G437">
        <f t="shared" si="19"/>
        <v>0</v>
      </c>
      <c r="H437">
        <f t="shared" si="20"/>
        <v>0</v>
      </c>
    </row>
    <row r="438" spans="1:8" x14ac:dyDescent="0.45">
      <c r="A438">
        <v>437</v>
      </c>
      <c r="B438">
        <v>0.1</v>
      </c>
      <c r="C438">
        <v>24</v>
      </c>
      <c r="D438">
        <v>0</v>
      </c>
      <c r="E438">
        <v>0</v>
      </c>
      <c r="F438">
        <f t="shared" si="18"/>
        <v>0</v>
      </c>
      <c r="G438">
        <f t="shared" si="19"/>
        <v>0</v>
      </c>
      <c r="H438">
        <f t="shared" si="20"/>
        <v>0</v>
      </c>
    </row>
    <row r="439" spans="1:8" x14ac:dyDescent="0.45">
      <c r="A439">
        <v>438</v>
      </c>
      <c r="B439">
        <v>0.5</v>
      </c>
      <c r="C439">
        <v>16</v>
      </c>
      <c r="D439">
        <v>0</v>
      </c>
      <c r="E439">
        <v>0</v>
      </c>
      <c r="F439">
        <f t="shared" si="18"/>
        <v>0</v>
      </c>
      <c r="G439">
        <f t="shared" si="19"/>
        <v>0</v>
      </c>
      <c r="H439">
        <f t="shared" si="20"/>
        <v>0</v>
      </c>
    </row>
    <row r="440" spans="1:8" x14ac:dyDescent="0.45">
      <c r="A440">
        <v>439</v>
      </c>
      <c r="B440">
        <v>2.5</v>
      </c>
      <c r="C440">
        <v>2</v>
      </c>
      <c r="D440">
        <v>0</v>
      </c>
      <c r="E440">
        <v>0</v>
      </c>
      <c r="F440">
        <f t="shared" si="18"/>
        <v>0</v>
      </c>
      <c r="G440">
        <f t="shared" si="19"/>
        <v>1</v>
      </c>
      <c r="H440">
        <f t="shared" si="20"/>
        <v>1</v>
      </c>
    </row>
    <row r="441" spans="1:8" x14ac:dyDescent="0.45">
      <c r="A441">
        <v>440</v>
      </c>
      <c r="B441">
        <v>5.5</v>
      </c>
      <c r="C441">
        <v>17</v>
      </c>
      <c r="D441">
        <v>0</v>
      </c>
      <c r="E441">
        <v>0</v>
      </c>
      <c r="F441">
        <f t="shared" si="18"/>
        <v>0</v>
      </c>
      <c r="G441">
        <f t="shared" si="19"/>
        <v>0</v>
      </c>
      <c r="H441">
        <f t="shared" si="20"/>
        <v>0</v>
      </c>
    </row>
    <row r="442" spans="1:8" x14ac:dyDescent="0.4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f t="shared" si="18"/>
        <v>0</v>
      </c>
      <c r="G442">
        <f t="shared" si="19"/>
        <v>0</v>
      </c>
      <c r="H442">
        <f t="shared" si="20"/>
        <v>0</v>
      </c>
    </row>
    <row r="443" spans="1:8" x14ac:dyDescent="0.45">
      <c r="A443">
        <v>442</v>
      </c>
      <c r="B443">
        <v>11.1</v>
      </c>
      <c r="C443">
        <v>0</v>
      </c>
      <c r="D443">
        <v>0</v>
      </c>
      <c r="E443">
        <v>0</v>
      </c>
      <c r="F443">
        <f t="shared" si="18"/>
        <v>0</v>
      </c>
      <c r="G443">
        <f t="shared" si="19"/>
        <v>1</v>
      </c>
      <c r="H443">
        <f t="shared" si="20"/>
        <v>1</v>
      </c>
    </row>
    <row r="444" spans="1:8" x14ac:dyDescent="0.45">
      <c r="A444">
        <v>443</v>
      </c>
      <c r="B444">
        <v>12.2</v>
      </c>
      <c r="C444">
        <v>4</v>
      </c>
      <c r="D444">
        <v>0</v>
      </c>
      <c r="E444">
        <v>0</v>
      </c>
      <c r="F444">
        <f t="shared" si="18"/>
        <v>0</v>
      </c>
      <c r="G444">
        <f t="shared" si="19"/>
        <v>1</v>
      </c>
      <c r="H444">
        <f t="shared" si="20"/>
        <v>1</v>
      </c>
    </row>
    <row r="445" spans="1:8" x14ac:dyDescent="0.45">
      <c r="A445">
        <v>444</v>
      </c>
      <c r="B445">
        <v>11.9</v>
      </c>
      <c r="C445">
        <v>1</v>
      </c>
      <c r="D445">
        <v>0</v>
      </c>
      <c r="E445">
        <v>0</v>
      </c>
      <c r="F445">
        <f t="shared" si="18"/>
        <v>0</v>
      </c>
      <c r="G445">
        <f t="shared" si="19"/>
        <v>1</v>
      </c>
      <c r="H445">
        <f t="shared" si="20"/>
        <v>1</v>
      </c>
    </row>
    <row r="446" spans="1:8" x14ac:dyDescent="0.45">
      <c r="A446">
        <v>445</v>
      </c>
      <c r="B446">
        <v>10.5</v>
      </c>
      <c r="C446">
        <v>1</v>
      </c>
      <c r="D446">
        <v>0</v>
      </c>
      <c r="E446">
        <v>0</v>
      </c>
      <c r="F446">
        <f t="shared" si="18"/>
        <v>0</v>
      </c>
      <c r="G446">
        <f t="shared" si="19"/>
        <v>1</v>
      </c>
      <c r="H446">
        <f t="shared" si="20"/>
        <v>1</v>
      </c>
    </row>
    <row r="447" spans="1:8" x14ac:dyDescent="0.4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f t="shared" si="18"/>
        <v>0</v>
      </c>
      <c r="G447">
        <f t="shared" si="19"/>
        <v>0</v>
      </c>
      <c r="H447">
        <f t="shared" si="20"/>
        <v>0</v>
      </c>
    </row>
    <row r="448" spans="1:8" x14ac:dyDescent="0.45">
      <c r="A448">
        <v>447</v>
      </c>
      <c r="B448">
        <v>7.5</v>
      </c>
      <c r="C448">
        <v>10</v>
      </c>
      <c r="D448">
        <v>0</v>
      </c>
      <c r="E448">
        <v>0</v>
      </c>
      <c r="F448">
        <f t="shared" si="18"/>
        <v>0</v>
      </c>
      <c r="G448">
        <f t="shared" si="19"/>
        <v>0</v>
      </c>
      <c r="H448">
        <f t="shared" si="20"/>
        <v>0</v>
      </c>
    </row>
    <row r="449" spans="1:8" x14ac:dyDescent="0.45">
      <c r="A449">
        <v>448</v>
      </c>
      <c r="B449">
        <v>7.6</v>
      </c>
      <c r="C449">
        <v>10</v>
      </c>
      <c r="D449">
        <v>0</v>
      </c>
      <c r="E449">
        <v>0</v>
      </c>
      <c r="F449">
        <f t="shared" si="18"/>
        <v>0</v>
      </c>
      <c r="G449">
        <f t="shared" si="19"/>
        <v>0</v>
      </c>
      <c r="H449">
        <f t="shared" si="20"/>
        <v>0</v>
      </c>
    </row>
    <row r="450" spans="1:8" x14ac:dyDescent="0.4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f t="shared" si="18"/>
        <v>0</v>
      </c>
      <c r="G450">
        <f t="shared" si="19"/>
        <v>1</v>
      </c>
      <c r="H450">
        <f t="shared" si="20"/>
        <v>1</v>
      </c>
    </row>
    <row r="451" spans="1:8" x14ac:dyDescent="0.45">
      <c r="A451">
        <v>450</v>
      </c>
      <c r="B451">
        <v>12.3</v>
      </c>
      <c r="C451">
        <v>7</v>
      </c>
      <c r="D451">
        <v>0</v>
      </c>
      <c r="E451">
        <v>0</v>
      </c>
      <c r="F451">
        <f t="shared" ref="F451:F501" si="21">IF(B451&gt;=20,1,0)</f>
        <v>0</v>
      </c>
      <c r="G451">
        <f t="shared" ref="G451:G501" si="22">IF(C451&lt;=5,1,0)</f>
        <v>0</v>
      </c>
      <c r="H451">
        <f t="shared" ref="H451:H501" si="23">SUM(F451:G451)</f>
        <v>0</v>
      </c>
    </row>
    <row r="452" spans="1:8" x14ac:dyDescent="0.45">
      <c r="A452">
        <v>451</v>
      </c>
      <c r="B452">
        <v>16.3</v>
      </c>
      <c r="C452">
        <v>18</v>
      </c>
      <c r="D452">
        <v>0</v>
      </c>
      <c r="E452">
        <v>0</v>
      </c>
      <c r="F452">
        <f t="shared" si="21"/>
        <v>0</v>
      </c>
      <c r="G452">
        <f t="shared" si="22"/>
        <v>0</v>
      </c>
      <c r="H452">
        <f t="shared" si="23"/>
        <v>0</v>
      </c>
    </row>
    <row r="453" spans="1:8" x14ac:dyDescent="0.45">
      <c r="A453">
        <v>452</v>
      </c>
      <c r="B453">
        <v>20.2</v>
      </c>
      <c r="C453">
        <v>23</v>
      </c>
      <c r="D453">
        <v>0</v>
      </c>
      <c r="E453">
        <v>0</v>
      </c>
      <c r="F453">
        <f t="shared" si="21"/>
        <v>1</v>
      </c>
      <c r="G453">
        <f t="shared" si="22"/>
        <v>0</v>
      </c>
      <c r="H453">
        <f t="shared" si="23"/>
        <v>1</v>
      </c>
    </row>
    <row r="454" spans="1:8" x14ac:dyDescent="0.45">
      <c r="A454">
        <v>453</v>
      </c>
      <c r="B454">
        <v>23.2</v>
      </c>
      <c r="C454">
        <v>7</v>
      </c>
      <c r="D454">
        <v>0</v>
      </c>
      <c r="E454">
        <v>0</v>
      </c>
      <c r="F454">
        <f t="shared" si="21"/>
        <v>1</v>
      </c>
      <c r="G454">
        <f t="shared" si="22"/>
        <v>0</v>
      </c>
      <c r="H454">
        <f t="shared" si="23"/>
        <v>1</v>
      </c>
    </row>
    <row r="455" spans="1:8" x14ac:dyDescent="0.45">
      <c r="A455">
        <v>454</v>
      </c>
      <c r="B455">
        <v>24.8</v>
      </c>
      <c r="C455">
        <v>20</v>
      </c>
      <c r="D455">
        <v>0</v>
      </c>
      <c r="E455">
        <v>0</v>
      </c>
      <c r="F455">
        <f t="shared" si="21"/>
        <v>1</v>
      </c>
      <c r="G455">
        <f t="shared" si="22"/>
        <v>0</v>
      </c>
      <c r="H455">
        <f t="shared" si="23"/>
        <v>1</v>
      </c>
    </row>
    <row r="456" spans="1:8" x14ac:dyDescent="0.45">
      <c r="A456">
        <v>455</v>
      </c>
      <c r="B456">
        <v>24.9</v>
      </c>
      <c r="C456">
        <v>14</v>
      </c>
      <c r="D456">
        <v>0</v>
      </c>
      <c r="E456">
        <v>0</v>
      </c>
      <c r="F456">
        <f t="shared" si="21"/>
        <v>1</v>
      </c>
      <c r="G456">
        <f t="shared" si="22"/>
        <v>0</v>
      </c>
      <c r="H456">
        <f t="shared" si="23"/>
        <v>1</v>
      </c>
    </row>
    <row r="457" spans="1:8" x14ac:dyDescent="0.45">
      <c r="A457">
        <v>456</v>
      </c>
      <c r="B457">
        <v>23.3</v>
      </c>
      <c r="C457">
        <v>11</v>
      </c>
      <c r="D457">
        <v>0</v>
      </c>
      <c r="E457">
        <v>0</v>
      </c>
      <c r="F457">
        <f t="shared" si="21"/>
        <v>1</v>
      </c>
      <c r="G457">
        <f t="shared" si="22"/>
        <v>0</v>
      </c>
      <c r="H457">
        <f t="shared" si="23"/>
        <v>1</v>
      </c>
    </row>
    <row r="458" spans="1:8" x14ac:dyDescent="0.45">
      <c r="A458">
        <v>457</v>
      </c>
      <c r="B458">
        <v>21.3</v>
      </c>
      <c r="C458">
        <v>10</v>
      </c>
      <c r="D458">
        <v>0</v>
      </c>
      <c r="E458">
        <v>0</v>
      </c>
      <c r="F458">
        <f t="shared" si="21"/>
        <v>1</v>
      </c>
      <c r="G458">
        <f t="shared" si="22"/>
        <v>0</v>
      </c>
      <c r="H458">
        <f t="shared" si="23"/>
        <v>1</v>
      </c>
    </row>
    <row r="459" spans="1:8" x14ac:dyDescent="0.45">
      <c r="A459">
        <v>458</v>
      </c>
      <c r="B459">
        <v>19.7</v>
      </c>
      <c r="C459">
        <v>13</v>
      </c>
      <c r="D459">
        <v>0</v>
      </c>
      <c r="E459">
        <v>0</v>
      </c>
      <c r="F459">
        <f t="shared" si="21"/>
        <v>0</v>
      </c>
      <c r="G459">
        <f t="shared" si="22"/>
        <v>0</v>
      </c>
      <c r="H459">
        <f t="shared" si="23"/>
        <v>0</v>
      </c>
    </row>
    <row r="460" spans="1:8" x14ac:dyDescent="0.4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f t="shared" si="21"/>
        <v>0</v>
      </c>
      <c r="G460">
        <f t="shared" si="22"/>
        <v>0</v>
      </c>
      <c r="H460">
        <f t="shared" si="23"/>
        <v>0</v>
      </c>
    </row>
    <row r="461" spans="1:8" x14ac:dyDescent="0.45">
      <c r="A461">
        <v>460</v>
      </c>
      <c r="B461">
        <v>20</v>
      </c>
      <c r="C461">
        <v>0</v>
      </c>
      <c r="D461">
        <v>0</v>
      </c>
      <c r="E461">
        <v>0</v>
      </c>
      <c r="F461">
        <f t="shared" si="21"/>
        <v>1</v>
      </c>
      <c r="G461">
        <f t="shared" si="22"/>
        <v>1</v>
      </c>
      <c r="H461">
        <f t="shared" si="23"/>
        <v>2</v>
      </c>
    </row>
    <row r="462" spans="1:8" x14ac:dyDescent="0.45">
      <c r="A462">
        <v>461</v>
      </c>
      <c r="B462">
        <v>22.1</v>
      </c>
      <c r="C462">
        <v>1</v>
      </c>
      <c r="D462">
        <v>0</v>
      </c>
      <c r="E462">
        <v>0</v>
      </c>
      <c r="F462">
        <f t="shared" si="21"/>
        <v>1</v>
      </c>
      <c r="G462">
        <f t="shared" si="22"/>
        <v>1</v>
      </c>
      <c r="H462">
        <f t="shared" si="23"/>
        <v>2</v>
      </c>
    </row>
    <row r="463" spans="1:8" x14ac:dyDescent="0.45">
      <c r="A463">
        <v>462</v>
      </c>
      <c r="B463">
        <v>25</v>
      </c>
      <c r="C463">
        <v>4</v>
      </c>
      <c r="D463">
        <v>0</v>
      </c>
      <c r="E463">
        <v>0</v>
      </c>
      <c r="F463">
        <f t="shared" si="21"/>
        <v>1</v>
      </c>
      <c r="G463">
        <f t="shared" si="22"/>
        <v>1</v>
      </c>
      <c r="H463">
        <f t="shared" si="23"/>
        <v>2</v>
      </c>
    </row>
    <row r="464" spans="1:8" x14ac:dyDescent="0.45">
      <c r="A464">
        <v>463</v>
      </c>
      <c r="B464">
        <v>27.7</v>
      </c>
      <c r="C464">
        <v>1</v>
      </c>
      <c r="D464">
        <v>0</v>
      </c>
      <c r="E464">
        <v>0</v>
      </c>
      <c r="F464">
        <f t="shared" si="21"/>
        <v>1</v>
      </c>
      <c r="G464">
        <f t="shared" si="22"/>
        <v>1</v>
      </c>
      <c r="H464">
        <f t="shared" si="23"/>
        <v>2</v>
      </c>
    </row>
    <row r="465" spans="1:8" x14ac:dyDescent="0.45">
      <c r="A465">
        <v>464</v>
      </c>
      <c r="B465">
        <v>29.4</v>
      </c>
      <c r="C465">
        <v>12</v>
      </c>
      <c r="D465">
        <v>0</v>
      </c>
      <c r="E465">
        <v>0</v>
      </c>
      <c r="F465">
        <f t="shared" si="21"/>
        <v>1</v>
      </c>
      <c r="G465">
        <f t="shared" si="22"/>
        <v>0</v>
      </c>
      <c r="H465">
        <f t="shared" si="23"/>
        <v>1</v>
      </c>
    </row>
    <row r="466" spans="1:8" x14ac:dyDescent="0.45">
      <c r="A466">
        <v>465</v>
      </c>
      <c r="B466">
        <v>29.5</v>
      </c>
      <c r="C466">
        <v>12</v>
      </c>
      <c r="D466">
        <v>0</v>
      </c>
      <c r="E466">
        <v>0</v>
      </c>
      <c r="F466">
        <f t="shared" si="21"/>
        <v>1</v>
      </c>
      <c r="G466">
        <f t="shared" si="22"/>
        <v>0</v>
      </c>
      <c r="H466">
        <f t="shared" si="23"/>
        <v>1</v>
      </c>
    </row>
    <row r="467" spans="1:8" x14ac:dyDescent="0.45">
      <c r="A467">
        <v>466</v>
      </c>
      <c r="B467">
        <v>27.8</v>
      </c>
      <c r="C467">
        <v>8</v>
      </c>
      <c r="D467">
        <v>0</v>
      </c>
      <c r="E467">
        <v>0</v>
      </c>
      <c r="F467">
        <f t="shared" si="21"/>
        <v>1</v>
      </c>
      <c r="G467">
        <f t="shared" si="22"/>
        <v>0</v>
      </c>
      <c r="H467">
        <f t="shared" si="23"/>
        <v>1</v>
      </c>
    </row>
    <row r="468" spans="1:8" x14ac:dyDescent="0.45">
      <c r="A468">
        <v>467</v>
      </c>
      <c r="B468">
        <v>24.9</v>
      </c>
      <c r="C468">
        <v>13</v>
      </c>
      <c r="D468">
        <v>0</v>
      </c>
      <c r="E468">
        <v>0</v>
      </c>
      <c r="F468">
        <f t="shared" si="21"/>
        <v>1</v>
      </c>
      <c r="G468">
        <f t="shared" si="22"/>
        <v>0</v>
      </c>
      <c r="H468">
        <f t="shared" si="23"/>
        <v>1</v>
      </c>
    </row>
    <row r="469" spans="1:8" x14ac:dyDescent="0.45">
      <c r="A469">
        <v>468</v>
      </c>
      <c r="B469">
        <v>21.3</v>
      </c>
      <c r="C469">
        <v>18</v>
      </c>
      <c r="D469">
        <v>0</v>
      </c>
      <c r="E469">
        <v>0</v>
      </c>
      <c r="F469">
        <f t="shared" si="21"/>
        <v>1</v>
      </c>
      <c r="G469">
        <f t="shared" si="22"/>
        <v>0</v>
      </c>
      <c r="H469">
        <f t="shared" si="23"/>
        <v>1</v>
      </c>
    </row>
    <row r="470" spans="1:8" x14ac:dyDescent="0.4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f t="shared" si="21"/>
        <v>0</v>
      </c>
      <c r="G470">
        <f t="shared" si="22"/>
        <v>0</v>
      </c>
      <c r="H470">
        <f t="shared" si="23"/>
        <v>0</v>
      </c>
    </row>
    <row r="471" spans="1:8" x14ac:dyDescent="0.45">
      <c r="A471">
        <v>470</v>
      </c>
      <c r="B471">
        <v>15.9</v>
      </c>
      <c r="C471">
        <v>10</v>
      </c>
      <c r="D471">
        <v>0</v>
      </c>
      <c r="E471">
        <v>0</v>
      </c>
      <c r="F471">
        <f t="shared" si="21"/>
        <v>0</v>
      </c>
      <c r="G471">
        <f t="shared" si="22"/>
        <v>0</v>
      </c>
      <c r="H471">
        <f t="shared" si="23"/>
        <v>0</v>
      </c>
    </row>
    <row r="472" spans="1:8" x14ac:dyDescent="0.45">
      <c r="A472">
        <v>471</v>
      </c>
      <c r="B472">
        <v>15.3</v>
      </c>
      <c r="C472">
        <v>7</v>
      </c>
      <c r="D472">
        <v>0</v>
      </c>
      <c r="E472">
        <v>0</v>
      </c>
      <c r="F472">
        <f t="shared" si="21"/>
        <v>0</v>
      </c>
      <c r="G472">
        <f t="shared" si="22"/>
        <v>0</v>
      </c>
      <c r="H472">
        <f t="shared" si="23"/>
        <v>0</v>
      </c>
    </row>
    <row r="473" spans="1:8" x14ac:dyDescent="0.45">
      <c r="A473">
        <v>472</v>
      </c>
      <c r="B473">
        <v>16</v>
      </c>
      <c r="C473">
        <v>5</v>
      </c>
      <c r="D473">
        <v>0</v>
      </c>
      <c r="E473">
        <v>0</v>
      </c>
      <c r="F473">
        <f t="shared" si="21"/>
        <v>0</v>
      </c>
      <c r="G473">
        <f t="shared" si="22"/>
        <v>1</v>
      </c>
      <c r="H473">
        <f t="shared" si="23"/>
        <v>1</v>
      </c>
    </row>
    <row r="474" spans="1:8" x14ac:dyDescent="0.45">
      <c r="A474">
        <v>473</v>
      </c>
      <c r="B474">
        <v>17.5</v>
      </c>
      <c r="C474">
        <v>26</v>
      </c>
      <c r="D474">
        <v>0</v>
      </c>
      <c r="E474">
        <v>0</v>
      </c>
      <c r="F474">
        <f t="shared" si="21"/>
        <v>0</v>
      </c>
      <c r="G474">
        <f t="shared" si="22"/>
        <v>0</v>
      </c>
      <c r="H474">
        <f t="shared" si="23"/>
        <v>0</v>
      </c>
    </row>
    <row r="475" spans="1:8" x14ac:dyDescent="0.45">
      <c r="A475">
        <v>474</v>
      </c>
      <c r="B475">
        <v>19</v>
      </c>
      <c r="C475">
        <v>0</v>
      </c>
      <c r="D475">
        <v>0</v>
      </c>
      <c r="E475">
        <v>0</v>
      </c>
      <c r="F475">
        <f t="shared" si="21"/>
        <v>0</v>
      </c>
      <c r="G475">
        <f t="shared" si="22"/>
        <v>1</v>
      </c>
      <c r="H475">
        <f t="shared" si="23"/>
        <v>1</v>
      </c>
    </row>
    <row r="476" spans="1:8" x14ac:dyDescent="0.45">
      <c r="A476">
        <v>475</v>
      </c>
      <c r="B476">
        <v>19.5</v>
      </c>
      <c r="C476">
        <v>2</v>
      </c>
      <c r="D476">
        <v>0</v>
      </c>
      <c r="E476">
        <v>0</v>
      </c>
      <c r="F476">
        <f t="shared" si="21"/>
        <v>0</v>
      </c>
      <c r="G476">
        <f t="shared" si="22"/>
        <v>1</v>
      </c>
      <c r="H476">
        <f t="shared" si="23"/>
        <v>1</v>
      </c>
    </row>
    <row r="477" spans="1:8" x14ac:dyDescent="0.45">
      <c r="A477">
        <v>476</v>
      </c>
      <c r="B477">
        <v>18.7</v>
      </c>
      <c r="C477">
        <v>6</v>
      </c>
      <c r="D477">
        <v>0</v>
      </c>
      <c r="E477">
        <v>0</v>
      </c>
      <c r="F477">
        <f t="shared" si="21"/>
        <v>0</v>
      </c>
      <c r="G477">
        <f t="shared" si="22"/>
        <v>0</v>
      </c>
      <c r="H477">
        <f t="shared" si="23"/>
        <v>0</v>
      </c>
    </row>
    <row r="478" spans="1:8" x14ac:dyDescent="0.45">
      <c r="A478">
        <v>477</v>
      </c>
      <c r="B478">
        <v>16.3</v>
      </c>
      <c r="C478">
        <v>5</v>
      </c>
      <c r="D478">
        <v>0</v>
      </c>
      <c r="E478">
        <v>0</v>
      </c>
      <c r="F478">
        <f t="shared" si="21"/>
        <v>0</v>
      </c>
      <c r="G478">
        <f t="shared" si="22"/>
        <v>1</v>
      </c>
      <c r="H478">
        <f t="shared" si="23"/>
        <v>1</v>
      </c>
    </row>
    <row r="479" spans="1:8" x14ac:dyDescent="0.45">
      <c r="A479">
        <v>478</v>
      </c>
      <c r="B479">
        <v>12.7</v>
      </c>
      <c r="C479">
        <v>6</v>
      </c>
      <c r="D479">
        <v>0</v>
      </c>
      <c r="E479">
        <v>0</v>
      </c>
      <c r="F479">
        <f t="shared" si="21"/>
        <v>0</v>
      </c>
      <c r="G479">
        <f t="shared" si="22"/>
        <v>0</v>
      </c>
      <c r="H479">
        <f t="shared" si="23"/>
        <v>0</v>
      </c>
    </row>
    <row r="480" spans="1:8" x14ac:dyDescent="0.4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f t="shared" si="21"/>
        <v>0</v>
      </c>
      <c r="G480">
        <f t="shared" si="22"/>
        <v>0</v>
      </c>
      <c r="H480">
        <f t="shared" si="23"/>
        <v>0</v>
      </c>
    </row>
    <row r="481" spans="1:8" x14ac:dyDescent="0.45">
      <c r="A481">
        <v>480</v>
      </c>
      <c r="B481">
        <v>5.3</v>
      </c>
      <c r="C481">
        <v>2</v>
      </c>
      <c r="D481">
        <v>0</v>
      </c>
      <c r="E481">
        <v>0</v>
      </c>
      <c r="F481">
        <f t="shared" si="21"/>
        <v>0</v>
      </c>
      <c r="G481">
        <f t="shared" si="22"/>
        <v>1</v>
      </c>
      <c r="H481">
        <f t="shared" si="23"/>
        <v>1</v>
      </c>
    </row>
    <row r="482" spans="1:8" x14ac:dyDescent="0.45">
      <c r="A482">
        <v>481</v>
      </c>
      <c r="B482">
        <v>3.2</v>
      </c>
      <c r="C482">
        <v>7</v>
      </c>
      <c r="D482">
        <v>0</v>
      </c>
      <c r="E482">
        <v>0</v>
      </c>
      <c r="F482">
        <f t="shared" si="21"/>
        <v>0</v>
      </c>
      <c r="G482">
        <f t="shared" si="22"/>
        <v>0</v>
      </c>
      <c r="H482">
        <f t="shared" si="23"/>
        <v>0</v>
      </c>
    </row>
    <row r="483" spans="1:8" x14ac:dyDescent="0.45">
      <c r="A483">
        <v>482</v>
      </c>
      <c r="B483">
        <v>2.7</v>
      </c>
      <c r="C483">
        <v>7</v>
      </c>
      <c r="D483">
        <v>0</v>
      </c>
      <c r="E483">
        <v>0</v>
      </c>
      <c r="F483">
        <f t="shared" si="21"/>
        <v>0</v>
      </c>
      <c r="G483">
        <f t="shared" si="22"/>
        <v>0</v>
      </c>
      <c r="H483">
        <f t="shared" si="23"/>
        <v>0</v>
      </c>
    </row>
    <row r="484" spans="1:8" x14ac:dyDescent="0.45">
      <c r="A484">
        <v>483</v>
      </c>
      <c r="B484">
        <v>3.9</v>
      </c>
      <c r="C484">
        <v>8</v>
      </c>
      <c r="D484">
        <v>0</v>
      </c>
      <c r="E484">
        <v>0</v>
      </c>
      <c r="F484">
        <f t="shared" si="21"/>
        <v>0</v>
      </c>
      <c r="G484">
        <f t="shared" si="22"/>
        <v>0</v>
      </c>
      <c r="H484">
        <f t="shared" si="23"/>
        <v>0</v>
      </c>
    </row>
    <row r="485" spans="1:8" x14ac:dyDescent="0.45">
      <c r="A485">
        <v>484</v>
      </c>
      <c r="B485">
        <v>6</v>
      </c>
      <c r="C485">
        <v>18</v>
      </c>
      <c r="D485">
        <v>0</v>
      </c>
      <c r="E485">
        <v>0</v>
      </c>
      <c r="F485">
        <f t="shared" si="21"/>
        <v>0</v>
      </c>
      <c r="G485">
        <f t="shared" si="22"/>
        <v>0</v>
      </c>
      <c r="H485">
        <f t="shared" si="23"/>
        <v>0</v>
      </c>
    </row>
    <row r="486" spans="1:8" x14ac:dyDescent="0.4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f t="shared" si="21"/>
        <v>0</v>
      </c>
      <c r="G486">
        <f t="shared" si="22"/>
        <v>0</v>
      </c>
      <c r="H486">
        <f t="shared" si="23"/>
        <v>0</v>
      </c>
    </row>
    <row r="487" spans="1:8" x14ac:dyDescent="0.4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f t="shared" si="21"/>
        <v>0</v>
      </c>
      <c r="G487">
        <f t="shared" si="22"/>
        <v>0</v>
      </c>
      <c r="H487">
        <f t="shared" si="23"/>
        <v>0</v>
      </c>
    </row>
    <row r="488" spans="1:8" x14ac:dyDescent="0.45">
      <c r="A488">
        <v>487</v>
      </c>
      <c r="B488">
        <v>10</v>
      </c>
      <c r="C488">
        <v>11</v>
      </c>
      <c r="D488">
        <v>0</v>
      </c>
      <c r="E488">
        <v>0</v>
      </c>
      <c r="F488">
        <f t="shared" si="21"/>
        <v>0</v>
      </c>
      <c r="G488">
        <f t="shared" si="22"/>
        <v>0</v>
      </c>
      <c r="H488">
        <f t="shared" si="23"/>
        <v>0</v>
      </c>
    </row>
    <row r="489" spans="1:8" x14ac:dyDescent="0.4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f t="shared" si="21"/>
        <v>0</v>
      </c>
      <c r="G489">
        <f t="shared" si="22"/>
        <v>0</v>
      </c>
      <c r="H489">
        <f t="shared" si="23"/>
        <v>0</v>
      </c>
    </row>
    <row r="490" spans="1:8" x14ac:dyDescent="0.45">
      <c r="A490">
        <v>489</v>
      </c>
      <c r="B490">
        <v>6.6</v>
      </c>
      <c r="C490">
        <v>22</v>
      </c>
      <c r="D490">
        <v>0</v>
      </c>
      <c r="E490">
        <v>0</v>
      </c>
      <c r="F490">
        <f t="shared" si="21"/>
        <v>0</v>
      </c>
      <c r="G490">
        <f t="shared" si="22"/>
        <v>0</v>
      </c>
      <c r="H490">
        <f t="shared" si="23"/>
        <v>0</v>
      </c>
    </row>
    <row r="491" spans="1:8" x14ac:dyDescent="0.4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f t="shared" si="21"/>
        <v>0</v>
      </c>
      <c r="G491">
        <f t="shared" si="22"/>
        <v>1</v>
      </c>
      <c r="H491">
        <f t="shared" si="23"/>
        <v>1</v>
      </c>
    </row>
    <row r="492" spans="1:8" x14ac:dyDescent="0.4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f t="shared" si="21"/>
        <v>0</v>
      </c>
      <c r="G492">
        <f t="shared" si="22"/>
        <v>1</v>
      </c>
      <c r="H492">
        <f t="shared" si="23"/>
        <v>1</v>
      </c>
    </row>
    <row r="493" spans="1:8" x14ac:dyDescent="0.45">
      <c r="A493">
        <v>492</v>
      </c>
      <c r="B493">
        <v>1.6</v>
      </c>
      <c r="C493">
        <v>4</v>
      </c>
      <c r="D493">
        <v>0</v>
      </c>
      <c r="E493">
        <v>0</v>
      </c>
      <c r="F493">
        <f t="shared" si="21"/>
        <v>0</v>
      </c>
      <c r="G493">
        <f t="shared" si="22"/>
        <v>1</v>
      </c>
      <c r="H493">
        <f t="shared" si="23"/>
        <v>1</v>
      </c>
    </row>
    <row r="494" spans="1:8" x14ac:dyDescent="0.45">
      <c r="A494">
        <v>493</v>
      </c>
      <c r="B494">
        <v>2.7</v>
      </c>
      <c r="C494">
        <v>1</v>
      </c>
      <c r="D494">
        <v>0</v>
      </c>
      <c r="E494">
        <v>0</v>
      </c>
      <c r="F494">
        <f t="shared" si="21"/>
        <v>0</v>
      </c>
      <c r="G494">
        <f t="shared" si="22"/>
        <v>1</v>
      </c>
      <c r="H494">
        <f t="shared" si="23"/>
        <v>1</v>
      </c>
    </row>
    <row r="495" spans="1:8" x14ac:dyDescent="0.45">
      <c r="A495">
        <v>494</v>
      </c>
      <c r="B495">
        <v>5.4</v>
      </c>
      <c r="C495">
        <v>9</v>
      </c>
      <c r="D495">
        <v>0</v>
      </c>
      <c r="E495">
        <v>0</v>
      </c>
      <c r="F495">
        <f t="shared" si="21"/>
        <v>0</v>
      </c>
      <c r="G495">
        <f t="shared" si="22"/>
        <v>0</v>
      </c>
      <c r="H495">
        <f t="shared" si="23"/>
        <v>0</v>
      </c>
    </row>
    <row r="496" spans="1:8" x14ac:dyDescent="0.45">
      <c r="A496">
        <v>495</v>
      </c>
      <c r="B496">
        <v>9.1</v>
      </c>
      <c r="C496">
        <v>11</v>
      </c>
      <c r="D496">
        <v>0</v>
      </c>
      <c r="E496">
        <v>0</v>
      </c>
      <c r="F496">
        <f t="shared" si="21"/>
        <v>0</v>
      </c>
      <c r="G496">
        <f t="shared" si="22"/>
        <v>0</v>
      </c>
      <c r="H496">
        <f t="shared" si="23"/>
        <v>0</v>
      </c>
    </row>
    <row r="497" spans="1:8" x14ac:dyDescent="0.45">
      <c r="A497">
        <v>496</v>
      </c>
      <c r="B497">
        <v>12.9</v>
      </c>
      <c r="C497">
        <v>8</v>
      </c>
      <c r="D497">
        <v>0</v>
      </c>
      <c r="E497">
        <v>0</v>
      </c>
      <c r="F497">
        <f t="shared" si="21"/>
        <v>0</v>
      </c>
      <c r="G497">
        <f t="shared" si="22"/>
        <v>0</v>
      </c>
      <c r="H497">
        <f t="shared" si="23"/>
        <v>0</v>
      </c>
    </row>
    <row r="498" spans="1:8" x14ac:dyDescent="0.45">
      <c r="A498">
        <v>497</v>
      </c>
      <c r="B498">
        <v>15.9</v>
      </c>
      <c r="C498">
        <v>16</v>
      </c>
      <c r="D498">
        <v>0</v>
      </c>
      <c r="E498">
        <v>0</v>
      </c>
      <c r="F498">
        <f t="shared" si="21"/>
        <v>0</v>
      </c>
      <c r="G498">
        <f t="shared" si="22"/>
        <v>0</v>
      </c>
      <c r="H498">
        <f t="shared" si="23"/>
        <v>0</v>
      </c>
    </row>
    <row r="499" spans="1:8" x14ac:dyDescent="0.45">
      <c r="A499">
        <v>498</v>
      </c>
      <c r="B499">
        <v>17.5</v>
      </c>
      <c r="C499">
        <v>15</v>
      </c>
      <c r="D499">
        <v>0</v>
      </c>
      <c r="E499">
        <v>0</v>
      </c>
      <c r="F499">
        <f t="shared" si="21"/>
        <v>0</v>
      </c>
      <c r="G499">
        <f t="shared" si="22"/>
        <v>0</v>
      </c>
      <c r="H499">
        <f t="shared" si="23"/>
        <v>0</v>
      </c>
    </row>
    <row r="500" spans="1:8" x14ac:dyDescent="0.45">
      <c r="A500">
        <v>499</v>
      </c>
      <c r="B500">
        <v>17.5</v>
      </c>
      <c r="C500">
        <v>8</v>
      </c>
      <c r="D500">
        <v>0</v>
      </c>
      <c r="E500">
        <v>0</v>
      </c>
      <c r="F500">
        <f t="shared" si="21"/>
        <v>0</v>
      </c>
      <c r="G500">
        <f t="shared" si="22"/>
        <v>0</v>
      </c>
      <c r="H500">
        <f t="shared" si="23"/>
        <v>0</v>
      </c>
    </row>
    <row r="501" spans="1:8" x14ac:dyDescent="0.4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f t="shared" si="21"/>
        <v>0</v>
      </c>
      <c r="G501">
        <f t="shared" si="22"/>
        <v>0</v>
      </c>
      <c r="H501">
        <f t="shared" si="2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6EC4-BD41-4DBE-A1D9-156400C6D4CD}">
  <dimension ref="A1:F501"/>
  <sheetViews>
    <sheetView topLeftCell="A442" workbookViewId="0">
      <selection activeCell="F455" sqref="F455:F456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9.3984375" customWidth="1"/>
    <col min="4" max="4" width="14.265625" bestFit="1" customWidth="1"/>
    <col min="5" max="5" width="13.73046875" bestFit="1" customWidth="1"/>
  </cols>
  <sheetData>
    <row r="1" spans="1:5" x14ac:dyDescent="0.45">
      <c r="A1" t="s">
        <v>0</v>
      </c>
      <c r="B1" t="s">
        <v>1</v>
      </c>
      <c r="C1" t="s">
        <v>11</v>
      </c>
    </row>
    <row r="2" spans="1:5" x14ac:dyDescent="0.45">
      <c r="A2">
        <v>1</v>
      </c>
      <c r="B2">
        <v>19</v>
      </c>
      <c r="C2">
        <v>0</v>
      </c>
      <c r="D2" t="str">
        <f>IF(C2=8,"xxxxxxxxxxxxxxxxxxxxxx","")</f>
        <v/>
      </c>
      <c r="E2">
        <f>MAX(C2:C501)</f>
        <v>8</v>
      </c>
    </row>
    <row r="3" spans="1:5" x14ac:dyDescent="0.45">
      <c r="A3">
        <v>2</v>
      </c>
      <c r="B3">
        <v>22</v>
      </c>
      <c r="C3">
        <f>IF(B3&gt;B2,C2+1,0)</f>
        <v>1</v>
      </c>
      <c r="D3" t="str">
        <f t="shared" ref="D3:D66" si="0">IF(C3=8,"xxxxxxxxxxxxxxxxxxxxxx","")</f>
        <v/>
      </c>
    </row>
    <row r="4" spans="1:5" x14ac:dyDescent="0.45">
      <c r="A4">
        <v>3</v>
      </c>
      <c r="B4">
        <v>23.6</v>
      </c>
      <c r="C4">
        <f t="shared" ref="C4:C67" si="1">IF(B4&gt;B3,C3+1,0)</f>
        <v>2</v>
      </c>
      <c r="D4" t="str">
        <f t="shared" si="0"/>
        <v/>
      </c>
    </row>
    <row r="5" spans="1:5" x14ac:dyDescent="0.45">
      <c r="A5">
        <v>4</v>
      </c>
      <c r="B5">
        <v>23.6</v>
      </c>
      <c r="C5">
        <f t="shared" si="1"/>
        <v>0</v>
      </c>
      <c r="D5" t="str">
        <f t="shared" si="0"/>
        <v/>
      </c>
    </row>
    <row r="6" spans="1:5" x14ac:dyDescent="0.45">
      <c r="A6">
        <v>5</v>
      </c>
      <c r="B6">
        <v>22.3</v>
      </c>
      <c r="C6">
        <f t="shared" si="1"/>
        <v>0</v>
      </c>
      <c r="D6" t="str">
        <f t="shared" si="0"/>
        <v/>
      </c>
    </row>
    <row r="7" spans="1:5" x14ac:dyDescent="0.45">
      <c r="A7">
        <v>6</v>
      </c>
      <c r="B7">
        <v>20.399999999999999</v>
      </c>
      <c r="C7">
        <f t="shared" si="1"/>
        <v>0</v>
      </c>
      <c r="D7" t="str">
        <f t="shared" si="0"/>
        <v/>
      </c>
    </row>
    <row r="8" spans="1:5" x14ac:dyDescent="0.45">
      <c r="A8">
        <v>7</v>
      </c>
      <c r="B8">
        <v>18.899999999999999</v>
      </c>
      <c r="C8">
        <f t="shared" si="1"/>
        <v>0</v>
      </c>
      <c r="D8" t="str">
        <f t="shared" si="0"/>
        <v/>
      </c>
    </row>
    <row r="9" spans="1:5" x14ac:dyDescent="0.45">
      <c r="A9">
        <v>8</v>
      </c>
      <c r="B9">
        <v>18.5</v>
      </c>
      <c r="C9">
        <f t="shared" si="1"/>
        <v>0</v>
      </c>
      <c r="D9" t="str">
        <f t="shared" si="0"/>
        <v/>
      </c>
    </row>
    <row r="10" spans="1:5" x14ac:dyDescent="0.45">
      <c r="A10">
        <v>9</v>
      </c>
      <c r="B10">
        <v>19.5</v>
      </c>
      <c r="C10">
        <f t="shared" si="1"/>
        <v>1</v>
      </c>
      <c r="D10" t="str">
        <f t="shared" si="0"/>
        <v/>
      </c>
    </row>
    <row r="11" spans="1:5" x14ac:dyDescent="0.45">
      <c r="A11">
        <v>10</v>
      </c>
      <c r="B11">
        <v>21.8</v>
      </c>
      <c r="C11">
        <f t="shared" si="1"/>
        <v>2</v>
      </c>
      <c r="D11" t="str">
        <f t="shared" si="0"/>
        <v/>
      </c>
    </row>
    <row r="12" spans="1:5" x14ac:dyDescent="0.45">
      <c r="A12">
        <v>11</v>
      </c>
      <c r="B12">
        <v>24.8</v>
      </c>
      <c r="C12">
        <f t="shared" si="1"/>
        <v>3</v>
      </c>
      <c r="D12" t="str">
        <f t="shared" si="0"/>
        <v/>
      </c>
    </row>
    <row r="13" spans="1:5" x14ac:dyDescent="0.45">
      <c r="A13">
        <v>12</v>
      </c>
      <c r="B13">
        <v>27.7</v>
      </c>
      <c r="C13">
        <f t="shared" si="1"/>
        <v>4</v>
      </c>
      <c r="D13" t="str">
        <f t="shared" si="0"/>
        <v/>
      </c>
    </row>
    <row r="14" spans="1:5" x14ac:dyDescent="0.45">
      <c r="A14">
        <v>13</v>
      </c>
      <c r="B14">
        <v>29.5</v>
      </c>
      <c r="C14">
        <f t="shared" si="1"/>
        <v>5</v>
      </c>
      <c r="D14" t="str">
        <f t="shared" si="0"/>
        <v/>
      </c>
    </row>
    <row r="15" spans="1:5" x14ac:dyDescent="0.45">
      <c r="A15">
        <v>14</v>
      </c>
      <c r="B15">
        <v>29.8</v>
      </c>
      <c r="C15">
        <f t="shared" si="1"/>
        <v>6</v>
      </c>
      <c r="D15" t="str">
        <f t="shared" si="0"/>
        <v/>
      </c>
    </row>
    <row r="16" spans="1:5" x14ac:dyDescent="0.45">
      <c r="A16">
        <v>15</v>
      </c>
      <c r="B16">
        <v>28.3</v>
      </c>
      <c r="C16">
        <f t="shared" si="1"/>
        <v>0</v>
      </c>
      <c r="D16" t="str">
        <f t="shared" si="0"/>
        <v/>
      </c>
    </row>
    <row r="17" spans="1:4" x14ac:dyDescent="0.45">
      <c r="A17">
        <v>16</v>
      </c>
      <c r="B17">
        <v>25.5</v>
      </c>
      <c r="C17">
        <f t="shared" si="1"/>
        <v>0</v>
      </c>
      <c r="D17" t="str">
        <f t="shared" si="0"/>
        <v/>
      </c>
    </row>
    <row r="18" spans="1:4" x14ac:dyDescent="0.45">
      <c r="A18">
        <v>17</v>
      </c>
      <c r="B18">
        <v>22</v>
      </c>
      <c r="C18">
        <f t="shared" si="1"/>
        <v>0</v>
      </c>
      <c r="D18" t="str">
        <f t="shared" si="0"/>
        <v/>
      </c>
    </row>
    <row r="19" spans="1:4" x14ac:dyDescent="0.45">
      <c r="A19">
        <v>18</v>
      </c>
      <c r="B19">
        <v>18.899999999999999</v>
      </c>
      <c r="C19">
        <f t="shared" si="1"/>
        <v>0</v>
      </c>
      <c r="D19" t="str">
        <f t="shared" si="0"/>
        <v/>
      </c>
    </row>
    <row r="20" spans="1:4" x14ac:dyDescent="0.45">
      <c r="A20">
        <v>19</v>
      </c>
      <c r="B20">
        <v>16.899999999999999</v>
      </c>
      <c r="C20">
        <f t="shared" si="1"/>
        <v>0</v>
      </c>
      <c r="D20" t="str">
        <f t="shared" si="0"/>
        <v/>
      </c>
    </row>
    <row r="21" spans="1:4" x14ac:dyDescent="0.45">
      <c r="A21">
        <v>20</v>
      </c>
      <c r="B21">
        <v>16.3</v>
      </c>
      <c r="C21">
        <f t="shared" si="1"/>
        <v>0</v>
      </c>
      <c r="D21" t="str">
        <f t="shared" si="0"/>
        <v/>
      </c>
    </row>
    <row r="22" spans="1:4" x14ac:dyDescent="0.45">
      <c r="A22">
        <v>21</v>
      </c>
      <c r="B22">
        <v>17.100000000000001</v>
      </c>
      <c r="C22">
        <f t="shared" si="1"/>
        <v>1</v>
      </c>
      <c r="D22" t="str">
        <f t="shared" si="0"/>
        <v/>
      </c>
    </row>
    <row r="23" spans="1:4" x14ac:dyDescent="0.45">
      <c r="A23">
        <v>22</v>
      </c>
      <c r="B23">
        <v>18.7</v>
      </c>
      <c r="C23">
        <f t="shared" si="1"/>
        <v>2</v>
      </c>
      <c r="D23" t="str">
        <f t="shared" si="0"/>
        <v/>
      </c>
    </row>
    <row r="24" spans="1:4" x14ac:dyDescent="0.45">
      <c r="A24">
        <v>23</v>
      </c>
      <c r="B24">
        <v>20.2</v>
      </c>
      <c r="C24">
        <f t="shared" si="1"/>
        <v>3</v>
      </c>
      <c r="D24" t="str">
        <f t="shared" si="0"/>
        <v/>
      </c>
    </row>
    <row r="25" spans="1:4" x14ac:dyDescent="0.45">
      <c r="A25">
        <v>24</v>
      </c>
      <c r="B25">
        <v>20.8</v>
      </c>
      <c r="C25">
        <f t="shared" si="1"/>
        <v>4</v>
      </c>
      <c r="D25" t="str">
        <f t="shared" si="0"/>
        <v/>
      </c>
    </row>
    <row r="26" spans="1:4" x14ac:dyDescent="0.45">
      <c r="A26">
        <v>25</v>
      </c>
      <c r="B26">
        <v>19.899999999999999</v>
      </c>
      <c r="C26">
        <f t="shared" si="1"/>
        <v>0</v>
      </c>
      <c r="D26" t="str">
        <f t="shared" si="0"/>
        <v/>
      </c>
    </row>
    <row r="27" spans="1:4" x14ac:dyDescent="0.45">
      <c r="A27">
        <v>26</v>
      </c>
      <c r="B27">
        <v>17.5</v>
      </c>
      <c r="C27">
        <f t="shared" si="1"/>
        <v>0</v>
      </c>
      <c r="D27" t="str">
        <f t="shared" si="0"/>
        <v/>
      </c>
    </row>
    <row r="28" spans="1:4" x14ac:dyDescent="0.45">
      <c r="A28">
        <v>27</v>
      </c>
      <c r="B28">
        <v>13.9</v>
      </c>
      <c r="C28">
        <f t="shared" si="1"/>
        <v>0</v>
      </c>
      <c r="D28" t="str">
        <f t="shared" si="0"/>
        <v/>
      </c>
    </row>
    <row r="29" spans="1:4" x14ac:dyDescent="0.45">
      <c r="A29">
        <v>28</v>
      </c>
      <c r="B29">
        <v>9.9</v>
      </c>
      <c r="C29">
        <f t="shared" si="1"/>
        <v>0</v>
      </c>
      <c r="D29" t="str">
        <f t="shared" si="0"/>
        <v/>
      </c>
    </row>
    <row r="30" spans="1:4" x14ac:dyDescent="0.45">
      <c r="A30">
        <v>29</v>
      </c>
      <c r="B30">
        <v>6.4</v>
      </c>
      <c r="C30">
        <f t="shared" si="1"/>
        <v>0</v>
      </c>
      <c r="D30" t="str">
        <f t="shared" si="0"/>
        <v/>
      </c>
    </row>
    <row r="31" spans="1:4" x14ac:dyDescent="0.45">
      <c r="A31">
        <v>30</v>
      </c>
      <c r="B31">
        <v>4.2</v>
      </c>
      <c r="C31">
        <f t="shared" si="1"/>
        <v>0</v>
      </c>
      <c r="D31" t="str">
        <f t="shared" si="0"/>
        <v/>
      </c>
    </row>
    <row r="32" spans="1:4" x14ac:dyDescent="0.45">
      <c r="A32">
        <v>31</v>
      </c>
      <c r="B32">
        <v>3.6</v>
      </c>
      <c r="C32">
        <f t="shared" si="1"/>
        <v>0</v>
      </c>
      <c r="D32" t="str">
        <f t="shared" si="0"/>
        <v/>
      </c>
    </row>
    <row r="33" spans="1:4" x14ac:dyDescent="0.45">
      <c r="A33">
        <v>32</v>
      </c>
      <c r="B33">
        <v>4.5999999999999996</v>
      </c>
      <c r="C33">
        <f t="shared" si="1"/>
        <v>1</v>
      </c>
      <c r="D33" t="str">
        <f t="shared" si="0"/>
        <v/>
      </c>
    </row>
    <row r="34" spans="1:4" x14ac:dyDescent="0.45">
      <c r="A34">
        <v>33</v>
      </c>
      <c r="B34">
        <v>6.6</v>
      </c>
      <c r="C34">
        <f t="shared" si="1"/>
        <v>2</v>
      </c>
      <c r="D34" t="str">
        <f t="shared" si="0"/>
        <v/>
      </c>
    </row>
    <row r="35" spans="1:4" x14ac:dyDescent="0.45">
      <c r="A35">
        <v>34</v>
      </c>
      <c r="B35">
        <v>8.6999999999999993</v>
      </c>
      <c r="C35">
        <f t="shared" si="1"/>
        <v>3</v>
      </c>
      <c r="D35" t="str">
        <f t="shared" si="0"/>
        <v/>
      </c>
    </row>
    <row r="36" spans="1:4" x14ac:dyDescent="0.45">
      <c r="A36">
        <v>35</v>
      </c>
      <c r="B36">
        <v>10</v>
      </c>
      <c r="C36">
        <f t="shared" si="1"/>
        <v>4</v>
      </c>
      <c r="D36" t="str">
        <f t="shared" si="0"/>
        <v/>
      </c>
    </row>
    <row r="37" spans="1:4" x14ac:dyDescent="0.45">
      <c r="A37">
        <v>36</v>
      </c>
      <c r="B37">
        <v>10.1</v>
      </c>
      <c r="C37">
        <f t="shared" si="1"/>
        <v>5</v>
      </c>
      <c r="D37" t="str">
        <f t="shared" si="0"/>
        <v/>
      </c>
    </row>
    <row r="38" spans="1:4" x14ac:dyDescent="0.45">
      <c r="A38">
        <v>37</v>
      </c>
      <c r="B38">
        <v>8.8000000000000007</v>
      </c>
      <c r="C38">
        <f t="shared" si="1"/>
        <v>0</v>
      </c>
      <c r="D38" t="str">
        <f t="shared" si="0"/>
        <v/>
      </c>
    </row>
    <row r="39" spans="1:4" x14ac:dyDescent="0.45">
      <c r="A39">
        <v>38</v>
      </c>
      <c r="B39">
        <v>6.4</v>
      </c>
      <c r="C39">
        <f t="shared" si="1"/>
        <v>0</v>
      </c>
      <c r="D39" t="str">
        <f t="shared" si="0"/>
        <v/>
      </c>
    </row>
    <row r="40" spans="1:4" x14ac:dyDescent="0.45">
      <c r="A40">
        <v>39</v>
      </c>
      <c r="B40">
        <v>3.8</v>
      </c>
      <c r="C40">
        <f t="shared" si="1"/>
        <v>0</v>
      </c>
      <c r="D40" t="str">
        <f t="shared" si="0"/>
        <v/>
      </c>
    </row>
    <row r="41" spans="1:4" x14ac:dyDescent="0.45">
      <c r="A41">
        <v>40</v>
      </c>
      <c r="B41">
        <v>1.7</v>
      </c>
      <c r="C41">
        <f t="shared" si="1"/>
        <v>0</v>
      </c>
      <c r="D41" t="str">
        <f t="shared" si="0"/>
        <v/>
      </c>
    </row>
    <row r="42" spans="1:4" x14ac:dyDescent="0.45">
      <c r="A42">
        <v>41</v>
      </c>
      <c r="B42">
        <v>1</v>
      </c>
      <c r="C42">
        <f t="shared" si="1"/>
        <v>0</v>
      </c>
      <c r="D42" t="str">
        <f t="shared" si="0"/>
        <v/>
      </c>
    </row>
    <row r="43" spans="1:4" x14ac:dyDescent="0.45">
      <c r="A43">
        <v>42</v>
      </c>
      <c r="B43">
        <v>2</v>
      </c>
      <c r="C43">
        <f t="shared" si="1"/>
        <v>1</v>
      </c>
      <c r="D43" t="str">
        <f t="shared" si="0"/>
        <v/>
      </c>
    </row>
    <row r="44" spans="1:4" x14ac:dyDescent="0.45">
      <c r="A44">
        <v>43</v>
      </c>
      <c r="B44">
        <v>4.5999999999999996</v>
      </c>
      <c r="C44">
        <f t="shared" si="1"/>
        <v>2</v>
      </c>
      <c r="D44" t="str">
        <f t="shared" si="0"/>
        <v/>
      </c>
    </row>
    <row r="45" spans="1:4" x14ac:dyDescent="0.45">
      <c r="A45">
        <v>44</v>
      </c>
      <c r="B45">
        <v>8.1999999999999993</v>
      </c>
      <c r="C45">
        <f t="shared" si="1"/>
        <v>3</v>
      </c>
      <c r="D45" t="str">
        <f t="shared" si="0"/>
        <v/>
      </c>
    </row>
    <row r="46" spans="1:4" x14ac:dyDescent="0.45">
      <c r="A46">
        <v>45</v>
      </c>
      <c r="B46">
        <v>11.8</v>
      </c>
      <c r="C46">
        <f t="shared" si="1"/>
        <v>4</v>
      </c>
      <c r="D46" t="str">
        <f t="shared" si="0"/>
        <v/>
      </c>
    </row>
    <row r="47" spans="1:4" x14ac:dyDescent="0.45">
      <c r="A47">
        <v>46</v>
      </c>
      <c r="B47">
        <v>14.7</v>
      </c>
      <c r="C47">
        <f t="shared" si="1"/>
        <v>5</v>
      </c>
      <c r="D47" t="str">
        <f t="shared" si="0"/>
        <v/>
      </c>
    </row>
    <row r="48" spans="1:4" x14ac:dyDescent="0.45">
      <c r="A48">
        <v>47</v>
      </c>
      <c r="B48">
        <v>16.3</v>
      </c>
      <c r="C48">
        <f t="shared" si="1"/>
        <v>6</v>
      </c>
      <c r="D48" t="str">
        <f t="shared" si="0"/>
        <v/>
      </c>
    </row>
    <row r="49" spans="1:4" x14ac:dyDescent="0.45">
      <c r="A49">
        <v>48</v>
      </c>
      <c r="B49">
        <v>16.3</v>
      </c>
      <c r="C49">
        <f t="shared" si="1"/>
        <v>0</v>
      </c>
      <c r="D49" t="str">
        <f t="shared" si="0"/>
        <v/>
      </c>
    </row>
    <row r="50" spans="1:4" x14ac:dyDescent="0.45">
      <c r="A50">
        <v>49</v>
      </c>
      <c r="B50">
        <v>15.2</v>
      </c>
      <c r="C50">
        <f t="shared" si="1"/>
        <v>0</v>
      </c>
      <c r="D50" t="str">
        <f t="shared" si="0"/>
        <v/>
      </c>
    </row>
    <row r="51" spans="1:4" x14ac:dyDescent="0.45">
      <c r="A51">
        <v>50</v>
      </c>
      <c r="B51">
        <v>13.6</v>
      </c>
      <c r="C51">
        <f t="shared" si="1"/>
        <v>0</v>
      </c>
      <c r="D51" t="str">
        <f t="shared" si="0"/>
        <v/>
      </c>
    </row>
    <row r="52" spans="1:4" x14ac:dyDescent="0.45">
      <c r="A52">
        <v>51</v>
      </c>
      <c r="B52">
        <v>12.5</v>
      </c>
      <c r="C52">
        <f t="shared" si="1"/>
        <v>0</v>
      </c>
      <c r="D52" t="str">
        <f t="shared" si="0"/>
        <v/>
      </c>
    </row>
    <row r="53" spans="1:4" x14ac:dyDescent="0.45">
      <c r="A53">
        <v>52</v>
      </c>
      <c r="B53">
        <v>12.5</v>
      </c>
      <c r="C53">
        <f t="shared" si="1"/>
        <v>0</v>
      </c>
      <c r="D53" t="str">
        <f t="shared" si="0"/>
        <v/>
      </c>
    </row>
    <row r="54" spans="1:4" x14ac:dyDescent="0.45">
      <c r="A54">
        <v>53</v>
      </c>
      <c r="B54">
        <v>14.1</v>
      </c>
      <c r="C54">
        <f t="shared" si="1"/>
        <v>1</v>
      </c>
      <c r="D54" t="str">
        <f t="shared" si="0"/>
        <v/>
      </c>
    </row>
    <row r="55" spans="1:4" x14ac:dyDescent="0.45">
      <c r="A55">
        <v>54</v>
      </c>
      <c r="B55">
        <v>17.100000000000001</v>
      </c>
      <c r="C55">
        <f t="shared" si="1"/>
        <v>2</v>
      </c>
      <c r="D55" t="str">
        <f t="shared" si="0"/>
        <v/>
      </c>
    </row>
    <row r="56" spans="1:4" x14ac:dyDescent="0.45">
      <c r="A56">
        <v>55</v>
      </c>
      <c r="B56">
        <v>20.9</v>
      </c>
      <c r="C56">
        <f t="shared" si="1"/>
        <v>3</v>
      </c>
      <c r="D56" t="str">
        <f t="shared" si="0"/>
        <v/>
      </c>
    </row>
    <row r="57" spans="1:4" x14ac:dyDescent="0.45">
      <c r="A57">
        <v>56</v>
      </c>
      <c r="B57">
        <v>24.5</v>
      </c>
      <c r="C57">
        <f t="shared" si="1"/>
        <v>4</v>
      </c>
      <c r="D57" t="str">
        <f t="shared" si="0"/>
        <v/>
      </c>
    </row>
    <row r="58" spans="1:4" x14ac:dyDescent="0.45">
      <c r="A58">
        <v>57</v>
      </c>
      <c r="B58">
        <v>27.3</v>
      </c>
      <c r="C58">
        <f t="shared" si="1"/>
        <v>5</v>
      </c>
      <c r="D58" t="str">
        <f t="shared" si="0"/>
        <v/>
      </c>
    </row>
    <row r="59" spans="1:4" x14ac:dyDescent="0.45">
      <c r="A59">
        <v>58</v>
      </c>
      <c r="B59">
        <v>28.4</v>
      </c>
      <c r="C59">
        <f t="shared" si="1"/>
        <v>6</v>
      </c>
      <c r="D59" t="str">
        <f t="shared" si="0"/>
        <v/>
      </c>
    </row>
    <row r="60" spans="1:4" x14ac:dyDescent="0.45">
      <c r="A60">
        <v>59</v>
      </c>
      <c r="B60">
        <v>27.8</v>
      </c>
      <c r="C60">
        <f t="shared" si="1"/>
        <v>0</v>
      </c>
      <c r="D60" t="str">
        <f t="shared" si="0"/>
        <v/>
      </c>
    </row>
    <row r="61" spans="1:4" x14ac:dyDescent="0.45">
      <c r="A61">
        <v>60</v>
      </c>
      <c r="B61">
        <v>25.9</v>
      </c>
      <c r="C61">
        <f t="shared" si="1"/>
        <v>0</v>
      </c>
      <c r="D61" t="str">
        <f t="shared" si="0"/>
        <v/>
      </c>
    </row>
    <row r="62" spans="1:4" x14ac:dyDescent="0.45">
      <c r="A62">
        <v>61</v>
      </c>
      <c r="B62">
        <v>23.4</v>
      </c>
      <c r="C62">
        <f t="shared" si="1"/>
        <v>0</v>
      </c>
      <c r="D62" t="str">
        <f t="shared" si="0"/>
        <v/>
      </c>
    </row>
    <row r="63" spans="1:4" x14ac:dyDescent="0.45">
      <c r="A63">
        <v>62</v>
      </c>
      <c r="B63">
        <v>21.2</v>
      </c>
      <c r="C63">
        <f t="shared" si="1"/>
        <v>0</v>
      </c>
      <c r="D63" t="str">
        <f t="shared" si="0"/>
        <v/>
      </c>
    </row>
    <row r="64" spans="1:4" x14ac:dyDescent="0.45">
      <c r="A64">
        <v>63</v>
      </c>
      <c r="B64">
        <v>20</v>
      </c>
      <c r="C64">
        <f t="shared" si="1"/>
        <v>0</v>
      </c>
      <c r="D64" t="str">
        <f t="shared" si="0"/>
        <v/>
      </c>
    </row>
    <row r="65" spans="1:4" x14ac:dyDescent="0.45">
      <c r="A65">
        <v>64</v>
      </c>
      <c r="B65">
        <v>20.3</v>
      </c>
      <c r="C65">
        <f t="shared" si="1"/>
        <v>1</v>
      </c>
      <c r="D65" t="str">
        <f t="shared" si="0"/>
        <v/>
      </c>
    </row>
    <row r="66" spans="1:4" x14ac:dyDescent="0.45">
      <c r="A66">
        <v>65</v>
      </c>
      <c r="B66">
        <v>21.8</v>
      </c>
      <c r="C66">
        <f t="shared" si="1"/>
        <v>2</v>
      </c>
      <c r="D66" t="str">
        <f t="shared" si="0"/>
        <v/>
      </c>
    </row>
    <row r="67" spans="1:4" x14ac:dyDescent="0.45">
      <c r="A67">
        <v>66</v>
      </c>
      <c r="B67">
        <v>24</v>
      </c>
      <c r="C67">
        <f t="shared" si="1"/>
        <v>3</v>
      </c>
      <c r="D67" t="str">
        <f t="shared" ref="D67:D130" si="2">IF(C67=8,"xxxxxxxxxxxxxxxxxxxxxx","")</f>
        <v/>
      </c>
    </row>
    <row r="68" spans="1:4" x14ac:dyDescent="0.45">
      <c r="A68">
        <v>67</v>
      </c>
      <c r="B68">
        <v>26.1</v>
      </c>
      <c r="C68">
        <f t="shared" ref="C68:C131" si="3">IF(B68&gt;B67,C67+1,0)</f>
        <v>4</v>
      </c>
      <c r="D68" t="str">
        <f t="shared" si="2"/>
        <v/>
      </c>
    </row>
    <row r="69" spans="1:4" x14ac:dyDescent="0.45">
      <c r="A69">
        <v>68</v>
      </c>
      <c r="B69">
        <v>27.3</v>
      </c>
      <c r="C69">
        <f t="shared" si="3"/>
        <v>5</v>
      </c>
      <c r="D69" t="str">
        <f t="shared" si="2"/>
        <v/>
      </c>
    </row>
    <row r="70" spans="1:4" x14ac:dyDescent="0.45">
      <c r="A70">
        <v>69</v>
      </c>
      <c r="B70">
        <v>26.8</v>
      </c>
      <c r="C70">
        <f t="shared" si="3"/>
        <v>0</v>
      </c>
      <c r="D70" t="str">
        <f t="shared" si="2"/>
        <v/>
      </c>
    </row>
    <row r="71" spans="1:4" x14ac:dyDescent="0.45">
      <c r="A71">
        <v>70</v>
      </c>
      <c r="B71">
        <v>24.7</v>
      </c>
      <c r="C71">
        <f t="shared" si="3"/>
        <v>0</v>
      </c>
      <c r="D71" t="str">
        <f t="shared" si="2"/>
        <v/>
      </c>
    </row>
    <row r="72" spans="1:4" x14ac:dyDescent="0.45">
      <c r="A72">
        <v>71</v>
      </c>
      <c r="B72">
        <v>21.2</v>
      </c>
      <c r="C72">
        <f t="shared" si="3"/>
        <v>0</v>
      </c>
      <c r="D72" t="str">
        <f t="shared" si="2"/>
        <v/>
      </c>
    </row>
    <row r="73" spans="1:4" x14ac:dyDescent="0.45">
      <c r="A73">
        <v>72</v>
      </c>
      <c r="B73">
        <v>17.3</v>
      </c>
      <c r="C73">
        <f t="shared" si="3"/>
        <v>0</v>
      </c>
      <c r="D73" t="str">
        <f t="shared" si="2"/>
        <v/>
      </c>
    </row>
    <row r="74" spans="1:4" x14ac:dyDescent="0.45">
      <c r="A74">
        <v>73</v>
      </c>
      <c r="B74">
        <v>13.7</v>
      </c>
      <c r="C74">
        <f t="shared" si="3"/>
        <v>0</v>
      </c>
      <c r="D74" t="str">
        <f t="shared" si="2"/>
        <v/>
      </c>
    </row>
    <row r="75" spans="1:4" x14ac:dyDescent="0.45">
      <c r="A75">
        <v>74</v>
      </c>
      <c r="B75">
        <v>11.3</v>
      </c>
      <c r="C75">
        <f t="shared" si="3"/>
        <v>0</v>
      </c>
      <c r="D75" t="str">
        <f t="shared" si="2"/>
        <v/>
      </c>
    </row>
    <row r="76" spans="1:4" x14ac:dyDescent="0.45">
      <c r="A76">
        <v>75</v>
      </c>
      <c r="B76">
        <v>10.5</v>
      </c>
      <c r="C76">
        <f t="shared" si="3"/>
        <v>0</v>
      </c>
      <c r="D76" t="str">
        <f t="shared" si="2"/>
        <v/>
      </c>
    </row>
    <row r="77" spans="1:4" x14ac:dyDescent="0.45">
      <c r="A77">
        <v>76</v>
      </c>
      <c r="B77">
        <v>11</v>
      </c>
      <c r="C77">
        <f t="shared" si="3"/>
        <v>1</v>
      </c>
      <c r="D77" t="str">
        <f t="shared" si="2"/>
        <v/>
      </c>
    </row>
    <row r="78" spans="1:4" x14ac:dyDescent="0.45">
      <c r="A78">
        <v>77</v>
      </c>
      <c r="B78">
        <v>12.5</v>
      </c>
      <c r="C78">
        <f t="shared" si="3"/>
        <v>2</v>
      </c>
      <c r="D78" t="str">
        <f t="shared" si="2"/>
        <v/>
      </c>
    </row>
    <row r="79" spans="1:4" x14ac:dyDescent="0.45">
      <c r="A79">
        <v>78</v>
      </c>
      <c r="B79">
        <v>14</v>
      </c>
      <c r="C79">
        <f t="shared" si="3"/>
        <v>3</v>
      </c>
      <c r="D79" t="str">
        <f t="shared" si="2"/>
        <v/>
      </c>
    </row>
    <row r="80" spans="1:4" x14ac:dyDescent="0.45">
      <c r="A80">
        <v>79</v>
      </c>
      <c r="B80">
        <v>14.7</v>
      </c>
      <c r="C80">
        <f t="shared" si="3"/>
        <v>4</v>
      </c>
      <c r="D80" t="str">
        <f t="shared" si="2"/>
        <v/>
      </c>
    </row>
    <row r="81" spans="1:4" x14ac:dyDescent="0.45">
      <c r="A81">
        <v>80</v>
      </c>
      <c r="B81">
        <v>14.1</v>
      </c>
      <c r="C81">
        <f t="shared" si="3"/>
        <v>0</v>
      </c>
      <c r="D81" t="str">
        <f t="shared" si="2"/>
        <v/>
      </c>
    </row>
    <row r="82" spans="1:4" x14ac:dyDescent="0.45">
      <c r="A82">
        <v>81</v>
      </c>
      <c r="B82">
        <v>11.9</v>
      </c>
      <c r="C82">
        <f t="shared" si="3"/>
        <v>0</v>
      </c>
      <c r="D82" t="str">
        <f t="shared" si="2"/>
        <v/>
      </c>
    </row>
    <row r="83" spans="1:4" x14ac:dyDescent="0.45">
      <c r="A83">
        <v>82</v>
      </c>
      <c r="B83">
        <v>8.6999999999999993</v>
      </c>
      <c r="C83">
        <f t="shared" si="3"/>
        <v>0</v>
      </c>
      <c r="D83" t="str">
        <f t="shared" si="2"/>
        <v/>
      </c>
    </row>
    <row r="84" spans="1:4" x14ac:dyDescent="0.45">
      <c r="A84">
        <v>83</v>
      </c>
      <c r="B84">
        <v>5.0999999999999996</v>
      </c>
      <c r="C84">
        <f t="shared" si="3"/>
        <v>0</v>
      </c>
      <c r="D84" t="str">
        <f t="shared" si="2"/>
        <v/>
      </c>
    </row>
    <row r="85" spans="1:4" x14ac:dyDescent="0.45">
      <c r="A85">
        <v>84</v>
      </c>
      <c r="B85">
        <v>2.2000000000000002</v>
      </c>
      <c r="C85">
        <f t="shared" si="3"/>
        <v>0</v>
      </c>
      <c r="D85" t="str">
        <f t="shared" si="2"/>
        <v/>
      </c>
    </row>
    <row r="86" spans="1:4" x14ac:dyDescent="0.45">
      <c r="A86">
        <v>85</v>
      </c>
      <c r="B86">
        <v>0.5</v>
      </c>
      <c r="C86">
        <f t="shared" si="3"/>
        <v>0</v>
      </c>
      <c r="D86" t="str">
        <f t="shared" si="2"/>
        <v/>
      </c>
    </row>
    <row r="87" spans="1:4" x14ac:dyDescent="0.45">
      <c r="A87">
        <v>86</v>
      </c>
      <c r="B87">
        <v>0.6</v>
      </c>
      <c r="C87">
        <f t="shared" si="3"/>
        <v>1</v>
      </c>
      <c r="D87" t="str">
        <f t="shared" si="2"/>
        <v/>
      </c>
    </row>
    <row r="88" spans="1:4" x14ac:dyDescent="0.45">
      <c r="A88">
        <v>87</v>
      </c>
      <c r="B88">
        <v>2.2999999999999998</v>
      </c>
      <c r="C88">
        <f t="shared" si="3"/>
        <v>2</v>
      </c>
      <c r="D88" t="str">
        <f t="shared" si="2"/>
        <v/>
      </c>
    </row>
    <row r="89" spans="1:4" x14ac:dyDescent="0.45">
      <c r="A89">
        <v>88</v>
      </c>
      <c r="B89">
        <v>5</v>
      </c>
      <c r="C89">
        <f t="shared" si="3"/>
        <v>3</v>
      </c>
      <c r="D89" t="str">
        <f t="shared" si="2"/>
        <v/>
      </c>
    </row>
    <row r="90" spans="1:4" x14ac:dyDescent="0.45">
      <c r="A90">
        <v>89</v>
      </c>
      <c r="B90">
        <v>7.9</v>
      </c>
      <c r="C90">
        <f t="shared" si="3"/>
        <v>4</v>
      </c>
      <c r="D90" t="str">
        <f t="shared" si="2"/>
        <v/>
      </c>
    </row>
    <row r="91" spans="1:4" x14ac:dyDescent="0.45">
      <c r="A91">
        <v>90</v>
      </c>
      <c r="B91">
        <v>10</v>
      </c>
      <c r="C91">
        <f t="shared" si="3"/>
        <v>5</v>
      </c>
      <c r="D91" t="str">
        <f t="shared" si="2"/>
        <v/>
      </c>
    </row>
    <row r="92" spans="1:4" x14ac:dyDescent="0.45">
      <c r="A92">
        <v>91</v>
      </c>
      <c r="B92">
        <v>10.9</v>
      </c>
      <c r="C92">
        <f t="shared" si="3"/>
        <v>6</v>
      </c>
      <c r="D92" t="str">
        <f t="shared" si="2"/>
        <v/>
      </c>
    </row>
    <row r="93" spans="1:4" x14ac:dyDescent="0.45">
      <c r="A93">
        <v>92</v>
      </c>
      <c r="B93">
        <v>10.3</v>
      </c>
      <c r="C93">
        <f t="shared" si="3"/>
        <v>0</v>
      </c>
      <c r="D93" t="str">
        <f t="shared" si="2"/>
        <v/>
      </c>
    </row>
    <row r="94" spans="1:4" x14ac:dyDescent="0.45">
      <c r="A94">
        <v>93</v>
      </c>
      <c r="B94">
        <v>8.6999999999999993</v>
      </c>
      <c r="C94">
        <f t="shared" si="3"/>
        <v>0</v>
      </c>
      <c r="D94" t="str">
        <f t="shared" si="2"/>
        <v/>
      </c>
    </row>
    <row r="95" spans="1:4" x14ac:dyDescent="0.45">
      <c r="A95">
        <v>94</v>
      </c>
      <c r="B95">
        <v>6.7</v>
      </c>
      <c r="C95">
        <f t="shared" si="3"/>
        <v>0</v>
      </c>
      <c r="D95" t="str">
        <f t="shared" si="2"/>
        <v/>
      </c>
    </row>
    <row r="96" spans="1:4" x14ac:dyDescent="0.45">
      <c r="A96">
        <v>95</v>
      </c>
      <c r="B96">
        <v>5.3</v>
      </c>
      <c r="C96">
        <f t="shared" si="3"/>
        <v>0</v>
      </c>
      <c r="D96" t="str">
        <f t="shared" si="2"/>
        <v/>
      </c>
    </row>
    <row r="97" spans="1:4" x14ac:dyDescent="0.45">
      <c r="A97">
        <v>96</v>
      </c>
      <c r="B97">
        <v>5.2</v>
      </c>
      <c r="C97">
        <f t="shared" si="3"/>
        <v>0</v>
      </c>
      <c r="D97" t="str">
        <f t="shared" si="2"/>
        <v/>
      </c>
    </row>
    <row r="98" spans="1:4" x14ac:dyDescent="0.45">
      <c r="A98">
        <v>97</v>
      </c>
      <c r="B98">
        <v>6.8</v>
      </c>
      <c r="C98">
        <f t="shared" si="3"/>
        <v>1</v>
      </c>
      <c r="D98" t="str">
        <f t="shared" si="2"/>
        <v/>
      </c>
    </row>
    <row r="99" spans="1:4" x14ac:dyDescent="0.45">
      <c r="A99">
        <v>98</v>
      </c>
      <c r="B99">
        <v>9.8000000000000007</v>
      </c>
      <c r="C99">
        <f t="shared" si="3"/>
        <v>2</v>
      </c>
      <c r="D99" t="str">
        <f t="shared" si="2"/>
        <v/>
      </c>
    </row>
    <row r="100" spans="1:4" x14ac:dyDescent="0.45">
      <c r="A100">
        <v>99</v>
      </c>
      <c r="B100">
        <v>13.7</v>
      </c>
      <c r="C100">
        <f t="shared" si="3"/>
        <v>3</v>
      </c>
      <c r="D100" t="str">
        <f t="shared" si="2"/>
        <v/>
      </c>
    </row>
    <row r="101" spans="1:4" x14ac:dyDescent="0.45">
      <c r="A101">
        <v>100</v>
      </c>
      <c r="B101">
        <v>17.7</v>
      </c>
      <c r="C101">
        <f t="shared" si="3"/>
        <v>4</v>
      </c>
      <c r="D101" t="str">
        <f t="shared" si="2"/>
        <v/>
      </c>
    </row>
    <row r="102" spans="1:4" x14ac:dyDescent="0.45">
      <c r="A102">
        <v>101</v>
      </c>
      <c r="B102">
        <v>20.8</v>
      </c>
      <c r="C102">
        <f t="shared" si="3"/>
        <v>5</v>
      </c>
      <c r="D102" t="str">
        <f t="shared" si="2"/>
        <v/>
      </c>
    </row>
    <row r="103" spans="1:4" x14ac:dyDescent="0.45">
      <c r="A103">
        <v>102</v>
      </c>
      <c r="B103">
        <v>22.4</v>
      </c>
      <c r="C103">
        <f t="shared" si="3"/>
        <v>6</v>
      </c>
      <c r="D103" t="str">
        <f t="shared" si="2"/>
        <v/>
      </c>
    </row>
    <row r="104" spans="1:4" x14ac:dyDescent="0.45">
      <c r="A104">
        <v>103</v>
      </c>
      <c r="B104">
        <v>22.5</v>
      </c>
      <c r="C104">
        <f t="shared" si="3"/>
        <v>7</v>
      </c>
      <c r="D104" t="str">
        <f t="shared" si="2"/>
        <v/>
      </c>
    </row>
    <row r="105" spans="1:4" x14ac:dyDescent="0.45">
      <c r="A105">
        <v>104</v>
      </c>
      <c r="B105">
        <v>21.2</v>
      </c>
      <c r="C105">
        <f t="shared" si="3"/>
        <v>0</v>
      </c>
      <c r="D105" t="str">
        <f t="shared" si="2"/>
        <v/>
      </c>
    </row>
    <row r="106" spans="1:4" x14ac:dyDescent="0.45">
      <c r="A106">
        <v>105</v>
      </c>
      <c r="B106">
        <v>19.5</v>
      </c>
      <c r="C106">
        <f t="shared" si="3"/>
        <v>0</v>
      </c>
      <c r="D106" t="str">
        <f t="shared" si="2"/>
        <v/>
      </c>
    </row>
    <row r="107" spans="1:4" x14ac:dyDescent="0.45">
      <c r="A107">
        <v>106</v>
      </c>
      <c r="B107">
        <v>18.100000000000001</v>
      </c>
      <c r="C107">
        <f t="shared" si="3"/>
        <v>0</v>
      </c>
      <c r="D107" t="str">
        <f t="shared" si="2"/>
        <v/>
      </c>
    </row>
    <row r="108" spans="1:4" x14ac:dyDescent="0.45">
      <c r="A108">
        <v>107</v>
      </c>
      <c r="B108">
        <v>17.8</v>
      </c>
      <c r="C108">
        <f t="shared" si="3"/>
        <v>0</v>
      </c>
      <c r="D108" t="str">
        <f t="shared" si="2"/>
        <v/>
      </c>
    </row>
    <row r="109" spans="1:4" x14ac:dyDescent="0.45">
      <c r="A109">
        <v>108</v>
      </c>
      <c r="B109">
        <v>18.899999999999999</v>
      </c>
      <c r="C109">
        <f t="shared" si="3"/>
        <v>1</v>
      </c>
      <c r="D109" t="str">
        <f t="shared" si="2"/>
        <v/>
      </c>
    </row>
    <row r="110" spans="1:4" x14ac:dyDescent="0.45">
      <c r="A110">
        <v>109</v>
      </c>
      <c r="B110">
        <v>21.3</v>
      </c>
      <c r="C110">
        <f t="shared" si="3"/>
        <v>2</v>
      </c>
      <c r="D110" t="str">
        <f t="shared" si="2"/>
        <v/>
      </c>
    </row>
    <row r="111" spans="1:4" x14ac:dyDescent="0.45">
      <c r="A111">
        <v>110</v>
      </c>
      <c r="B111">
        <v>24.5</v>
      </c>
      <c r="C111">
        <f t="shared" si="3"/>
        <v>3</v>
      </c>
      <c r="D111" t="str">
        <f t="shared" si="2"/>
        <v/>
      </c>
    </row>
    <row r="112" spans="1:4" x14ac:dyDescent="0.45">
      <c r="A112">
        <v>111</v>
      </c>
      <c r="B112">
        <v>27.5</v>
      </c>
      <c r="C112">
        <f t="shared" si="3"/>
        <v>4</v>
      </c>
      <c r="D112" t="str">
        <f t="shared" si="2"/>
        <v/>
      </c>
    </row>
    <row r="113" spans="1:4" x14ac:dyDescent="0.45">
      <c r="A113">
        <v>112</v>
      </c>
      <c r="B113">
        <v>29.5</v>
      </c>
      <c r="C113">
        <f t="shared" si="3"/>
        <v>5</v>
      </c>
      <c r="D113" t="str">
        <f t="shared" si="2"/>
        <v/>
      </c>
    </row>
    <row r="114" spans="1:4" x14ac:dyDescent="0.45">
      <c r="A114">
        <v>113</v>
      </c>
      <c r="B114">
        <v>29.9</v>
      </c>
      <c r="C114">
        <f t="shared" si="3"/>
        <v>6</v>
      </c>
      <c r="D114" t="str">
        <f t="shared" si="2"/>
        <v/>
      </c>
    </row>
    <row r="115" spans="1:4" x14ac:dyDescent="0.45">
      <c r="A115">
        <v>114</v>
      </c>
      <c r="B115">
        <v>28.6</v>
      </c>
      <c r="C115">
        <f t="shared" si="3"/>
        <v>0</v>
      </c>
      <c r="D115" t="str">
        <f t="shared" si="2"/>
        <v/>
      </c>
    </row>
    <row r="116" spans="1:4" x14ac:dyDescent="0.45">
      <c r="A116">
        <v>115</v>
      </c>
      <c r="B116">
        <v>25.9</v>
      </c>
      <c r="C116">
        <f t="shared" si="3"/>
        <v>0</v>
      </c>
      <c r="D116" t="str">
        <f t="shared" si="2"/>
        <v/>
      </c>
    </row>
    <row r="117" spans="1:4" x14ac:dyDescent="0.45">
      <c r="A117">
        <v>116</v>
      </c>
      <c r="B117">
        <v>22.6</v>
      </c>
      <c r="C117">
        <f t="shared" si="3"/>
        <v>0</v>
      </c>
      <c r="D117" t="str">
        <f t="shared" si="2"/>
        <v/>
      </c>
    </row>
    <row r="118" spans="1:4" x14ac:dyDescent="0.45">
      <c r="A118">
        <v>117</v>
      </c>
      <c r="B118">
        <v>19.7</v>
      </c>
      <c r="C118">
        <f t="shared" si="3"/>
        <v>0</v>
      </c>
      <c r="D118" t="str">
        <f t="shared" si="2"/>
        <v/>
      </c>
    </row>
    <row r="119" spans="1:4" x14ac:dyDescent="0.45">
      <c r="A119">
        <v>118</v>
      </c>
      <c r="B119">
        <v>17.8</v>
      </c>
      <c r="C119">
        <f t="shared" si="3"/>
        <v>0</v>
      </c>
      <c r="D119" t="str">
        <f t="shared" si="2"/>
        <v/>
      </c>
    </row>
    <row r="120" spans="1:4" x14ac:dyDescent="0.45">
      <c r="A120">
        <v>119</v>
      </c>
      <c r="B120">
        <v>17.3</v>
      </c>
      <c r="C120">
        <f t="shared" si="3"/>
        <v>0</v>
      </c>
      <c r="D120" t="str">
        <f t="shared" si="2"/>
        <v/>
      </c>
    </row>
    <row r="121" spans="1:4" x14ac:dyDescent="0.45">
      <c r="A121">
        <v>120</v>
      </c>
      <c r="B121">
        <v>18.2</v>
      </c>
      <c r="C121">
        <f t="shared" si="3"/>
        <v>1</v>
      </c>
      <c r="D121" t="str">
        <f t="shared" si="2"/>
        <v/>
      </c>
    </row>
    <row r="122" spans="1:4" x14ac:dyDescent="0.45">
      <c r="A122">
        <v>121</v>
      </c>
      <c r="B122">
        <v>19.8</v>
      </c>
      <c r="C122">
        <f t="shared" si="3"/>
        <v>2</v>
      </c>
      <c r="D122" t="str">
        <f t="shared" si="2"/>
        <v/>
      </c>
    </row>
    <row r="123" spans="1:4" x14ac:dyDescent="0.45">
      <c r="A123">
        <v>122</v>
      </c>
      <c r="B123">
        <v>21.4</v>
      </c>
      <c r="C123">
        <f t="shared" si="3"/>
        <v>3</v>
      </c>
      <c r="D123" t="str">
        <f t="shared" si="2"/>
        <v/>
      </c>
    </row>
    <row r="124" spans="1:4" x14ac:dyDescent="0.45">
      <c r="A124">
        <v>123</v>
      </c>
      <c r="B124">
        <v>22</v>
      </c>
      <c r="C124">
        <f t="shared" si="3"/>
        <v>4</v>
      </c>
      <c r="D124" t="str">
        <f t="shared" si="2"/>
        <v/>
      </c>
    </row>
    <row r="125" spans="1:4" x14ac:dyDescent="0.45">
      <c r="A125">
        <v>124</v>
      </c>
      <c r="B125">
        <v>21.2</v>
      </c>
      <c r="C125">
        <f t="shared" si="3"/>
        <v>0</v>
      </c>
      <c r="D125" t="str">
        <f t="shared" si="2"/>
        <v/>
      </c>
    </row>
    <row r="126" spans="1:4" x14ac:dyDescent="0.45">
      <c r="A126">
        <v>125</v>
      </c>
      <c r="B126">
        <v>18.8</v>
      </c>
      <c r="C126">
        <f t="shared" si="3"/>
        <v>0</v>
      </c>
      <c r="D126" t="str">
        <f t="shared" si="2"/>
        <v/>
      </c>
    </row>
    <row r="127" spans="1:4" x14ac:dyDescent="0.45">
      <c r="A127">
        <v>126</v>
      </c>
      <c r="B127">
        <v>15.2</v>
      </c>
      <c r="C127">
        <f t="shared" si="3"/>
        <v>0</v>
      </c>
      <c r="D127" t="str">
        <f t="shared" si="2"/>
        <v/>
      </c>
    </row>
    <row r="128" spans="1:4" x14ac:dyDescent="0.45">
      <c r="A128">
        <v>127</v>
      </c>
      <c r="B128">
        <v>11.1</v>
      </c>
      <c r="C128">
        <f t="shared" si="3"/>
        <v>0</v>
      </c>
      <c r="D128" t="str">
        <f t="shared" si="2"/>
        <v/>
      </c>
    </row>
    <row r="129" spans="1:4" x14ac:dyDescent="0.45">
      <c r="A129">
        <v>128</v>
      </c>
      <c r="B129">
        <v>7.5</v>
      </c>
      <c r="C129">
        <f t="shared" si="3"/>
        <v>0</v>
      </c>
      <c r="D129" t="str">
        <f t="shared" si="2"/>
        <v/>
      </c>
    </row>
    <row r="130" spans="1:4" x14ac:dyDescent="0.45">
      <c r="A130">
        <v>129</v>
      </c>
      <c r="B130">
        <v>5.2</v>
      </c>
      <c r="C130">
        <f t="shared" si="3"/>
        <v>0</v>
      </c>
      <c r="D130" t="str">
        <f t="shared" si="2"/>
        <v/>
      </c>
    </row>
    <row r="131" spans="1:4" x14ac:dyDescent="0.45">
      <c r="A131">
        <v>130</v>
      </c>
      <c r="B131">
        <v>4.5999999999999996</v>
      </c>
      <c r="C131">
        <f t="shared" si="3"/>
        <v>0</v>
      </c>
      <c r="D131" t="str">
        <f t="shared" ref="D131:D194" si="4">IF(C131=8,"xxxxxxxxxxxxxxxxxxxxxx","")</f>
        <v/>
      </c>
    </row>
    <row r="132" spans="1:4" x14ac:dyDescent="0.45">
      <c r="A132">
        <v>131</v>
      </c>
      <c r="B132">
        <v>5.5</v>
      </c>
      <c r="C132">
        <f t="shared" ref="C132:C195" si="5">IF(B132&gt;B131,C131+1,0)</f>
        <v>1</v>
      </c>
      <c r="D132" t="str">
        <f t="shared" si="4"/>
        <v/>
      </c>
    </row>
    <row r="133" spans="1:4" x14ac:dyDescent="0.45">
      <c r="A133">
        <v>132</v>
      </c>
      <c r="B133">
        <v>7.3</v>
      </c>
      <c r="C133">
        <f t="shared" si="5"/>
        <v>2</v>
      </c>
      <c r="D133" t="str">
        <f t="shared" si="4"/>
        <v/>
      </c>
    </row>
    <row r="134" spans="1:4" x14ac:dyDescent="0.45">
      <c r="A134">
        <v>133</v>
      </c>
      <c r="B134">
        <v>9.3000000000000007</v>
      </c>
      <c r="C134">
        <f t="shared" si="5"/>
        <v>3</v>
      </c>
      <c r="D134" t="str">
        <f t="shared" si="4"/>
        <v/>
      </c>
    </row>
    <row r="135" spans="1:4" x14ac:dyDescent="0.45">
      <c r="A135">
        <v>134</v>
      </c>
      <c r="B135">
        <v>10.5</v>
      </c>
      <c r="C135">
        <f t="shared" si="5"/>
        <v>4</v>
      </c>
      <c r="D135" t="str">
        <f t="shared" si="4"/>
        <v/>
      </c>
    </row>
    <row r="136" spans="1:4" x14ac:dyDescent="0.45">
      <c r="A136">
        <v>135</v>
      </c>
      <c r="B136">
        <v>10.4</v>
      </c>
      <c r="C136">
        <f t="shared" si="5"/>
        <v>0</v>
      </c>
      <c r="D136" t="str">
        <f t="shared" si="4"/>
        <v/>
      </c>
    </row>
    <row r="137" spans="1:4" x14ac:dyDescent="0.45">
      <c r="A137">
        <v>136</v>
      </c>
      <c r="B137">
        <v>9</v>
      </c>
      <c r="C137">
        <f t="shared" si="5"/>
        <v>0</v>
      </c>
      <c r="D137" t="str">
        <f t="shared" si="4"/>
        <v/>
      </c>
    </row>
    <row r="138" spans="1:4" x14ac:dyDescent="0.45">
      <c r="A138">
        <v>137</v>
      </c>
      <c r="B138">
        <v>6.4</v>
      </c>
      <c r="C138">
        <f t="shared" si="5"/>
        <v>0</v>
      </c>
      <c r="D138" t="str">
        <f t="shared" si="4"/>
        <v/>
      </c>
    </row>
    <row r="139" spans="1:4" x14ac:dyDescent="0.45">
      <c r="A139">
        <v>138</v>
      </c>
      <c r="B139">
        <v>3.6</v>
      </c>
      <c r="C139">
        <f t="shared" si="5"/>
        <v>0</v>
      </c>
      <c r="D139" t="str">
        <f t="shared" si="4"/>
        <v/>
      </c>
    </row>
    <row r="140" spans="1:4" x14ac:dyDescent="0.45">
      <c r="A140">
        <v>139</v>
      </c>
      <c r="B140">
        <v>1.4</v>
      </c>
      <c r="C140">
        <f t="shared" si="5"/>
        <v>0</v>
      </c>
      <c r="D140" t="str">
        <f t="shared" si="4"/>
        <v/>
      </c>
    </row>
    <row r="141" spans="1:4" x14ac:dyDescent="0.45">
      <c r="A141">
        <v>140</v>
      </c>
      <c r="B141">
        <v>0.5</v>
      </c>
      <c r="C141">
        <f t="shared" si="5"/>
        <v>0</v>
      </c>
      <c r="D141" t="str">
        <f t="shared" si="4"/>
        <v/>
      </c>
    </row>
    <row r="142" spans="1:4" x14ac:dyDescent="0.45">
      <c r="A142">
        <v>141</v>
      </c>
      <c r="B142">
        <v>1.4</v>
      </c>
      <c r="C142">
        <f t="shared" si="5"/>
        <v>1</v>
      </c>
      <c r="D142" t="str">
        <f t="shared" si="4"/>
        <v/>
      </c>
    </row>
    <row r="143" spans="1:4" x14ac:dyDescent="0.45">
      <c r="A143">
        <v>142</v>
      </c>
      <c r="B143">
        <v>3.9</v>
      </c>
      <c r="C143">
        <f t="shared" si="5"/>
        <v>2</v>
      </c>
      <c r="D143" t="str">
        <f t="shared" si="4"/>
        <v/>
      </c>
    </row>
    <row r="144" spans="1:4" x14ac:dyDescent="0.45">
      <c r="A144">
        <v>143</v>
      </c>
      <c r="B144">
        <v>7.3</v>
      </c>
      <c r="C144">
        <f t="shared" si="5"/>
        <v>3</v>
      </c>
      <c r="D144" t="str">
        <f t="shared" si="4"/>
        <v/>
      </c>
    </row>
    <row r="145" spans="1:4" x14ac:dyDescent="0.45">
      <c r="A145">
        <v>144</v>
      </c>
      <c r="B145">
        <v>10.9</v>
      </c>
      <c r="C145">
        <f t="shared" si="5"/>
        <v>4</v>
      </c>
      <c r="D145" t="str">
        <f t="shared" si="4"/>
        <v/>
      </c>
    </row>
    <row r="146" spans="1:4" x14ac:dyDescent="0.45">
      <c r="A146">
        <v>145</v>
      </c>
      <c r="B146">
        <v>13.7</v>
      </c>
      <c r="C146">
        <f t="shared" si="5"/>
        <v>5</v>
      </c>
      <c r="D146" t="str">
        <f t="shared" si="4"/>
        <v/>
      </c>
    </row>
    <row r="147" spans="1:4" x14ac:dyDescent="0.45">
      <c r="A147">
        <v>146</v>
      </c>
      <c r="B147">
        <v>15.1</v>
      </c>
      <c r="C147">
        <f t="shared" si="5"/>
        <v>6</v>
      </c>
      <c r="D147" t="str">
        <f t="shared" si="4"/>
        <v/>
      </c>
    </row>
    <row r="148" spans="1:4" x14ac:dyDescent="0.45">
      <c r="A148">
        <v>147</v>
      </c>
      <c r="B148">
        <v>15.1</v>
      </c>
      <c r="C148">
        <f t="shared" si="5"/>
        <v>0</v>
      </c>
      <c r="D148" t="str">
        <f t="shared" si="4"/>
        <v/>
      </c>
    </row>
    <row r="149" spans="1:4" x14ac:dyDescent="0.45">
      <c r="A149">
        <v>148</v>
      </c>
      <c r="B149">
        <v>13.9</v>
      </c>
      <c r="C149">
        <f t="shared" si="5"/>
        <v>0</v>
      </c>
      <c r="D149" t="str">
        <f t="shared" si="4"/>
        <v/>
      </c>
    </row>
    <row r="150" spans="1:4" x14ac:dyDescent="0.45">
      <c r="A150">
        <v>149</v>
      </c>
      <c r="B150">
        <v>12.3</v>
      </c>
      <c r="C150">
        <f t="shared" si="5"/>
        <v>0</v>
      </c>
      <c r="D150" t="str">
        <f t="shared" si="4"/>
        <v/>
      </c>
    </row>
    <row r="151" spans="1:4" x14ac:dyDescent="0.45">
      <c r="A151">
        <v>150</v>
      </c>
      <c r="B151">
        <v>11.2</v>
      </c>
      <c r="C151">
        <f t="shared" si="5"/>
        <v>0</v>
      </c>
      <c r="D151" t="str">
        <f t="shared" si="4"/>
        <v/>
      </c>
    </row>
    <row r="152" spans="1:4" x14ac:dyDescent="0.45">
      <c r="A152">
        <v>151</v>
      </c>
      <c r="B152">
        <v>11.3</v>
      </c>
      <c r="C152">
        <f t="shared" si="5"/>
        <v>1</v>
      </c>
      <c r="D152" t="str">
        <f t="shared" si="4"/>
        <v/>
      </c>
    </row>
    <row r="153" spans="1:4" x14ac:dyDescent="0.45">
      <c r="A153">
        <v>152</v>
      </c>
      <c r="B153">
        <v>12.9</v>
      </c>
      <c r="C153">
        <f t="shared" si="5"/>
        <v>2</v>
      </c>
      <c r="D153" t="str">
        <f t="shared" si="4"/>
        <v/>
      </c>
    </row>
    <row r="154" spans="1:4" x14ac:dyDescent="0.45">
      <c r="A154">
        <v>153</v>
      </c>
      <c r="B154">
        <v>16</v>
      </c>
      <c r="C154">
        <f t="shared" si="5"/>
        <v>3</v>
      </c>
      <c r="D154" t="str">
        <f t="shared" si="4"/>
        <v/>
      </c>
    </row>
    <row r="155" spans="1:4" x14ac:dyDescent="0.45">
      <c r="A155">
        <v>154</v>
      </c>
      <c r="B155">
        <v>19.8</v>
      </c>
      <c r="C155">
        <f t="shared" si="5"/>
        <v>4</v>
      </c>
      <c r="D155" t="str">
        <f t="shared" si="4"/>
        <v/>
      </c>
    </row>
    <row r="156" spans="1:4" x14ac:dyDescent="0.45">
      <c r="A156">
        <v>155</v>
      </c>
      <c r="B156">
        <v>23.6</v>
      </c>
      <c r="C156">
        <f t="shared" si="5"/>
        <v>5</v>
      </c>
      <c r="D156" t="str">
        <f t="shared" si="4"/>
        <v/>
      </c>
    </row>
    <row r="157" spans="1:4" x14ac:dyDescent="0.45">
      <c r="A157">
        <v>156</v>
      </c>
      <c r="B157">
        <v>26.4</v>
      </c>
      <c r="C157">
        <f t="shared" si="5"/>
        <v>6</v>
      </c>
      <c r="D157" t="str">
        <f t="shared" si="4"/>
        <v/>
      </c>
    </row>
    <row r="158" spans="1:4" x14ac:dyDescent="0.45">
      <c r="A158">
        <v>157</v>
      </c>
      <c r="B158">
        <v>27.7</v>
      </c>
      <c r="C158">
        <f t="shared" si="5"/>
        <v>7</v>
      </c>
      <c r="D158" t="str">
        <f t="shared" si="4"/>
        <v/>
      </c>
    </row>
    <row r="159" spans="1:4" x14ac:dyDescent="0.45">
      <c r="A159">
        <v>158</v>
      </c>
      <c r="B159">
        <v>27.2</v>
      </c>
      <c r="C159">
        <f t="shared" si="5"/>
        <v>0</v>
      </c>
      <c r="D159" t="str">
        <f t="shared" si="4"/>
        <v/>
      </c>
    </row>
    <row r="160" spans="1:4" x14ac:dyDescent="0.45">
      <c r="A160">
        <v>159</v>
      </c>
      <c r="B160">
        <v>25.5</v>
      </c>
      <c r="C160">
        <f t="shared" si="5"/>
        <v>0</v>
      </c>
      <c r="D160" t="str">
        <f t="shared" si="4"/>
        <v/>
      </c>
    </row>
    <row r="161" spans="1:4" x14ac:dyDescent="0.45">
      <c r="A161">
        <v>160</v>
      </c>
      <c r="B161">
        <v>23.1</v>
      </c>
      <c r="C161">
        <f t="shared" si="5"/>
        <v>0</v>
      </c>
      <c r="D161" t="str">
        <f t="shared" si="4"/>
        <v/>
      </c>
    </row>
    <row r="162" spans="1:4" x14ac:dyDescent="0.45">
      <c r="A162">
        <v>161</v>
      </c>
      <c r="B162">
        <v>21</v>
      </c>
      <c r="C162">
        <f t="shared" si="5"/>
        <v>0</v>
      </c>
      <c r="D162" t="str">
        <f t="shared" si="4"/>
        <v/>
      </c>
    </row>
    <row r="163" spans="1:4" x14ac:dyDescent="0.45">
      <c r="A163">
        <v>162</v>
      </c>
      <c r="B163">
        <v>20</v>
      </c>
      <c r="C163">
        <f t="shared" si="5"/>
        <v>0</v>
      </c>
      <c r="D163" t="str">
        <f t="shared" si="4"/>
        <v/>
      </c>
    </row>
    <row r="164" spans="1:4" x14ac:dyDescent="0.45">
      <c r="A164">
        <v>163</v>
      </c>
      <c r="B164">
        <v>20.399999999999999</v>
      </c>
      <c r="C164">
        <f t="shared" si="5"/>
        <v>1</v>
      </c>
      <c r="D164" t="str">
        <f t="shared" si="4"/>
        <v/>
      </c>
    </row>
    <row r="165" spans="1:4" x14ac:dyDescent="0.45">
      <c r="A165">
        <v>164</v>
      </c>
      <c r="B165">
        <v>22.1</v>
      </c>
      <c r="C165">
        <f t="shared" si="5"/>
        <v>2</v>
      </c>
      <c r="D165" t="str">
        <f t="shared" si="4"/>
        <v/>
      </c>
    </row>
    <row r="166" spans="1:4" x14ac:dyDescent="0.45">
      <c r="A166">
        <v>165</v>
      </c>
      <c r="B166">
        <v>24.5</v>
      </c>
      <c r="C166">
        <f t="shared" si="5"/>
        <v>3</v>
      </c>
      <c r="D166" t="str">
        <f t="shared" si="4"/>
        <v/>
      </c>
    </row>
    <row r="167" spans="1:4" x14ac:dyDescent="0.45">
      <c r="A167">
        <v>166</v>
      </c>
      <c r="B167">
        <v>26.8</v>
      </c>
      <c r="C167">
        <f t="shared" si="5"/>
        <v>4</v>
      </c>
      <c r="D167" t="str">
        <f t="shared" si="4"/>
        <v/>
      </c>
    </row>
    <row r="168" spans="1:4" x14ac:dyDescent="0.45">
      <c r="A168">
        <v>167</v>
      </c>
      <c r="B168">
        <v>28</v>
      </c>
      <c r="C168">
        <f t="shared" si="5"/>
        <v>5</v>
      </c>
      <c r="D168" t="str">
        <f t="shared" si="4"/>
        <v/>
      </c>
    </row>
    <row r="169" spans="1:4" x14ac:dyDescent="0.45">
      <c r="A169">
        <v>168</v>
      </c>
      <c r="B169">
        <v>27.7</v>
      </c>
      <c r="C169">
        <f t="shared" si="5"/>
        <v>0</v>
      </c>
      <c r="D169" t="str">
        <f t="shared" si="4"/>
        <v/>
      </c>
    </row>
    <row r="170" spans="1:4" x14ac:dyDescent="0.45">
      <c r="A170">
        <v>169</v>
      </c>
      <c r="B170">
        <v>25.6</v>
      </c>
      <c r="C170">
        <f t="shared" si="5"/>
        <v>0</v>
      </c>
      <c r="D170" t="str">
        <f t="shared" si="4"/>
        <v/>
      </c>
    </row>
    <row r="171" spans="1:4" x14ac:dyDescent="0.45">
      <c r="A171">
        <v>170</v>
      </c>
      <c r="B171">
        <v>22.3</v>
      </c>
      <c r="C171">
        <f t="shared" si="5"/>
        <v>0</v>
      </c>
      <c r="D171" t="str">
        <f t="shared" si="4"/>
        <v/>
      </c>
    </row>
    <row r="172" spans="1:4" x14ac:dyDescent="0.45">
      <c r="A172">
        <v>171</v>
      </c>
      <c r="B172">
        <v>18.399999999999999</v>
      </c>
      <c r="C172">
        <f t="shared" si="5"/>
        <v>0</v>
      </c>
      <c r="D172" t="str">
        <f t="shared" si="4"/>
        <v/>
      </c>
    </row>
    <row r="173" spans="1:4" x14ac:dyDescent="0.45">
      <c r="A173">
        <v>172</v>
      </c>
      <c r="B173">
        <v>14.9</v>
      </c>
      <c r="C173">
        <f t="shared" si="5"/>
        <v>0</v>
      </c>
      <c r="D173" t="str">
        <f t="shared" si="4"/>
        <v/>
      </c>
    </row>
    <row r="174" spans="1:4" x14ac:dyDescent="0.45">
      <c r="A174">
        <v>173</v>
      </c>
      <c r="B174">
        <v>12.5</v>
      </c>
      <c r="C174">
        <f t="shared" si="5"/>
        <v>0</v>
      </c>
      <c r="D174" t="str">
        <f t="shared" si="4"/>
        <v/>
      </c>
    </row>
    <row r="175" spans="1:4" x14ac:dyDescent="0.45">
      <c r="A175">
        <v>174</v>
      </c>
      <c r="B175">
        <v>11.7</v>
      </c>
      <c r="C175">
        <f t="shared" si="5"/>
        <v>0</v>
      </c>
      <c r="D175" t="str">
        <f t="shared" si="4"/>
        <v/>
      </c>
    </row>
    <row r="176" spans="1:4" x14ac:dyDescent="0.45">
      <c r="A176">
        <v>175</v>
      </c>
      <c r="B176">
        <v>12.3</v>
      </c>
      <c r="C176">
        <f t="shared" si="5"/>
        <v>1</v>
      </c>
      <c r="D176" t="str">
        <f t="shared" si="4"/>
        <v/>
      </c>
    </row>
    <row r="177" spans="1:4" x14ac:dyDescent="0.45">
      <c r="A177">
        <v>176</v>
      </c>
      <c r="B177">
        <v>13.7</v>
      </c>
      <c r="C177">
        <f t="shared" si="5"/>
        <v>2</v>
      </c>
      <c r="D177" t="str">
        <f t="shared" si="4"/>
        <v/>
      </c>
    </row>
    <row r="178" spans="1:4" x14ac:dyDescent="0.45">
      <c r="A178">
        <v>177</v>
      </c>
      <c r="B178">
        <v>15.2</v>
      </c>
      <c r="C178">
        <f t="shared" si="5"/>
        <v>3</v>
      </c>
      <c r="D178" t="str">
        <f t="shared" si="4"/>
        <v/>
      </c>
    </row>
    <row r="179" spans="1:4" x14ac:dyDescent="0.45">
      <c r="A179">
        <v>178</v>
      </c>
      <c r="B179">
        <v>15.9</v>
      </c>
      <c r="C179">
        <f t="shared" si="5"/>
        <v>4</v>
      </c>
      <c r="D179" t="str">
        <f t="shared" si="4"/>
        <v/>
      </c>
    </row>
    <row r="180" spans="1:4" x14ac:dyDescent="0.45">
      <c r="A180">
        <v>179</v>
      </c>
      <c r="B180">
        <v>15.1</v>
      </c>
      <c r="C180">
        <f t="shared" si="5"/>
        <v>0</v>
      </c>
      <c r="D180" t="str">
        <f t="shared" si="4"/>
        <v/>
      </c>
    </row>
    <row r="181" spans="1:4" x14ac:dyDescent="0.45">
      <c r="A181">
        <v>180</v>
      </c>
      <c r="B181">
        <v>12.9</v>
      </c>
      <c r="C181">
        <f t="shared" si="5"/>
        <v>0</v>
      </c>
      <c r="D181" t="str">
        <f t="shared" si="4"/>
        <v/>
      </c>
    </row>
    <row r="182" spans="1:4" x14ac:dyDescent="0.45">
      <c r="A182">
        <v>181</v>
      </c>
      <c r="B182">
        <v>9.6</v>
      </c>
      <c r="C182">
        <f t="shared" si="5"/>
        <v>0</v>
      </c>
      <c r="D182" t="str">
        <f t="shared" si="4"/>
        <v/>
      </c>
    </row>
    <row r="183" spans="1:4" x14ac:dyDescent="0.45">
      <c r="A183">
        <v>182</v>
      </c>
      <c r="B183">
        <v>5.9</v>
      </c>
      <c r="C183">
        <f t="shared" si="5"/>
        <v>0</v>
      </c>
      <c r="D183" t="str">
        <f t="shared" si="4"/>
        <v/>
      </c>
    </row>
    <row r="184" spans="1:4" x14ac:dyDescent="0.45">
      <c r="A184">
        <v>183</v>
      </c>
      <c r="B184">
        <v>2.8</v>
      </c>
      <c r="C184">
        <f t="shared" si="5"/>
        <v>0</v>
      </c>
      <c r="D184" t="str">
        <f t="shared" si="4"/>
        <v/>
      </c>
    </row>
    <row r="185" spans="1:4" x14ac:dyDescent="0.45">
      <c r="A185">
        <v>184</v>
      </c>
      <c r="B185">
        <v>1</v>
      </c>
      <c r="C185">
        <f t="shared" si="5"/>
        <v>0</v>
      </c>
      <c r="D185" t="str">
        <f t="shared" si="4"/>
        <v/>
      </c>
    </row>
    <row r="186" spans="1:4" x14ac:dyDescent="0.45">
      <c r="A186">
        <v>185</v>
      </c>
      <c r="B186">
        <v>0.9</v>
      </c>
      <c r="C186">
        <f t="shared" si="5"/>
        <v>0</v>
      </c>
      <c r="D186" t="str">
        <f t="shared" si="4"/>
        <v/>
      </c>
    </row>
    <row r="187" spans="1:4" x14ac:dyDescent="0.45">
      <c r="A187">
        <v>186</v>
      </c>
      <c r="B187">
        <v>2.5</v>
      </c>
      <c r="C187">
        <f t="shared" si="5"/>
        <v>1</v>
      </c>
      <c r="D187" t="str">
        <f t="shared" si="4"/>
        <v/>
      </c>
    </row>
    <row r="188" spans="1:4" x14ac:dyDescent="0.45">
      <c r="A188">
        <v>187</v>
      </c>
      <c r="B188">
        <v>5</v>
      </c>
      <c r="C188">
        <f t="shared" si="5"/>
        <v>2</v>
      </c>
      <c r="D188" t="str">
        <f t="shared" si="4"/>
        <v/>
      </c>
    </row>
    <row r="189" spans="1:4" x14ac:dyDescent="0.45">
      <c r="A189">
        <v>188</v>
      </c>
      <c r="B189">
        <v>7.7</v>
      </c>
      <c r="C189">
        <f t="shared" si="5"/>
        <v>3</v>
      </c>
      <c r="D189" t="str">
        <f t="shared" si="4"/>
        <v/>
      </c>
    </row>
    <row r="190" spans="1:4" x14ac:dyDescent="0.45">
      <c r="A190">
        <v>189</v>
      </c>
      <c r="B190">
        <v>9.6999999999999993</v>
      </c>
      <c r="C190">
        <f t="shared" si="5"/>
        <v>4</v>
      </c>
      <c r="D190" t="str">
        <f t="shared" si="4"/>
        <v/>
      </c>
    </row>
    <row r="191" spans="1:4" x14ac:dyDescent="0.45">
      <c r="A191">
        <v>190</v>
      </c>
      <c r="B191">
        <v>10.4</v>
      </c>
      <c r="C191">
        <f t="shared" si="5"/>
        <v>5</v>
      </c>
      <c r="D191" t="str">
        <f t="shared" si="4"/>
        <v/>
      </c>
    </row>
    <row r="192" spans="1:4" x14ac:dyDescent="0.45">
      <c r="A192">
        <v>191</v>
      </c>
      <c r="B192">
        <v>9.6999999999999993</v>
      </c>
      <c r="C192">
        <f t="shared" si="5"/>
        <v>0</v>
      </c>
      <c r="D192" t="str">
        <f t="shared" si="4"/>
        <v/>
      </c>
    </row>
    <row r="193" spans="1:4" x14ac:dyDescent="0.45">
      <c r="A193">
        <v>192</v>
      </c>
      <c r="B193">
        <v>8</v>
      </c>
      <c r="C193">
        <f t="shared" si="5"/>
        <v>0</v>
      </c>
      <c r="D193" t="str">
        <f t="shared" si="4"/>
        <v/>
      </c>
    </row>
    <row r="194" spans="1:4" x14ac:dyDescent="0.45">
      <c r="A194">
        <v>193</v>
      </c>
      <c r="B194">
        <v>5.9</v>
      </c>
      <c r="C194">
        <f t="shared" si="5"/>
        <v>0</v>
      </c>
      <c r="D194" t="str">
        <f t="shared" si="4"/>
        <v/>
      </c>
    </row>
    <row r="195" spans="1:4" x14ac:dyDescent="0.45">
      <c r="A195">
        <v>194</v>
      </c>
      <c r="B195">
        <v>4.4000000000000004</v>
      </c>
      <c r="C195">
        <f t="shared" si="5"/>
        <v>0</v>
      </c>
      <c r="D195" t="str">
        <f t="shared" ref="D195:D258" si="6">IF(C195=8,"xxxxxxxxxxxxxxxxxxxxxx","")</f>
        <v/>
      </c>
    </row>
    <row r="196" spans="1:4" x14ac:dyDescent="0.45">
      <c r="A196">
        <v>195</v>
      </c>
      <c r="B196">
        <v>4.2</v>
      </c>
      <c r="C196">
        <f t="shared" ref="C196:C259" si="7">IF(B196&gt;B195,C195+1,0)</f>
        <v>0</v>
      </c>
      <c r="D196" t="str">
        <f t="shared" si="6"/>
        <v/>
      </c>
    </row>
    <row r="197" spans="1:4" x14ac:dyDescent="0.45">
      <c r="A197">
        <v>196</v>
      </c>
      <c r="B197">
        <v>5.6</v>
      </c>
      <c r="C197">
        <f t="shared" si="7"/>
        <v>1</v>
      </c>
      <c r="D197" t="str">
        <f t="shared" si="6"/>
        <v/>
      </c>
    </row>
    <row r="198" spans="1:4" x14ac:dyDescent="0.45">
      <c r="A198">
        <v>197</v>
      </c>
      <c r="B198">
        <v>8.6</v>
      </c>
      <c r="C198">
        <f t="shared" si="7"/>
        <v>2</v>
      </c>
      <c r="D198" t="str">
        <f t="shared" si="6"/>
        <v/>
      </c>
    </row>
    <row r="199" spans="1:4" x14ac:dyDescent="0.45">
      <c r="A199">
        <v>198</v>
      </c>
      <c r="B199">
        <v>12.5</v>
      </c>
      <c r="C199">
        <f t="shared" si="7"/>
        <v>3</v>
      </c>
      <c r="D199" t="str">
        <f t="shared" si="6"/>
        <v/>
      </c>
    </row>
    <row r="200" spans="1:4" x14ac:dyDescent="0.45">
      <c r="A200">
        <v>199</v>
      </c>
      <c r="B200">
        <v>16.399999999999999</v>
      </c>
      <c r="C200">
        <f t="shared" si="7"/>
        <v>4</v>
      </c>
      <c r="D200" t="str">
        <f t="shared" si="6"/>
        <v/>
      </c>
    </row>
    <row r="201" spans="1:4" x14ac:dyDescent="0.45">
      <c r="A201">
        <v>200</v>
      </c>
      <c r="B201">
        <v>19.5</v>
      </c>
      <c r="C201">
        <f t="shared" si="7"/>
        <v>5</v>
      </c>
      <c r="D201" t="str">
        <f t="shared" si="6"/>
        <v/>
      </c>
    </row>
    <row r="202" spans="1:4" x14ac:dyDescent="0.45">
      <c r="A202">
        <v>201</v>
      </c>
      <c r="B202">
        <v>21.2</v>
      </c>
      <c r="C202">
        <f t="shared" si="7"/>
        <v>6</v>
      </c>
      <c r="D202" t="str">
        <f t="shared" si="6"/>
        <v/>
      </c>
    </row>
    <row r="203" spans="1:4" x14ac:dyDescent="0.45">
      <c r="A203">
        <v>202</v>
      </c>
      <c r="B203">
        <v>21.3</v>
      </c>
      <c r="C203">
        <f t="shared" si="7"/>
        <v>7</v>
      </c>
      <c r="D203" t="str">
        <f t="shared" si="6"/>
        <v/>
      </c>
    </row>
    <row r="204" spans="1:4" x14ac:dyDescent="0.45">
      <c r="A204">
        <v>203</v>
      </c>
      <c r="B204">
        <v>20.100000000000001</v>
      </c>
      <c r="C204">
        <f t="shared" si="7"/>
        <v>0</v>
      </c>
      <c r="D204" t="str">
        <f t="shared" si="6"/>
        <v/>
      </c>
    </row>
    <row r="205" spans="1:4" x14ac:dyDescent="0.45">
      <c r="A205">
        <v>204</v>
      </c>
      <c r="B205">
        <v>18.399999999999999</v>
      </c>
      <c r="C205">
        <f t="shared" si="7"/>
        <v>0</v>
      </c>
      <c r="D205" t="str">
        <f t="shared" si="6"/>
        <v/>
      </c>
    </row>
    <row r="206" spans="1:4" x14ac:dyDescent="0.45">
      <c r="A206">
        <v>205</v>
      </c>
      <c r="B206">
        <v>17.100000000000001</v>
      </c>
      <c r="C206">
        <f t="shared" si="7"/>
        <v>0</v>
      </c>
      <c r="D206" t="str">
        <f t="shared" si="6"/>
        <v/>
      </c>
    </row>
    <row r="207" spans="1:4" x14ac:dyDescent="0.45">
      <c r="A207">
        <v>206</v>
      </c>
      <c r="B207">
        <v>16.899999999999999</v>
      </c>
      <c r="C207">
        <f t="shared" si="7"/>
        <v>0</v>
      </c>
      <c r="D207" t="str">
        <f t="shared" si="6"/>
        <v/>
      </c>
    </row>
    <row r="208" spans="1:4" x14ac:dyDescent="0.45">
      <c r="A208">
        <v>207</v>
      </c>
      <c r="B208">
        <v>18.2</v>
      </c>
      <c r="C208">
        <f t="shared" si="7"/>
        <v>1</v>
      </c>
      <c r="D208" t="str">
        <f t="shared" si="6"/>
        <v/>
      </c>
    </row>
    <row r="209" spans="1:4" x14ac:dyDescent="0.45">
      <c r="A209">
        <v>208</v>
      </c>
      <c r="B209">
        <v>20.7</v>
      </c>
      <c r="C209">
        <f t="shared" si="7"/>
        <v>2</v>
      </c>
      <c r="D209" t="str">
        <f t="shared" si="6"/>
        <v/>
      </c>
    </row>
    <row r="210" spans="1:4" x14ac:dyDescent="0.45">
      <c r="A210">
        <v>209</v>
      </c>
      <c r="B210">
        <v>24</v>
      </c>
      <c r="C210">
        <f t="shared" si="7"/>
        <v>3</v>
      </c>
      <c r="D210" t="str">
        <f t="shared" si="6"/>
        <v/>
      </c>
    </row>
    <row r="211" spans="1:4" x14ac:dyDescent="0.45">
      <c r="A211">
        <v>210</v>
      </c>
      <c r="B211">
        <v>27.2</v>
      </c>
      <c r="C211">
        <f t="shared" si="7"/>
        <v>4</v>
      </c>
      <c r="D211" t="str">
        <f t="shared" si="6"/>
        <v/>
      </c>
    </row>
    <row r="212" spans="1:4" x14ac:dyDescent="0.45">
      <c r="A212">
        <v>211</v>
      </c>
      <c r="B212">
        <v>29.4</v>
      </c>
      <c r="C212">
        <f t="shared" si="7"/>
        <v>5</v>
      </c>
      <c r="D212" t="str">
        <f t="shared" si="6"/>
        <v/>
      </c>
    </row>
    <row r="213" spans="1:4" x14ac:dyDescent="0.45">
      <c r="A213">
        <v>212</v>
      </c>
      <c r="B213">
        <v>29.9</v>
      </c>
      <c r="C213">
        <f t="shared" si="7"/>
        <v>6</v>
      </c>
      <c r="D213" t="str">
        <f t="shared" si="6"/>
        <v/>
      </c>
    </row>
    <row r="214" spans="1:4" x14ac:dyDescent="0.45">
      <c r="A214">
        <v>213</v>
      </c>
      <c r="B214">
        <v>28.8</v>
      </c>
      <c r="C214">
        <f t="shared" si="7"/>
        <v>0</v>
      </c>
      <c r="D214" t="str">
        <f t="shared" si="6"/>
        <v/>
      </c>
    </row>
    <row r="215" spans="1:4" x14ac:dyDescent="0.45">
      <c r="A215">
        <v>214</v>
      </c>
      <c r="B215">
        <v>26.2</v>
      </c>
      <c r="C215">
        <f t="shared" si="7"/>
        <v>0</v>
      </c>
      <c r="D215" t="str">
        <f t="shared" si="6"/>
        <v/>
      </c>
    </row>
    <row r="216" spans="1:4" x14ac:dyDescent="0.45">
      <c r="A216">
        <v>215</v>
      </c>
      <c r="B216">
        <v>23.1</v>
      </c>
      <c r="C216">
        <f t="shared" si="7"/>
        <v>0</v>
      </c>
      <c r="D216" t="str">
        <f t="shared" si="6"/>
        <v/>
      </c>
    </row>
    <row r="217" spans="1:4" x14ac:dyDescent="0.45">
      <c r="A217">
        <v>216</v>
      </c>
      <c r="B217">
        <v>20.3</v>
      </c>
      <c r="C217">
        <f t="shared" si="7"/>
        <v>0</v>
      </c>
      <c r="D217" t="str">
        <f t="shared" si="6"/>
        <v/>
      </c>
    </row>
    <row r="218" spans="1:4" x14ac:dyDescent="0.45">
      <c r="A218">
        <v>217</v>
      </c>
      <c r="B218">
        <v>18.5</v>
      </c>
      <c r="C218">
        <f t="shared" si="7"/>
        <v>0</v>
      </c>
      <c r="D218" t="str">
        <f t="shared" si="6"/>
        <v/>
      </c>
    </row>
    <row r="219" spans="1:4" x14ac:dyDescent="0.45">
      <c r="A219">
        <v>218</v>
      </c>
      <c r="B219">
        <v>18.2</v>
      </c>
      <c r="C219">
        <f t="shared" si="7"/>
        <v>0</v>
      </c>
      <c r="D219" t="str">
        <f t="shared" si="6"/>
        <v/>
      </c>
    </row>
    <row r="220" spans="1:4" x14ac:dyDescent="0.45">
      <c r="A220">
        <v>219</v>
      </c>
      <c r="B220">
        <v>19.100000000000001</v>
      </c>
      <c r="C220">
        <f t="shared" si="7"/>
        <v>1</v>
      </c>
      <c r="D220" t="str">
        <f t="shared" si="6"/>
        <v/>
      </c>
    </row>
    <row r="221" spans="1:4" x14ac:dyDescent="0.45">
      <c r="A221">
        <v>220</v>
      </c>
      <c r="B221">
        <v>20.9</v>
      </c>
      <c r="C221">
        <f t="shared" si="7"/>
        <v>2</v>
      </c>
      <c r="D221" t="str">
        <f t="shared" si="6"/>
        <v/>
      </c>
    </row>
    <row r="222" spans="1:4" x14ac:dyDescent="0.45">
      <c r="A222">
        <v>221</v>
      </c>
      <c r="B222">
        <v>22.5</v>
      </c>
      <c r="C222">
        <f t="shared" si="7"/>
        <v>3</v>
      </c>
      <c r="D222" t="str">
        <f t="shared" si="6"/>
        <v/>
      </c>
    </row>
    <row r="223" spans="1:4" x14ac:dyDescent="0.45">
      <c r="A223">
        <v>222</v>
      </c>
      <c r="B223">
        <v>23.2</v>
      </c>
      <c r="C223">
        <f t="shared" si="7"/>
        <v>4</v>
      </c>
      <c r="D223" t="str">
        <f t="shared" si="6"/>
        <v/>
      </c>
    </row>
    <row r="224" spans="1:4" x14ac:dyDescent="0.45">
      <c r="A224">
        <v>223</v>
      </c>
      <c r="B224">
        <v>22.4</v>
      </c>
      <c r="C224">
        <f t="shared" si="7"/>
        <v>0</v>
      </c>
      <c r="D224" t="str">
        <f t="shared" si="6"/>
        <v/>
      </c>
    </row>
    <row r="225" spans="1:4" x14ac:dyDescent="0.45">
      <c r="A225">
        <v>224</v>
      </c>
      <c r="B225">
        <v>20</v>
      </c>
      <c r="C225">
        <f t="shared" si="7"/>
        <v>0</v>
      </c>
      <c r="D225" t="str">
        <f t="shared" si="6"/>
        <v/>
      </c>
    </row>
    <row r="226" spans="1:4" x14ac:dyDescent="0.45">
      <c r="A226">
        <v>225</v>
      </c>
      <c r="B226">
        <v>16.399999999999999</v>
      </c>
      <c r="C226">
        <f t="shared" si="7"/>
        <v>0</v>
      </c>
      <c r="D226" t="str">
        <f t="shared" si="6"/>
        <v/>
      </c>
    </row>
    <row r="227" spans="1:4" x14ac:dyDescent="0.45">
      <c r="A227">
        <v>226</v>
      </c>
      <c r="B227">
        <v>12.3</v>
      </c>
      <c r="C227">
        <f t="shared" si="7"/>
        <v>0</v>
      </c>
      <c r="D227" t="str">
        <f t="shared" si="6"/>
        <v/>
      </c>
    </row>
    <row r="228" spans="1:4" x14ac:dyDescent="0.45">
      <c r="A228">
        <v>227</v>
      </c>
      <c r="B228">
        <v>8.6999999999999993</v>
      </c>
      <c r="C228">
        <f t="shared" si="7"/>
        <v>0</v>
      </c>
      <c r="D228" t="str">
        <f t="shared" si="6"/>
        <v/>
      </c>
    </row>
    <row r="229" spans="1:4" x14ac:dyDescent="0.45">
      <c r="A229">
        <v>228</v>
      </c>
      <c r="B229">
        <v>6.4</v>
      </c>
      <c r="C229">
        <f t="shared" si="7"/>
        <v>0</v>
      </c>
      <c r="D229" t="str">
        <f t="shared" si="6"/>
        <v/>
      </c>
    </row>
    <row r="230" spans="1:4" x14ac:dyDescent="0.45">
      <c r="A230">
        <v>229</v>
      </c>
      <c r="B230">
        <v>5.6</v>
      </c>
      <c r="C230">
        <f t="shared" si="7"/>
        <v>0</v>
      </c>
      <c r="D230" t="str">
        <f t="shared" si="6"/>
        <v/>
      </c>
    </row>
    <row r="231" spans="1:4" x14ac:dyDescent="0.45">
      <c r="A231">
        <v>230</v>
      </c>
      <c r="B231">
        <v>6.4</v>
      </c>
      <c r="C231">
        <f t="shared" si="7"/>
        <v>1</v>
      </c>
      <c r="D231" t="str">
        <f t="shared" si="6"/>
        <v/>
      </c>
    </row>
    <row r="232" spans="1:4" x14ac:dyDescent="0.45">
      <c r="A232">
        <v>231</v>
      </c>
      <c r="B232">
        <v>8.1999999999999993</v>
      </c>
      <c r="C232">
        <f t="shared" si="7"/>
        <v>2</v>
      </c>
      <c r="D232" t="str">
        <f t="shared" si="6"/>
        <v/>
      </c>
    </row>
    <row r="233" spans="1:4" x14ac:dyDescent="0.45">
      <c r="A233">
        <v>232</v>
      </c>
      <c r="B233">
        <v>10</v>
      </c>
      <c r="C233">
        <f t="shared" si="7"/>
        <v>3</v>
      </c>
      <c r="D233" t="str">
        <f t="shared" si="6"/>
        <v/>
      </c>
    </row>
    <row r="234" spans="1:4" x14ac:dyDescent="0.45">
      <c r="A234">
        <v>233</v>
      </c>
      <c r="B234">
        <v>11.1</v>
      </c>
      <c r="C234">
        <f t="shared" si="7"/>
        <v>4</v>
      </c>
      <c r="D234" t="str">
        <f t="shared" si="6"/>
        <v/>
      </c>
    </row>
    <row r="235" spans="1:4" x14ac:dyDescent="0.45">
      <c r="A235">
        <v>234</v>
      </c>
      <c r="B235">
        <v>10.9</v>
      </c>
      <c r="C235">
        <f t="shared" si="7"/>
        <v>0</v>
      </c>
      <c r="D235" t="str">
        <f t="shared" si="6"/>
        <v/>
      </c>
    </row>
    <row r="236" spans="1:4" x14ac:dyDescent="0.45">
      <c r="A236">
        <v>235</v>
      </c>
      <c r="B236">
        <v>9.3000000000000007</v>
      </c>
      <c r="C236">
        <f t="shared" si="7"/>
        <v>0</v>
      </c>
      <c r="D236" t="str">
        <f t="shared" si="6"/>
        <v/>
      </c>
    </row>
    <row r="237" spans="1:4" x14ac:dyDescent="0.45">
      <c r="A237">
        <v>236</v>
      </c>
      <c r="B237">
        <v>6.6</v>
      </c>
      <c r="C237">
        <f t="shared" si="7"/>
        <v>0</v>
      </c>
      <c r="D237" t="str">
        <f t="shared" si="6"/>
        <v/>
      </c>
    </row>
    <row r="238" spans="1:4" x14ac:dyDescent="0.45">
      <c r="A238">
        <v>237</v>
      </c>
      <c r="B238">
        <v>3.6</v>
      </c>
      <c r="C238">
        <f t="shared" si="7"/>
        <v>0</v>
      </c>
      <c r="D238" t="str">
        <f t="shared" si="6"/>
        <v/>
      </c>
    </row>
    <row r="239" spans="1:4" x14ac:dyDescent="0.45">
      <c r="A239">
        <v>238</v>
      </c>
      <c r="B239">
        <v>1.2</v>
      </c>
      <c r="C239">
        <f t="shared" si="7"/>
        <v>0</v>
      </c>
      <c r="D239" t="str">
        <f t="shared" si="6"/>
        <v/>
      </c>
    </row>
    <row r="240" spans="1:4" x14ac:dyDescent="0.45">
      <c r="A240">
        <v>239</v>
      </c>
      <c r="B240">
        <v>0.2</v>
      </c>
      <c r="C240">
        <f t="shared" si="7"/>
        <v>0</v>
      </c>
      <c r="D240" t="str">
        <f t="shared" si="6"/>
        <v/>
      </c>
    </row>
    <row r="241" spans="1:4" x14ac:dyDescent="0.45">
      <c r="A241">
        <v>240</v>
      </c>
      <c r="B241">
        <v>0.9</v>
      </c>
      <c r="C241">
        <f t="shared" si="7"/>
        <v>1</v>
      </c>
      <c r="D241" t="str">
        <f t="shared" si="6"/>
        <v/>
      </c>
    </row>
    <row r="242" spans="1:4" x14ac:dyDescent="0.45">
      <c r="A242">
        <v>241</v>
      </c>
      <c r="B242">
        <v>3.2</v>
      </c>
      <c r="C242">
        <f t="shared" si="7"/>
        <v>2</v>
      </c>
      <c r="D242" t="str">
        <f t="shared" si="6"/>
        <v/>
      </c>
    </row>
    <row r="243" spans="1:4" x14ac:dyDescent="0.45">
      <c r="A243">
        <v>242</v>
      </c>
      <c r="B243">
        <v>6.6</v>
      </c>
      <c r="C243">
        <f t="shared" si="7"/>
        <v>3</v>
      </c>
      <c r="D243" t="str">
        <f t="shared" si="6"/>
        <v/>
      </c>
    </row>
    <row r="244" spans="1:4" x14ac:dyDescent="0.45">
      <c r="A244">
        <v>243</v>
      </c>
      <c r="B244">
        <v>10</v>
      </c>
      <c r="C244">
        <f t="shared" si="7"/>
        <v>4</v>
      </c>
      <c r="D244" t="str">
        <f t="shared" si="6"/>
        <v/>
      </c>
    </row>
    <row r="245" spans="1:4" x14ac:dyDescent="0.45">
      <c r="A245">
        <v>244</v>
      </c>
      <c r="B245">
        <v>12.7</v>
      </c>
      <c r="C245">
        <f t="shared" si="7"/>
        <v>5</v>
      </c>
      <c r="D245" t="str">
        <f t="shared" si="6"/>
        <v/>
      </c>
    </row>
    <row r="246" spans="1:4" x14ac:dyDescent="0.45">
      <c r="A246">
        <v>245</v>
      </c>
      <c r="B246">
        <v>14.1</v>
      </c>
      <c r="C246">
        <f t="shared" si="7"/>
        <v>6</v>
      </c>
      <c r="D246" t="str">
        <f t="shared" si="6"/>
        <v/>
      </c>
    </row>
    <row r="247" spans="1:4" x14ac:dyDescent="0.45">
      <c r="A247">
        <v>246</v>
      </c>
      <c r="B247">
        <v>14</v>
      </c>
      <c r="C247">
        <f t="shared" si="7"/>
        <v>0</v>
      </c>
      <c r="D247" t="str">
        <f t="shared" si="6"/>
        <v/>
      </c>
    </row>
    <row r="248" spans="1:4" x14ac:dyDescent="0.45">
      <c r="A248">
        <v>247</v>
      </c>
      <c r="B248">
        <v>12.7</v>
      </c>
      <c r="C248">
        <f t="shared" si="7"/>
        <v>0</v>
      </c>
      <c r="D248" t="str">
        <f t="shared" si="6"/>
        <v/>
      </c>
    </row>
    <row r="249" spans="1:4" x14ac:dyDescent="0.45">
      <c r="A249">
        <v>248</v>
      </c>
      <c r="B249">
        <v>11.1</v>
      </c>
      <c r="C249">
        <f t="shared" si="7"/>
        <v>0</v>
      </c>
      <c r="D249" t="str">
        <f t="shared" si="6"/>
        <v/>
      </c>
    </row>
    <row r="250" spans="1:4" x14ac:dyDescent="0.45">
      <c r="A250">
        <v>249</v>
      </c>
      <c r="B250">
        <v>10</v>
      </c>
      <c r="C250">
        <f t="shared" si="7"/>
        <v>0</v>
      </c>
      <c r="D250" t="str">
        <f t="shared" si="6"/>
        <v/>
      </c>
    </row>
    <row r="251" spans="1:4" x14ac:dyDescent="0.45">
      <c r="A251">
        <v>250</v>
      </c>
      <c r="B251">
        <v>10.1</v>
      </c>
      <c r="C251">
        <f t="shared" si="7"/>
        <v>1</v>
      </c>
      <c r="D251" t="str">
        <f t="shared" si="6"/>
        <v/>
      </c>
    </row>
    <row r="252" spans="1:4" x14ac:dyDescent="0.45">
      <c r="A252">
        <v>251</v>
      </c>
      <c r="B252">
        <v>11.7</v>
      </c>
      <c r="C252">
        <f t="shared" si="7"/>
        <v>2</v>
      </c>
      <c r="D252" t="str">
        <f t="shared" si="6"/>
        <v/>
      </c>
    </row>
    <row r="253" spans="1:4" x14ac:dyDescent="0.45">
      <c r="A253">
        <v>252</v>
      </c>
      <c r="B253">
        <v>14.8</v>
      </c>
      <c r="C253">
        <f t="shared" si="7"/>
        <v>3</v>
      </c>
      <c r="D253" t="str">
        <f t="shared" si="6"/>
        <v/>
      </c>
    </row>
    <row r="254" spans="1:4" x14ac:dyDescent="0.45">
      <c r="A254">
        <v>253</v>
      </c>
      <c r="B254">
        <v>18.7</v>
      </c>
      <c r="C254">
        <f t="shared" si="7"/>
        <v>4</v>
      </c>
      <c r="D254" t="str">
        <f t="shared" si="6"/>
        <v/>
      </c>
    </row>
    <row r="255" spans="1:4" x14ac:dyDescent="0.45">
      <c r="A255">
        <v>254</v>
      </c>
      <c r="B255">
        <v>22.5</v>
      </c>
      <c r="C255">
        <f t="shared" si="7"/>
        <v>5</v>
      </c>
      <c r="D255" t="str">
        <f t="shared" si="6"/>
        <v/>
      </c>
    </row>
    <row r="256" spans="1:4" x14ac:dyDescent="0.45">
      <c r="A256">
        <v>255</v>
      </c>
      <c r="B256">
        <v>25.4</v>
      </c>
      <c r="C256">
        <f t="shared" si="7"/>
        <v>6</v>
      </c>
      <c r="D256" t="str">
        <f t="shared" si="6"/>
        <v/>
      </c>
    </row>
    <row r="257" spans="1:4" x14ac:dyDescent="0.45">
      <c r="A257">
        <v>256</v>
      </c>
      <c r="B257">
        <v>26.8</v>
      </c>
      <c r="C257">
        <f t="shared" si="7"/>
        <v>7</v>
      </c>
      <c r="D257" t="str">
        <f t="shared" si="6"/>
        <v/>
      </c>
    </row>
    <row r="258" spans="1:4" x14ac:dyDescent="0.45">
      <c r="A258">
        <v>257</v>
      </c>
      <c r="B258">
        <v>26.5</v>
      </c>
      <c r="C258">
        <f t="shared" si="7"/>
        <v>0</v>
      </c>
      <c r="D258" t="str">
        <f t="shared" si="6"/>
        <v/>
      </c>
    </row>
    <row r="259" spans="1:4" x14ac:dyDescent="0.45">
      <c r="A259">
        <v>258</v>
      </c>
      <c r="B259">
        <v>24.9</v>
      </c>
      <c r="C259">
        <f t="shared" si="7"/>
        <v>0</v>
      </c>
      <c r="D259" t="str">
        <f t="shared" ref="D259:D322" si="8">IF(C259=8,"xxxxxxxxxxxxxxxxxxxxxx","")</f>
        <v/>
      </c>
    </row>
    <row r="260" spans="1:4" x14ac:dyDescent="0.45">
      <c r="A260">
        <v>259</v>
      </c>
      <c r="B260">
        <v>22.6</v>
      </c>
      <c r="C260">
        <f t="shared" ref="C260:C323" si="9">IF(B260&gt;B259,C259+1,0)</f>
        <v>0</v>
      </c>
      <c r="D260" t="str">
        <f t="shared" si="8"/>
        <v/>
      </c>
    </row>
    <row r="261" spans="1:4" x14ac:dyDescent="0.45">
      <c r="A261">
        <v>260</v>
      </c>
      <c r="B261">
        <v>20.7</v>
      </c>
      <c r="C261">
        <f t="shared" si="9"/>
        <v>0</v>
      </c>
      <c r="D261" t="str">
        <f t="shared" si="8"/>
        <v/>
      </c>
    </row>
    <row r="262" spans="1:4" x14ac:dyDescent="0.45">
      <c r="A262">
        <v>261</v>
      </c>
      <c r="B262">
        <v>19.899999999999999</v>
      </c>
      <c r="C262">
        <f t="shared" si="9"/>
        <v>0</v>
      </c>
      <c r="D262" t="str">
        <f t="shared" si="8"/>
        <v/>
      </c>
    </row>
    <row r="263" spans="1:4" x14ac:dyDescent="0.45">
      <c r="A263">
        <v>262</v>
      </c>
      <c r="B263">
        <v>20.399999999999999</v>
      </c>
      <c r="C263">
        <f t="shared" si="9"/>
        <v>1</v>
      </c>
      <c r="D263" t="str">
        <f t="shared" si="8"/>
        <v/>
      </c>
    </row>
    <row r="264" spans="1:4" x14ac:dyDescent="0.45">
      <c r="A264">
        <v>263</v>
      </c>
      <c r="B264">
        <v>22.3</v>
      </c>
      <c r="C264">
        <f t="shared" si="9"/>
        <v>2</v>
      </c>
      <c r="D264" t="str">
        <f t="shared" si="8"/>
        <v/>
      </c>
    </row>
    <row r="265" spans="1:4" x14ac:dyDescent="0.45">
      <c r="A265">
        <v>264</v>
      </c>
      <c r="B265">
        <v>24.8</v>
      </c>
      <c r="C265">
        <f t="shared" si="9"/>
        <v>3</v>
      </c>
      <c r="D265" t="str">
        <f t="shared" si="8"/>
        <v/>
      </c>
    </row>
    <row r="266" spans="1:4" x14ac:dyDescent="0.45">
      <c r="A266">
        <v>265</v>
      </c>
      <c r="B266">
        <v>27.2</v>
      </c>
      <c r="C266">
        <f t="shared" si="9"/>
        <v>4</v>
      </c>
      <c r="D266" t="str">
        <f t="shared" si="8"/>
        <v/>
      </c>
    </row>
    <row r="267" spans="1:4" x14ac:dyDescent="0.45">
      <c r="A267">
        <v>266</v>
      </c>
      <c r="B267">
        <v>28.6</v>
      </c>
      <c r="C267">
        <f t="shared" si="9"/>
        <v>5</v>
      </c>
      <c r="D267" t="str">
        <f t="shared" si="8"/>
        <v/>
      </c>
    </row>
    <row r="268" spans="1:4" x14ac:dyDescent="0.45">
      <c r="A268">
        <v>267</v>
      </c>
      <c r="B268">
        <v>28.4</v>
      </c>
      <c r="C268">
        <f t="shared" si="9"/>
        <v>0</v>
      </c>
      <c r="D268" t="str">
        <f t="shared" si="8"/>
        <v/>
      </c>
    </row>
    <row r="269" spans="1:4" x14ac:dyDescent="0.45">
      <c r="A269">
        <v>268</v>
      </c>
      <c r="B269">
        <v>26.5</v>
      </c>
      <c r="C269">
        <f t="shared" si="9"/>
        <v>0</v>
      </c>
      <c r="D269" t="str">
        <f t="shared" si="8"/>
        <v/>
      </c>
    </row>
    <row r="270" spans="1:4" x14ac:dyDescent="0.45">
      <c r="A270">
        <v>269</v>
      </c>
      <c r="B270">
        <v>23.3</v>
      </c>
      <c r="C270">
        <f t="shared" si="9"/>
        <v>0</v>
      </c>
      <c r="D270" t="str">
        <f t="shared" si="8"/>
        <v/>
      </c>
    </row>
    <row r="271" spans="1:4" x14ac:dyDescent="0.45">
      <c r="A271">
        <v>270</v>
      </c>
      <c r="B271">
        <v>19.5</v>
      </c>
      <c r="C271">
        <f t="shared" si="9"/>
        <v>0</v>
      </c>
      <c r="D271" t="str">
        <f t="shared" si="8"/>
        <v/>
      </c>
    </row>
    <row r="272" spans="1:4" x14ac:dyDescent="0.45">
      <c r="A272">
        <v>271</v>
      </c>
      <c r="B272">
        <v>16</v>
      </c>
      <c r="C272">
        <f t="shared" si="9"/>
        <v>0</v>
      </c>
      <c r="D272" t="str">
        <f t="shared" si="8"/>
        <v/>
      </c>
    </row>
    <row r="273" spans="1:4" x14ac:dyDescent="0.45">
      <c r="A273">
        <v>272</v>
      </c>
      <c r="B273">
        <v>13.7</v>
      </c>
      <c r="C273">
        <f t="shared" si="9"/>
        <v>0</v>
      </c>
      <c r="D273" t="str">
        <f t="shared" si="8"/>
        <v/>
      </c>
    </row>
    <row r="274" spans="1:4" x14ac:dyDescent="0.45">
      <c r="A274">
        <v>273</v>
      </c>
      <c r="B274">
        <v>12.9</v>
      </c>
      <c r="C274">
        <f t="shared" si="9"/>
        <v>0</v>
      </c>
      <c r="D274" t="str">
        <f t="shared" si="8"/>
        <v/>
      </c>
    </row>
    <row r="275" spans="1:4" x14ac:dyDescent="0.45">
      <c r="A275">
        <v>274</v>
      </c>
      <c r="B275">
        <v>13.5</v>
      </c>
      <c r="C275">
        <f t="shared" si="9"/>
        <v>1</v>
      </c>
      <c r="D275" t="str">
        <f t="shared" si="8"/>
        <v/>
      </c>
    </row>
    <row r="276" spans="1:4" x14ac:dyDescent="0.45">
      <c r="A276">
        <v>275</v>
      </c>
      <c r="B276">
        <v>15</v>
      </c>
      <c r="C276">
        <f t="shared" si="9"/>
        <v>2</v>
      </c>
      <c r="D276" t="str">
        <f t="shared" si="8"/>
        <v/>
      </c>
    </row>
    <row r="277" spans="1:4" x14ac:dyDescent="0.45">
      <c r="A277">
        <v>276</v>
      </c>
      <c r="B277">
        <v>16.399999999999999</v>
      </c>
      <c r="C277">
        <f t="shared" si="9"/>
        <v>3</v>
      </c>
      <c r="D277" t="str">
        <f t="shared" si="8"/>
        <v/>
      </c>
    </row>
    <row r="278" spans="1:4" x14ac:dyDescent="0.45">
      <c r="A278">
        <v>277</v>
      </c>
      <c r="B278">
        <v>17.100000000000001</v>
      </c>
      <c r="C278">
        <f t="shared" si="9"/>
        <v>4</v>
      </c>
      <c r="D278" t="str">
        <f t="shared" si="8"/>
        <v/>
      </c>
    </row>
    <row r="279" spans="1:4" x14ac:dyDescent="0.45">
      <c r="A279">
        <v>278</v>
      </c>
      <c r="B279">
        <v>16.3</v>
      </c>
      <c r="C279">
        <f t="shared" si="9"/>
        <v>0</v>
      </c>
      <c r="D279" t="str">
        <f t="shared" si="8"/>
        <v/>
      </c>
    </row>
    <row r="280" spans="1:4" x14ac:dyDescent="0.45">
      <c r="A280">
        <v>279</v>
      </c>
      <c r="B280">
        <v>14</v>
      </c>
      <c r="C280">
        <f t="shared" si="9"/>
        <v>0</v>
      </c>
      <c r="D280" t="str">
        <f t="shared" si="8"/>
        <v/>
      </c>
    </row>
    <row r="281" spans="1:4" x14ac:dyDescent="0.45">
      <c r="A281">
        <v>280</v>
      </c>
      <c r="B281">
        <v>10.5</v>
      </c>
      <c r="C281">
        <f t="shared" si="9"/>
        <v>0</v>
      </c>
      <c r="D281" t="str">
        <f t="shared" si="8"/>
        <v/>
      </c>
    </row>
    <row r="282" spans="1:4" x14ac:dyDescent="0.45">
      <c r="A282">
        <v>281</v>
      </c>
      <c r="B282">
        <v>6.7</v>
      </c>
      <c r="C282">
        <f t="shared" si="9"/>
        <v>0</v>
      </c>
      <c r="D282" t="str">
        <f t="shared" si="8"/>
        <v/>
      </c>
    </row>
    <row r="283" spans="1:4" x14ac:dyDescent="0.45">
      <c r="A283">
        <v>282</v>
      </c>
      <c r="B283">
        <v>3.5</v>
      </c>
      <c r="C283">
        <f t="shared" si="9"/>
        <v>0</v>
      </c>
      <c r="D283" t="str">
        <f t="shared" si="8"/>
        <v/>
      </c>
    </row>
    <row r="284" spans="1:4" x14ac:dyDescent="0.45">
      <c r="A284">
        <v>283</v>
      </c>
      <c r="B284">
        <v>1.6</v>
      </c>
      <c r="C284">
        <f t="shared" si="9"/>
        <v>0</v>
      </c>
      <c r="D284" t="str">
        <f t="shared" si="8"/>
        <v/>
      </c>
    </row>
    <row r="285" spans="1:4" x14ac:dyDescent="0.45">
      <c r="A285">
        <v>284</v>
      </c>
      <c r="B285">
        <v>1.4</v>
      </c>
      <c r="C285">
        <f t="shared" si="9"/>
        <v>0</v>
      </c>
      <c r="D285" t="str">
        <f t="shared" si="8"/>
        <v/>
      </c>
    </row>
    <row r="286" spans="1:4" x14ac:dyDescent="0.45">
      <c r="A286">
        <v>285</v>
      </c>
      <c r="B286">
        <v>2.8</v>
      </c>
      <c r="C286">
        <f t="shared" si="9"/>
        <v>1</v>
      </c>
      <c r="D286" t="str">
        <f t="shared" si="8"/>
        <v/>
      </c>
    </row>
    <row r="287" spans="1:4" x14ac:dyDescent="0.45">
      <c r="A287">
        <v>286</v>
      </c>
      <c r="B287">
        <v>5.2</v>
      </c>
      <c r="C287">
        <f t="shared" si="9"/>
        <v>2</v>
      </c>
      <c r="D287" t="str">
        <f t="shared" si="8"/>
        <v/>
      </c>
    </row>
    <row r="288" spans="1:4" x14ac:dyDescent="0.45">
      <c r="A288">
        <v>287</v>
      </c>
      <c r="B288">
        <v>7.7</v>
      </c>
      <c r="C288">
        <f t="shared" si="9"/>
        <v>3</v>
      </c>
      <c r="D288" t="str">
        <f t="shared" si="8"/>
        <v/>
      </c>
    </row>
    <row r="289" spans="1:4" x14ac:dyDescent="0.45">
      <c r="A289">
        <v>288</v>
      </c>
      <c r="B289">
        <v>9.6</v>
      </c>
      <c r="C289">
        <f t="shared" si="9"/>
        <v>4</v>
      </c>
      <c r="D289" t="str">
        <f t="shared" si="8"/>
        <v/>
      </c>
    </row>
    <row r="290" spans="1:4" x14ac:dyDescent="0.45">
      <c r="A290">
        <v>289</v>
      </c>
      <c r="B290">
        <v>10.1</v>
      </c>
      <c r="C290">
        <f t="shared" si="9"/>
        <v>5</v>
      </c>
      <c r="D290" t="str">
        <f t="shared" si="8"/>
        <v/>
      </c>
    </row>
    <row r="291" spans="1:4" x14ac:dyDescent="0.45">
      <c r="A291">
        <v>290</v>
      </c>
      <c r="B291">
        <v>9.3000000000000007</v>
      </c>
      <c r="C291">
        <f t="shared" si="9"/>
        <v>0</v>
      </c>
      <c r="D291" t="str">
        <f t="shared" si="8"/>
        <v/>
      </c>
    </row>
    <row r="292" spans="1:4" x14ac:dyDescent="0.45">
      <c r="A292">
        <v>291</v>
      </c>
      <c r="B292">
        <v>7.4</v>
      </c>
      <c r="C292">
        <f t="shared" si="9"/>
        <v>0</v>
      </c>
      <c r="D292" t="str">
        <f t="shared" si="8"/>
        <v/>
      </c>
    </row>
    <row r="293" spans="1:4" x14ac:dyDescent="0.45">
      <c r="A293">
        <v>292</v>
      </c>
      <c r="B293">
        <v>5.0999999999999996</v>
      </c>
      <c r="C293">
        <f t="shared" si="9"/>
        <v>0</v>
      </c>
      <c r="D293" t="str">
        <f t="shared" si="8"/>
        <v/>
      </c>
    </row>
    <row r="294" spans="1:4" x14ac:dyDescent="0.45">
      <c r="A294">
        <v>293</v>
      </c>
      <c r="B294">
        <v>3.5</v>
      </c>
      <c r="C294">
        <f t="shared" si="9"/>
        <v>0</v>
      </c>
      <c r="D294" t="str">
        <f t="shared" si="8"/>
        <v/>
      </c>
    </row>
    <row r="295" spans="1:4" x14ac:dyDescent="0.45">
      <c r="A295">
        <v>294</v>
      </c>
      <c r="B295">
        <v>3.2</v>
      </c>
      <c r="C295">
        <f t="shared" si="9"/>
        <v>0</v>
      </c>
      <c r="D295" t="str">
        <f t="shared" si="8"/>
        <v/>
      </c>
    </row>
    <row r="296" spans="1:4" x14ac:dyDescent="0.45">
      <c r="A296">
        <v>295</v>
      </c>
      <c r="B296">
        <v>4.5999999999999996</v>
      </c>
      <c r="C296">
        <f t="shared" si="9"/>
        <v>1</v>
      </c>
      <c r="D296" t="str">
        <f t="shared" si="8"/>
        <v/>
      </c>
    </row>
    <row r="297" spans="1:4" x14ac:dyDescent="0.45">
      <c r="A297">
        <v>296</v>
      </c>
      <c r="B297">
        <v>7.5</v>
      </c>
      <c r="C297">
        <f t="shared" si="9"/>
        <v>2</v>
      </c>
      <c r="D297" t="str">
        <f t="shared" si="8"/>
        <v/>
      </c>
    </row>
    <row r="298" spans="1:4" x14ac:dyDescent="0.45">
      <c r="A298">
        <v>297</v>
      </c>
      <c r="B298">
        <v>11.3</v>
      </c>
      <c r="C298">
        <f t="shared" si="9"/>
        <v>3</v>
      </c>
      <c r="D298" t="str">
        <f t="shared" si="8"/>
        <v/>
      </c>
    </row>
    <row r="299" spans="1:4" x14ac:dyDescent="0.45">
      <c r="A299">
        <v>298</v>
      </c>
      <c r="B299">
        <v>15.2</v>
      </c>
      <c r="C299">
        <f t="shared" si="9"/>
        <v>4</v>
      </c>
      <c r="D299" t="str">
        <f t="shared" si="8"/>
        <v/>
      </c>
    </row>
    <row r="300" spans="1:4" x14ac:dyDescent="0.45">
      <c r="A300">
        <v>299</v>
      </c>
      <c r="B300">
        <v>18.3</v>
      </c>
      <c r="C300">
        <f t="shared" si="9"/>
        <v>5</v>
      </c>
      <c r="D300" t="str">
        <f t="shared" si="8"/>
        <v/>
      </c>
    </row>
    <row r="301" spans="1:4" x14ac:dyDescent="0.45">
      <c r="A301">
        <v>300</v>
      </c>
      <c r="B301">
        <v>19.899999999999999</v>
      </c>
      <c r="C301">
        <f t="shared" si="9"/>
        <v>6</v>
      </c>
      <c r="D301" t="str">
        <f t="shared" si="8"/>
        <v/>
      </c>
    </row>
    <row r="302" spans="1:4" x14ac:dyDescent="0.45">
      <c r="A302">
        <v>301</v>
      </c>
      <c r="B302">
        <v>20</v>
      </c>
      <c r="C302">
        <f t="shared" si="9"/>
        <v>7</v>
      </c>
      <c r="D302" t="str">
        <f t="shared" si="8"/>
        <v/>
      </c>
    </row>
    <row r="303" spans="1:4" x14ac:dyDescent="0.45">
      <c r="A303">
        <v>302</v>
      </c>
      <c r="B303">
        <v>18.899999999999999</v>
      </c>
      <c r="C303">
        <f t="shared" si="9"/>
        <v>0</v>
      </c>
      <c r="D303" t="str">
        <f t="shared" si="8"/>
        <v/>
      </c>
    </row>
    <row r="304" spans="1:4" x14ac:dyDescent="0.45">
      <c r="A304">
        <v>303</v>
      </c>
      <c r="B304">
        <v>17.3</v>
      </c>
      <c r="C304">
        <f t="shared" si="9"/>
        <v>0</v>
      </c>
      <c r="D304" t="str">
        <f t="shared" si="8"/>
        <v/>
      </c>
    </row>
    <row r="305" spans="1:4" x14ac:dyDescent="0.45">
      <c r="A305">
        <v>304</v>
      </c>
      <c r="B305">
        <v>16</v>
      </c>
      <c r="C305">
        <f t="shared" si="9"/>
        <v>0</v>
      </c>
      <c r="D305" t="str">
        <f t="shared" si="8"/>
        <v/>
      </c>
    </row>
    <row r="306" spans="1:4" x14ac:dyDescent="0.45">
      <c r="A306">
        <v>305</v>
      </c>
      <c r="B306">
        <v>15.9</v>
      </c>
      <c r="C306">
        <f t="shared" si="9"/>
        <v>0</v>
      </c>
      <c r="D306" t="str">
        <f t="shared" si="8"/>
        <v/>
      </c>
    </row>
    <row r="307" spans="1:4" x14ac:dyDescent="0.45">
      <c r="A307">
        <v>306</v>
      </c>
      <c r="B307">
        <v>17.3</v>
      </c>
      <c r="C307">
        <f t="shared" si="9"/>
        <v>1</v>
      </c>
      <c r="D307" t="str">
        <f t="shared" si="8"/>
        <v/>
      </c>
    </row>
    <row r="308" spans="1:4" x14ac:dyDescent="0.45">
      <c r="A308">
        <v>307</v>
      </c>
      <c r="B308">
        <v>20</v>
      </c>
      <c r="C308">
        <f t="shared" si="9"/>
        <v>2</v>
      </c>
      <c r="D308" t="str">
        <f t="shared" si="8"/>
        <v/>
      </c>
    </row>
    <row r="309" spans="1:4" x14ac:dyDescent="0.45">
      <c r="A309">
        <v>308</v>
      </c>
      <c r="B309">
        <v>23.4</v>
      </c>
      <c r="C309">
        <f t="shared" si="9"/>
        <v>3</v>
      </c>
      <c r="D309" t="str">
        <f t="shared" si="8"/>
        <v/>
      </c>
    </row>
    <row r="310" spans="1:4" x14ac:dyDescent="0.45">
      <c r="A310">
        <v>309</v>
      </c>
      <c r="B310">
        <v>26.8</v>
      </c>
      <c r="C310">
        <f t="shared" si="9"/>
        <v>4</v>
      </c>
      <c r="D310" t="str">
        <f t="shared" si="8"/>
        <v/>
      </c>
    </row>
    <row r="311" spans="1:4" x14ac:dyDescent="0.45">
      <c r="A311">
        <v>310</v>
      </c>
      <c r="B311">
        <v>29.1</v>
      </c>
      <c r="C311">
        <f t="shared" si="9"/>
        <v>5</v>
      </c>
      <c r="D311" t="str">
        <f t="shared" si="8"/>
        <v/>
      </c>
    </row>
    <row r="312" spans="1:4" x14ac:dyDescent="0.45">
      <c r="A312">
        <v>311</v>
      </c>
      <c r="B312">
        <v>29.8</v>
      </c>
      <c r="C312">
        <f t="shared" si="9"/>
        <v>6</v>
      </c>
      <c r="D312" t="str">
        <f t="shared" si="8"/>
        <v/>
      </c>
    </row>
    <row r="313" spans="1:4" x14ac:dyDescent="0.45">
      <c r="A313">
        <v>312</v>
      </c>
      <c r="B313">
        <v>28.8</v>
      </c>
      <c r="C313">
        <f t="shared" si="9"/>
        <v>0</v>
      </c>
      <c r="D313" t="str">
        <f t="shared" si="8"/>
        <v/>
      </c>
    </row>
    <row r="314" spans="1:4" x14ac:dyDescent="0.45">
      <c r="A314">
        <v>313</v>
      </c>
      <c r="B314">
        <v>26.4</v>
      </c>
      <c r="C314">
        <f t="shared" si="9"/>
        <v>0</v>
      </c>
      <c r="D314" t="str">
        <f t="shared" si="8"/>
        <v/>
      </c>
    </row>
    <row r="315" spans="1:4" x14ac:dyDescent="0.45">
      <c r="A315">
        <v>314</v>
      </c>
      <c r="B315">
        <v>23.4</v>
      </c>
      <c r="C315">
        <f t="shared" si="9"/>
        <v>0</v>
      </c>
      <c r="D315" t="str">
        <f t="shared" si="8"/>
        <v/>
      </c>
    </row>
    <row r="316" spans="1:4" x14ac:dyDescent="0.45">
      <c r="A316">
        <v>315</v>
      </c>
      <c r="B316">
        <v>20.7</v>
      </c>
      <c r="C316">
        <f t="shared" si="9"/>
        <v>0</v>
      </c>
      <c r="D316" t="str">
        <f t="shared" si="8"/>
        <v/>
      </c>
    </row>
    <row r="317" spans="1:4" x14ac:dyDescent="0.45">
      <c r="A317">
        <v>316</v>
      </c>
      <c r="B317">
        <v>19.100000000000001</v>
      </c>
      <c r="C317">
        <f t="shared" si="9"/>
        <v>0</v>
      </c>
      <c r="D317" t="str">
        <f t="shared" si="8"/>
        <v/>
      </c>
    </row>
    <row r="318" spans="1:4" x14ac:dyDescent="0.45">
      <c r="A318">
        <v>317</v>
      </c>
      <c r="B318">
        <v>18.899999999999999</v>
      </c>
      <c r="C318">
        <f t="shared" si="9"/>
        <v>0</v>
      </c>
      <c r="D318" t="str">
        <f t="shared" si="8"/>
        <v/>
      </c>
    </row>
    <row r="319" spans="1:4" x14ac:dyDescent="0.45">
      <c r="A319">
        <v>318</v>
      </c>
      <c r="B319">
        <v>20</v>
      </c>
      <c r="C319">
        <f t="shared" si="9"/>
        <v>1</v>
      </c>
      <c r="D319" t="str">
        <f t="shared" si="8"/>
        <v/>
      </c>
    </row>
    <row r="320" spans="1:4" x14ac:dyDescent="0.45">
      <c r="A320">
        <v>319</v>
      </c>
      <c r="B320">
        <v>21.8</v>
      </c>
      <c r="C320">
        <f t="shared" si="9"/>
        <v>2</v>
      </c>
      <c r="D320" t="str">
        <f t="shared" si="8"/>
        <v/>
      </c>
    </row>
    <row r="321" spans="1:4" x14ac:dyDescent="0.45">
      <c r="A321">
        <v>320</v>
      </c>
      <c r="B321">
        <v>23.6</v>
      </c>
      <c r="C321">
        <f t="shared" si="9"/>
        <v>3</v>
      </c>
      <c r="D321" t="str">
        <f t="shared" si="8"/>
        <v/>
      </c>
    </row>
    <row r="322" spans="1:4" x14ac:dyDescent="0.45">
      <c r="A322">
        <v>321</v>
      </c>
      <c r="B322">
        <v>24.4</v>
      </c>
      <c r="C322">
        <f t="shared" si="9"/>
        <v>4</v>
      </c>
      <c r="D322" t="str">
        <f t="shared" si="8"/>
        <v/>
      </c>
    </row>
    <row r="323" spans="1:4" x14ac:dyDescent="0.45">
      <c r="A323">
        <v>322</v>
      </c>
      <c r="B323">
        <v>23.6</v>
      </c>
      <c r="C323">
        <f t="shared" si="9"/>
        <v>0</v>
      </c>
      <c r="D323" t="str">
        <f t="shared" ref="D323:D386" si="10">IF(C323=8,"xxxxxxxxxxxxxxxxxxxxxx","")</f>
        <v/>
      </c>
    </row>
    <row r="324" spans="1:4" x14ac:dyDescent="0.45">
      <c r="A324">
        <v>323</v>
      </c>
      <c r="B324">
        <v>21.3</v>
      </c>
      <c r="C324">
        <f t="shared" ref="C324:C387" si="11">IF(B324&gt;B323,C323+1,0)</f>
        <v>0</v>
      </c>
      <c r="D324" t="str">
        <f t="shared" si="10"/>
        <v/>
      </c>
    </row>
    <row r="325" spans="1:4" x14ac:dyDescent="0.45">
      <c r="A325">
        <v>324</v>
      </c>
      <c r="B325">
        <v>17.7</v>
      </c>
      <c r="C325">
        <f t="shared" si="11"/>
        <v>0</v>
      </c>
      <c r="D325" t="str">
        <f t="shared" si="10"/>
        <v/>
      </c>
    </row>
    <row r="326" spans="1:4" x14ac:dyDescent="0.45">
      <c r="A326">
        <v>325</v>
      </c>
      <c r="B326">
        <v>13.6</v>
      </c>
      <c r="C326">
        <f t="shared" si="11"/>
        <v>0</v>
      </c>
      <c r="D326" t="str">
        <f t="shared" si="10"/>
        <v/>
      </c>
    </row>
    <row r="327" spans="1:4" x14ac:dyDescent="0.45">
      <c r="A327">
        <v>326</v>
      </c>
      <c r="B327">
        <v>10</v>
      </c>
      <c r="C327">
        <f t="shared" si="11"/>
        <v>0</v>
      </c>
      <c r="D327" t="str">
        <f t="shared" si="10"/>
        <v/>
      </c>
    </row>
    <row r="328" spans="1:4" x14ac:dyDescent="0.45">
      <c r="A328">
        <v>327</v>
      </c>
      <c r="B328">
        <v>7.6</v>
      </c>
      <c r="C328">
        <f t="shared" si="11"/>
        <v>0</v>
      </c>
      <c r="D328" t="str">
        <f t="shared" si="10"/>
        <v/>
      </c>
    </row>
    <row r="329" spans="1:4" x14ac:dyDescent="0.45">
      <c r="A329">
        <v>328</v>
      </c>
      <c r="B329">
        <v>6.8</v>
      </c>
      <c r="C329">
        <f t="shared" si="11"/>
        <v>0</v>
      </c>
      <c r="D329" t="str">
        <f t="shared" si="10"/>
        <v/>
      </c>
    </row>
    <row r="330" spans="1:4" x14ac:dyDescent="0.45">
      <c r="A330">
        <v>329</v>
      </c>
      <c r="B330">
        <v>7.5</v>
      </c>
      <c r="C330">
        <f t="shared" si="11"/>
        <v>1</v>
      </c>
      <c r="D330" t="str">
        <f t="shared" si="10"/>
        <v/>
      </c>
    </row>
    <row r="331" spans="1:4" x14ac:dyDescent="0.45">
      <c r="A331">
        <v>330</v>
      </c>
      <c r="B331">
        <v>9.1</v>
      </c>
      <c r="C331">
        <f t="shared" si="11"/>
        <v>2</v>
      </c>
      <c r="D331" t="str">
        <f t="shared" si="10"/>
        <v/>
      </c>
    </row>
    <row r="332" spans="1:4" x14ac:dyDescent="0.45">
      <c r="A332">
        <v>331</v>
      </c>
      <c r="B332">
        <v>10.9</v>
      </c>
      <c r="C332">
        <f t="shared" si="11"/>
        <v>3</v>
      </c>
      <c r="D332" t="str">
        <f t="shared" si="10"/>
        <v/>
      </c>
    </row>
    <row r="333" spans="1:4" x14ac:dyDescent="0.45">
      <c r="A333">
        <v>332</v>
      </c>
      <c r="B333">
        <v>11.8</v>
      </c>
      <c r="C333">
        <f t="shared" si="11"/>
        <v>4</v>
      </c>
      <c r="D333" t="str">
        <f t="shared" si="10"/>
        <v/>
      </c>
    </row>
    <row r="334" spans="1:4" x14ac:dyDescent="0.45">
      <c r="A334">
        <v>333</v>
      </c>
      <c r="B334">
        <v>11.5</v>
      </c>
      <c r="C334">
        <f t="shared" si="11"/>
        <v>0</v>
      </c>
      <c r="D334" t="str">
        <f t="shared" si="10"/>
        <v/>
      </c>
    </row>
    <row r="335" spans="1:4" x14ac:dyDescent="0.45">
      <c r="A335">
        <v>334</v>
      </c>
      <c r="B335">
        <v>9.6999999999999993</v>
      </c>
      <c r="C335">
        <f t="shared" si="11"/>
        <v>0</v>
      </c>
      <c r="D335" t="str">
        <f t="shared" si="10"/>
        <v/>
      </c>
    </row>
    <row r="336" spans="1:4" x14ac:dyDescent="0.45">
      <c r="A336">
        <v>335</v>
      </c>
      <c r="B336">
        <v>6.9</v>
      </c>
      <c r="C336">
        <f t="shared" si="11"/>
        <v>0</v>
      </c>
      <c r="D336" t="str">
        <f t="shared" si="10"/>
        <v/>
      </c>
    </row>
    <row r="337" spans="1:4" x14ac:dyDescent="0.45">
      <c r="A337">
        <v>336</v>
      </c>
      <c r="B337">
        <v>3.8</v>
      </c>
      <c r="C337">
        <f t="shared" si="11"/>
        <v>0</v>
      </c>
      <c r="D337" t="str">
        <f t="shared" si="10"/>
        <v/>
      </c>
    </row>
    <row r="338" spans="1:4" x14ac:dyDescent="0.45">
      <c r="A338">
        <v>337</v>
      </c>
      <c r="B338">
        <v>1.2</v>
      </c>
      <c r="C338">
        <f t="shared" si="11"/>
        <v>0</v>
      </c>
      <c r="D338" t="str">
        <f t="shared" si="10"/>
        <v/>
      </c>
    </row>
    <row r="339" spans="1:4" x14ac:dyDescent="0.45">
      <c r="A339">
        <v>338</v>
      </c>
      <c r="B339">
        <v>0.1</v>
      </c>
      <c r="C339">
        <f t="shared" si="11"/>
        <v>0</v>
      </c>
      <c r="D339" t="str">
        <f t="shared" si="10"/>
        <v/>
      </c>
    </row>
    <row r="340" spans="1:4" x14ac:dyDescent="0.45">
      <c r="A340">
        <v>339</v>
      </c>
      <c r="B340">
        <v>0.6</v>
      </c>
      <c r="C340">
        <f t="shared" si="11"/>
        <v>1</v>
      </c>
      <c r="D340" t="str">
        <f t="shared" si="10"/>
        <v/>
      </c>
    </row>
    <row r="341" spans="1:4" x14ac:dyDescent="0.45">
      <c r="A341">
        <v>340</v>
      </c>
      <c r="B341">
        <v>2.8</v>
      </c>
      <c r="C341">
        <f t="shared" si="11"/>
        <v>2</v>
      </c>
      <c r="D341" t="str">
        <f t="shared" si="10"/>
        <v/>
      </c>
    </row>
    <row r="342" spans="1:4" x14ac:dyDescent="0.45">
      <c r="A342">
        <v>341</v>
      </c>
      <c r="B342">
        <v>6</v>
      </c>
      <c r="C342">
        <f t="shared" si="11"/>
        <v>3</v>
      </c>
      <c r="D342" t="str">
        <f t="shared" si="10"/>
        <v/>
      </c>
    </row>
    <row r="343" spans="1:4" x14ac:dyDescent="0.45">
      <c r="A343">
        <v>342</v>
      </c>
      <c r="B343">
        <v>9.3000000000000007</v>
      </c>
      <c r="C343">
        <f t="shared" si="11"/>
        <v>4</v>
      </c>
      <c r="D343" t="str">
        <f t="shared" si="10"/>
        <v/>
      </c>
    </row>
    <row r="344" spans="1:4" x14ac:dyDescent="0.45">
      <c r="A344">
        <v>343</v>
      </c>
      <c r="B344">
        <v>11.8</v>
      </c>
      <c r="C344">
        <f t="shared" si="11"/>
        <v>5</v>
      </c>
      <c r="D344" t="str">
        <f t="shared" si="10"/>
        <v/>
      </c>
    </row>
    <row r="345" spans="1:4" x14ac:dyDescent="0.45">
      <c r="A345">
        <v>344</v>
      </c>
      <c r="B345">
        <v>13.1</v>
      </c>
      <c r="C345">
        <f t="shared" si="11"/>
        <v>6</v>
      </c>
      <c r="D345" t="str">
        <f t="shared" si="10"/>
        <v/>
      </c>
    </row>
    <row r="346" spans="1:4" x14ac:dyDescent="0.45">
      <c r="A346">
        <v>345</v>
      </c>
      <c r="B346">
        <v>12.9</v>
      </c>
      <c r="C346">
        <f t="shared" si="11"/>
        <v>0</v>
      </c>
      <c r="D346" t="str">
        <f t="shared" si="10"/>
        <v/>
      </c>
    </row>
    <row r="347" spans="1:4" x14ac:dyDescent="0.45">
      <c r="A347">
        <v>346</v>
      </c>
      <c r="B347">
        <v>11.6</v>
      </c>
      <c r="C347">
        <f t="shared" si="11"/>
        <v>0</v>
      </c>
      <c r="D347" t="str">
        <f t="shared" si="10"/>
        <v/>
      </c>
    </row>
    <row r="348" spans="1:4" x14ac:dyDescent="0.45">
      <c r="A348">
        <v>347</v>
      </c>
      <c r="B348">
        <v>9.9</v>
      </c>
      <c r="C348">
        <f t="shared" si="11"/>
        <v>0</v>
      </c>
      <c r="D348" t="str">
        <f t="shared" si="10"/>
        <v/>
      </c>
    </row>
    <row r="349" spans="1:4" x14ac:dyDescent="0.45">
      <c r="A349">
        <v>348</v>
      </c>
      <c r="B349">
        <v>8.6999999999999993</v>
      </c>
      <c r="C349">
        <f t="shared" si="11"/>
        <v>0</v>
      </c>
      <c r="D349" t="str">
        <f t="shared" si="10"/>
        <v/>
      </c>
    </row>
    <row r="350" spans="1:4" x14ac:dyDescent="0.45">
      <c r="A350">
        <v>349</v>
      </c>
      <c r="B350">
        <v>8.8000000000000007</v>
      </c>
      <c r="C350">
        <f t="shared" si="11"/>
        <v>1</v>
      </c>
      <c r="D350" t="str">
        <f t="shared" si="10"/>
        <v/>
      </c>
    </row>
    <row r="351" spans="1:4" x14ac:dyDescent="0.45">
      <c r="A351">
        <v>350</v>
      </c>
      <c r="B351">
        <v>10.5</v>
      </c>
      <c r="C351">
        <f t="shared" si="11"/>
        <v>2</v>
      </c>
      <c r="D351" t="str">
        <f t="shared" si="10"/>
        <v/>
      </c>
    </row>
    <row r="352" spans="1:4" x14ac:dyDescent="0.45">
      <c r="A352">
        <v>351</v>
      </c>
      <c r="B352">
        <v>13.5</v>
      </c>
      <c r="C352">
        <f t="shared" si="11"/>
        <v>3</v>
      </c>
      <c r="D352" t="str">
        <f t="shared" si="10"/>
        <v/>
      </c>
    </row>
    <row r="353" spans="1:4" x14ac:dyDescent="0.45">
      <c r="A353">
        <v>352</v>
      </c>
      <c r="B353">
        <v>17.5</v>
      </c>
      <c r="C353">
        <f t="shared" si="11"/>
        <v>4</v>
      </c>
      <c r="D353" t="str">
        <f t="shared" si="10"/>
        <v/>
      </c>
    </row>
    <row r="354" spans="1:4" x14ac:dyDescent="0.45">
      <c r="A354">
        <v>353</v>
      </c>
      <c r="B354">
        <v>21.4</v>
      </c>
      <c r="C354">
        <f t="shared" si="11"/>
        <v>5</v>
      </c>
      <c r="D354" t="str">
        <f t="shared" si="10"/>
        <v/>
      </c>
    </row>
    <row r="355" spans="1:4" x14ac:dyDescent="0.45">
      <c r="A355">
        <v>354</v>
      </c>
      <c r="B355">
        <v>24.4</v>
      </c>
      <c r="C355">
        <f t="shared" si="11"/>
        <v>6</v>
      </c>
      <c r="D355" t="str">
        <f t="shared" si="10"/>
        <v/>
      </c>
    </row>
    <row r="356" spans="1:4" x14ac:dyDescent="0.45">
      <c r="A356">
        <v>355</v>
      </c>
      <c r="B356">
        <v>25.8</v>
      </c>
      <c r="C356">
        <f t="shared" si="11"/>
        <v>7</v>
      </c>
      <c r="D356" t="str">
        <f t="shared" si="10"/>
        <v/>
      </c>
    </row>
    <row r="357" spans="1:4" x14ac:dyDescent="0.45">
      <c r="A357">
        <v>356</v>
      </c>
      <c r="B357">
        <v>25.6</v>
      </c>
      <c r="C357">
        <f t="shared" si="11"/>
        <v>0</v>
      </c>
      <c r="D357" t="str">
        <f t="shared" si="10"/>
        <v/>
      </c>
    </row>
    <row r="358" spans="1:4" x14ac:dyDescent="0.45">
      <c r="A358">
        <v>357</v>
      </c>
      <c r="B358">
        <v>24.1</v>
      </c>
      <c r="C358">
        <f t="shared" si="11"/>
        <v>0</v>
      </c>
      <c r="D358" t="str">
        <f t="shared" si="10"/>
        <v/>
      </c>
    </row>
    <row r="359" spans="1:4" x14ac:dyDescent="0.45">
      <c r="A359">
        <v>358</v>
      </c>
      <c r="B359">
        <v>22</v>
      </c>
      <c r="C359">
        <f t="shared" si="11"/>
        <v>0</v>
      </c>
      <c r="D359" t="str">
        <f t="shared" si="10"/>
        <v/>
      </c>
    </row>
    <row r="360" spans="1:4" x14ac:dyDescent="0.45">
      <c r="A360">
        <v>359</v>
      </c>
      <c r="B360">
        <v>20.3</v>
      </c>
      <c r="C360">
        <f t="shared" si="11"/>
        <v>0</v>
      </c>
      <c r="D360" t="str">
        <f t="shared" si="10"/>
        <v/>
      </c>
    </row>
    <row r="361" spans="1:4" x14ac:dyDescent="0.45">
      <c r="A361">
        <v>360</v>
      </c>
      <c r="B361">
        <v>19.600000000000001</v>
      </c>
      <c r="C361">
        <f t="shared" si="11"/>
        <v>0</v>
      </c>
      <c r="D361" t="str">
        <f t="shared" si="10"/>
        <v/>
      </c>
    </row>
    <row r="362" spans="1:4" x14ac:dyDescent="0.45">
      <c r="A362">
        <v>361</v>
      </c>
      <c r="B362">
        <v>20.3</v>
      </c>
      <c r="C362">
        <f t="shared" si="11"/>
        <v>1</v>
      </c>
      <c r="D362" t="str">
        <f t="shared" si="10"/>
        <v/>
      </c>
    </row>
    <row r="363" spans="1:4" x14ac:dyDescent="0.45">
      <c r="A363">
        <v>362</v>
      </c>
      <c r="B363">
        <v>22.3</v>
      </c>
      <c r="C363">
        <f t="shared" si="11"/>
        <v>2</v>
      </c>
      <c r="D363" t="str">
        <f t="shared" si="10"/>
        <v/>
      </c>
    </row>
    <row r="364" spans="1:4" x14ac:dyDescent="0.45">
      <c r="A364">
        <v>363</v>
      </c>
      <c r="B364">
        <v>25</v>
      </c>
      <c r="C364">
        <f t="shared" si="11"/>
        <v>3</v>
      </c>
      <c r="D364" t="str">
        <f t="shared" si="10"/>
        <v/>
      </c>
    </row>
    <row r="365" spans="1:4" x14ac:dyDescent="0.45">
      <c r="A365">
        <v>364</v>
      </c>
      <c r="B365">
        <v>27.5</v>
      </c>
      <c r="C365">
        <f t="shared" si="11"/>
        <v>4</v>
      </c>
      <c r="D365" t="str">
        <f t="shared" si="10"/>
        <v/>
      </c>
    </row>
    <row r="366" spans="1:4" x14ac:dyDescent="0.45">
      <c r="A366">
        <v>365</v>
      </c>
      <c r="B366">
        <v>29.1</v>
      </c>
      <c r="C366">
        <f t="shared" si="11"/>
        <v>5</v>
      </c>
      <c r="D366" t="str">
        <f t="shared" si="10"/>
        <v/>
      </c>
    </row>
    <row r="367" spans="1:4" x14ac:dyDescent="0.45">
      <c r="A367">
        <v>366</v>
      </c>
      <c r="B367">
        <v>29</v>
      </c>
      <c r="C367">
        <f t="shared" si="11"/>
        <v>0</v>
      </c>
      <c r="D367" t="str">
        <f t="shared" si="10"/>
        <v/>
      </c>
    </row>
    <row r="368" spans="1:4" x14ac:dyDescent="0.45">
      <c r="A368">
        <v>367</v>
      </c>
      <c r="B368">
        <v>27.2</v>
      </c>
      <c r="C368">
        <f t="shared" si="11"/>
        <v>0</v>
      </c>
      <c r="D368" t="str">
        <f t="shared" si="10"/>
        <v/>
      </c>
    </row>
    <row r="369" spans="1:4" x14ac:dyDescent="0.45">
      <c r="A369">
        <v>368</v>
      </c>
      <c r="B369">
        <v>24.1</v>
      </c>
      <c r="C369">
        <f t="shared" si="11"/>
        <v>0</v>
      </c>
      <c r="D369" t="str">
        <f t="shared" si="10"/>
        <v/>
      </c>
    </row>
    <row r="370" spans="1:4" x14ac:dyDescent="0.45">
      <c r="A370">
        <v>369</v>
      </c>
      <c r="B370">
        <v>20.399999999999999</v>
      </c>
      <c r="C370">
        <f t="shared" si="11"/>
        <v>0</v>
      </c>
      <c r="D370" t="str">
        <f t="shared" si="10"/>
        <v/>
      </c>
    </row>
    <row r="371" spans="1:4" x14ac:dyDescent="0.45">
      <c r="A371">
        <v>370</v>
      </c>
      <c r="B371">
        <v>17.100000000000001</v>
      </c>
      <c r="C371">
        <f t="shared" si="11"/>
        <v>0</v>
      </c>
      <c r="D371" t="str">
        <f t="shared" si="10"/>
        <v/>
      </c>
    </row>
    <row r="372" spans="1:4" x14ac:dyDescent="0.45">
      <c r="A372">
        <v>371</v>
      </c>
      <c r="B372">
        <v>14.9</v>
      </c>
      <c r="C372">
        <f t="shared" si="11"/>
        <v>0</v>
      </c>
      <c r="D372" t="str">
        <f t="shared" si="10"/>
        <v/>
      </c>
    </row>
    <row r="373" spans="1:4" x14ac:dyDescent="0.45">
      <c r="A373">
        <v>372</v>
      </c>
      <c r="B373">
        <v>14.1</v>
      </c>
      <c r="C373">
        <f t="shared" si="11"/>
        <v>0</v>
      </c>
      <c r="D373" t="str">
        <f t="shared" si="10"/>
        <v/>
      </c>
    </row>
    <row r="374" spans="1:4" x14ac:dyDescent="0.45">
      <c r="A374">
        <v>373</v>
      </c>
      <c r="B374">
        <v>14.8</v>
      </c>
      <c r="C374">
        <f t="shared" si="11"/>
        <v>1</v>
      </c>
      <c r="D374" t="str">
        <f t="shared" si="10"/>
        <v/>
      </c>
    </row>
    <row r="375" spans="1:4" x14ac:dyDescent="0.45">
      <c r="A375">
        <v>374</v>
      </c>
      <c r="B375">
        <v>16.3</v>
      </c>
      <c r="C375">
        <f t="shared" si="11"/>
        <v>2</v>
      </c>
      <c r="D375" t="str">
        <f t="shared" si="10"/>
        <v/>
      </c>
    </row>
    <row r="376" spans="1:4" x14ac:dyDescent="0.45">
      <c r="A376">
        <v>375</v>
      </c>
      <c r="B376">
        <v>17.7</v>
      </c>
      <c r="C376">
        <f t="shared" si="11"/>
        <v>3</v>
      </c>
      <c r="D376" t="str">
        <f t="shared" si="10"/>
        <v/>
      </c>
    </row>
    <row r="377" spans="1:4" x14ac:dyDescent="0.45">
      <c r="A377">
        <v>376</v>
      </c>
      <c r="B377">
        <v>18.3</v>
      </c>
      <c r="C377">
        <f t="shared" si="11"/>
        <v>4</v>
      </c>
      <c r="D377" t="str">
        <f t="shared" si="10"/>
        <v/>
      </c>
    </row>
    <row r="378" spans="1:4" x14ac:dyDescent="0.45">
      <c r="A378">
        <v>377</v>
      </c>
      <c r="B378">
        <v>17.5</v>
      </c>
      <c r="C378">
        <f t="shared" si="11"/>
        <v>0</v>
      </c>
      <c r="D378" t="str">
        <f t="shared" si="10"/>
        <v/>
      </c>
    </row>
    <row r="379" spans="1:4" x14ac:dyDescent="0.45">
      <c r="A379">
        <v>378</v>
      </c>
      <c r="B379">
        <v>15.1</v>
      </c>
      <c r="C379">
        <f t="shared" si="11"/>
        <v>0</v>
      </c>
      <c r="D379" t="str">
        <f t="shared" si="10"/>
        <v/>
      </c>
    </row>
    <row r="380" spans="1:4" x14ac:dyDescent="0.45">
      <c r="A380">
        <v>379</v>
      </c>
      <c r="B380">
        <v>11.6</v>
      </c>
      <c r="C380">
        <f t="shared" si="11"/>
        <v>0</v>
      </c>
      <c r="D380" t="str">
        <f t="shared" si="10"/>
        <v/>
      </c>
    </row>
    <row r="381" spans="1:4" x14ac:dyDescent="0.45">
      <c r="A381">
        <v>380</v>
      </c>
      <c r="B381">
        <v>7.7</v>
      </c>
      <c r="C381">
        <f t="shared" si="11"/>
        <v>0</v>
      </c>
      <c r="D381" t="str">
        <f t="shared" si="10"/>
        <v/>
      </c>
    </row>
    <row r="382" spans="1:4" x14ac:dyDescent="0.45">
      <c r="A382">
        <v>381</v>
      </c>
      <c r="B382">
        <v>4.4000000000000004</v>
      </c>
      <c r="C382">
        <f t="shared" si="11"/>
        <v>0</v>
      </c>
      <c r="D382" t="str">
        <f t="shared" si="10"/>
        <v/>
      </c>
    </row>
    <row r="383" spans="1:4" x14ac:dyDescent="0.45">
      <c r="A383">
        <v>382</v>
      </c>
      <c r="B383">
        <v>2.2999999999999998</v>
      </c>
      <c r="C383">
        <f t="shared" si="11"/>
        <v>0</v>
      </c>
      <c r="D383" t="str">
        <f t="shared" si="10"/>
        <v/>
      </c>
    </row>
    <row r="384" spans="1:4" x14ac:dyDescent="0.45">
      <c r="A384">
        <v>383</v>
      </c>
      <c r="B384">
        <v>2</v>
      </c>
      <c r="C384">
        <f t="shared" si="11"/>
        <v>0</v>
      </c>
      <c r="D384" t="str">
        <f t="shared" si="10"/>
        <v/>
      </c>
    </row>
    <row r="385" spans="1:4" x14ac:dyDescent="0.45">
      <c r="A385">
        <v>384</v>
      </c>
      <c r="B385">
        <v>3.2</v>
      </c>
      <c r="C385">
        <f t="shared" si="11"/>
        <v>1</v>
      </c>
      <c r="D385" t="str">
        <f t="shared" si="10"/>
        <v/>
      </c>
    </row>
    <row r="386" spans="1:4" x14ac:dyDescent="0.45">
      <c r="A386">
        <v>385</v>
      </c>
      <c r="B386">
        <v>5.5</v>
      </c>
      <c r="C386">
        <f t="shared" si="11"/>
        <v>2</v>
      </c>
      <c r="D386" t="str">
        <f t="shared" si="10"/>
        <v/>
      </c>
    </row>
    <row r="387" spans="1:4" x14ac:dyDescent="0.45">
      <c r="A387">
        <v>386</v>
      </c>
      <c r="B387">
        <v>7.9</v>
      </c>
      <c r="C387">
        <f t="shared" si="11"/>
        <v>3</v>
      </c>
      <c r="D387" t="str">
        <f t="shared" ref="D387:D450" si="12">IF(C387=8,"xxxxxxxxxxxxxxxxxxxxxx","")</f>
        <v/>
      </c>
    </row>
    <row r="388" spans="1:4" x14ac:dyDescent="0.45">
      <c r="A388">
        <v>387</v>
      </c>
      <c r="B388">
        <v>9.6</v>
      </c>
      <c r="C388">
        <f t="shared" ref="C388:C451" si="13">IF(B388&gt;B387,C387+1,0)</f>
        <v>4</v>
      </c>
      <c r="D388" t="str">
        <f t="shared" si="12"/>
        <v/>
      </c>
    </row>
    <row r="389" spans="1:4" x14ac:dyDescent="0.45">
      <c r="A389">
        <v>388</v>
      </c>
      <c r="B389">
        <v>10</v>
      </c>
      <c r="C389">
        <f t="shared" si="13"/>
        <v>5</v>
      </c>
      <c r="D389" t="str">
        <f t="shared" si="12"/>
        <v/>
      </c>
    </row>
    <row r="390" spans="1:4" x14ac:dyDescent="0.45">
      <c r="A390">
        <v>389</v>
      </c>
      <c r="B390">
        <v>9</v>
      </c>
      <c r="C390">
        <f t="shared" si="13"/>
        <v>0</v>
      </c>
      <c r="D390" t="str">
        <f t="shared" si="12"/>
        <v/>
      </c>
    </row>
    <row r="391" spans="1:4" x14ac:dyDescent="0.45">
      <c r="A391">
        <v>390</v>
      </c>
      <c r="B391">
        <v>6.9</v>
      </c>
      <c r="C391">
        <f t="shared" si="13"/>
        <v>0</v>
      </c>
      <c r="D391" t="str">
        <f t="shared" si="12"/>
        <v/>
      </c>
    </row>
    <row r="392" spans="1:4" x14ac:dyDescent="0.45">
      <c r="A392">
        <v>391</v>
      </c>
      <c r="B392">
        <v>4.5</v>
      </c>
      <c r="C392">
        <f t="shared" si="13"/>
        <v>0</v>
      </c>
      <c r="D392" t="str">
        <f t="shared" si="12"/>
        <v/>
      </c>
    </row>
    <row r="393" spans="1:4" x14ac:dyDescent="0.45">
      <c r="A393">
        <v>392</v>
      </c>
      <c r="B393">
        <v>2.8</v>
      </c>
      <c r="C393">
        <f t="shared" si="13"/>
        <v>0</v>
      </c>
      <c r="D393" t="str">
        <f t="shared" si="12"/>
        <v/>
      </c>
    </row>
    <row r="394" spans="1:4" x14ac:dyDescent="0.45">
      <c r="A394">
        <v>393</v>
      </c>
      <c r="B394">
        <v>2.2999999999999998</v>
      </c>
      <c r="C394">
        <f t="shared" si="13"/>
        <v>0</v>
      </c>
      <c r="D394" t="str">
        <f t="shared" si="12"/>
        <v/>
      </c>
    </row>
    <row r="395" spans="1:4" x14ac:dyDescent="0.45">
      <c r="A395">
        <v>394</v>
      </c>
      <c r="B395">
        <v>3.6</v>
      </c>
      <c r="C395">
        <f t="shared" si="13"/>
        <v>1</v>
      </c>
      <c r="D395" t="str">
        <f t="shared" si="12"/>
        <v/>
      </c>
    </row>
    <row r="396" spans="1:4" x14ac:dyDescent="0.45">
      <c r="A396">
        <v>395</v>
      </c>
      <c r="B396">
        <v>6.4</v>
      </c>
      <c r="C396">
        <f t="shared" si="13"/>
        <v>2</v>
      </c>
      <c r="D396" t="str">
        <f t="shared" si="12"/>
        <v/>
      </c>
    </row>
    <row r="397" spans="1:4" x14ac:dyDescent="0.45">
      <c r="A397">
        <v>396</v>
      </c>
      <c r="B397">
        <v>10.199999999999999</v>
      </c>
      <c r="C397">
        <f t="shared" si="13"/>
        <v>3</v>
      </c>
      <c r="D397" t="str">
        <f t="shared" si="12"/>
        <v/>
      </c>
    </row>
    <row r="398" spans="1:4" x14ac:dyDescent="0.45">
      <c r="A398">
        <v>397</v>
      </c>
      <c r="B398">
        <v>14</v>
      </c>
      <c r="C398">
        <f t="shared" si="13"/>
        <v>4</v>
      </c>
      <c r="D398" t="str">
        <f t="shared" si="12"/>
        <v/>
      </c>
    </row>
    <row r="399" spans="1:4" x14ac:dyDescent="0.45">
      <c r="A399">
        <v>398</v>
      </c>
      <c r="B399">
        <v>17.100000000000001</v>
      </c>
      <c r="C399">
        <f t="shared" si="13"/>
        <v>5</v>
      </c>
      <c r="D399" t="str">
        <f t="shared" si="12"/>
        <v/>
      </c>
    </row>
    <row r="400" spans="1:4" x14ac:dyDescent="0.45">
      <c r="A400">
        <v>399</v>
      </c>
      <c r="B400">
        <v>18.7</v>
      </c>
      <c r="C400">
        <f t="shared" si="13"/>
        <v>6</v>
      </c>
      <c r="D400" t="str">
        <f t="shared" si="12"/>
        <v/>
      </c>
    </row>
    <row r="401" spans="1:4" x14ac:dyDescent="0.45">
      <c r="A401">
        <v>400</v>
      </c>
      <c r="B401">
        <v>18.8</v>
      </c>
      <c r="C401">
        <f t="shared" si="13"/>
        <v>7</v>
      </c>
      <c r="D401" t="str">
        <f t="shared" si="12"/>
        <v/>
      </c>
    </row>
    <row r="402" spans="1:4" x14ac:dyDescent="0.45">
      <c r="A402">
        <v>401</v>
      </c>
      <c r="B402">
        <v>17.7</v>
      </c>
      <c r="C402">
        <f t="shared" si="13"/>
        <v>0</v>
      </c>
      <c r="D402" t="str">
        <f t="shared" si="12"/>
        <v/>
      </c>
    </row>
    <row r="403" spans="1:4" x14ac:dyDescent="0.45">
      <c r="A403">
        <v>402</v>
      </c>
      <c r="B403">
        <v>16.100000000000001</v>
      </c>
      <c r="C403">
        <f t="shared" si="13"/>
        <v>0</v>
      </c>
      <c r="D403" t="str">
        <f t="shared" si="12"/>
        <v/>
      </c>
    </row>
    <row r="404" spans="1:4" x14ac:dyDescent="0.45">
      <c r="A404">
        <v>403</v>
      </c>
      <c r="B404">
        <v>14.9</v>
      </c>
      <c r="C404">
        <f t="shared" si="13"/>
        <v>0</v>
      </c>
      <c r="D404" t="str">
        <f t="shared" si="12"/>
        <v/>
      </c>
    </row>
    <row r="405" spans="1:4" x14ac:dyDescent="0.45">
      <c r="A405">
        <v>404</v>
      </c>
      <c r="B405">
        <v>14.9</v>
      </c>
      <c r="C405">
        <f t="shared" si="13"/>
        <v>0</v>
      </c>
      <c r="D405" t="str">
        <f t="shared" si="12"/>
        <v/>
      </c>
    </row>
    <row r="406" spans="1:4" x14ac:dyDescent="0.45">
      <c r="A406">
        <v>405</v>
      </c>
      <c r="B406">
        <v>16.3</v>
      </c>
      <c r="C406">
        <f t="shared" si="13"/>
        <v>1</v>
      </c>
      <c r="D406" t="str">
        <f t="shared" si="12"/>
        <v/>
      </c>
    </row>
    <row r="407" spans="1:4" x14ac:dyDescent="0.45">
      <c r="A407">
        <v>406</v>
      </c>
      <c r="B407">
        <v>19.100000000000001</v>
      </c>
      <c r="C407">
        <f t="shared" si="13"/>
        <v>2</v>
      </c>
      <c r="D407" t="str">
        <f t="shared" si="12"/>
        <v/>
      </c>
    </row>
    <row r="408" spans="1:4" x14ac:dyDescent="0.45">
      <c r="A408">
        <v>407</v>
      </c>
      <c r="B408">
        <v>22.7</v>
      </c>
      <c r="C408">
        <f t="shared" si="13"/>
        <v>3</v>
      </c>
      <c r="D408" t="str">
        <f t="shared" si="12"/>
        <v/>
      </c>
    </row>
    <row r="409" spans="1:4" x14ac:dyDescent="0.45">
      <c r="A409">
        <v>408</v>
      </c>
      <c r="B409">
        <v>26.1</v>
      </c>
      <c r="C409">
        <f t="shared" si="13"/>
        <v>4</v>
      </c>
      <c r="D409" t="str">
        <f t="shared" si="12"/>
        <v/>
      </c>
    </row>
    <row r="410" spans="1:4" x14ac:dyDescent="0.45">
      <c r="A410">
        <v>409</v>
      </c>
      <c r="B410">
        <v>28.6</v>
      </c>
      <c r="C410">
        <f t="shared" si="13"/>
        <v>5</v>
      </c>
      <c r="D410" t="str">
        <f t="shared" si="12"/>
        <v/>
      </c>
    </row>
    <row r="411" spans="1:4" x14ac:dyDescent="0.45">
      <c r="A411">
        <v>410</v>
      </c>
      <c r="B411">
        <v>29.5</v>
      </c>
      <c r="C411">
        <f t="shared" si="13"/>
        <v>6</v>
      </c>
      <c r="D411" t="str">
        <f t="shared" si="12"/>
        <v/>
      </c>
    </row>
    <row r="412" spans="1:4" x14ac:dyDescent="0.45">
      <c r="A412">
        <v>411</v>
      </c>
      <c r="B412">
        <v>28.6</v>
      </c>
      <c r="C412">
        <f t="shared" si="13"/>
        <v>0</v>
      </c>
      <c r="D412" t="str">
        <f t="shared" si="12"/>
        <v/>
      </c>
    </row>
    <row r="413" spans="1:4" x14ac:dyDescent="0.45">
      <c r="A413">
        <v>412</v>
      </c>
      <c r="B413">
        <v>26.4</v>
      </c>
      <c r="C413">
        <f t="shared" si="13"/>
        <v>0</v>
      </c>
      <c r="D413" t="str">
        <f t="shared" si="12"/>
        <v/>
      </c>
    </row>
    <row r="414" spans="1:4" x14ac:dyDescent="0.45">
      <c r="A414">
        <v>413</v>
      </c>
      <c r="B414">
        <v>23.6</v>
      </c>
      <c r="C414">
        <f t="shared" si="13"/>
        <v>0</v>
      </c>
      <c r="D414" t="str">
        <f t="shared" si="12"/>
        <v/>
      </c>
    </row>
    <row r="415" spans="1:4" x14ac:dyDescent="0.45">
      <c r="A415">
        <v>414</v>
      </c>
      <c r="B415">
        <v>21</v>
      </c>
      <c r="C415">
        <f t="shared" si="13"/>
        <v>0</v>
      </c>
      <c r="D415" t="str">
        <f t="shared" si="12"/>
        <v/>
      </c>
    </row>
    <row r="416" spans="1:4" x14ac:dyDescent="0.45">
      <c r="A416">
        <v>415</v>
      </c>
      <c r="B416">
        <v>19.600000000000001</v>
      </c>
      <c r="C416">
        <f t="shared" si="13"/>
        <v>0</v>
      </c>
      <c r="D416" t="str">
        <f t="shared" si="12"/>
        <v/>
      </c>
    </row>
    <row r="417" spans="1:4" x14ac:dyDescent="0.45">
      <c r="A417">
        <v>416</v>
      </c>
      <c r="B417">
        <v>19.5</v>
      </c>
      <c r="C417">
        <f t="shared" si="13"/>
        <v>0</v>
      </c>
      <c r="D417" t="str">
        <f t="shared" si="12"/>
        <v/>
      </c>
    </row>
    <row r="418" spans="1:4" x14ac:dyDescent="0.45">
      <c r="A418">
        <v>417</v>
      </c>
      <c r="B418">
        <v>20.7</v>
      </c>
      <c r="C418">
        <f t="shared" si="13"/>
        <v>1</v>
      </c>
      <c r="D418" t="str">
        <f t="shared" si="12"/>
        <v/>
      </c>
    </row>
    <row r="419" spans="1:4" x14ac:dyDescent="0.45">
      <c r="A419">
        <v>418</v>
      </c>
      <c r="B419">
        <v>22.7</v>
      </c>
      <c r="C419">
        <f t="shared" si="13"/>
        <v>2</v>
      </c>
      <c r="D419" t="str">
        <f t="shared" si="12"/>
        <v/>
      </c>
    </row>
    <row r="420" spans="1:4" x14ac:dyDescent="0.45">
      <c r="A420">
        <v>419</v>
      </c>
      <c r="B420">
        <v>24.5</v>
      </c>
      <c r="C420">
        <f t="shared" si="13"/>
        <v>3</v>
      </c>
      <c r="D420" t="str">
        <f t="shared" si="12"/>
        <v/>
      </c>
    </row>
    <row r="421" spans="1:4" x14ac:dyDescent="0.45">
      <c r="A421">
        <v>420</v>
      </c>
      <c r="B421">
        <v>25.4</v>
      </c>
      <c r="C421">
        <f t="shared" si="13"/>
        <v>4</v>
      </c>
      <c r="D421" t="str">
        <f t="shared" si="12"/>
        <v/>
      </c>
    </row>
    <row r="422" spans="1:4" x14ac:dyDescent="0.45">
      <c r="A422">
        <v>421</v>
      </c>
      <c r="B422">
        <v>24.8</v>
      </c>
      <c r="C422">
        <f t="shared" si="13"/>
        <v>0</v>
      </c>
      <c r="D422" t="str">
        <f t="shared" si="12"/>
        <v/>
      </c>
    </row>
    <row r="423" spans="1:4" x14ac:dyDescent="0.45">
      <c r="A423">
        <v>422</v>
      </c>
      <c r="B423">
        <v>22.5</v>
      </c>
      <c r="C423">
        <f t="shared" si="13"/>
        <v>0</v>
      </c>
      <c r="D423" t="str">
        <f t="shared" si="12"/>
        <v/>
      </c>
    </row>
    <row r="424" spans="1:4" x14ac:dyDescent="0.45">
      <c r="A424">
        <v>423</v>
      </c>
      <c r="B424">
        <v>18.899999999999999</v>
      </c>
      <c r="C424">
        <f t="shared" si="13"/>
        <v>0</v>
      </c>
      <c r="D424" t="str">
        <f t="shared" si="12"/>
        <v/>
      </c>
    </row>
    <row r="425" spans="1:4" x14ac:dyDescent="0.45">
      <c r="A425">
        <v>424</v>
      </c>
      <c r="B425">
        <v>14.8</v>
      </c>
      <c r="C425">
        <f t="shared" si="13"/>
        <v>0</v>
      </c>
      <c r="D425" t="str">
        <f t="shared" si="12"/>
        <v/>
      </c>
    </row>
    <row r="426" spans="1:4" x14ac:dyDescent="0.45">
      <c r="A426">
        <v>425</v>
      </c>
      <c r="B426">
        <v>11.2</v>
      </c>
      <c r="C426">
        <f t="shared" si="13"/>
        <v>0</v>
      </c>
      <c r="D426" t="str">
        <f t="shared" si="12"/>
        <v/>
      </c>
    </row>
    <row r="427" spans="1:4" x14ac:dyDescent="0.45">
      <c r="A427">
        <v>426</v>
      </c>
      <c r="B427">
        <v>8.8000000000000007</v>
      </c>
      <c r="C427">
        <f t="shared" si="13"/>
        <v>0</v>
      </c>
      <c r="D427" t="str">
        <f t="shared" si="12"/>
        <v/>
      </c>
    </row>
    <row r="428" spans="1:4" x14ac:dyDescent="0.45">
      <c r="A428">
        <v>427</v>
      </c>
      <c r="B428">
        <v>8</v>
      </c>
      <c r="C428">
        <f t="shared" si="13"/>
        <v>0</v>
      </c>
      <c r="D428" t="str">
        <f t="shared" si="12"/>
        <v/>
      </c>
    </row>
    <row r="429" spans="1:4" x14ac:dyDescent="0.45">
      <c r="A429">
        <v>428</v>
      </c>
      <c r="B429">
        <v>8.6</v>
      </c>
      <c r="C429">
        <f t="shared" si="13"/>
        <v>1</v>
      </c>
      <c r="D429" t="str">
        <f t="shared" si="12"/>
        <v/>
      </c>
    </row>
    <row r="430" spans="1:4" x14ac:dyDescent="0.45">
      <c r="A430">
        <v>429</v>
      </c>
      <c r="B430">
        <v>10.199999999999999</v>
      </c>
      <c r="C430">
        <f t="shared" si="13"/>
        <v>2</v>
      </c>
      <c r="D430" t="str">
        <f t="shared" si="12"/>
        <v/>
      </c>
    </row>
    <row r="431" spans="1:4" x14ac:dyDescent="0.45">
      <c r="A431">
        <v>430</v>
      </c>
      <c r="B431">
        <v>11.8</v>
      </c>
      <c r="C431">
        <f t="shared" si="13"/>
        <v>3</v>
      </c>
      <c r="D431" t="str">
        <f t="shared" si="12"/>
        <v/>
      </c>
    </row>
    <row r="432" spans="1:4" x14ac:dyDescent="0.45">
      <c r="A432">
        <v>431</v>
      </c>
      <c r="B432">
        <v>12.7</v>
      </c>
      <c r="C432">
        <f t="shared" si="13"/>
        <v>4</v>
      </c>
      <c r="D432" t="str">
        <f t="shared" si="12"/>
        <v/>
      </c>
    </row>
    <row r="433" spans="1:4" x14ac:dyDescent="0.45">
      <c r="A433">
        <v>432</v>
      </c>
      <c r="B433">
        <v>12.2</v>
      </c>
      <c r="C433">
        <f t="shared" si="13"/>
        <v>0</v>
      </c>
      <c r="D433" t="str">
        <f t="shared" si="12"/>
        <v/>
      </c>
    </row>
    <row r="434" spans="1:4" x14ac:dyDescent="0.45">
      <c r="A434">
        <v>433</v>
      </c>
      <c r="B434">
        <v>10.3</v>
      </c>
      <c r="C434">
        <f t="shared" si="13"/>
        <v>0</v>
      </c>
      <c r="D434" t="str">
        <f t="shared" si="12"/>
        <v/>
      </c>
    </row>
    <row r="435" spans="1:4" x14ac:dyDescent="0.45">
      <c r="A435">
        <v>434</v>
      </c>
      <c r="B435">
        <v>7.4</v>
      </c>
      <c r="C435">
        <f t="shared" si="13"/>
        <v>0</v>
      </c>
      <c r="D435" t="str">
        <f t="shared" si="12"/>
        <v/>
      </c>
    </row>
    <row r="436" spans="1:4" x14ac:dyDescent="0.45">
      <c r="A436">
        <v>435</v>
      </c>
      <c r="B436">
        <v>4.0999999999999996</v>
      </c>
      <c r="C436">
        <f t="shared" si="13"/>
        <v>0</v>
      </c>
      <c r="D436" t="str">
        <f t="shared" si="12"/>
        <v/>
      </c>
    </row>
    <row r="437" spans="1:4" x14ac:dyDescent="0.45">
      <c r="A437">
        <v>436</v>
      </c>
      <c r="B437">
        <v>1.4</v>
      </c>
      <c r="C437">
        <f t="shared" si="13"/>
        <v>0</v>
      </c>
      <c r="D437" t="str">
        <f t="shared" si="12"/>
        <v/>
      </c>
    </row>
    <row r="438" spans="1:4" x14ac:dyDescent="0.45">
      <c r="A438">
        <v>437</v>
      </c>
      <c r="B438">
        <v>0.1</v>
      </c>
      <c r="C438">
        <f t="shared" si="13"/>
        <v>0</v>
      </c>
      <c r="D438" t="str">
        <f t="shared" si="12"/>
        <v/>
      </c>
    </row>
    <row r="439" spans="1:4" x14ac:dyDescent="0.45">
      <c r="A439">
        <v>438</v>
      </c>
      <c r="B439">
        <v>0.5</v>
      </c>
      <c r="C439">
        <f t="shared" si="13"/>
        <v>1</v>
      </c>
      <c r="D439" t="str">
        <f t="shared" si="12"/>
        <v/>
      </c>
    </row>
    <row r="440" spans="1:4" x14ac:dyDescent="0.45">
      <c r="A440">
        <v>439</v>
      </c>
      <c r="B440">
        <v>2.5</v>
      </c>
      <c r="C440">
        <f t="shared" si="13"/>
        <v>2</v>
      </c>
      <c r="D440" t="str">
        <f t="shared" si="12"/>
        <v/>
      </c>
    </row>
    <row r="441" spans="1:4" x14ac:dyDescent="0.45">
      <c r="A441">
        <v>440</v>
      </c>
      <c r="B441">
        <v>5.5</v>
      </c>
      <c r="C441">
        <f t="shared" si="13"/>
        <v>3</v>
      </c>
      <c r="D441" t="str">
        <f t="shared" si="12"/>
        <v/>
      </c>
    </row>
    <row r="442" spans="1:4" x14ac:dyDescent="0.45">
      <c r="A442">
        <v>441</v>
      </c>
      <c r="B442">
        <v>8.6999999999999993</v>
      </c>
      <c r="C442">
        <f t="shared" si="13"/>
        <v>4</v>
      </c>
      <c r="D442" t="str">
        <f t="shared" si="12"/>
        <v/>
      </c>
    </row>
    <row r="443" spans="1:4" x14ac:dyDescent="0.45">
      <c r="A443">
        <v>442</v>
      </c>
      <c r="B443">
        <v>11.1</v>
      </c>
      <c r="C443">
        <f t="shared" si="13"/>
        <v>5</v>
      </c>
      <c r="D443" t="str">
        <f t="shared" si="12"/>
        <v/>
      </c>
    </row>
    <row r="444" spans="1:4" x14ac:dyDescent="0.45">
      <c r="A444">
        <v>443</v>
      </c>
      <c r="B444">
        <v>12.2</v>
      </c>
      <c r="C444">
        <f t="shared" si="13"/>
        <v>6</v>
      </c>
      <c r="D444" t="str">
        <f t="shared" si="12"/>
        <v/>
      </c>
    </row>
    <row r="445" spans="1:4" x14ac:dyDescent="0.45">
      <c r="A445">
        <v>444</v>
      </c>
      <c r="B445">
        <v>11.9</v>
      </c>
      <c r="C445">
        <f t="shared" si="13"/>
        <v>0</v>
      </c>
      <c r="D445" t="str">
        <f t="shared" si="12"/>
        <v/>
      </c>
    </row>
    <row r="446" spans="1:4" x14ac:dyDescent="0.45">
      <c r="A446">
        <v>445</v>
      </c>
      <c r="B446">
        <v>10.5</v>
      </c>
      <c r="C446">
        <f t="shared" si="13"/>
        <v>0</v>
      </c>
      <c r="D446" t="str">
        <f t="shared" si="12"/>
        <v/>
      </c>
    </row>
    <row r="447" spans="1:4" x14ac:dyDescent="0.45">
      <c r="A447">
        <v>446</v>
      </c>
      <c r="B447">
        <v>8.8000000000000007</v>
      </c>
      <c r="C447">
        <f t="shared" si="13"/>
        <v>0</v>
      </c>
      <c r="D447" t="str">
        <f t="shared" si="12"/>
        <v/>
      </c>
    </row>
    <row r="448" spans="1:4" x14ac:dyDescent="0.45">
      <c r="A448">
        <v>447</v>
      </c>
      <c r="B448">
        <v>7.5</v>
      </c>
      <c r="C448">
        <f t="shared" si="13"/>
        <v>0</v>
      </c>
      <c r="D448" t="str">
        <f t="shared" si="12"/>
        <v/>
      </c>
    </row>
    <row r="449" spans="1:6" x14ac:dyDescent="0.45">
      <c r="A449">
        <v>448</v>
      </c>
      <c r="B449">
        <v>7.6</v>
      </c>
      <c r="C449">
        <f t="shared" si="13"/>
        <v>1</v>
      </c>
      <c r="D449" t="str">
        <f t="shared" si="12"/>
        <v/>
      </c>
    </row>
    <row r="450" spans="1:6" x14ac:dyDescent="0.45">
      <c r="A450">
        <v>449</v>
      </c>
      <c r="B450">
        <v>9.1999999999999993</v>
      </c>
      <c r="C450">
        <f t="shared" si="13"/>
        <v>2</v>
      </c>
      <c r="D450" t="str">
        <f t="shared" si="12"/>
        <v/>
      </c>
    </row>
    <row r="451" spans="1:6" x14ac:dyDescent="0.45">
      <c r="A451">
        <v>450</v>
      </c>
      <c r="B451">
        <v>12.3</v>
      </c>
      <c r="C451">
        <f t="shared" si="13"/>
        <v>3</v>
      </c>
      <c r="D451" t="str">
        <f t="shared" ref="D451:D501" si="14">IF(C451=8,"xxxxxxxxxxxxxxxxxxxxxx","")</f>
        <v/>
      </c>
    </row>
    <row r="452" spans="1:6" x14ac:dyDescent="0.45">
      <c r="A452">
        <v>451</v>
      </c>
      <c r="B452">
        <v>16.3</v>
      </c>
      <c r="C452">
        <f t="shared" ref="C452:C501" si="15">IF(B452&gt;B451,C451+1,0)</f>
        <v>4</v>
      </c>
      <c r="D452" t="str">
        <f t="shared" si="14"/>
        <v/>
      </c>
    </row>
    <row r="453" spans="1:6" x14ac:dyDescent="0.45">
      <c r="A453">
        <v>452</v>
      </c>
      <c r="B453">
        <v>20.2</v>
      </c>
      <c r="C453">
        <f t="shared" si="15"/>
        <v>5</v>
      </c>
      <c r="D453" t="str">
        <f t="shared" si="14"/>
        <v/>
      </c>
    </row>
    <row r="454" spans="1:6" x14ac:dyDescent="0.45">
      <c r="A454">
        <v>453</v>
      </c>
      <c r="B454">
        <v>23.2</v>
      </c>
      <c r="C454">
        <f t="shared" si="15"/>
        <v>6</v>
      </c>
      <c r="D454" t="str">
        <f t="shared" si="14"/>
        <v/>
      </c>
    </row>
    <row r="455" spans="1:6" x14ac:dyDescent="0.45">
      <c r="A455">
        <v>454</v>
      </c>
      <c r="B455">
        <v>24.8</v>
      </c>
      <c r="C455">
        <f t="shared" si="15"/>
        <v>7</v>
      </c>
      <c r="D455" t="str">
        <f t="shared" si="14"/>
        <v/>
      </c>
      <c r="F455">
        <v>448</v>
      </c>
    </row>
    <row r="456" spans="1:6" x14ac:dyDescent="0.45">
      <c r="A456">
        <v>455</v>
      </c>
      <c r="B456">
        <v>24.9</v>
      </c>
      <c r="C456">
        <f t="shared" si="15"/>
        <v>8</v>
      </c>
      <c r="D456" t="str">
        <f t="shared" si="14"/>
        <v>xxxxxxxxxxxxxxxxxxxxxx</v>
      </c>
      <c r="F456">
        <v>455</v>
      </c>
    </row>
    <row r="457" spans="1:6" x14ac:dyDescent="0.45">
      <c r="A457">
        <v>456</v>
      </c>
      <c r="B457">
        <v>23.3</v>
      </c>
      <c r="C457">
        <f t="shared" si="15"/>
        <v>0</v>
      </c>
      <c r="D457" t="str">
        <f t="shared" si="14"/>
        <v/>
      </c>
    </row>
    <row r="458" spans="1:6" x14ac:dyDescent="0.45">
      <c r="A458">
        <v>457</v>
      </c>
      <c r="B458">
        <v>21.3</v>
      </c>
      <c r="C458">
        <f t="shared" si="15"/>
        <v>0</v>
      </c>
      <c r="D458" t="str">
        <f t="shared" si="14"/>
        <v/>
      </c>
    </row>
    <row r="459" spans="1:6" x14ac:dyDescent="0.45">
      <c r="A459">
        <v>458</v>
      </c>
      <c r="B459">
        <v>19.7</v>
      </c>
      <c r="C459">
        <f t="shared" si="15"/>
        <v>0</v>
      </c>
      <c r="D459" t="str">
        <f t="shared" si="14"/>
        <v/>
      </c>
    </row>
    <row r="460" spans="1:6" x14ac:dyDescent="0.45">
      <c r="A460">
        <v>459</v>
      </c>
      <c r="B460">
        <v>19.100000000000001</v>
      </c>
      <c r="C460">
        <f t="shared" si="15"/>
        <v>0</v>
      </c>
      <c r="D460" t="str">
        <f t="shared" si="14"/>
        <v/>
      </c>
    </row>
    <row r="461" spans="1:6" x14ac:dyDescent="0.45">
      <c r="A461">
        <v>460</v>
      </c>
      <c r="B461">
        <v>20</v>
      </c>
      <c r="C461">
        <f t="shared" si="15"/>
        <v>1</v>
      </c>
      <c r="D461" t="str">
        <f t="shared" si="14"/>
        <v/>
      </c>
    </row>
    <row r="462" spans="1:6" x14ac:dyDescent="0.45">
      <c r="A462">
        <v>461</v>
      </c>
      <c r="B462">
        <v>22.1</v>
      </c>
      <c r="C462">
        <f t="shared" si="15"/>
        <v>2</v>
      </c>
      <c r="D462" t="str">
        <f t="shared" si="14"/>
        <v/>
      </c>
    </row>
    <row r="463" spans="1:6" x14ac:dyDescent="0.45">
      <c r="A463">
        <v>462</v>
      </c>
      <c r="B463">
        <v>25</v>
      </c>
      <c r="C463">
        <f t="shared" si="15"/>
        <v>3</v>
      </c>
      <c r="D463" t="str">
        <f t="shared" si="14"/>
        <v/>
      </c>
    </row>
    <row r="464" spans="1:6" x14ac:dyDescent="0.45">
      <c r="A464">
        <v>463</v>
      </c>
      <c r="B464">
        <v>27.7</v>
      </c>
      <c r="C464">
        <f t="shared" si="15"/>
        <v>4</v>
      </c>
      <c r="D464" t="str">
        <f t="shared" si="14"/>
        <v/>
      </c>
    </row>
    <row r="465" spans="1:4" x14ac:dyDescent="0.45">
      <c r="A465">
        <v>464</v>
      </c>
      <c r="B465">
        <v>29.4</v>
      </c>
      <c r="C465">
        <f t="shared" si="15"/>
        <v>5</v>
      </c>
      <c r="D465" t="str">
        <f t="shared" si="14"/>
        <v/>
      </c>
    </row>
    <row r="466" spans="1:4" x14ac:dyDescent="0.45">
      <c r="A466">
        <v>465</v>
      </c>
      <c r="B466">
        <v>29.5</v>
      </c>
      <c r="C466">
        <f t="shared" si="15"/>
        <v>6</v>
      </c>
      <c r="D466" t="str">
        <f t="shared" si="14"/>
        <v/>
      </c>
    </row>
    <row r="467" spans="1:4" x14ac:dyDescent="0.45">
      <c r="A467">
        <v>466</v>
      </c>
      <c r="B467">
        <v>27.8</v>
      </c>
      <c r="C467">
        <f t="shared" si="15"/>
        <v>0</v>
      </c>
      <c r="D467" t="str">
        <f t="shared" si="14"/>
        <v/>
      </c>
    </row>
    <row r="468" spans="1:4" x14ac:dyDescent="0.45">
      <c r="A468">
        <v>467</v>
      </c>
      <c r="B468">
        <v>24.9</v>
      </c>
      <c r="C468">
        <f t="shared" si="15"/>
        <v>0</v>
      </c>
      <c r="D468" t="str">
        <f t="shared" si="14"/>
        <v/>
      </c>
    </row>
    <row r="469" spans="1:4" x14ac:dyDescent="0.45">
      <c r="A469">
        <v>468</v>
      </c>
      <c r="B469">
        <v>21.3</v>
      </c>
      <c r="C469">
        <f t="shared" si="15"/>
        <v>0</v>
      </c>
      <c r="D469" t="str">
        <f t="shared" si="14"/>
        <v/>
      </c>
    </row>
    <row r="470" spans="1:4" x14ac:dyDescent="0.45">
      <c r="A470">
        <v>469</v>
      </c>
      <c r="B470">
        <v>18.100000000000001</v>
      </c>
      <c r="C470">
        <f t="shared" si="15"/>
        <v>0</v>
      </c>
      <c r="D470" t="str">
        <f t="shared" si="14"/>
        <v/>
      </c>
    </row>
    <row r="471" spans="1:4" x14ac:dyDescent="0.45">
      <c r="A471">
        <v>470</v>
      </c>
      <c r="B471">
        <v>15.9</v>
      </c>
      <c r="C471">
        <f t="shared" si="15"/>
        <v>0</v>
      </c>
      <c r="D471" t="str">
        <f t="shared" si="14"/>
        <v/>
      </c>
    </row>
    <row r="472" spans="1:4" x14ac:dyDescent="0.45">
      <c r="A472">
        <v>471</v>
      </c>
      <c r="B472">
        <v>15.3</v>
      </c>
      <c r="C472">
        <f t="shared" si="15"/>
        <v>0</v>
      </c>
      <c r="D472" t="str">
        <f t="shared" si="14"/>
        <v/>
      </c>
    </row>
    <row r="473" spans="1:4" x14ac:dyDescent="0.45">
      <c r="A473">
        <v>472</v>
      </c>
      <c r="B473">
        <v>16</v>
      </c>
      <c r="C473">
        <f t="shared" si="15"/>
        <v>1</v>
      </c>
      <c r="D473" t="str">
        <f t="shared" si="14"/>
        <v/>
      </c>
    </row>
    <row r="474" spans="1:4" x14ac:dyDescent="0.45">
      <c r="A474">
        <v>473</v>
      </c>
      <c r="B474">
        <v>17.5</v>
      </c>
      <c r="C474">
        <f t="shared" si="15"/>
        <v>2</v>
      </c>
      <c r="D474" t="str">
        <f t="shared" si="14"/>
        <v/>
      </c>
    </row>
    <row r="475" spans="1:4" x14ac:dyDescent="0.45">
      <c r="A475">
        <v>474</v>
      </c>
      <c r="B475">
        <v>19</v>
      </c>
      <c r="C475">
        <f t="shared" si="15"/>
        <v>3</v>
      </c>
      <c r="D475" t="str">
        <f t="shared" si="14"/>
        <v/>
      </c>
    </row>
    <row r="476" spans="1:4" x14ac:dyDescent="0.45">
      <c r="A476">
        <v>475</v>
      </c>
      <c r="B476">
        <v>19.5</v>
      </c>
      <c r="C476">
        <f t="shared" si="15"/>
        <v>4</v>
      </c>
      <c r="D476" t="str">
        <f t="shared" si="14"/>
        <v/>
      </c>
    </row>
    <row r="477" spans="1:4" x14ac:dyDescent="0.45">
      <c r="A477">
        <v>476</v>
      </c>
      <c r="B477">
        <v>18.7</v>
      </c>
      <c r="C477">
        <f t="shared" si="15"/>
        <v>0</v>
      </c>
      <c r="D477" t="str">
        <f t="shared" si="14"/>
        <v/>
      </c>
    </row>
    <row r="478" spans="1:4" x14ac:dyDescent="0.45">
      <c r="A478">
        <v>477</v>
      </c>
      <c r="B478">
        <v>16.3</v>
      </c>
      <c r="C478">
        <f t="shared" si="15"/>
        <v>0</v>
      </c>
      <c r="D478" t="str">
        <f t="shared" si="14"/>
        <v/>
      </c>
    </row>
    <row r="479" spans="1:4" x14ac:dyDescent="0.45">
      <c r="A479">
        <v>478</v>
      </c>
      <c r="B479">
        <v>12.7</v>
      </c>
      <c r="C479">
        <f t="shared" si="15"/>
        <v>0</v>
      </c>
      <c r="D479" t="str">
        <f t="shared" si="14"/>
        <v/>
      </c>
    </row>
    <row r="480" spans="1:4" x14ac:dyDescent="0.45">
      <c r="A480">
        <v>479</v>
      </c>
      <c r="B480">
        <v>8.8000000000000007</v>
      </c>
      <c r="C480">
        <f t="shared" si="15"/>
        <v>0</v>
      </c>
      <c r="D480" t="str">
        <f t="shared" si="14"/>
        <v/>
      </c>
    </row>
    <row r="481" spans="1:4" x14ac:dyDescent="0.45">
      <c r="A481">
        <v>480</v>
      </c>
      <c r="B481">
        <v>5.3</v>
      </c>
      <c r="C481">
        <f t="shared" si="15"/>
        <v>0</v>
      </c>
      <c r="D481" t="str">
        <f t="shared" si="14"/>
        <v/>
      </c>
    </row>
    <row r="482" spans="1:4" x14ac:dyDescent="0.45">
      <c r="A482">
        <v>481</v>
      </c>
      <c r="B482">
        <v>3.2</v>
      </c>
      <c r="C482">
        <f t="shared" si="15"/>
        <v>0</v>
      </c>
      <c r="D482" t="str">
        <f t="shared" si="14"/>
        <v/>
      </c>
    </row>
    <row r="483" spans="1:4" x14ac:dyDescent="0.45">
      <c r="A483">
        <v>482</v>
      </c>
      <c r="B483">
        <v>2.7</v>
      </c>
      <c r="C483">
        <f t="shared" si="15"/>
        <v>0</v>
      </c>
      <c r="D483" t="str">
        <f t="shared" si="14"/>
        <v/>
      </c>
    </row>
    <row r="484" spans="1:4" x14ac:dyDescent="0.45">
      <c r="A484">
        <v>483</v>
      </c>
      <c r="B484">
        <v>3.9</v>
      </c>
      <c r="C484">
        <f t="shared" si="15"/>
        <v>1</v>
      </c>
      <c r="D484" t="str">
        <f t="shared" si="14"/>
        <v/>
      </c>
    </row>
    <row r="485" spans="1:4" x14ac:dyDescent="0.45">
      <c r="A485">
        <v>484</v>
      </c>
      <c r="B485">
        <v>6</v>
      </c>
      <c r="C485">
        <f t="shared" si="15"/>
        <v>2</v>
      </c>
      <c r="D485" t="str">
        <f t="shared" si="14"/>
        <v/>
      </c>
    </row>
    <row r="486" spans="1:4" x14ac:dyDescent="0.45">
      <c r="A486">
        <v>485</v>
      </c>
      <c r="B486">
        <v>8.1999999999999993</v>
      </c>
      <c r="C486">
        <f t="shared" si="15"/>
        <v>3</v>
      </c>
      <c r="D486" t="str">
        <f t="shared" si="14"/>
        <v/>
      </c>
    </row>
    <row r="487" spans="1:4" x14ac:dyDescent="0.45">
      <c r="A487">
        <v>486</v>
      </c>
      <c r="B487">
        <v>9.6999999999999993</v>
      </c>
      <c r="C487">
        <f t="shared" si="15"/>
        <v>4</v>
      </c>
      <c r="D487" t="str">
        <f t="shared" si="14"/>
        <v/>
      </c>
    </row>
    <row r="488" spans="1:4" x14ac:dyDescent="0.45">
      <c r="A488">
        <v>487</v>
      </c>
      <c r="B488">
        <v>10</v>
      </c>
      <c r="C488">
        <f t="shared" si="15"/>
        <v>5</v>
      </c>
      <c r="D488" t="str">
        <f t="shared" si="14"/>
        <v/>
      </c>
    </row>
    <row r="489" spans="1:4" x14ac:dyDescent="0.45">
      <c r="A489">
        <v>488</v>
      </c>
      <c r="B489">
        <v>8.8000000000000007</v>
      </c>
      <c r="C489">
        <f t="shared" si="15"/>
        <v>0</v>
      </c>
      <c r="D489" t="str">
        <f t="shared" si="14"/>
        <v/>
      </c>
    </row>
    <row r="490" spans="1:4" x14ac:dyDescent="0.45">
      <c r="A490">
        <v>489</v>
      </c>
      <c r="B490">
        <v>6.6</v>
      </c>
      <c r="C490">
        <f t="shared" si="15"/>
        <v>0</v>
      </c>
      <c r="D490" t="str">
        <f t="shared" si="14"/>
        <v/>
      </c>
    </row>
    <row r="491" spans="1:4" x14ac:dyDescent="0.45">
      <c r="A491">
        <v>490</v>
      </c>
      <c r="B491">
        <v>4.0999999999999996</v>
      </c>
      <c r="C491">
        <f t="shared" si="15"/>
        <v>0</v>
      </c>
      <c r="D491" t="str">
        <f t="shared" si="14"/>
        <v/>
      </c>
    </row>
    <row r="492" spans="1:4" x14ac:dyDescent="0.45">
      <c r="A492">
        <v>491</v>
      </c>
      <c r="B492">
        <v>2.2000000000000002</v>
      </c>
      <c r="C492">
        <f t="shared" si="15"/>
        <v>0</v>
      </c>
      <c r="D492" t="str">
        <f t="shared" si="14"/>
        <v/>
      </c>
    </row>
    <row r="493" spans="1:4" x14ac:dyDescent="0.45">
      <c r="A493">
        <v>492</v>
      </c>
      <c r="B493">
        <v>1.6</v>
      </c>
      <c r="C493">
        <f t="shared" si="15"/>
        <v>0</v>
      </c>
      <c r="D493" t="str">
        <f t="shared" si="14"/>
        <v/>
      </c>
    </row>
    <row r="494" spans="1:4" x14ac:dyDescent="0.45">
      <c r="A494">
        <v>493</v>
      </c>
      <c r="B494">
        <v>2.7</v>
      </c>
      <c r="C494">
        <f t="shared" si="15"/>
        <v>1</v>
      </c>
      <c r="D494" t="str">
        <f t="shared" si="14"/>
        <v/>
      </c>
    </row>
    <row r="495" spans="1:4" x14ac:dyDescent="0.45">
      <c r="A495">
        <v>494</v>
      </c>
      <c r="B495">
        <v>5.4</v>
      </c>
      <c r="C495">
        <f t="shared" si="15"/>
        <v>2</v>
      </c>
      <c r="D495" t="str">
        <f t="shared" si="14"/>
        <v/>
      </c>
    </row>
    <row r="496" spans="1:4" x14ac:dyDescent="0.45">
      <c r="A496">
        <v>495</v>
      </c>
      <c r="B496">
        <v>9.1</v>
      </c>
      <c r="C496">
        <f t="shared" si="15"/>
        <v>3</v>
      </c>
      <c r="D496" t="str">
        <f t="shared" si="14"/>
        <v/>
      </c>
    </row>
    <row r="497" spans="1:4" x14ac:dyDescent="0.45">
      <c r="A497">
        <v>496</v>
      </c>
      <c r="B497">
        <v>12.9</v>
      </c>
      <c r="C497">
        <f t="shared" si="15"/>
        <v>4</v>
      </c>
      <c r="D497" t="str">
        <f t="shared" si="14"/>
        <v/>
      </c>
    </row>
    <row r="498" spans="1:4" x14ac:dyDescent="0.45">
      <c r="A498">
        <v>497</v>
      </c>
      <c r="B498">
        <v>15.9</v>
      </c>
      <c r="C498">
        <f t="shared" si="15"/>
        <v>5</v>
      </c>
      <c r="D498" t="str">
        <f t="shared" si="14"/>
        <v/>
      </c>
    </row>
    <row r="499" spans="1:4" x14ac:dyDescent="0.45">
      <c r="A499">
        <v>498</v>
      </c>
      <c r="B499">
        <v>17.5</v>
      </c>
      <c r="C499">
        <f t="shared" si="15"/>
        <v>6</v>
      </c>
      <c r="D499" t="str">
        <f t="shared" si="14"/>
        <v/>
      </c>
    </row>
    <row r="500" spans="1:4" x14ac:dyDescent="0.45">
      <c r="A500">
        <v>499</v>
      </c>
      <c r="B500">
        <v>17.5</v>
      </c>
      <c r="C500">
        <f t="shared" si="15"/>
        <v>0</v>
      </c>
      <c r="D500" t="str">
        <f t="shared" si="14"/>
        <v/>
      </c>
    </row>
    <row r="501" spans="1:4" x14ac:dyDescent="0.45">
      <c r="A501">
        <v>500</v>
      </c>
      <c r="B501">
        <v>16.399999999999999</v>
      </c>
      <c r="C501">
        <f t="shared" si="15"/>
        <v>0</v>
      </c>
      <c r="D501" t="str">
        <f t="shared" si="14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5CD0-5CD1-4527-8B38-7AE1DF3E3367}">
  <dimension ref="A1:N301"/>
  <sheetViews>
    <sheetView topLeftCell="A13" workbookViewId="0">
      <selection activeCell="L18" sqref="L18:M28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  <col min="9" max="9" width="16.1328125" bestFit="1" customWidth="1"/>
    <col min="10" max="10" width="13.06640625" bestFit="1" customWidth="1"/>
    <col min="12" max="12" width="13.796875" bestFit="1" customWidth="1"/>
    <col min="13" max="13" width="11.7304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14" x14ac:dyDescent="0.45">
      <c r="A2">
        <v>1</v>
      </c>
      <c r="B2">
        <v>19</v>
      </c>
      <c r="C2">
        <v>0</v>
      </c>
      <c r="D2" s="1">
        <v>0</v>
      </c>
      <c r="E2" s="1">
        <v>0</v>
      </c>
      <c r="F2" t="str">
        <f>_xlfn.TEXTJOIN(,,D2,E2)</f>
        <v>00</v>
      </c>
    </row>
    <row r="3" spans="1:14" x14ac:dyDescent="0.45">
      <c r="A3">
        <v>2</v>
      </c>
      <c r="B3">
        <v>22</v>
      </c>
      <c r="C3">
        <v>1</v>
      </c>
      <c r="D3" s="1" t="s">
        <v>5</v>
      </c>
      <c r="E3" s="1">
        <v>1</v>
      </c>
      <c r="F3" t="str">
        <f>_xlfn.TEXTJOIN(,,D3,E3)</f>
        <v>C1</v>
      </c>
      <c r="I3" s="2" t="s">
        <v>13</v>
      </c>
      <c r="J3" t="s">
        <v>26</v>
      </c>
    </row>
    <row r="4" spans="1:14" x14ac:dyDescent="0.45">
      <c r="A4">
        <v>3</v>
      </c>
      <c r="B4">
        <v>23.6</v>
      </c>
      <c r="C4">
        <v>4</v>
      </c>
      <c r="D4" s="1" t="s">
        <v>5</v>
      </c>
      <c r="E4" s="1">
        <v>1</v>
      </c>
      <c r="F4" t="str">
        <f t="shared" ref="F4:F67" si="0">_xlfn.TEXTJOIN(,,D4,E4)</f>
        <v>C1</v>
      </c>
      <c r="I4" s="3" t="s">
        <v>14</v>
      </c>
      <c r="J4" s="4">
        <v>0</v>
      </c>
      <c r="L4" t="s">
        <v>14</v>
      </c>
      <c r="M4">
        <v>0</v>
      </c>
      <c r="N4">
        <f>ROUND(M4,2)</f>
        <v>0</v>
      </c>
    </row>
    <row r="5" spans="1:14" x14ac:dyDescent="0.45">
      <c r="A5">
        <v>4</v>
      </c>
      <c r="B5">
        <v>23.6</v>
      </c>
      <c r="C5">
        <v>4</v>
      </c>
      <c r="D5" s="1" t="s">
        <v>5</v>
      </c>
      <c r="E5" s="1">
        <v>1</v>
      </c>
      <c r="F5" t="str">
        <f t="shared" si="0"/>
        <v>C1</v>
      </c>
      <c r="I5" s="3" t="s">
        <v>15</v>
      </c>
      <c r="J5" s="4">
        <v>3.45</v>
      </c>
      <c r="L5" t="s">
        <v>15</v>
      </c>
      <c r="M5">
        <v>3.45</v>
      </c>
      <c r="N5">
        <f t="shared" ref="N5:N14" si="1">ROUND(M5,2)</f>
        <v>3.45</v>
      </c>
    </row>
    <row r="6" spans="1:14" x14ac:dyDescent="0.45">
      <c r="A6">
        <v>5</v>
      </c>
      <c r="B6">
        <v>22.3</v>
      </c>
      <c r="C6">
        <v>10</v>
      </c>
      <c r="D6" s="1" t="s">
        <v>5</v>
      </c>
      <c r="E6" s="1">
        <v>2</v>
      </c>
      <c r="F6" t="str">
        <f t="shared" si="0"/>
        <v>C2</v>
      </c>
      <c r="I6" s="3" t="s">
        <v>16</v>
      </c>
      <c r="J6" s="4">
        <v>7.2820512820512819</v>
      </c>
      <c r="L6" t="s">
        <v>16</v>
      </c>
      <c r="M6">
        <v>7.2820512820512819</v>
      </c>
      <c r="N6">
        <f t="shared" si="1"/>
        <v>7.28</v>
      </c>
    </row>
    <row r="7" spans="1:14" x14ac:dyDescent="0.45">
      <c r="A7">
        <v>6</v>
      </c>
      <c r="B7">
        <v>20.399999999999999</v>
      </c>
      <c r="C7">
        <v>8</v>
      </c>
      <c r="D7" s="1" t="s">
        <v>5</v>
      </c>
      <c r="E7" s="1">
        <v>2</v>
      </c>
      <c r="F7" t="str">
        <f t="shared" si="0"/>
        <v>C2</v>
      </c>
      <c r="I7" s="3" t="s">
        <v>17</v>
      </c>
      <c r="J7" s="4">
        <v>9.0512820512820511</v>
      </c>
      <c r="L7" t="s">
        <v>17</v>
      </c>
      <c r="M7">
        <v>9.0512820512820511</v>
      </c>
      <c r="N7">
        <f t="shared" si="1"/>
        <v>9.0500000000000007</v>
      </c>
    </row>
    <row r="8" spans="1:14" x14ac:dyDescent="0.45">
      <c r="A8">
        <v>7</v>
      </c>
      <c r="B8">
        <v>18.899999999999999</v>
      </c>
      <c r="C8">
        <v>10</v>
      </c>
      <c r="D8" s="1" t="s">
        <v>5</v>
      </c>
      <c r="E8" s="1">
        <v>2</v>
      </c>
      <c r="F8" t="str">
        <f t="shared" si="0"/>
        <v>C2</v>
      </c>
      <c r="I8" s="3" t="s">
        <v>18</v>
      </c>
      <c r="J8" s="4">
        <v>11.578947368421053</v>
      </c>
      <c r="L8" t="s">
        <v>18</v>
      </c>
      <c r="M8">
        <v>11.578947368421053</v>
      </c>
      <c r="N8">
        <f t="shared" si="1"/>
        <v>11.58</v>
      </c>
    </row>
    <row r="9" spans="1:14" x14ac:dyDescent="0.45">
      <c r="A9">
        <v>8</v>
      </c>
      <c r="B9">
        <v>18.5</v>
      </c>
      <c r="C9">
        <v>11</v>
      </c>
      <c r="D9" s="1" t="s">
        <v>5</v>
      </c>
      <c r="E9" s="1">
        <v>3</v>
      </c>
      <c r="F9" t="str">
        <f t="shared" si="0"/>
        <v>C3</v>
      </c>
      <c r="I9" s="3" t="s">
        <v>19</v>
      </c>
      <c r="J9" s="4">
        <v>19.399999999999999</v>
      </c>
      <c r="L9" t="s">
        <v>19</v>
      </c>
      <c r="M9">
        <v>19.399999999999999</v>
      </c>
      <c r="N9">
        <f t="shared" si="1"/>
        <v>19.399999999999999</v>
      </c>
    </row>
    <row r="10" spans="1:14" x14ac:dyDescent="0.45">
      <c r="A10">
        <v>9</v>
      </c>
      <c r="B10">
        <v>19.5</v>
      </c>
      <c r="C10">
        <v>14</v>
      </c>
      <c r="D10" s="1" t="s">
        <v>5</v>
      </c>
      <c r="E10" s="1">
        <v>3</v>
      </c>
      <c r="F10" t="str">
        <f t="shared" si="0"/>
        <v>C3</v>
      </c>
      <c r="I10" s="3" t="s">
        <v>20</v>
      </c>
      <c r="J10" s="4">
        <v>3.7272727272727271</v>
      </c>
      <c r="L10" t="s">
        <v>20</v>
      </c>
      <c r="M10">
        <v>3.7272727272727271</v>
      </c>
      <c r="N10">
        <f t="shared" si="1"/>
        <v>3.73</v>
      </c>
    </row>
    <row r="11" spans="1:14" x14ac:dyDescent="0.45">
      <c r="A11">
        <v>10</v>
      </c>
      <c r="B11">
        <v>21.8</v>
      </c>
      <c r="C11">
        <v>15</v>
      </c>
      <c r="D11" s="1" t="s">
        <v>5</v>
      </c>
      <c r="E11" s="1">
        <v>3</v>
      </c>
      <c r="F11" t="str">
        <f t="shared" si="0"/>
        <v>C3</v>
      </c>
      <c r="I11" s="3" t="s">
        <v>21</v>
      </c>
      <c r="J11" s="4">
        <v>6.5238095238095237</v>
      </c>
      <c r="L11" t="s">
        <v>21</v>
      </c>
      <c r="M11">
        <v>6.5238095238095237</v>
      </c>
      <c r="N11">
        <f t="shared" si="1"/>
        <v>6.52</v>
      </c>
    </row>
    <row r="12" spans="1:14" x14ac:dyDescent="0.45">
      <c r="A12">
        <v>11</v>
      </c>
      <c r="B12">
        <v>24.8</v>
      </c>
      <c r="C12">
        <v>3</v>
      </c>
      <c r="D12" s="1" t="s">
        <v>5</v>
      </c>
      <c r="E12" s="1">
        <v>4</v>
      </c>
      <c r="F12" t="str">
        <f t="shared" si="0"/>
        <v>C4</v>
      </c>
      <c r="I12" s="3" t="s">
        <v>22</v>
      </c>
      <c r="J12" s="4">
        <v>10.285714285714286</v>
      </c>
      <c r="L12" t="s">
        <v>22</v>
      </c>
      <c r="M12">
        <v>10.285714285714286</v>
      </c>
      <c r="N12">
        <f t="shared" si="1"/>
        <v>10.29</v>
      </c>
    </row>
    <row r="13" spans="1:14" x14ac:dyDescent="0.45">
      <c r="A13">
        <v>12</v>
      </c>
      <c r="B13">
        <v>27.7</v>
      </c>
      <c r="C13">
        <v>23</v>
      </c>
      <c r="D13" s="1" t="s">
        <v>5</v>
      </c>
      <c r="E13" s="1">
        <v>4</v>
      </c>
      <c r="F13" t="str">
        <f t="shared" si="0"/>
        <v>C4</v>
      </c>
      <c r="I13" s="3" t="s">
        <v>23</v>
      </c>
      <c r="J13" s="4">
        <v>15</v>
      </c>
      <c r="L13" t="s">
        <v>23</v>
      </c>
      <c r="M13">
        <v>15</v>
      </c>
      <c r="N13">
        <f t="shared" si="1"/>
        <v>15</v>
      </c>
    </row>
    <row r="14" spans="1:14" x14ac:dyDescent="0.45">
      <c r="A14">
        <v>13</v>
      </c>
      <c r="B14">
        <v>29.5</v>
      </c>
      <c r="C14">
        <v>17</v>
      </c>
      <c r="D14" s="1" t="s">
        <v>5</v>
      </c>
      <c r="E14" s="1">
        <v>4</v>
      </c>
      <c r="F14" t="str">
        <f t="shared" si="0"/>
        <v>C4</v>
      </c>
      <c r="I14" s="3" t="s">
        <v>24</v>
      </c>
      <c r="J14" s="4">
        <v>19.642857142857142</v>
      </c>
      <c r="L14" t="s">
        <v>24</v>
      </c>
      <c r="M14">
        <v>19.642857142857142</v>
      </c>
      <c r="N14">
        <f t="shared" si="1"/>
        <v>19.64</v>
      </c>
    </row>
    <row r="15" spans="1:14" x14ac:dyDescent="0.45">
      <c r="A15">
        <v>14</v>
      </c>
      <c r="B15">
        <v>29.8</v>
      </c>
      <c r="C15">
        <v>15</v>
      </c>
      <c r="D15" s="1" t="s">
        <v>5</v>
      </c>
      <c r="E15" s="1">
        <v>5</v>
      </c>
      <c r="F15" t="str">
        <f t="shared" si="0"/>
        <v>C5</v>
      </c>
      <c r="I15" s="3" t="s">
        <v>25</v>
      </c>
      <c r="J15" s="4">
        <v>9.0333333333333332</v>
      </c>
    </row>
    <row r="16" spans="1:14" x14ac:dyDescent="0.45">
      <c r="A16">
        <v>15</v>
      </c>
      <c r="B16">
        <v>28.3</v>
      </c>
      <c r="C16">
        <v>22</v>
      </c>
      <c r="D16" s="1" t="s">
        <v>5</v>
      </c>
      <c r="E16" s="1">
        <v>5</v>
      </c>
      <c r="F16" t="str">
        <f t="shared" si="0"/>
        <v>C5</v>
      </c>
    </row>
    <row r="17" spans="1:13" x14ac:dyDescent="0.45">
      <c r="A17">
        <v>16</v>
      </c>
      <c r="B17">
        <v>25.5</v>
      </c>
      <c r="C17">
        <v>0</v>
      </c>
      <c r="D17" s="1">
        <v>0</v>
      </c>
      <c r="E17" s="1">
        <v>0</v>
      </c>
      <c r="F17" t="str">
        <f t="shared" si="0"/>
        <v>00</v>
      </c>
    </row>
    <row r="18" spans="1:13" x14ac:dyDescent="0.45">
      <c r="A18">
        <v>17</v>
      </c>
      <c r="B18">
        <v>22</v>
      </c>
      <c r="C18">
        <v>2</v>
      </c>
      <c r="D18" s="1" t="s">
        <v>5</v>
      </c>
      <c r="E18" s="1">
        <v>1</v>
      </c>
      <c r="F18" t="str">
        <f t="shared" si="0"/>
        <v>C1</v>
      </c>
      <c r="L18" t="s">
        <v>27</v>
      </c>
      <c r="M18" t="s">
        <v>28</v>
      </c>
    </row>
    <row r="19" spans="1:13" x14ac:dyDescent="0.45">
      <c r="A19">
        <v>18</v>
      </c>
      <c r="B19">
        <v>18.899999999999999</v>
      </c>
      <c r="C19">
        <v>1</v>
      </c>
      <c r="D19" s="1" t="s">
        <v>5</v>
      </c>
      <c r="E19" s="1">
        <v>1</v>
      </c>
      <c r="F19" t="str">
        <f t="shared" si="0"/>
        <v>C1</v>
      </c>
      <c r="L19" t="s">
        <v>15</v>
      </c>
      <c r="M19">
        <v>3.45</v>
      </c>
    </row>
    <row r="20" spans="1:13" x14ac:dyDescent="0.45">
      <c r="A20">
        <v>19</v>
      </c>
      <c r="B20">
        <v>16.899999999999999</v>
      </c>
      <c r="C20">
        <v>1</v>
      </c>
      <c r="D20" s="1" t="s">
        <v>5</v>
      </c>
      <c r="E20" s="1">
        <v>1</v>
      </c>
      <c r="F20" t="str">
        <f t="shared" si="0"/>
        <v>C1</v>
      </c>
      <c r="L20" t="s">
        <v>16</v>
      </c>
      <c r="M20">
        <v>7.28</v>
      </c>
    </row>
    <row r="21" spans="1:13" x14ac:dyDescent="0.45">
      <c r="A21">
        <v>20</v>
      </c>
      <c r="B21">
        <v>16.3</v>
      </c>
      <c r="C21">
        <v>12</v>
      </c>
      <c r="D21" s="1" t="s">
        <v>5</v>
      </c>
      <c r="E21" s="1">
        <v>2</v>
      </c>
      <c r="F21" t="str">
        <f t="shared" si="0"/>
        <v>C2</v>
      </c>
      <c r="L21" t="s">
        <v>17</v>
      </c>
      <c r="M21">
        <v>9.0500000000000007</v>
      </c>
    </row>
    <row r="22" spans="1:13" x14ac:dyDescent="0.45">
      <c r="A22">
        <v>21</v>
      </c>
      <c r="B22">
        <v>17.100000000000001</v>
      </c>
      <c r="C22">
        <v>11</v>
      </c>
      <c r="D22" s="1" t="s">
        <v>5</v>
      </c>
      <c r="E22" s="1">
        <v>2</v>
      </c>
      <c r="F22" t="str">
        <f t="shared" si="0"/>
        <v>C2</v>
      </c>
      <c r="L22" t="s">
        <v>18</v>
      </c>
      <c r="M22">
        <v>11.58</v>
      </c>
    </row>
    <row r="23" spans="1:13" x14ac:dyDescent="0.45">
      <c r="A23">
        <v>22</v>
      </c>
      <c r="B23">
        <v>18.7</v>
      </c>
      <c r="C23">
        <v>6</v>
      </c>
      <c r="D23" s="1" t="s">
        <v>5</v>
      </c>
      <c r="E23" s="1">
        <v>2</v>
      </c>
      <c r="F23" t="str">
        <f t="shared" si="0"/>
        <v>C2</v>
      </c>
      <c r="L23" t="s">
        <v>19</v>
      </c>
      <c r="M23">
        <v>19.399999999999999</v>
      </c>
    </row>
    <row r="24" spans="1:13" x14ac:dyDescent="0.45">
      <c r="A24">
        <v>23</v>
      </c>
      <c r="B24">
        <v>20.2</v>
      </c>
      <c r="C24">
        <v>18</v>
      </c>
      <c r="D24" s="1" t="s">
        <v>5</v>
      </c>
      <c r="E24" s="1">
        <v>2</v>
      </c>
      <c r="F24" t="str">
        <f t="shared" si="0"/>
        <v>C2</v>
      </c>
      <c r="L24" t="s">
        <v>20</v>
      </c>
      <c r="M24">
        <v>3.73</v>
      </c>
    </row>
    <row r="25" spans="1:13" x14ac:dyDescent="0.45">
      <c r="A25">
        <v>24</v>
      </c>
      <c r="B25">
        <v>20.8</v>
      </c>
      <c r="C25">
        <v>15</v>
      </c>
      <c r="D25" s="1" t="s">
        <v>5</v>
      </c>
      <c r="E25" s="1">
        <v>3</v>
      </c>
      <c r="F25" t="str">
        <f t="shared" si="0"/>
        <v>C3</v>
      </c>
      <c r="L25" t="s">
        <v>21</v>
      </c>
      <c r="M25">
        <v>6.52</v>
      </c>
    </row>
    <row r="26" spans="1:13" x14ac:dyDescent="0.45">
      <c r="A26">
        <v>25</v>
      </c>
      <c r="B26">
        <v>19.899999999999999</v>
      </c>
      <c r="C26">
        <v>5</v>
      </c>
      <c r="D26" s="1" t="s">
        <v>5</v>
      </c>
      <c r="E26" s="1">
        <v>3</v>
      </c>
      <c r="F26" t="str">
        <f t="shared" si="0"/>
        <v>C3</v>
      </c>
      <c r="L26" t="s">
        <v>22</v>
      </c>
      <c r="M26">
        <v>10.29</v>
      </c>
    </row>
    <row r="27" spans="1:13" x14ac:dyDescent="0.45">
      <c r="A27">
        <v>26</v>
      </c>
      <c r="B27">
        <v>17.5</v>
      </c>
      <c r="C27">
        <v>19</v>
      </c>
      <c r="D27" s="1" t="s">
        <v>5</v>
      </c>
      <c r="E27" s="1">
        <v>4</v>
      </c>
      <c r="F27" t="str">
        <f t="shared" si="0"/>
        <v>C4</v>
      </c>
      <c r="L27" t="s">
        <v>23</v>
      </c>
      <c r="M27">
        <v>15</v>
      </c>
    </row>
    <row r="28" spans="1:13" x14ac:dyDescent="0.45">
      <c r="A28">
        <v>27</v>
      </c>
      <c r="B28">
        <v>13.9</v>
      </c>
      <c r="C28">
        <v>18</v>
      </c>
      <c r="D28" s="1" t="s">
        <v>5</v>
      </c>
      <c r="E28" s="1">
        <v>4</v>
      </c>
      <c r="F28" t="str">
        <f t="shared" si="0"/>
        <v>C4</v>
      </c>
      <c r="L28" t="s">
        <v>24</v>
      </c>
      <c r="M28">
        <v>19.64</v>
      </c>
    </row>
    <row r="29" spans="1:13" x14ac:dyDescent="0.45">
      <c r="A29">
        <v>28</v>
      </c>
      <c r="B29">
        <v>9.9</v>
      </c>
      <c r="C29">
        <v>4</v>
      </c>
      <c r="D29" s="1" t="s">
        <v>5</v>
      </c>
      <c r="E29" s="1">
        <v>4</v>
      </c>
      <c r="F29" t="str">
        <f t="shared" si="0"/>
        <v>C4</v>
      </c>
    </row>
    <row r="30" spans="1:13" x14ac:dyDescent="0.45">
      <c r="A30">
        <v>29</v>
      </c>
      <c r="B30">
        <v>6.4</v>
      </c>
      <c r="C30">
        <v>17</v>
      </c>
      <c r="D30" s="1" t="s">
        <v>5</v>
      </c>
      <c r="E30" s="1">
        <v>5</v>
      </c>
      <c r="F30" t="str">
        <f t="shared" si="0"/>
        <v>C5</v>
      </c>
    </row>
    <row r="31" spans="1:13" x14ac:dyDescent="0.45">
      <c r="A31">
        <v>30</v>
      </c>
      <c r="B31">
        <v>4.2</v>
      </c>
      <c r="C31">
        <v>14</v>
      </c>
      <c r="D31" s="1" t="s">
        <v>5</v>
      </c>
      <c r="E31" s="1">
        <v>5</v>
      </c>
      <c r="F31" t="str">
        <f t="shared" si="0"/>
        <v>C5</v>
      </c>
    </row>
    <row r="32" spans="1:13" x14ac:dyDescent="0.45">
      <c r="A32">
        <v>31</v>
      </c>
      <c r="B32">
        <v>3.6</v>
      </c>
      <c r="C32">
        <v>12</v>
      </c>
      <c r="D32" s="1" t="s">
        <v>5</v>
      </c>
      <c r="E32" s="1">
        <v>5</v>
      </c>
      <c r="F32" t="str">
        <f t="shared" si="0"/>
        <v>C5</v>
      </c>
    </row>
    <row r="33" spans="1:6" x14ac:dyDescent="0.45">
      <c r="A33">
        <v>32</v>
      </c>
      <c r="B33">
        <v>4.5999999999999996</v>
      </c>
      <c r="C33">
        <v>11</v>
      </c>
      <c r="D33" s="1" t="s">
        <v>5</v>
      </c>
      <c r="E33" s="1">
        <v>5</v>
      </c>
      <c r="F33" t="str">
        <f t="shared" si="0"/>
        <v>C5</v>
      </c>
    </row>
    <row r="34" spans="1:6" x14ac:dyDescent="0.45">
      <c r="A34">
        <v>33</v>
      </c>
      <c r="B34">
        <v>6.6</v>
      </c>
      <c r="C34">
        <v>17</v>
      </c>
      <c r="D34" s="1" t="s">
        <v>5</v>
      </c>
      <c r="E34" s="1">
        <v>5</v>
      </c>
      <c r="F34" t="str">
        <f t="shared" si="0"/>
        <v>C5</v>
      </c>
    </row>
    <row r="35" spans="1:6" x14ac:dyDescent="0.45">
      <c r="A35">
        <v>34</v>
      </c>
      <c r="B35">
        <v>8.6999999999999993</v>
      </c>
      <c r="C35">
        <v>26</v>
      </c>
      <c r="D35" s="1" t="s">
        <v>5</v>
      </c>
      <c r="E35" s="1">
        <v>5</v>
      </c>
      <c r="F35" t="str">
        <f t="shared" si="0"/>
        <v>C5</v>
      </c>
    </row>
    <row r="36" spans="1:6" x14ac:dyDescent="0.45">
      <c r="A36">
        <v>35</v>
      </c>
      <c r="B36">
        <v>10</v>
      </c>
      <c r="C36">
        <v>0</v>
      </c>
      <c r="D36" s="1">
        <v>0</v>
      </c>
      <c r="E36" s="1">
        <v>0</v>
      </c>
      <c r="F36" t="str">
        <f t="shared" si="0"/>
        <v>00</v>
      </c>
    </row>
    <row r="37" spans="1:6" x14ac:dyDescent="0.45">
      <c r="A37">
        <v>36</v>
      </c>
      <c r="B37">
        <v>10.1</v>
      </c>
      <c r="C37">
        <v>3</v>
      </c>
      <c r="D37" s="1" t="s">
        <v>5</v>
      </c>
      <c r="E37" s="1">
        <v>1</v>
      </c>
      <c r="F37" t="str">
        <f t="shared" si="0"/>
        <v>C1</v>
      </c>
    </row>
    <row r="38" spans="1:6" x14ac:dyDescent="0.45">
      <c r="A38">
        <v>37</v>
      </c>
      <c r="B38">
        <v>8.8000000000000007</v>
      </c>
      <c r="C38">
        <v>3</v>
      </c>
      <c r="D38" s="1" t="s">
        <v>5</v>
      </c>
      <c r="E38" s="1">
        <v>1</v>
      </c>
      <c r="F38" t="str">
        <f t="shared" si="0"/>
        <v>C1</v>
      </c>
    </row>
    <row r="39" spans="1:6" x14ac:dyDescent="0.45">
      <c r="A39">
        <v>38</v>
      </c>
      <c r="B39">
        <v>6.4</v>
      </c>
      <c r="C39">
        <v>5</v>
      </c>
      <c r="D39" s="1" t="s">
        <v>5</v>
      </c>
      <c r="E39" s="1">
        <v>1</v>
      </c>
      <c r="F39" t="str">
        <f t="shared" si="0"/>
        <v>C1</v>
      </c>
    </row>
    <row r="40" spans="1:6" x14ac:dyDescent="0.45">
      <c r="A40">
        <v>39</v>
      </c>
      <c r="B40">
        <v>3.8</v>
      </c>
      <c r="C40">
        <v>11</v>
      </c>
      <c r="D40" s="1" t="s">
        <v>5</v>
      </c>
      <c r="E40" s="1">
        <v>2</v>
      </c>
      <c r="F40" t="str">
        <f t="shared" si="0"/>
        <v>C2</v>
      </c>
    </row>
    <row r="41" spans="1:6" x14ac:dyDescent="0.45">
      <c r="A41">
        <v>40</v>
      </c>
      <c r="B41">
        <v>1.7</v>
      </c>
      <c r="C41">
        <v>6</v>
      </c>
      <c r="D41" s="1" t="s">
        <v>5</v>
      </c>
      <c r="E41" s="1">
        <v>2</v>
      </c>
      <c r="F41" t="str">
        <f t="shared" si="0"/>
        <v>C2</v>
      </c>
    </row>
    <row r="42" spans="1:6" x14ac:dyDescent="0.45">
      <c r="A42">
        <v>41</v>
      </c>
      <c r="B42">
        <v>1</v>
      </c>
      <c r="C42">
        <v>3</v>
      </c>
      <c r="D42" s="1" t="s">
        <v>5</v>
      </c>
      <c r="E42" s="1">
        <v>2</v>
      </c>
      <c r="F42" t="str">
        <f t="shared" si="0"/>
        <v>C2</v>
      </c>
    </row>
    <row r="43" spans="1:6" x14ac:dyDescent="0.45">
      <c r="A43">
        <v>42</v>
      </c>
      <c r="B43">
        <v>2</v>
      </c>
      <c r="C43">
        <v>17</v>
      </c>
      <c r="D43" s="1" t="s">
        <v>5</v>
      </c>
      <c r="E43" s="1">
        <v>3</v>
      </c>
      <c r="F43" t="str">
        <f t="shared" si="0"/>
        <v>C3</v>
      </c>
    </row>
    <row r="44" spans="1:6" x14ac:dyDescent="0.45">
      <c r="A44">
        <v>43</v>
      </c>
      <c r="B44">
        <v>4.5999999999999996</v>
      </c>
      <c r="C44">
        <v>5</v>
      </c>
      <c r="D44" s="1" t="s">
        <v>5</v>
      </c>
      <c r="E44" s="1">
        <v>3</v>
      </c>
      <c r="F44" t="str">
        <f t="shared" si="0"/>
        <v>C3</v>
      </c>
    </row>
    <row r="45" spans="1:6" x14ac:dyDescent="0.45">
      <c r="A45">
        <v>44</v>
      </c>
      <c r="B45">
        <v>8.1999999999999993</v>
      </c>
      <c r="C45">
        <v>8</v>
      </c>
      <c r="D45" s="1" t="s">
        <v>5</v>
      </c>
      <c r="E45" s="1">
        <v>3</v>
      </c>
      <c r="F45" t="str">
        <f t="shared" si="0"/>
        <v>C3</v>
      </c>
    </row>
    <row r="46" spans="1:6" x14ac:dyDescent="0.45">
      <c r="A46">
        <v>45</v>
      </c>
      <c r="B46">
        <v>11.8</v>
      </c>
      <c r="C46">
        <v>2</v>
      </c>
      <c r="D46" s="1" t="s">
        <v>5</v>
      </c>
      <c r="E46" s="1">
        <v>4</v>
      </c>
      <c r="F46" t="str">
        <f t="shared" si="0"/>
        <v>C4</v>
      </c>
    </row>
    <row r="47" spans="1:6" x14ac:dyDescent="0.45">
      <c r="A47">
        <v>46</v>
      </c>
      <c r="B47">
        <v>14.7</v>
      </c>
      <c r="C47">
        <v>1</v>
      </c>
      <c r="D47" s="1" t="s">
        <v>5</v>
      </c>
      <c r="E47" s="1">
        <v>4</v>
      </c>
      <c r="F47" t="str">
        <f t="shared" si="0"/>
        <v>C4</v>
      </c>
    </row>
    <row r="48" spans="1:6" x14ac:dyDescent="0.45">
      <c r="A48">
        <v>47</v>
      </c>
      <c r="B48">
        <v>16.3</v>
      </c>
      <c r="C48">
        <v>11</v>
      </c>
      <c r="D48" s="1" t="s">
        <v>5</v>
      </c>
      <c r="E48" s="1">
        <v>4</v>
      </c>
      <c r="F48" t="str">
        <f t="shared" si="0"/>
        <v>C4</v>
      </c>
    </row>
    <row r="49" spans="1:6" x14ac:dyDescent="0.45">
      <c r="A49">
        <v>48</v>
      </c>
      <c r="B49">
        <v>16.3</v>
      </c>
      <c r="C49">
        <v>25</v>
      </c>
      <c r="D49" s="1" t="s">
        <v>5</v>
      </c>
      <c r="E49" s="1">
        <v>5</v>
      </c>
      <c r="F49" t="str">
        <f t="shared" si="0"/>
        <v>C5</v>
      </c>
    </row>
    <row r="50" spans="1:6" x14ac:dyDescent="0.45">
      <c r="A50">
        <v>49</v>
      </c>
      <c r="B50">
        <v>15.2</v>
      </c>
      <c r="C50">
        <v>0</v>
      </c>
      <c r="D50" s="1">
        <v>0</v>
      </c>
      <c r="E50" s="1">
        <v>0</v>
      </c>
      <c r="F50" t="str">
        <f t="shared" si="0"/>
        <v>00</v>
      </c>
    </row>
    <row r="51" spans="1:6" x14ac:dyDescent="0.45">
      <c r="A51">
        <v>50</v>
      </c>
      <c r="B51">
        <v>13.6</v>
      </c>
      <c r="C51">
        <v>2</v>
      </c>
      <c r="D51" s="1" t="s">
        <v>5</v>
      </c>
      <c r="E51" s="1">
        <v>1</v>
      </c>
      <c r="F51" t="str">
        <f t="shared" si="0"/>
        <v>C1</v>
      </c>
    </row>
    <row r="52" spans="1:6" x14ac:dyDescent="0.45">
      <c r="A52">
        <v>51</v>
      </c>
      <c r="B52">
        <v>12.5</v>
      </c>
      <c r="C52">
        <v>3</v>
      </c>
      <c r="D52" s="1" t="s">
        <v>5</v>
      </c>
      <c r="E52" s="1">
        <v>1</v>
      </c>
      <c r="F52" t="str">
        <f t="shared" si="0"/>
        <v>C1</v>
      </c>
    </row>
    <row r="53" spans="1:6" x14ac:dyDescent="0.45">
      <c r="A53">
        <v>52</v>
      </c>
      <c r="B53">
        <v>12.5</v>
      </c>
      <c r="C53">
        <v>2</v>
      </c>
      <c r="D53" s="1" t="s">
        <v>5</v>
      </c>
      <c r="E53" s="1">
        <v>1</v>
      </c>
      <c r="F53" t="str">
        <f t="shared" si="0"/>
        <v>C1</v>
      </c>
    </row>
    <row r="54" spans="1:6" x14ac:dyDescent="0.45">
      <c r="A54">
        <v>53</v>
      </c>
      <c r="B54">
        <v>14.1</v>
      </c>
      <c r="C54">
        <v>4</v>
      </c>
      <c r="D54" s="1" t="s">
        <v>5</v>
      </c>
      <c r="E54" s="1">
        <v>2</v>
      </c>
      <c r="F54" t="str">
        <f t="shared" si="0"/>
        <v>C2</v>
      </c>
    </row>
    <row r="55" spans="1:6" x14ac:dyDescent="0.45">
      <c r="A55">
        <v>54</v>
      </c>
      <c r="B55">
        <v>17.100000000000001</v>
      </c>
      <c r="C55">
        <v>5</v>
      </c>
      <c r="D55" s="1" t="s">
        <v>5</v>
      </c>
      <c r="E55" s="1">
        <v>2</v>
      </c>
      <c r="F55" t="str">
        <f t="shared" si="0"/>
        <v>C2</v>
      </c>
    </row>
    <row r="56" spans="1:6" x14ac:dyDescent="0.45">
      <c r="A56">
        <v>55</v>
      </c>
      <c r="B56">
        <v>20.9</v>
      </c>
      <c r="C56">
        <v>9</v>
      </c>
      <c r="D56" s="1" t="s">
        <v>5</v>
      </c>
      <c r="E56" s="1">
        <v>2</v>
      </c>
      <c r="F56" t="str">
        <f t="shared" si="0"/>
        <v>C2</v>
      </c>
    </row>
    <row r="57" spans="1:6" x14ac:dyDescent="0.45">
      <c r="A57">
        <v>56</v>
      </c>
      <c r="B57">
        <v>24.5</v>
      </c>
      <c r="C57">
        <v>2</v>
      </c>
      <c r="D57" s="1" t="s">
        <v>5</v>
      </c>
      <c r="E57" s="1">
        <v>3</v>
      </c>
      <c r="F57" t="str">
        <f t="shared" si="0"/>
        <v>C3</v>
      </c>
    </row>
    <row r="58" spans="1:6" x14ac:dyDescent="0.45">
      <c r="A58">
        <v>57</v>
      </c>
      <c r="B58">
        <v>27.3</v>
      </c>
      <c r="C58">
        <v>16</v>
      </c>
      <c r="D58" s="1" t="s">
        <v>5</v>
      </c>
      <c r="E58" s="1">
        <v>3</v>
      </c>
      <c r="F58" t="str">
        <f t="shared" si="0"/>
        <v>C3</v>
      </c>
    </row>
    <row r="59" spans="1:6" x14ac:dyDescent="0.45">
      <c r="A59">
        <v>58</v>
      </c>
      <c r="B59">
        <v>28.4</v>
      </c>
      <c r="C59">
        <v>14</v>
      </c>
      <c r="D59" s="1" t="s">
        <v>5</v>
      </c>
      <c r="E59" s="1">
        <v>3</v>
      </c>
      <c r="F59" t="str">
        <f t="shared" si="0"/>
        <v>C3</v>
      </c>
    </row>
    <row r="60" spans="1:6" x14ac:dyDescent="0.45">
      <c r="A60">
        <v>59</v>
      </c>
      <c r="B60">
        <v>27.8</v>
      </c>
      <c r="C60">
        <v>14</v>
      </c>
      <c r="D60" s="1" t="s">
        <v>5</v>
      </c>
      <c r="E60" s="1">
        <v>3</v>
      </c>
      <c r="F60" t="str">
        <f t="shared" si="0"/>
        <v>C3</v>
      </c>
    </row>
    <row r="61" spans="1:6" x14ac:dyDescent="0.45">
      <c r="A61">
        <v>60</v>
      </c>
      <c r="B61">
        <v>25.9</v>
      </c>
      <c r="C61">
        <v>6</v>
      </c>
      <c r="D61" s="1" t="s">
        <v>5</v>
      </c>
      <c r="E61" s="1">
        <v>4</v>
      </c>
      <c r="F61" t="str">
        <f t="shared" si="0"/>
        <v>C4</v>
      </c>
    </row>
    <row r="62" spans="1:6" x14ac:dyDescent="0.45">
      <c r="A62">
        <v>61</v>
      </c>
      <c r="B62">
        <v>23.4</v>
      </c>
      <c r="C62">
        <v>21</v>
      </c>
      <c r="D62" s="1" t="s">
        <v>5</v>
      </c>
      <c r="E62" s="1">
        <v>4</v>
      </c>
      <c r="F62" t="str">
        <f t="shared" si="0"/>
        <v>C4</v>
      </c>
    </row>
    <row r="63" spans="1:6" x14ac:dyDescent="0.45">
      <c r="A63">
        <v>62</v>
      </c>
      <c r="B63">
        <v>21.2</v>
      </c>
      <c r="C63">
        <v>21</v>
      </c>
      <c r="D63" s="1" t="s">
        <v>5</v>
      </c>
      <c r="E63" s="1">
        <v>5</v>
      </c>
      <c r="F63" t="str">
        <f t="shared" si="0"/>
        <v>C5</v>
      </c>
    </row>
    <row r="64" spans="1:6" x14ac:dyDescent="0.45">
      <c r="A64">
        <v>63</v>
      </c>
      <c r="B64">
        <v>20</v>
      </c>
      <c r="C64">
        <v>0</v>
      </c>
      <c r="D64" s="1">
        <v>0</v>
      </c>
      <c r="E64" s="1">
        <v>0</v>
      </c>
      <c r="F64" t="str">
        <f t="shared" si="0"/>
        <v>00</v>
      </c>
    </row>
    <row r="65" spans="1:6" x14ac:dyDescent="0.45">
      <c r="A65">
        <v>64</v>
      </c>
      <c r="B65">
        <v>20.3</v>
      </c>
      <c r="C65">
        <v>4</v>
      </c>
      <c r="D65" s="1" t="s">
        <v>5</v>
      </c>
      <c r="E65" s="1">
        <v>1</v>
      </c>
      <c r="F65" t="str">
        <f t="shared" si="0"/>
        <v>C1</v>
      </c>
    </row>
    <row r="66" spans="1:6" x14ac:dyDescent="0.45">
      <c r="A66">
        <v>65</v>
      </c>
      <c r="B66">
        <v>21.8</v>
      </c>
      <c r="C66">
        <v>6</v>
      </c>
      <c r="D66" s="1" t="s">
        <v>5</v>
      </c>
      <c r="E66" s="1">
        <v>1</v>
      </c>
      <c r="F66" t="str">
        <f t="shared" si="0"/>
        <v>C1</v>
      </c>
    </row>
    <row r="67" spans="1:6" x14ac:dyDescent="0.45">
      <c r="A67">
        <v>66</v>
      </c>
      <c r="B67">
        <v>24</v>
      </c>
      <c r="C67">
        <v>3</v>
      </c>
      <c r="D67" s="1" t="s">
        <v>5</v>
      </c>
      <c r="E67" s="1">
        <v>1</v>
      </c>
      <c r="F67" t="str">
        <f t="shared" si="0"/>
        <v>C1</v>
      </c>
    </row>
    <row r="68" spans="1:6" x14ac:dyDescent="0.45">
      <c r="A68">
        <v>67</v>
      </c>
      <c r="B68">
        <v>26.1</v>
      </c>
      <c r="C68">
        <v>7</v>
      </c>
      <c r="D68" s="1" t="s">
        <v>5</v>
      </c>
      <c r="E68" s="1">
        <v>2</v>
      </c>
      <c r="F68" t="str">
        <f t="shared" ref="F68:F131" si="2">_xlfn.TEXTJOIN(,,D68,E68)</f>
        <v>C2</v>
      </c>
    </row>
    <row r="69" spans="1:6" x14ac:dyDescent="0.45">
      <c r="A69">
        <v>68</v>
      </c>
      <c r="B69">
        <v>27.3</v>
      </c>
      <c r="C69">
        <v>6</v>
      </c>
      <c r="D69" s="1" t="s">
        <v>5</v>
      </c>
      <c r="E69" s="1">
        <v>2</v>
      </c>
      <c r="F69" t="str">
        <f t="shared" si="2"/>
        <v>C2</v>
      </c>
    </row>
    <row r="70" spans="1:6" x14ac:dyDescent="0.45">
      <c r="A70">
        <v>69</v>
      </c>
      <c r="B70">
        <v>26.8</v>
      </c>
      <c r="C70">
        <v>8</v>
      </c>
      <c r="D70" s="1" t="s">
        <v>5</v>
      </c>
      <c r="E70" s="1">
        <v>2</v>
      </c>
      <c r="F70" t="str">
        <f t="shared" si="2"/>
        <v>C2</v>
      </c>
    </row>
    <row r="71" spans="1:6" x14ac:dyDescent="0.45">
      <c r="A71">
        <v>70</v>
      </c>
      <c r="B71">
        <v>24.7</v>
      </c>
      <c r="C71">
        <v>3</v>
      </c>
      <c r="D71" s="1" t="s">
        <v>5</v>
      </c>
      <c r="E71" s="1">
        <v>3</v>
      </c>
      <c r="F71" t="str">
        <f t="shared" si="2"/>
        <v>C3</v>
      </c>
    </row>
    <row r="72" spans="1:6" x14ac:dyDescent="0.45">
      <c r="A72">
        <v>71</v>
      </c>
      <c r="B72">
        <v>21.2</v>
      </c>
      <c r="C72">
        <v>16</v>
      </c>
      <c r="D72" s="1" t="s">
        <v>5</v>
      </c>
      <c r="E72" s="1">
        <v>3</v>
      </c>
      <c r="F72" t="str">
        <f t="shared" si="2"/>
        <v>C3</v>
      </c>
    </row>
    <row r="73" spans="1:6" x14ac:dyDescent="0.45">
      <c r="A73">
        <v>72</v>
      </c>
      <c r="B73">
        <v>17.3</v>
      </c>
      <c r="C73">
        <v>8</v>
      </c>
      <c r="D73" s="1" t="s">
        <v>5</v>
      </c>
      <c r="E73" s="1">
        <v>3</v>
      </c>
      <c r="F73" t="str">
        <f t="shared" si="2"/>
        <v>C3</v>
      </c>
    </row>
    <row r="74" spans="1:6" x14ac:dyDescent="0.45">
      <c r="A74">
        <v>73</v>
      </c>
      <c r="B74">
        <v>13.7</v>
      </c>
      <c r="C74">
        <v>19</v>
      </c>
      <c r="D74" s="1" t="s">
        <v>5</v>
      </c>
      <c r="E74" s="1">
        <v>4</v>
      </c>
      <c r="F74" t="str">
        <f t="shared" si="2"/>
        <v>C4</v>
      </c>
    </row>
    <row r="75" spans="1:6" x14ac:dyDescent="0.45">
      <c r="A75">
        <v>74</v>
      </c>
      <c r="B75">
        <v>11.3</v>
      </c>
      <c r="C75">
        <v>5</v>
      </c>
      <c r="D75" s="1" t="s">
        <v>5</v>
      </c>
      <c r="E75" s="1">
        <v>4</v>
      </c>
      <c r="F75" t="str">
        <f t="shared" si="2"/>
        <v>C4</v>
      </c>
    </row>
    <row r="76" spans="1:6" x14ac:dyDescent="0.45">
      <c r="A76">
        <v>75</v>
      </c>
      <c r="B76">
        <v>10.5</v>
      </c>
      <c r="C76">
        <v>2</v>
      </c>
      <c r="D76" s="1" t="s">
        <v>5</v>
      </c>
      <c r="E76" s="1">
        <v>4</v>
      </c>
      <c r="F76" t="str">
        <f t="shared" si="2"/>
        <v>C4</v>
      </c>
    </row>
    <row r="77" spans="1:6" x14ac:dyDescent="0.45">
      <c r="A77">
        <v>76</v>
      </c>
      <c r="B77">
        <v>11</v>
      </c>
      <c r="C77">
        <v>22</v>
      </c>
      <c r="D77" s="1" t="s">
        <v>5</v>
      </c>
      <c r="E77" s="1">
        <v>5</v>
      </c>
      <c r="F77" t="str">
        <f t="shared" si="2"/>
        <v>C5</v>
      </c>
    </row>
    <row r="78" spans="1:6" x14ac:dyDescent="0.45">
      <c r="A78">
        <v>77</v>
      </c>
      <c r="B78">
        <v>12.5</v>
      </c>
      <c r="C78">
        <v>0</v>
      </c>
      <c r="D78" s="1">
        <v>0</v>
      </c>
      <c r="E78" s="1">
        <v>0</v>
      </c>
      <c r="F78" t="str">
        <f t="shared" si="2"/>
        <v>00</v>
      </c>
    </row>
    <row r="79" spans="1:6" x14ac:dyDescent="0.45">
      <c r="A79">
        <v>78</v>
      </c>
      <c r="B79">
        <v>14</v>
      </c>
      <c r="C79">
        <v>2</v>
      </c>
      <c r="D79" s="1" t="s">
        <v>5</v>
      </c>
      <c r="E79" s="1">
        <v>1</v>
      </c>
      <c r="F79" t="str">
        <f t="shared" si="2"/>
        <v>C1</v>
      </c>
    </row>
    <row r="80" spans="1:6" x14ac:dyDescent="0.45">
      <c r="A80">
        <v>79</v>
      </c>
      <c r="B80">
        <v>14.7</v>
      </c>
      <c r="C80">
        <v>4</v>
      </c>
      <c r="D80" s="1" t="s">
        <v>5</v>
      </c>
      <c r="E80" s="1">
        <v>1</v>
      </c>
      <c r="F80" t="str">
        <f t="shared" si="2"/>
        <v>C1</v>
      </c>
    </row>
    <row r="81" spans="1:6" x14ac:dyDescent="0.45">
      <c r="A81">
        <v>80</v>
      </c>
      <c r="B81">
        <v>14.1</v>
      </c>
      <c r="C81">
        <v>5</v>
      </c>
      <c r="D81" s="1" t="s">
        <v>6</v>
      </c>
      <c r="E81" s="1">
        <v>1</v>
      </c>
      <c r="F81" t="str">
        <f t="shared" si="2"/>
        <v>S1</v>
      </c>
    </row>
    <row r="82" spans="1:6" x14ac:dyDescent="0.45">
      <c r="A82">
        <v>81</v>
      </c>
      <c r="B82">
        <v>11.9</v>
      </c>
      <c r="C82">
        <v>8</v>
      </c>
      <c r="D82" s="1" t="s">
        <v>5</v>
      </c>
      <c r="E82" s="1">
        <v>2</v>
      </c>
      <c r="F82" t="str">
        <f t="shared" si="2"/>
        <v>C2</v>
      </c>
    </row>
    <row r="83" spans="1:6" x14ac:dyDescent="0.45">
      <c r="A83">
        <v>82</v>
      </c>
      <c r="B83">
        <v>8.6999999999999993</v>
      </c>
      <c r="C83">
        <v>6</v>
      </c>
      <c r="D83" s="1" t="s">
        <v>5</v>
      </c>
      <c r="E83" s="1">
        <v>2</v>
      </c>
      <c r="F83" t="str">
        <f t="shared" si="2"/>
        <v>C2</v>
      </c>
    </row>
    <row r="84" spans="1:6" x14ac:dyDescent="0.45">
      <c r="A84">
        <v>83</v>
      </c>
      <c r="B84">
        <v>5.0999999999999996</v>
      </c>
      <c r="C84">
        <v>3</v>
      </c>
      <c r="D84" s="1" t="s">
        <v>5</v>
      </c>
      <c r="E84" s="1">
        <v>2</v>
      </c>
      <c r="F84" t="str">
        <f t="shared" si="2"/>
        <v>C2</v>
      </c>
    </row>
    <row r="85" spans="1:6" x14ac:dyDescent="0.45">
      <c r="A85">
        <v>84</v>
      </c>
      <c r="B85">
        <v>2.2000000000000002</v>
      </c>
      <c r="C85">
        <v>1</v>
      </c>
      <c r="D85" s="1" t="s">
        <v>5</v>
      </c>
      <c r="E85" s="1">
        <v>3</v>
      </c>
      <c r="F85" t="str">
        <f t="shared" si="2"/>
        <v>C3</v>
      </c>
    </row>
    <row r="86" spans="1:6" x14ac:dyDescent="0.45">
      <c r="A86">
        <v>85</v>
      </c>
      <c r="B86">
        <v>0.5</v>
      </c>
      <c r="C86">
        <v>5</v>
      </c>
      <c r="D86" s="1" t="s">
        <v>5</v>
      </c>
      <c r="E86" s="1">
        <v>3</v>
      </c>
      <c r="F86" t="str">
        <f t="shared" si="2"/>
        <v>C3</v>
      </c>
    </row>
    <row r="87" spans="1:6" x14ac:dyDescent="0.45">
      <c r="A87">
        <v>86</v>
      </c>
      <c r="B87">
        <v>0.6</v>
      </c>
      <c r="C87">
        <v>13</v>
      </c>
      <c r="D87" s="1" t="s">
        <v>5</v>
      </c>
      <c r="E87" s="1">
        <v>3</v>
      </c>
      <c r="F87" t="str">
        <f t="shared" si="2"/>
        <v>C3</v>
      </c>
    </row>
    <row r="88" spans="1:6" x14ac:dyDescent="0.45">
      <c r="A88">
        <v>87</v>
      </c>
      <c r="B88">
        <v>2.2999999999999998</v>
      </c>
      <c r="C88">
        <v>4</v>
      </c>
      <c r="D88" s="1" t="s">
        <v>5</v>
      </c>
      <c r="E88" s="1">
        <v>4</v>
      </c>
      <c r="F88" t="str">
        <f t="shared" si="2"/>
        <v>C4</v>
      </c>
    </row>
    <row r="89" spans="1:6" x14ac:dyDescent="0.45">
      <c r="A89">
        <v>88</v>
      </c>
      <c r="B89">
        <v>5</v>
      </c>
      <c r="C89">
        <v>9</v>
      </c>
      <c r="D89" s="1" t="s">
        <v>5</v>
      </c>
      <c r="E89" s="1">
        <v>4</v>
      </c>
      <c r="F89" t="str">
        <f t="shared" si="2"/>
        <v>C4</v>
      </c>
    </row>
    <row r="90" spans="1:6" x14ac:dyDescent="0.45">
      <c r="A90">
        <v>89</v>
      </c>
      <c r="B90">
        <v>7.9</v>
      </c>
      <c r="C90">
        <v>24</v>
      </c>
      <c r="D90" s="1" t="s">
        <v>5</v>
      </c>
      <c r="E90" s="1">
        <v>4</v>
      </c>
      <c r="F90" t="str">
        <f t="shared" si="2"/>
        <v>C4</v>
      </c>
    </row>
    <row r="91" spans="1:6" x14ac:dyDescent="0.45">
      <c r="A91">
        <v>90</v>
      </c>
      <c r="B91">
        <v>10</v>
      </c>
      <c r="C91">
        <v>15</v>
      </c>
      <c r="D91" s="1" t="s">
        <v>5</v>
      </c>
      <c r="E91" s="1">
        <v>5</v>
      </c>
      <c r="F91" t="str">
        <f t="shared" si="2"/>
        <v>C5</v>
      </c>
    </row>
    <row r="92" spans="1:6" x14ac:dyDescent="0.45">
      <c r="A92">
        <v>91</v>
      </c>
      <c r="B92">
        <v>10.9</v>
      </c>
      <c r="C92">
        <v>29</v>
      </c>
      <c r="D92" s="1" t="s">
        <v>5</v>
      </c>
      <c r="E92" s="1">
        <v>5</v>
      </c>
      <c r="F92" t="str">
        <f t="shared" si="2"/>
        <v>C5</v>
      </c>
    </row>
    <row r="93" spans="1:6" x14ac:dyDescent="0.45">
      <c r="A93">
        <v>92</v>
      </c>
      <c r="B93">
        <v>10.3</v>
      </c>
      <c r="C93">
        <v>0</v>
      </c>
      <c r="D93" s="1">
        <v>0</v>
      </c>
      <c r="E93" s="1">
        <v>0</v>
      </c>
      <c r="F93" t="str">
        <f t="shared" si="2"/>
        <v>00</v>
      </c>
    </row>
    <row r="94" spans="1:6" x14ac:dyDescent="0.45">
      <c r="A94">
        <v>93</v>
      </c>
      <c r="B94">
        <v>8.6999999999999993</v>
      </c>
      <c r="C94">
        <v>1</v>
      </c>
      <c r="D94" s="1" t="s">
        <v>6</v>
      </c>
      <c r="E94" s="1">
        <v>1</v>
      </c>
      <c r="F94" t="str">
        <f t="shared" si="2"/>
        <v>S1</v>
      </c>
    </row>
    <row r="95" spans="1:6" x14ac:dyDescent="0.45">
      <c r="A95">
        <v>94</v>
      </c>
      <c r="B95">
        <v>6.7</v>
      </c>
      <c r="C95">
        <v>3</v>
      </c>
      <c r="D95" s="1" t="s">
        <v>6</v>
      </c>
      <c r="E95" s="1">
        <v>1</v>
      </c>
      <c r="F95" t="str">
        <f t="shared" si="2"/>
        <v>S1</v>
      </c>
    </row>
    <row r="96" spans="1:6" x14ac:dyDescent="0.45">
      <c r="A96">
        <v>95</v>
      </c>
      <c r="B96">
        <v>5.3</v>
      </c>
      <c r="C96">
        <v>6</v>
      </c>
      <c r="D96" s="1" t="s">
        <v>6</v>
      </c>
      <c r="E96" s="1">
        <v>1</v>
      </c>
      <c r="F96" t="str">
        <f t="shared" si="2"/>
        <v>S1</v>
      </c>
    </row>
    <row r="97" spans="1:6" x14ac:dyDescent="0.45">
      <c r="A97">
        <v>96</v>
      </c>
      <c r="B97">
        <v>5.2</v>
      </c>
      <c r="C97">
        <v>3</v>
      </c>
      <c r="D97" s="1" t="s">
        <v>6</v>
      </c>
      <c r="E97" s="1">
        <v>2</v>
      </c>
      <c r="F97" t="str">
        <f t="shared" si="2"/>
        <v>S2</v>
      </c>
    </row>
    <row r="98" spans="1:6" x14ac:dyDescent="0.45">
      <c r="A98">
        <v>97</v>
      </c>
      <c r="B98">
        <v>6.8</v>
      </c>
      <c r="C98">
        <v>2</v>
      </c>
      <c r="D98" s="1" t="s">
        <v>6</v>
      </c>
      <c r="E98" s="1">
        <v>2</v>
      </c>
      <c r="F98" t="str">
        <f t="shared" si="2"/>
        <v>S2</v>
      </c>
    </row>
    <row r="99" spans="1:6" x14ac:dyDescent="0.45">
      <c r="A99">
        <v>98</v>
      </c>
      <c r="B99">
        <v>9.8000000000000007</v>
      </c>
      <c r="C99">
        <v>11</v>
      </c>
      <c r="D99" s="1" t="s">
        <v>6</v>
      </c>
      <c r="E99" s="1">
        <v>2</v>
      </c>
      <c r="F99" t="str">
        <f t="shared" si="2"/>
        <v>S2</v>
      </c>
    </row>
    <row r="100" spans="1:6" x14ac:dyDescent="0.45">
      <c r="A100">
        <v>99</v>
      </c>
      <c r="B100">
        <v>13.7</v>
      </c>
      <c r="C100">
        <v>8</v>
      </c>
      <c r="D100" s="1" t="s">
        <v>6</v>
      </c>
      <c r="E100" s="1">
        <v>3</v>
      </c>
      <c r="F100" t="str">
        <f t="shared" si="2"/>
        <v>S3</v>
      </c>
    </row>
    <row r="101" spans="1:6" x14ac:dyDescent="0.45">
      <c r="A101">
        <v>100</v>
      </c>
      <c r="B101">
        <v>17.7</v>
      </c>
      <c r="C101">
        <v>6</v>
      </c>
      <c r="D101" s="1" t="s">
        <v>6</v>
      </c>
      <c r="E101" s="1">
        <v>3</v>
      </c>
      <c r="F101" t="str">
        <f t="shared" si="2"/>
        <v>S3</v>
      </c>
    </row>
    <row r="102" spans="1:6" x14ac:dyDescent="0.45">
      <c r="A102">
        <v>101</v>
      </c>
      <c r="B102">
        <v>20.8</v>
      </c>
      <c r="C102">
        <v>5</v>
      </c>
      <c r="D102" s="1" t="s">
        <v>6</v>
      </c>
      <c r="E102" s="1">
        <v>3</v>
      </c>
      <c r="F102" t="str">
        <f t="shared" si="2"/>
        <v>S3</v>
      </c>
    </row>
    <row r="103" spans="1:6" x14ac:dyDescent="0.45">
      <c r="A103">
        <v>102</v>
      </c>
      <c r="B103">
        <v>22.4</v>
      </c>
      <c r="C103">
        <v>20</v>
      </c>
      <c r="D103" s="1" t="s">
        <v>6</v>
      </c>
      <c r="E103" s="1">
        <v>4</v>
      </c>
      <c r="F103" t="str">
        <f t="shared" si="2"/>
        <v>S4</v>
      </c>
    </row>
    <row r="104" spans="1:6" x14ac:dyDescent="0.45">
      <c r="A104">
        <v>103</v>
      </c>
      <c r="B104">
        <v>22.5</v>
      </c>
      <c r="C104">
        <v>17</v>
      </c>
      <c r="D104" s="1" t="s">
        <v>6</v>
      </c>
      <c r="E104" s="1">
        <v>4</v>
      </c>
      <c r="F104" t="str">
        <f t="shared" si="2"/>
        <v>S4</v>
      </c>
    </row>
    <row r="105" spans="1:6" x14ac:dyDescent="0.45">
      <c r="A105">
        <v>104</v>
      </c>
      <c r="B105">
        <v>21.2</v>
      </c>
      <c r="C105">
        <v>11</v>
      </c>
      <c r="D105" s="1" t="s">
        <v>6</v>
      </c>
      <c r="E105" s="1">
        <v>4</v>
      </c>
      <c r="F105" t="str">
        <f t="shared" si="2"/>
        <v>S4</v>
      </c>
    </row>
    <row r="106" spans="1:6" x14ac:dyDescent="0.45">
      <c r="A106">
        <v>105</v>
      </c>
      <c r="B106">
        <v>19.5</v>
      </c>
      <c r="C106">
        <v>27</v>
      </c>
      <c r="D106" s="1" t="s">
        <v>6</v>
      </c>
      <c r="E106" s="1">
        <v>5</v>
      </c>
      <c r="F106" t="str">
        <f t="shared" si="2"/>
        <v>S5</v>
      </c>
    </row>
    <row r="107" spans="1:6" x14ac:dyDescent="0.45">
      <c r="A107">
        <v>106</v>
      </c>
      <c r="B107">
        <v>18.100000000000001</v>
      </c>
      <c r="C107">
        <v>0</v>
      </c>
      <c r="D107" s="1">
        <v>0</v>
      </c>
      <c r="E107" s="1">
        <v>0</v>
      </c>
      <c r="F107" t="str">
        <f t="shared" si="2"/>
        <v>00</v>
      </c>
    </row>
    <row r="108" spans="1:6" x14ac:dyDescent="0.45">
      <c r="A108">
        <v>107</v>
      </c>
      <c r="B108">
        <v>17.8</v>
      </c>
      <c r="C108">
        <v>5</v>
      </c>
      <c r="D108" s="1" t="s">
        <v>5</v>
      </c>
      <c r="E108" s="1">
        <v>1</v>
      </c>
      <c r="F108" t="str">
        <f t="shared" si="2"/>
        <v>C1</v>
      </c>
    </row>
    <row r="109" spans="1:6" x14ac:dyDescent="0.45">
      <c r="A109">
        <v>108</v>
      </c>
      <c r="B109">
        <v>18.899999999999999</v>
      </c>
      <c r="C109">
        <v>3</v>
      </c>
      <c r="D109" s="1" t="s">
        <v>5</v>
      </c>
      <c r="E109" s="1">
        <v>1</v>
      </c>
      <c r="F109" t="str">
        <f t="shared" si="2"/>
        <v>C1</v>
      </c>
    </row>
    <row r="110" spans="1:6" x14ac:dyDescent="0.45">
      <c r="A110">
        <v>109</v>
      </c>
      <c r="B110">
        <v>21.3</v>
      </c>
      <c r="C110">
        <v>1</v>
      </c>
      <c r="D110" s="1" t="s">
        <v>5</v>
      </c>
      <c r="E110" s="1">
        <v>1</v>
      </c>
      <c r="F110" t="str">
        <f t="shared" si="2"/>
        <v>C1</v>
      </c>
    </row>
    <row r="111" spans="1:6" x14ac:dyDescent="0.45">
      <c r="A111">
        <v>110</v>
      </c>
      <c r="B111">
        <v>24.5</v>
      </c>
      <c r="C111">
        <v>7</v>
      </c>
      <c r="D111" s="1" t="s">
        <v>5</v>
      </c>
      <c r="E111" s="1">
        <v>2</v>
      </c>
      <c r="F111" t="str">
        <f t="shared" si="2"/>
        <v>C2</v>
      </c>
    </row>
    <row r="112" spans="1:6" x14ac:dyDescent="0.45">
      <c r="A112">
        <v>111</v>
      </c>
      <c r="B112">
        <v>27.5</v>
      </c>
      <c r="C112">
        <v>12</v>
      </c>
      <c r="D112" s="1" t="s">
        <v>5</v>
      </c>
      <c r="E112" s="1">
        <v>2</v>
      </c>
      <c r="F112" t="str">
        <f t="shared" si="2"/>
        <v>C2</v>
      </c>
    </row>
    <row r="113" spans="1:6" x14ac:dyDescent="0.45">
      <c r="A113">
        <v>112</v>
      </c>
      <c r="B113">
        <v>29.5</v>
      </c>
      <c r="C113">
        <v>6</v>
      </c>
      <c r="D113" s="1" t="s">
        <v>5</v>
      </c>
      <c r="E113" s="1">
        <v>2</v>
      </c>
      <c r="F113" t="str">
        <f t="shared" si="2"/>
        <v>C2</v>
      </c>
    </row>
    <row r="114" spans="1:6" x14ac:dyDescent="0.45">
      <c r="A114">
        <v>113</v>
      </c>
      <c r="B114">
        <v>29.9</v>
      </c>
      <c r="C114">
        <v>5</v>
      </c>
      <c r="D114" s="1" t="s">
        <v>5</v>
      </c>
      <c r="E114" s="1">
        <v>3</v>
      </c>
      <c r="F114" t="str">
        <f t="shared" si="2"/>
        <v>C3</v>
      </c>
    </row>
    <row r="115" spans="1:6" x14ac:dyDescent="0.45">
      <c r="A115">
        <v>114</v>
      </c>
      <c r="B115">
        <v>28.6</v>
      </c>
      <c r="C115">
        <v>6</v>
      </c>
      <c r="D115" s="1" t="s">
        <v>5</v>
      </c>
      <c r="E115" s="1">
        <v>3</v>
      </c>
      <c r="F115" t="str">
        <f t="shared" si="2"/>
        <v>C3</v>
      </c>
    </row>
    <row r="116" spans="1:6" x14ac:dyDescent="0.45">
      <c r="A116">
        <v>115</v>
      </c>
      <c r="B116">
        <v>25.9</v>
      </c>
      <c r="C116">
        <v>6</v>
      </c>
      <c r="D116" s="1" t="s">
        <v>5</v>
      </c>
      <c r="E116" s="1">
        <v>3</v>
      </c>
      <c r="F116" t="str">
        <f t="shared" si="2"/>
        <v>C3</v>
      </c>
    </row>
    <row r="117" spans="1:6" x14ac:dyDescent="0.45">
      <c r="A117">
        <v>116</v>
      </c>
      <c r="B117">
        <v>22.6</v>
      </c>
      <c r="C117">
        <v>23</v>
      </c>
      <c r="D117" s="1" t="s">
        <v>5</v>
      </c>
      <c r="E117" s="1">
        <v>4</v>
      </c>
      <c r="F117" t="str">
        <f t="shared" si="2"/>
        <v>C4</v>
      </c>
    </row>
    <row r="118" spans="1:6" x14ac:dyDescent="0.45">
      <c r="A118">
        <v>117</v>
      </c>
      <c r="B118">
        <v>19.7</v>
      </c>
      <c r="C118">
        <v>16</v>
      </c>
      <c r="D118" s="1" t="s">
        <v>5</v>
      </c>
      <c r="E118" s="1">
        <v>4</v>
      </c>
      <c r="F118" t="str">
        <f t="shared" si="2"/>
        <v>C4</v>
      </c>
    </row>
    <row r="119" spans="1:6" x14ac:dyDescent="0.45">
      <c r="A119">
        <v>118</v>
      </c>
      <c r="B119">
        <v>17.8</v>
      </c>
      <c r="C119">
        <v>1</v>
      </c>
      <c r="D119" s="1" t="s">
        <v>5</v>
      </c>
      <c r="E119" s="1">
        <v>4</v>
      </c>
      <c r="F119" t="str">
        <f t="shared" si="2"/>
        <v>C4</v>
      </c>
    </row>
    <row r="120" spans="1:6" x14ac:dyDescent="0.45">
      <c r="A120">
        <v>119</v>
      </c>
      <c r="B120">
        <v>17.3</v>
      </c>
      <c r="C120">
        <v>27</v>
      </c>
      <c r="D120" s="1" t="s">
        <v>5</v>
      </c>
      <c r="E120" s="1">
        <v>5</v>
      </c>
      <c r="F120" t="str">
        <f t="shared" si="2"/>
        <v>C5</v>
      </c>
    </row>
    <row r="121" spans="1:6" x14ac:dyDescent="0.45">
      <c r="A121">
        <v>120</v>
      </c>
      <c r="B121">
        <v>18.2</v>
      </c>
      <c r="C121">
        <v>0</v>
      </c>
      <c r="D121" s="1">
        <v>0</v>
      </c>
      <c r="E121" s="1">
        <v>0</v>
      </c>
      <c r="F121" t="str">
        <f t="shared" si="2"/>
        <v>00</v>
      </c>
    </row>
    <row r="122" spans="1:6" x14ac:dyDescent="0.45">
      <c r="A122">
        <v>121</v>
      </c>
      <c r="B122">
        <v>19.8</v>
      </c>
      <c r="C122">
        <v>1</v>
      </c>
      <c r="D122" s="1" t="s">
        <v>5</v>
      </c>
      <c r="E122" s="1">
        <v>1</v>
      </c>
      <c r="F122" t="str">
        <f t="shared" si="2"/>
        <v>C1</v>
      </c>
    </row>
    <row r="123" spans="1:6" x14ac:dyDescent="0.45">
      <c r="A123">
        <v>122</v>
      </c>
      <c r="B123">
        <v>21.4</v>
      </c>
      <c r="C123">
        <v>1</v>
      </c>
      <c r="D123" s="1" t="s">
        <v>5</v>
      </c>
      <c r="E123" s="1">
        <v>1</v>
      </c>
      <c r="F123" t="str">
        <f t="shared" si="2"/>
        <v>C1</v>
      </c>
    </row>
    <row r="124" spans="1:6" x14ac:dyDescent="0.45">
      <c r="A124">
        <v>123</v>
      </c>
      <c r="B124">
        <v>22</v>
      </c>
      <c r="C124">
        <v>6</v>
      </c>
      <c r="D124" s="1" t="s">
        <v>5</v>
      </c>
      <c r="E124" s="1">
        <v>1</v>
      </c>
      <c r="F124" t="str">
        <f t="shared" si="2"/>
        <v>C1</v>
      </c>
    </row>
    <row r="125" spans="1:6" x14ac:dyDescent="0.45">
      <c r="A125">
        <v>124</v>
      </c>
      <c r="B125">
        <v>21.2</v>
      </c>
      <c r="C125">
        <v>9</v>
      </c>
      <c r="D125" s="1" t="s">
        <v>5</v>
      </c>
      <c r="E125" s="1">
        <v>2</v>
      </c>
      <c r="F125" t="str">
        <f t="shared" si="2"/>
        <v>C2</v>
      </c>
    </row>
    <row r="126" spans="1:6" x14ac:dyDescent="0.45">
      <c r="A126">
        <v>125</v>
      </c>
      <c r="B126">
        <v>18.8</v>
      </c>
      <c r="C126">
        <v>7</v>
      </c>
      <c r="D126" s="1" t="s">
        <v>5</v>
      </c>
      <c r="E126" s="1">
        <v>2</v>
      </c>
      <c r="F126" t="str">
        <f t="shared" si="2"/>
        <v>C2</v>
      </c>
    </row>
    <row r="127" spans="1:6" x14ac:dyDescent="0.45">
      <c r="A127">
        <v>126</v>
      </c>
      <c r="B127">
        <v>15.2</v>
      </c>
      <c r="C127">
        <v>12</v>
      </c>
      <c r="D127" s="1" t="s">
        <v>5</v>
      </c>
      <c r="E127" s="1">
        <v>2</v>
      </c>
      <c r="F127" t="str">
        <f t="shared" si="2"/>
        <v>C2</v>
      </c>
    </row>
    <row r="128" spans="1:6" x14ac:dyDescent="0.45">
      <c r="A128">
        <v>127</v>
      </c>
      <c r="B128">
        <v>11.1</v>
      </c>
      <c r="C128">
        <v>15</v>
      </c>
      <c r="D128" s="1" t="s">
        <v>5</v>
      </c>
      <c r="E128" s="1">
        <v>3</v>
      </c>
      <c r="F128" t="str">
        <f t="shared" si="2"/>
        <v>C3</v>
      </c>
    </row>
    <row r="129" spans="1:6" x14ac:dyDescent="0.45">
      <c r="A129">
        <v>128</v>
      </c>
      <c r="B129">
        <v>7.5</v>
      </c>
      <c r="C129">
        <v>10</v>
      </c>
      <c r="D129" s="1" t="s">
        <v>5</v>
      </c>
      <c r="E129" s="1">
        <v>3</v>
      </c>
      <c r="F129" t="str">
        <f t="shared" si="2"/>
        <v>C3</v>
      </c>
    </row>
    <row r="130" spans="1:6" x14ac:dyDescent="0.45">
      <c r="A130">
        <v>129</v>
      </c>
      <c r="B130">
        <v>5.2</v>
      </c>
      <c r="C130">
        <v>5</v>
      </c>
      <c r="D130" s="1" t="s">
        <v>5</v>
      </c>
      <c r="E130" s="1">
        <v>3</v>
      </c>
      <c r="F130" t="str">
        <f t="shared" si="2"/>
        <v>C3</v>
      </c>
    </row>
    <row r="131" spans="1:6" x14ac:dyDescent="0.45">
      <c r="A131">
        <v>130</v>
      </c>
      <c r="B131">
        <v>4.5999999999999996</v>
      </c>
      <c r="C131">
        <v>23</v>
      </c>
      <c r="D131" s="1" t="s">
        <v>5</v>
      </c>
      <c r="E131" s="1">
        <v>4</v>
      </c>
      <c r="F131" t="str">
        <f t="shared" si="2"/>
        <v>C4</v>
      </c>
    </row>
    <row r="132" spans="1:6" x14ac:dyDescent="0.45">
      <c r="A132">
        <v>131</v>
      </c>
      <c r="B132">
        <v>5.5</v>
      </c>
      <c r="C132">
        <v>11</v>
      </c>
      <c r="D132" s="1" t="s">
        <v>5</v>
      </c>
      <c r="E132" s="1">
        <v>4</v>
      </c>
      <c r="F132" t="str">
        <f t="shared" ref="F132:F195" si="3">_xlfn.TEXTJOIN(,,D132,E132)</f>
        <v>C4</v>
      </c>
    </row>
    <row r="133" spans="1:6" x14ac:dyDescent="0.45">
      <c r="A133">
        <v>132</v>
      </c>
      <c r="B133">
        <v>7.3</v>
      </c>
      <c r="C133">
        <v>23</v>
      </c>
      <c r="D133" s="1" t="s">
        <v>5</v>
      </c>
      <c r="E133" s="1">
        <v>4</v>
      </c>
      <c r="F133" t="str">
        <f t="shared" si="3"/>
        <v>C4</v>
      </c>
    </row>
    <row r="134" spans="1:6" x14ac:dyDescent="0.45">
      <c r="A134">
        <v>133</v>
      </c>
      <c r="B134">
        <v>9.3000000000000007</v>
      </c>
      <c r="C134">
        <v>16</v>
      </c>
      <c r="D134" s="1" t="s">
        <v>5</v>
      </c>
      <c r="E134" s="1">
        <v>5</v>
      </c>
      <c r="F134" t="str">
        <f t="shared" si="3"/>
        <v>C5</v>
      </c>
    </row>
    <row r="135" spans="1:6" x14ac:dyDescent="0.45">
      <c r="A135">
        <v>134</v>
      </c>
      <c r="B135">
        <v>10.5</v>
      </c>
      <c r="C135">
        <v>21</v>
      </c>
      <c r="D135" s="1" t="s">
        <v>5</v>
      </c>
      <c r="E135" s="1">
        <v>5</v>
      </c>
      <c r="F135" t="str">
        <f t="shared" si="3"/>
        <v>C5</v>
      </c>
    </row>
    <row r="136" spans="1:6" x14ac:dyDescent="0.45">
      <c r="A136">
        <v>135</v>
      </c>
      <c r="B136">
        <v>10.4</v>
      </c>
      <c r="C136">
        <v>0</v>
      </c>
      <c r="D136" s="1">
        <v>0</v>
      </c>
      <c r="E136" s="1">
        <v>0</v>
      </c>
      <c r="F136" t="str">
        <f t="shared" si="3"/>
        <v>00</v>
      </c>
    </row>
    <row r="137" spans="1:6" x14ac:dyDescent="0.45">
      <c r="A137">
        <v>136</v>
      </c>
      <c r="B137">
        <v>9</v>
      </c>
      <c r="C137">
        <v>4</v>
      </c>
      <c r="D137" s="1" t="s">
        <v>6</v>
      </c>
      <c r="E137" s="1">
        <v>1</v>
      </c>
      <c r="F137" t="str">
        <f t="shared" si="3"/>
        <v>S1</v>
      </c>
    </row>
    <row r="138" spans="1:6" x14ac:dyDescent="0.45">
      <c r="A138">
        <v>137</v>
      </c>
      <c r="B138">
        <v>6.4</v>
      </c>
      <c r="C138">
        <v>3</v>
      </c>
      <c r="D138" s="1" t="s">
        <v>6</v>
      </c>
      <c r="E138" s="1">
        <v>1</v>
      </c>
      <c r="F138" t="str">
        <f t="shared" si="3"/>
        <v>S1</v>
      </c>
    </row>
    <row r="139" spans="1:6" x14ac:dyDescent="0.45">
      <c r="A139">
        <v>138</v>
      </c>
      <c r="B139">
        <v>3.6</v>
      </c>
      <c r="C139">
        <v>3</v>
      </c>
      <c r="D139" s="1" t="s">
        <v>6</v>
      </c>
      <c r="E139" s="1">
        <v>1</v>
      </c>
      <c r="F139" t="str">
        <f t="shared" si="3"/>
        <v>S1</v>
      </c>
    </row>
    <row r="140" spans="1:6" x14ac:dyDescent="0.45">
      <c r="A140">
        <v>139</v>
      </c>
      <c r="B140">
        <v>1.4</v>
      </c>
      <c r="C140">
        <v>4</v>
      </c>
      <c r="D140" s="1" t="s">
        <v>6</v>
      </c>
      <c r="E140" s="1">
        <v>2</v>
      </c>
      <c r="F140" t="str">
        <f t="shared" si="3"/>
        <v>S2</v>
      </c>
    </row>
    <row r="141" spans="1:6" x14ac:dyDescent="0.45">
      <c r="A141">
        <v>140</v>
      </c>
      <c r="B141">
        <v>0.5</v>
      </c>
      <c r="C141">
        <v>5</v>
      </c>
      <c r="D141" s="1" t="s">
        <v>6</v>
      </c>
      <c r="E141" s="1">
        <v>2</v>
      </c>
      <c r="F141" t="str">
        <f t="shared" si="3"/>
        <v>S2</v>
      </c>
    </row>
    <row r="142" spans="1:6" x14ac:dyDescent="0.45">
      <c r="A142">
        <v>141</v>
      </c>
      <c r="B142">
        <v>1.4</v>
      </c>
      <c r="C142">
        <v>1</v>
      </c>
      <c r="D142" s="1" t="s">
        <v>6</v>
      </c>
      <c r="E142" s="1">
        <v>2</v>
      </c>
      <c r="F142" t="str">
        <f t="shared" si="3"/>
        <v>S2</v>
      </c>
    </row>
    <row r="143" spans="1:6" x14ac:dyDescent="0.45">
      <c r="A143">
        <v>142</v>
      </c>
      <c r="B143">
        <v>3.9</v>
      </c>
      <c r="C143">
        <v>3</v>
      </c>
      <c r="D143" s="1" t="s">
        <v>6</v>
      </c>
      <c r="E143" s="1">
        <v>3</v>
      </c>
      <c r="F143" t="str">
        <f t="shared" si="3"/>
        <v>S3</v>
      </c>
    </row>
    <row r="144" spans="1:6" x14ac:dyDescent="0.45">
      <c r="A144">
        <v>143</v>
      </c>
      <c r="B144">
        <v>7.3</v>
      </c>
      <c r="C144">
        <v>13</v>
      </c>
      <c r="D144" s="1" t="s">
        <v>6</v>
      </c>
      <c r="E144" s="1">
        <v>3</v>
      </c>
      <c r="F144" t="str">
        <f t="shared" si="3"/>
        <v>S3</v>
      </c>
    </row>
    <row r="145" spans="1:6" x14ac:dyDescent="0.45">
      <c r="A145">
        <v>144</v>
      </c>
      <c r="B145">
        <v>10.9</v>
      </c>
      <c r="C145">
        <v>12</v>
      </c>
      <c r="D145" s="1" t="s">
        <v>6</v>
      </c>
      <c r="E145" s="1">
        <v>3</v>
      </c>
      <c r="F145" t="str">
        <f t="shared" si="3"/>
        <v>S3</v>
      </c>
    </row>
    <row r="146" spans="1:6" x14ac:dyDescent="0.45">
      <c r="A146">
        <v>145</v>
      </c>
      <c r="B146">
        <v>13.7</v>
      </c>
      <c r="C146">
        <v>9</v>
      </c>
      <c r="D146" s="1" t="s">
        <v>6</v>
      </c>
      <c r="E146" s="1">
        <v>4</v>
      </c>
      <c r="F146" t="str">
        <f t="shared" si="3"/>
        <v>S4</v>
      </c>
    </row>
    <row r="147" spans="1:6" x14ac:dyDescent="0.45">
      <c r="A147">
        <v>146</v>
      </c>
      <c r="B147">
        <v>15.1</v>
      </c>
      <c r="C147">
        <v>21</v>
      </c>
      <c r="D147" s="1" t="s">
        <v>6</v>
      </c>
      <c r="E147" s="1">
        <v>4</v>
      </c>
      <c r="F147" t="str">
        <f t="shared" si="3"/>
        <v>S4</v>
      </c>
    </row>
    <row r="148" spans="1:6" x14ac:dyDescent="0.45">
      <c r="A148">
        <v>147</v>
      </c>
      <c r="B148">
        <v>15.1</v>
      </c>
      <c r="C148">
        <v>14</v>
      </c>
      <c r="D148" s="1" t="s">
        <v>6</v>
      </c>
      <c r="E148" s="1">
        <v>4</v>
      </c>
      <c r="F148" t="str">
        <f t="shared" si="3"/>
        <v>S4</v>
      </c>
    </row>
    <row r="149" spans="1:6" x14ac:dyDescent="0.45">
      <c r="A149">
        <v>148</v>
      </c>
      <c r="B149">
        <v>13.9</v>
      </c>
      <c r="C149">
        <v>11</v>
      </c>
      <c r="D149" s="1" t="s">
        <v>6</v>
      </c>
      <c r="E149" s="1">
        <v>5</v>
      </c>
      <c r="F149" t="str">
        <f t="shared" si="3"/>
        <v>S5</v>
      </c>
    </row>
    <row r="150" spans="1:6" x14ac:dyDescent="0.45">
      <c r="A150">
        <v>149</v>
      </c>
      <c r="B150">
        <v>12.3</v>
      </c>
      <c r="C150">
        <v>20</v>
      </c>
      <c r="D150" s="1" t="s">
        <v>6</v>
      </c>
      <c r="E150" s="1">
        <v>5</v>
      </c>
      <c r="F150" t="str">
        <f t="shared" si="3"/>
        <v>S5</v>
      </c>
    </row>
    <row r="151" spans="1:6" x14ac:dyDescent="0.45">
      <c r="A151">
        <v>150</v>
      </c>
      <c r="B151">
        <v>11.2</v>
      </c>
      <c r="C151">
        <v>0</v>
      </c>
      <c r="D151" s="1">
        <v>0</v>
      </c>
      <c r="E151" s="1">
        <v>0</v>
      </c>
      <c r="F151" t="str">
        <f t="shared" si="3"/>
        <v>00</v>
      </c>
    </row>
    <row r="152" spans="1:6" x14ac:dyDescent="0.45">
      <c r="A152">
        <v>151</v>
      </c>
      <c r="B152">
        <v>11.3</v>
      </c>
      <c r="C152">
        <v>6</v>
      </c>
      <c r="D152" s="1" t="s">
        <v>5</v>
      </c>
      <c r="E152" s="1">
        <v>1</v>
      </c>
      <c r="F152" t="str">
        <f t="shared" si="3"/>
        <v>C1</v>
      </c>
    </row>
    <row r="153" spans="1:6" x14ac:dyDescent="0.45">
      <c r="A153">
        <v>152</v>
      </c>
      <c r="B153">
        <v>12.9</v>
      </c>
      <c r="C153">
        <v>3</v>
      </c>
      <c r="D153" s="1" t="s">
        <v>5</v>
      </c>
      <c r="E153" s="1">
        <v>1</v>
      </c>
      <c r="F153" t="str">
        <f t="shared" si="3"/>
        <v>C1</v>
      </c>
    </row>
    <row r="154" spans="1:6" x14ac:dyDescent="0.45">
      <c r="A154">
        <v>153</v>
      </c>
      <c r="B154">
        <v>16</v>
      </c>
      <c r="C154">
        <v>6</v>
      </c>
      <c r="D154" s="1" t="s">
        <v>5</v>
      </c>
      <c r="E154" s="1">
        <v>1</v>
      </c>
      <c r="F154" t="str">
        <f t="shared" si="3"/>
        <v>C1</v>
      </c>
    </row>
    <row r="155" spans="1:6" x14ac:dyDescent="0.45">
      <c r="A155">
        <v>154</v>
      </c>
      <c r="B155">
        <v>19.8</v>
      </c>
      <c r="C155">
        <v>2</v>
      </c>
      <c r="D155" s="1" t="s">
        <v>5</v>
      </c>
      <c r="E155" s="1">
        <v>2</v>
      </c>
      <c r="F155" t="str">
        <f t="shared" si="3"/>
        <v>C2</v>
      </c>
    </row>
    <row r="156" spans="1:6" x14ac:dyDescent="0.45">
      <c r="A156">
        <v>155</v>
      </c>
      <c r="B156">
        <v>23.6</v>
      </c>
      <c r="C156">
        <v>11</v>
      </c>
      <c r="D156" s="1" t="s">
        <v>5</v>
      </c>
      <c r="E156" s="1">
        <v>2</v>
      </c>
      <c r="F156" t="str">
        <f t="shared" si="3"/>
        <v>C2</v>
      </c>
    </row>
    <row r="157" spans="1:6" x14ac:dyDescent="0.45">
      <c r="A157">
        <v>156</v>
      </c>
      <c r="B157">
        <v>26.4</v>
      </c>
      <c r="C157">
        <v>11</v>
      </c>
      <c r="D157" s="1" t="s">
        <v>5</v>
      </c>
      <c r="E157" s="1">
        <v>2</v>
      </c>
      <c r="F157" t="str">
        <f t="shared" si="3"/>
        <v>C2</v>
      </c>
    </row>
    <row r="158" spans="1:6" x14ac:dyDescent="0.45">
      <c r="A158">
        <v>157</v>
      </c>
      <c r="B158">
        <v>27.7</v>
      </c>
      <c r="C158">
        <v>5</v>
      </c>
      <c r="D158" s="1" t="s">
        <v>5</v>
      </c>
      <c r="E158" s="1">
        <v>3</v>
      </c>
      <c r="F158" t="str">
        <f t="shared" si="3"/>
        <v>C3</v>
      </c>
    </row>
    <row r="159" spans="1:6" x14ac:dyDescent="0.45">
      <c r="A159">
        <v>158</v>
      </c>
      <c r="B159">
        <v>27.2</v>
      </c>
      <c r="C159">
        <v>18</v>
      </c>
      <c r="D159" s="1" t="s">
        <v>5</v>
      </c>
      <c r="E159" s="1">
        <v>3</v>
      </c>
      <c r="F159" t="str">
        <f t="shared" si="3"/>
        <v>C3</v>
      </c>
    </row>
    <row r="160" spans="1:6" x14ac:dyDescent="0.45">
      <c r="A160">
        <v>159</v>
      </c>
      <c r="B160">
        <v>25.5</v>
      </c>
      <c r="C160">
        <v>5</v>
      </c>
      <c r="D160" s="1" t="s">
        <v>5</v>
      </c>
      <c r="E160" s="1">
        <v>3</v>
      </c>
      <c r="F160" t="str">
        <f t="shared" si="3"/>
        <v>C3</v>
      </c>
    </row>
    <row r="161" spans="1:6" x14ac:dyDescent="0.45">
      <c r="A161">
        <v>160</v>
      </c>
      <c r="B161">
        <v>23.1</v>
      </c>
      <c r="C161">
        <v>8</v>
      </c>
      <c r="D161" s="1" t="s">
        <v>5</v>
      </c>
      <c r="E161" s="1">
        <v>4</v>
      </c>
      <c r="F161" t="str">
        <f t="shared" si="3"/>
        <v>C4</v>
      </c>
    </row>
    <row r="162" spans="1:6" x14ac:dyDescent="0.45">
      <c r="A162">
        <v>161</v>
      </c>
      <c r="B162">
        <v>21</v>
      </c>
      <c r="C162">
        <v>22</v>
      </c>
      <c r="D162" s="1" t="s">
        <v>5</v>
      </c>
      <c r="E162" s="1">
        <v>4</v>
      </c>
      <c r="F162" t="str">
        <f t="shared" si="3"/>
        <v>C4</v>
      </c>
    </row>
    <row r="163" spans="1:6" x14ac:dyDescent="0.45">
      <c r="A163">
        <v>162</v>
      </c>
      <c r="B163">
        <v>20</v>
      </c>
      <c r="C163">
        <v>19</v>
      </c>
      <c r="D163" s="1" t="s">
        <v>5</v>
      </c>
      <c r="E163" s="1">
        <v>4</v>
      </c>
      <c r="F163" t="str">
        <f t="shared" si="3"/>
        <v>C4</v>
      </c>
    </row>
    <row r="164" spans="1:6" x14ac:dyDescent="0.45">
      <c r="A164">
        <v>163</v>
      </c>
      <c r="B164">
        <v>20.399999999999999</v>
      </c>
      <c r="C164">
        <v>23</v>
      </c>
      <c r="D164" s="1" t="s">
        <v>5</v>
      </c>
      <c r="E164" s="1">
        <v>5</v>
      </c>
      <c r="F164" t="str">
        <f t="shared" si="3"/>
        <v>C5</v>
      </c>
    </row>
    <row r="165" spans="1:6" x14ac:dyDescent="0.45">
      <c r="A165">
        <v>164</v>
      </c>
      <c r="B165">
        <v>22.1</v>
      </c>
      <c r="C165">
        <v>0</v>
      </c>
      <c r="D165" s="1">
        <v>0</v>
      </c>
      <c r="E165" s="1">
        <v>0</v>
      </c>
      <c r="F165" t="str">
        <f t="shared" si="3"/>
        <v>00</v>
      </c>
    </row>
    <row r="166" spans="1:6" x14ac:dyDescent="0.45">
      <c r="A166">
        <v>165</v>
      </c>
      <c r="B166">
        <v>24.5</v>
      </c>
      <c r="C166">
        <v>1</v>
      </c>
      <c r="D166" s="1" t="s">
        <v>6</v>
      </c>
      <c r="E166" s="1">
        <v>1</v>
      </c>
      <c r="F166" t="str">
        <f t="shared" si="3"/>
        <v>S1</v>
      </c>
    </row>
    <row r="167" spans="1:6" x14ac:dyDescent="0.45">
      <c r="A167">
        <v>166</v>
      </c>
      <c r="B167">
        <v>26.8</v>
      </c>
      <c r="C167">
        <v>2</v>
      </c>
      <c r="D167" s="1" t="s">
        <v>6</v>
      </c>
      <c r="E167" s="1">
        <v>1</v>
      </c>
      <c r="F167" t="str">
        <f t="shared" si="3"/>
        <v>S1</v>
      </c>
    </row>
    <row r="168" spans="1:6" x14ac:dyDescent="0.45">
      <c r="A168">
        <v>167</v>
      </c>
      <c r="B168">
        <v>28</v>
      </c>
      <c r="C168">
        <v>4</v>
      </c>
      <c r="D168" s="1" t="s">
        <v>6</v>
      </c>
      <c r="E168" s="1">
        <v>1</v>
      </c>
      <c r="F168" t="str">
        <f t="shared" si="3"/>
        <v>S1</v>
      </c>
    </row>
    <row r="169" spans="1:6" x14ac:dyDescent="0.45">
      <c r="A169">
        <v>168</v>
      </c>
      <c r="B169">
        <v>27.7</v>
      </c>
      <c r="C169">
        <v>8</v>
      </c>
      <c r="D169" s="1" t="s">
        <v>6</v>
      </c>
      <c r="E169" s="1">
        <v>2</v>
      </c>
      <c r="F169" t="str">
        <f t="shared" si="3"/>
        <v>S2</v>
      </c>
    </row>
    <row r="170" spans="1:6" x14ac:dyDescent="0.45">
      <c r="A170">
        <v>169</v>
      </c>
      <c r="B170">
        <v>25.6</v>
      </c>
      <c r="C170">
        <v>4</v>
      </c>
      <c r="D170" s="1" t="s">
        <v>6</v>
      </c>
      <c r="E170" s="1">
        <v>2</v>
      </c>
      <c r="F170" t="str">
        <f t="shared" si="3"/>
        <v>S2</v>
      </c>
    </row>
    <row r="171" spans="1:6" x14ac:dyDescent="0.45">
      <c r="A171">
        <v>170</v>
      </c>
      <c r="B171">
        <v>22.3</v>
      </c>
      <c r="C171">
        <v>7</v>
      </c>
      <c r="D171" s="1" t="s">
        <v>6</v>
      </c>
      <c r="E171" s="1">
        <v>2</v>
      </c>
      <c r="F171" t="str">
        <f t="shared" si="3"/>
        <v>S2</v>
      </c>
    </row>
    <row r="172" spans="1:6" x14ac:dyDescent="0.45">
      <c r="A172">
        <v>171</v>
      </c>
      <c r="B172">
        <v>18.399999999999999</v>
      </c>
      <c r="C172">
        <v>6</v>
      </c>
      <c r="D172" s="1" t="s">
        <v>6</v>
      </c>
      <c r="E172" s="1">
        <v>3</v>
      </c>
      <c r="F172" t="str">
        <f t="shared" si="3"/>
        <v>S3</v>
      </c>
    </row>
    <row r="173" spans="1:6" x14ac:dyDescent="0.45">
      <c r="A173">
        <v>172</v>
      </c>
      <c r="B173">
        <v>14.9</v>
      </c>
      <c r="C173">
        <v>18</v>
      </c>
      <c r="D173" s="1" t="s">
        <v>6</v>
      </c>
      <c r="E173" s="1">
        <v>3</v>
      </c>
      <c r="F173" t="str">
        <f t="shared" si="3"/>
        <v>S3</v>
      </c>
    </row>
    <row r="174" spans="1:6" x14ac:dyDescent="0.45">
      <c r="A174">
        <v>173</v>
      </c>
      <c r="B174">
        <v>12.5</v>
      </c>
      <c r="C174">
        <v>6</v>
      </c>
      <c r="D174" s="1" t="s">
        <v>6</v>
      </c>
      <c r="E174" s="1">
        <v>3</v>
      </c>
      <c r="F174" t="str">
        <f t="shared" si="3"/>
        <v>S3</v>
      </c>
    </row>
    <row r="175" spans="1:6" x14ac:dyDescent="0.45">
      <c r="A175">
        <v>174</v>
      </c>
      <c r="B175">
        <v>11.7</v>
      </c>
      <c r="C175">
        <v>20</v>
      </c>
      <c r="D175" s="1" t="s">
        <v>6</v>
      </c>
      <c r="E175" s="1">
        <v>4</v>
      </c>
      <c r="F175" t="str">
        <f t="shared" si="3"/>
        <v>S4</v>
      </c>
    </row>
    <row r="176" spans="1:6" x14ac:dyDescent="0.45">
      <c r="A176">
        <v>175</v>
      </c>
      <c r="B176">
        <v>12.3</v>
      </c>
      <c r="C176">
        <v>14</v>
      </c>
      <c r="D176" s="1" t="s">
        <v>6</v>
      </c>
      <c r="E176" s="1">
        <v>4</v>
      </c>
      <c r="F176" t="str">
        <f t="shared" si="3"/>
        <v>S4</v>
      </c>
    </row>
    <row r="177" spans="1:6" x14ac:dyDescent="0.45">
      <c r="A177">
        <v>176</v>
      </c>
      <c r="B177">
        <v>13.7</v>
      </c>
      <c r="C177">
        <v>22</v>
      </c>
      <c r="D177" s="1" t="s">
        <v>6</v>
      </c>
      <c r="E177" s="1">
        <v>4</v>
      </c>
      <c r="F177" t="str">
        <f t="shared" si="3"/>
        <v>S4</v>
      </c>
    </row>
    <row r="178" spans="1:6" x14ac:dyDescent="0.45">
      <c r="A178">
        <v>177</v>
      </c>
      <c r="B178">
        <v>15.2</v>
      </c>
      <c r="C178">
        <v>23</v>
      </c>
      <c r="D178" s="1" t="s">
        <v>6</v>
      </c>
      <c r="E178" s="1">
        <v>5</v>
      </c>
      <c r="F178" t="str">
        <f t="shared" si="3"/>
        <v>S5</v>
      </c>
    </row>
    <row r="179" spans="1:6" x14ac:dyDescent="0.45">
      <c r="A179">
        <v>178</v>
      </c>
      <c r="B179">
        <v>15.9</v>
      </c>
      <c r="C179">
        <v>0</v>
      </c>
      <c r="D179" s="1">
        <v>0</v>
      </c>
      <c r="E179" s="1">
        <v>0</v>
      </c>
      <c r="F179" t="str">
        <f t="shared" si="3"/>
        <v>00</v>
      </c>
    </row>
    <row r="180" spans="1:6" x14ac:dyDescent="0.45">
      <c r="A180">
        <v>179</v>
      </c>
      <c r="B180">
        <v>15.1</v>
      </c>
      <c r="C180">
        <v>1</v>
      </c>
      <c r="D180" s="1" t="s">
        <v>5</v>
      </c>
      <c r="E180" s="1">
        <v>1</v>
      </c>
      <c r="F180" t="str">
        <f t="shared" si="3"/>
        <v>C1</v>
      </c>
    </row>
    <row r="181" spans="1:6" x14ac:dyDescent="0.45">
      <c r="A181">
        <v>180</v>
      </c>
      <c r="B181">
        <v>12.9</v>
      </c>
      <c r="C181">
        <v>1</v>
      </c>
      <c r="D181" s="1" t="s">
        <v>5</v>
      </c>
      <c r="E181" s="1">
        <v>1</v>
      </c>
      <c r="F181" t="str">
        <f t="shared" si="3"/>
        <v>C1</v>
      </c>
    </row>
    <row r="182" spans="1:6" x14ac:dyDescent="0.45">
      <c r="A182">
        <v>181</v>
      </c>
      <c r="B182">
        <v>9.6</v>
      </c>
      <c r="C182">
        <v>1</v>
      </c>
      <c r="D182" s="1" t="s">
        <v>5</v>
      </c>
      <c r="E182" s="1">
        <v>1</v>
      </c>
      <c r="F182" t="str">
        <f t="shared" si="3"/>
        <v>C1</v>
      </c>
    </row>
    <row r="183" spans="1:6" x14ac:dyDescent="0.45">
      <c r="A183">
        <v>182</v>
      </c>
      <c r="B183">
        <v>5.9</v>
      </c>
      <c r="C183">
        <v>2</v>
      </c>
      <c r="D183" s="1" t="s">
        <v>5</v>
      </c>
      <c r="E183" s="1">
        <v>2</v>
      </c>
      <c r="F183" t="str">
        <f t="shared" si="3"/>
        <v>C2</v>
      </c>
    </row>
    <row r="184" spans="1:6" x14ac:dyDescent="0.45">
      <c r="A184">
        <v>183</v>
      </c>
      <c r="B184">
        <v>2.8</v>
      </c>
      <c r="C184">
        <v>6</v>
      </c>
      <c r="D184" s="1" t="s">
        <v>5</v>
      </c>
      <c r="E184" s="1">
        <v>2</v>
      </c>
      <c r="F184" t="str">
        <f t="shared" si="3"/>
        <v>C2</v>
      </c>
    </row>
    <row r="185" spans="1:6" x14ac:dyDescent="0.45">
      <c r="A185">
        <v>184</v>
      </c>
      <c r="B185">
        <v>1</v>
      </c>
      <c r="C185">
        <v>9</v>
      </c>
      <c r="D185" s="1" t="s">
        <v>5</v>
      </c>
      <c r="E185" s="1">
        <v>2</v>
      </c>
      <c r="F185" t="str">
        <f t="shared" si="3"/>
        <v>C2</v>
      </c>
    </row>
    <row r="186" spans="1:6" x14ac:dyDescent="0.45">
      <c r="A186">
        <v>185</v>
      </c>
      <c r="B186">
        <v>0.9</v>
      </c>
      <c r="C186">
        <v>6</v>
      </c>
      <c r="D186" s="1" t="s">
        <v>5</v>
      </c>
      <c r="E186" s="1">
        <v>3</v>
      </c>
      <c r="F186" t="str">
        <f t="shared" si="3"/>
        <v>C3</v>
      </c>
    </row>
    <row r="187" spans="1:6" x14ac:dyDescent="0.45">
      <c r="A187">
        <v>186</v>
      </c>
      <c r="B187">
        <v>2.5</v>
      </c>
      <c r="C187">
        <v>1</v>
      </c>
      <c r="D187" s="1" t="s">
        <v>5</v>
      </c>
      <c r="E187" s="1">
        <v>3</v>
      </c>
      <c r="F187" t="str">
        <f t="shared" si="3"/>
        <v>C3</v>
      </c>
    </row>
    <row r="188" spans="1:6" x14ac:dyDescent="0.45">
      <c r="A188">
        <v>187</v>
      </c>
      <c r="B188">
        <v>5</v>
      </c>
      <c r="C188">
        <v>3</v>
      </c>
      <c r="D188" s="1" t="s">
        <v>5</v>
      </c>
      <c r="E188" s="1">
        <v>3</v>
      </c>
      <c r="F188" t="str">
        <f t="shared" si="3"/>
        <v>C3</v>
      </c>
    </row>
    <row r="189" spans="1:6" x14ac:dyDescent="0.45">
      <c r="A189">
        <v>188</v>
      </c>
      <c r="B189">
        <v>7.7</v>
      </c>
      <c r="C189">
        <v>7</v>
      </c>
      <c r="D189" s="1" t="s">
        <v>5</v>
      </c>
      <c r="E189" s="1">
        <v>4</v>
      </c>
      <c r="F189" t="str">
        <f t="shared" si="3"/>
        <v>C4</v>
      </c>
    </row>
    <row r="190" spans="1:6" x14ac:dyDescent="0.45">
      <c r="A190">
        <v>189</v>
      </c>
      <c r="B190">
        <v>9.6999999999999993</v>
      </c>
      <c r="C190">
        <v>6</v>
      </c>
      <c r="D190" s="1" t="s">
        <v>5</v>
      </c>
      <c r="E190" s="1">
        <v>4</v>
      </c>
      <c r="F190" t="str">
        <f t="shared" si="3"/>
        <v>C4</v>
      </c>
    </row>
    <row r="191" spans="1:6" x14ac:dyDescent="0.45">
      <c r="A191">
        <v>190</v>
      </c>
      <c r="B191">
        <v>10.4</v>
      </c>
      <c r="C191">
        <v>3</v>
      </c>
      <c r="D191" s="1" t="s">
        <v>5</v>
      </c>
      <c r="E191" s="1">
        <v>4</v>
      </c>
      <c r="F191" t="str">
        <f t="shared" si="3"/>
        <v>C4</v>
      </c>
    </row>
    <row r="192" spans="1:6" x14ac:dyDescent="0.45">
      <c r="A192">
        <v>191</v>
      </c>
      <c r="B192">
        <v>9.6999999999999993</v>
      </c>
      <c r="C192">
        <v>22</v>
      </c>
      <c r="D192" s="1" t="s">
        <v>5</v>
      </c>
      <c r="E192" s="1">
        <v>5</v>
      </c>
      <c r="F192" t="str">
        <f t="shared" si="3"/>
        <v>C5</v>
      </c>
    </row>
    <row r="193" spans="1:6" x14ac:dyDescent="0.45">
      <c r="A193">
        <v>192</v>
      </c>
      <c r="B193">
        <v>8</v>
      </c>
      <c r="C193">
        <v>0</v>
      </c>
      <c r="D193" s="1">
        <v>0</v>
      </c>
      <c r="E193" s="1">
        <v>0</v>
      </c>
      <c r="F193" t="str">
        <f t="shared" si="3"/>
        <v>00</v>
      </c>
    </row>
    <row r="194" spans="1:6" x14ac:dyDescent="0.45">
      <c r="A194">
        <v>193</v>
      </c>
      <c r="B194">
        <v>5.9</v>
      </c>
      <c r="C194">
        <v>3</v>
      </c>
      <c r="D194" s="1" t="s">
        <v>6</v>
      </c>
      <c r="E194" s="1">
        <v>1</v>
      </c>
      <c r="F194" t="str">
        <f t="shared" si="3"/>
        <v>S1</v>
      </c>
    </row>
    <row r="195" spans="1:6" x14ac:dyDescent="0.45">
      <c r="A195">
        <v>194</v>
      </c>
      <c r="B195">
        <v>4.4000000000000004</v>
      </c>
      <c r="C195">
        <v>4</v>
      </c>
      <c r="D195" s="1" t="s">
        <v>6</v>
      </c>
      <c r="E195" s="1">
        <v>1</v>
      </c>
      <c r="F195" t="str">
        <f t="shared" si="3"/>
        <v>S1</v>
      </c>
    </row>
    <row r="196" spans="1:6" x14ac:dyDescent="0.45">
      <c r="A196">
        <v>195</v>
      </c>
      <c r="B196">
        <v>4.2</v>
      </c>
      <c r="C196">
        <v>6</v>
      </c>
      <c r="D196" s="1" t="s">
        <v>6</v>
      </c>
      <c r="E196" s="1">
        <v>1</v>
      </c>
      <c r="F196" t="str">
        <f t="shared" ref="F196:F259" si="4">_xlfn.TEXTJOIN(,,D196,E196)</f>
        <v>S1</v>
      </c>
    </row>
    <row r="197" spans="1:6" x14ac:dyDescent="0.45">
      <c r="A197">
        <v>196</v>
      </c>
      <c r="B197">
        <v>5.6</v>
      </c>
      <c r="C197">
        <v>8</v>
      </c>
      <c r="D197" s="1" t="s">
        <v>6</v>
      </c>
      <c r="E197" s="1">
        <v>2</v>
      </c>
      <c r="F197" t="str">
        <f t="shared" si="4"/>
        <v>S2</v>
      </c>
    </row>
    <row r="198" spans="1:6" x14ac:dyDescent="0.45">
      <c r="A198">
        <v>197</v>
      </c>
      <c r="B198">
        <v>8.6</v>
      </c>
      <c r="C198">
        <v>12</v>
      </c>
      <c r="D198" s="1" t="s">
        <v>6</v>
      </c>
      <c r="E198" s="1">
        <v>2</v>
      </c>
      <c r="F198" t="str">
        <f t="shared" si="4"/>
        <v>S2</v>
      </c>
    </row>
    <row r="199" spans="1:6" x14ac:dyDescent="0.45">
      <c r="A199">
        <v>198</v>
      </c>
      <c r="B199">
        <v>12.5</v>
      </c>
      <c r="C199">
        <v>9</v>
      </c>
      <c r="D199" s="1" t="s">
        <v>6</v>
      </c>
      <c r="E199" s="1">
        <v>2</v>
      </c>
      <c r="F199" t="str">
        <f t="shared" si="4"/>
        <v>S2</v>
      </c>
    </row>
    <row r="200" spans="1:6" x14ac:dyDescent="0.45">
      <c r="A200">
        <v>199</v>
      </c>
      <c r="B200">
        <v>16.399999999999999</v>
      </c>
      <c r="C200">
        <v>14</v>
      </c>
      <c r="D200" s="1" t="s">
        <v>6</v>
      </c>
      <c r="E200" s="1">
        <v>3</v>
      </c>
      <c r="F200" t="str">
        <f t="shared" si="4"/>
        <v>S3</v>
      </c>
    </row>
    <row r="201" spans="1:6" x14ac:dyDescent="0.45">
      <c r="A201">
        <v>200</v>
      </c>
      <c r="B201">
        <v>19.5</v>
      </c>
      <c r="C201">
        <v>12</v>
      </c>
      <c r="D201" s="1" t="s">
        <v>6</v>
      </c>
      <c r="E201" s="1">
        <v>3</v>
      </c>
      <c r="F201" t="str">
        <f t="shared" si="4"/>
        <v>S3</v>
      </c>
    </row>
    <row r="202" spans="1:6" x14ac:dyDescent="0.45">
      <c r="A202">
        <v>201</v>
      </c>
      <c r="B202">
        <v>21.2</v>
      </c>
      <c r="C202">
        <v>1</v>
      </c>
      <c r="D202" s="1" t="s">
        <v>6</v>
      </c>
      <c r="E202" s="1">
        <v>3</v>
      </c>
      <c r="F202" t="str">
        <f t="shared" si="4"/>
        <v>S3</v>
      </c>
    </row>
    <row r="203" spans="1:6" x14ac:dyDescent="0.45">
      <c r="A203">
        <v>202</v>
      </c>
      <c r="B203">
        <v>21.3</v>
      </c>
      <c r="C203">
        <v>11</v>
      </c>
      <c r="D203" s="1" t="s">
        <v>6</v>
      </c>
      <c r="E203" s="1">
        <v>4</v>
      </c>
      <c r="F203" t="str">
        <f t="shared" si="4"/>
        <v>S4</v>
      </c>
    </row>
    <row r="204" spans="1:6" x14ac:dyDescent="0.45">
      <c r="A204">
        <v>203</v>
      </c>
      <c r="B204">
        <v>20.100000000000001</v>
      </c>
      <c r="C204">
        <v>6</v>
      </c>
      <c r="D204" s="1" t="s">
        <v>6</v>
      </c>
      <c r="E204" s="1">
        <v>4</v>
      </c>
      <c r="F204" t="str">
        <f t="shared" si="4"/>
        <v>S4</v>
      </c>
    </row>
    <row r="205" spans="1:6" x14ac:dyDescent="0.45">
      <c r="A205">
        <v>204</v>
      </c>
      <c r="B205">
        <v>18.399999999999999</v>
      </c>
      <c r="C205">
        <v>3</v>
      </c>
      <c r="D205" s="1" t="s">
        <v>6</v>
      </c>
      <c r="E205" s="1">
        <v>4</v>
      </c>
      <c r="F205" t="str">
        <f t="shared" si="4"/>
        <v>S4</v>
      </c>
    </row>
    <row r="206" spans="1:6" x14ac:dyDescent="0.45">
      <c r="A206">
        <v>205</v>
      </c>
      <c r="B206">
        <v>17.100000000000001</v>
      </c>
      <c r="C206">
        <v>15</v>
      </c>
      <c r="D206" s="1" t="s">
        <v>6</v>
      </c>
      <c r="E206" s="1">
        <v>5</v>
      </c>
      <c r="F206" t="str">
        <f t="shared" si="4"/>
        <v>S5</v>
      </c>
    </row>
    <row r="207" spans="1:6" x14ac:dyDescent="0.45">
      <c r="A207">
        <v>206</v>
      </c>
      <c r="B207">
        <v>16.899999999999999</v>
      </c>
      <c r="C207">
        <v>16</v>
      </c>
      <c r="D207" s="1" t="s">
        <v>6</v>
      </c>
      <c r="E207" s="1">
        <v>5</v>
      </c>
      <c r="F207" t="str">
        <f t="shared" si="4"/>
        <v>S5</v>
      </c>
    </row>
    <row r="208" spans="1:6" x14ac:dyDescent="0.45">
      <c r="A208">
        <v>207</v>
      </c>
      <c r="B208">
        <v>18.2</v>
      </c>
      <c r="C208">
        <v>17</v>
      </c>
      <c r="D208" s="1" t="s">
        <v>6</v>
      </c>
      <c r="E208" s="1">
        <v>5</v>
      </c>
      <c r="F208" t="str">
        <f t="shared" si="4"/>
        <v>S5</v>
      </c>
    </row>
    <row r="209" spans="1:6" x14ac:dyDescent="0.45">
      <c r="A209">
        <v>208</v>
      </c>
      <c r="B209">
        <v>20.7</v>
      </c>
      <c r="C209">
        <v>18</v>
      </c>
      <c r="D209" s="1" t="s">
        <v>6</v>
      </c>
      <c r="E209" s="1">
        <v>5</v>
      </c>
      <c r="F209" t="str">
        <f t="shared" si="4"/>
        <v>S5</v>
      </c>
    </row>
    <row r="210" spans="1:6" x14ac:dyDescent="0.45">
      <c r="A210">
        <v>209</v>
      </c>
      <c r="B210">
        <v>24</v>
      </c>
      <c r="C210">
        <v>13</v>
      </c>
      <c r="D210" s="1" t="s">
        <v>6</v>
      </c>
      <c r="E210" s="1">
        <v>5</v>
      </c>
      <c r="F210" t="str">
        <f t="shared" si="4"/>
        <v>S5</v>
      </c>
    </row>
    <row r="211" spans="1:6" x14ac:dyDescent="0.45">
      <c r="A211">
        <v>210</v>
      </c>
      <c r="B211">
        <v>27.2</v>
      </c>
      <c r="C211">
        <v>27</v>
      </c>
      <c r="D211" s="1" t="s">
        <v>6</v>
      </c>
      <c r="E211" s="1">
        <v>5</v>
      </c>
      <c r="F211" t="str">
        <f t="shared" si="4"/>
        <v>S5</v>
      </c>
    </row>
    <row r="212" spans="1:6" x14ac:dyDescent="0.45">
      <c r="A212">
        <v>211</v>
      </c>
      <c r="B212">
        <v>29.4</v>
      </c>
      <c r="C212">
        <v>0</v>
      </c>
      <c r="D212" s="1">
        <v>0</v>
      </c>
      <c r="E212" s="1">
        <v>0</v>
      </c>
      <c r="F212" t="str">
        <f t="shared" si="4"/>
        <v>00</v>
      </c>
    </row>
    <row r="213" spans="1:6" x14ac:dyDescent="0.45">
      <c r="A213">
        <v>212</v>
      </c>
      <c r="B213">
        <v>29.9</v>
      </c>
      <c r="C213">
        <v>2</v>
      </c>
      <c r="D213" s="1" t="s">
        <v>5</v>
      </c>
      <c r="E213" s="1">
        <v>1</v>
      </c>
      <c r="F213" t="str">
        <f t="shared" si="4"/>
        <v>C1</v>
      </c>
    </row>
    <row r="214" spans="1:6" x14ac:dyDescent="0.45">
      <c r="A214">
        <v>213</v>
      </c>
      <c r="B214">
        <v>28.8</v>
      </c>
      <c r="C214">
        <v>4</v>
      </c>
      <c r="D214" s="1" t="s">
        <v>5</v>
      </c>
      <c r="E214" s="1">
        <v>1</v>
      </c>
      <c r="F214" t="str">
        <f t="shared" si="4"/>
        <v>C1</v>
      </c>
    </row>
    <row r="215" spans="1:6" x14ac:dyDescent="0.45">
      <c r="A215">
        <v>214</v>
      </c>
      <c r="B215">
        <v>26.2</v>
      </c>
      <c r="C215">
        <v>2</v>
      </c>
      <c r="D215" s="1" t="s">
        <v>5</v>
      </c>
      <c r="E215" s="1">
        <v>1</v>
      </c>
      <c r="F215" t="str">
        <f t="shared" si="4"/>
        <v>C1</v>
      </c>
    </row>
    <row r="216" spans="1:6" x14ac:dyDescent="0.45">
      <c r="A216">
        <v>215</v>
      </c>
      <c r="B216">
        <v>23.1</v>
      </c>
      <c r="C216">
        <v>11</v>
      </c>
      <c r="D216" s="1" t="s">
        <v>5</v>
      </c>
      <c r="E216" s="1">
        <v>1</v>
      </c>
      <c r="F216" t="str">
        <f t="shared" si="4"/>
        <v>C1</v>
      </c>
    </row>
    <row r="217" spans="1:6" x14ac:dyDescent="0.45">
      <c r="A217">
        <v>216</v>
      </c>
      <c r="B217">
        <v>20.3</v>
      </c>
      <c r="C217">
        <v>1</v>
      </c>
      <c r="D217" s="1" t="s">
        <v>5</v>
      </c>
      <c r="E217" s="1">
        <v>2</v>
      </c>
      <c r="F217" t="str">
        <f t="shared" si="4"/>
        <v>C2</v>
      </c>
    </row>
    <row r="218" spans="1:6" x14ac:dyDescent="0.45">
      <c r="A218">
        <v>217</v>
      </c>
      <c r="B218">
        <v>18.5</v>
      </c>
      <c r="C218">
        <v>7</v>
      </c>
      <c r="D218" s="1" t="s">
        <v>5</v>
      </c>
      <c r="E218" s="1">
        <v>2</v>
      </c>
      <c r="F218" t="str">
        <f t="shared" si="4"/>
        <v>C2</v>
      </c>
    </row>
    <row r="219" spans="1:6" x14ac:dyDescent="0.45">
      <c r="A219">
        <v>218</v>
      </c>
      <c r="B219">
        <v>18.2</v>
      </c>
      <c r="C219">
        <v>10</v>
      </c>
      <c r="D219" s="1" t="s">
        <v>5</v>
      </c>
      <c r="E219" s="1">
        <v>3</v>
      </c>
      <c r="F219" t="str">
        <f t="shared" si="4"/>
        <v>C3</v>
      </c>
    </row>
    <row r="220" spans="1:6" x14ac:dyDescent="0.45">
      <c r="A220">
        <v>219</v>
      </c>
      <c r="B220">
        <v>19.100000000000001</v>
      </c>
      <c r="C220">
        <v>10</v>
      </c>
      <c r="D220" s="1" t="s">
        <v>5</v>
      </c>
      <c r="E220" s="1">
        <v>3</v>
      </c>
      <c r="F220" t="str">
        <f t="shared" si="4"/>
        <v>C3</v>
      </c>
    </row>
    <row r="221" spans="1:6" x14ac:dyDescent="0.45">
      <c r="A221">
        <v>220</v>
      </c>
      <c r="B221">
        <v>20.9</v>
      </c>
      <c r="C221">
        <v>1</v>
      </c>
      <c r="D221" s="1" t="s">
        <v>5</v>
      </c>
      <c r="E221" s="1">
        <v>3</v>
      </c>
      <c r="F221" t="str">
        <f t="shared" si="4"/>
        <v>C3</v>
      </c>
    </row>
    <row r="222" spans="1:6" x14ac:dyDescent="0.45">
      <c r="A222">
        <v>221</v>
      </c>
      <c r="B222">
        <v>22.5</v>
      </c>
      <c r="C222">
        <v>4</v>
      </c>
      <c r="D222" s="1" t="s">
        <v>5</v>
      </c>
      <c r="E222" s="1">
        <v>4</v>
      </c>
      <c r="F222" t="str">
        <f t="shared" si="4"/>
        <v>C4</v>
      </c>
    </row>
    <row r="223" spans="1:6" x14ac:dyDescent="0.45">
      <c r="A223">
        <v>222</v>
      </c>
      <c r="B223">
        <v>23.2</v>
      </c>
      <c r="C223">
        <v>12</v>
      </c>
      <c r="D223" s="1" t="s">
        <v>5</v>
      </c>
      <c r="E223" s="1">
        <v>4</v>
      </c>
      <c r="F223" t="str">
        <f t="shared" si="4"/>
        <v>C4</v>
      </c>
    </row>
    <row r="224" spans="1:6" x14ac:dyDescent="0.45">
      <c r="A224">
        <v>223</v>
      </c>
      <c r="B224">
        <v>22.4</v>
      </c>
      <c r="C224">
        <v>7</v>
      </c>
      <c r="D224" s="1" t="s">
        <v>5</v>
      </c>
      <c r="E224" s="1">
        <v>4</v>
      </c>
      <c r="F224" t="str">
        <f t="shared" si="4"/>
        <v>C4</v>
      </c>
    </row>
    <row r="225" spans="1:6" x14ac:dyDescent="0.45">
      <c r="A225">
        <v>224</v>
      </c>
      <c r="B225">
        <v>20</v>
      </c>
      <c r="C225">
        <v>16</v>
      </c>
      <c r="D225" s="1" t="s">
        <v>5</v>
      </c>
      <c r="E225" s="1">
        <v>5</v>
      </c>
      <c r="F225" t="str">
        <f t="shared" si="4"/>
        <v>C5</v>
      </c>
    </row>
    <row r="226" spans="1:6" x14ac:dyDescent="0.45">
      <c r="A226">
        <v>225</v>
      </c>
      <c r="B226">
        <v>16.399999999999999</v>
      </c>
      <c r="C226">
        <v>24</v>
      </c>
      <c r="D226" s="1" t="s">
        <v>5</v>
      </c>
      <c r="E226" s="1">
        <v>5</v>
      </c>
      <c r="F226" t="str">
        <f t="shared" si="4"/>
        <v>C5</v>
      </c>
    </row>
    <row r="227" spans="1:6" x14ac:dyDescent="0.45">
      <c r="A227">
        <v>226</v>
      </c>
      <c r="B227">
        <v>12.3</v>
      </c>
      <c r="C227">
        <v>0</v>
      </c>
      <c r="D227" s="1">
        <v>0</v>
      </c>
      <c r="E227" s="1">
        <v>0</v>
      </c>
      <c r="F227" t="str">
        <f t="shared" si="4"/>
        <v>00</v>
      </c>
    </row>
    <row r="228" spans="1:6" x14ac:dyDescent="0.45">
      <c r="A228">
        <v>227</v>
      </c>
      <c r="B228">
        <v>8.6999999999999993</v>
      </c>
      <c r="C228">
        <v>5</v>
      </c>
      <c r="D228" s="1" t="s">
        <v>6</v>
      </c>
      <c r="E228" s="1">
        <v>1</v>
      </c>
      <c r="F228" t="str">
        <f t="shared" si="4"/>
        <v>S1</v>
      </c>
    </row>
    <row r="229" spans="1:6" x14ac:dyDescent="0.45">
      <c r="A229">
        <v>228</v>
      </c>
      <c r="B229">
        <v>6.4</v>
      </c>
      <c r="C229">
        <v>1</v>
      </c>
      <c r="D229" s="1" t="s">
        <v>6</v>
      </c>
      <c r="E229" s="1">
        <v>1</v>
      </c>
      <c r="F229" t="str">
        <f t="shared" si="4"/>
        <v>S1</v>
      </c>
    </row>
    <row r="230" spans="1:6" x14ac:dyDescent="0.45">
      <c r="A230">
        <v>229</v>
      </c>
      <c r="B230">
        <v>5.6</v>
      </c>
      <c r="C230">
        <v>6</v>
      </c>
      <c r="D230" s="1" t="s">
        <v>6</v>
      </c>
      <c r="E230" s="1">
        <v>1</v>
      </c>
      <c r="F230" t="str">
        <f t="shared" si="4"/>
        <v>S1</v>
      </c>
    </row>
    <row r="231" spans="1:6" x14ac:dyDescent="0.45">
      <c r="A231">
        <v>230</v>
      </c>
      <c r="B231">
        <v>6.4</v>
      </c>
      <c r="C231">
        <v>12</v>
      </c>
      <c r="D231" s="1" t="s">
        <v>6</v>
      </c>
      <c r="E231" s="1">
        <v>2</v>
      </c>
      <c r="F231" t="str">
        <f t="shared" si="4"/>
        <v>S2</v>
      </c>
    </row>
    <row r="232" spans="1:6" x14ac:dyDescent="0.45">
      <c r="A232">
        <v>231</v>
      </c>
      <c r="B232">
        <v>8.1999999999999993</v>
      </c>
      <c r="C232">
        <v>3</v>
      </c>
      <c r="D232" s="1" t="s">
        <v>6</v>
      </c>
      <c r="E232" s="1">
        <v>2</v>
      </c>
      <c r="F232" t="str">
        <f t="shared" si="4"/>
        <v>S2</v>
      </c>
    </row>
    <row r="233" spans="1:6" x14ac:dyDescent="0.45">
      <c r="A233">
        <v>232</v>
      </c>
      <c r="B233">
        <v>10</v>
      </c>
      <c r="C233">
        <v>12</v>
      </c>
      <c r="D233" s="1" t="s">
        <v>6</v>
      </c>
      <c r="E233" s="1">
        <v>2</v>
      </c>
      <c r="F233" t="str">
        <f t="shared" si="4"/>
        <v>S2</v>
      </c>
    </row>
    <row r="234" spans="1:6" x14ac:dyDescent="0.45">
      <c r="A234">
        <v>233</v>
      </c>
      <c r="B234">
        <v>11.1</v>
      </c>
      <c r="C234">
        <v>17</v>
      </c>
      <c r="D234" s="1" t="s">
        <v>6</v>
      </c>
      <c r="E234" s="1">
        <v>3</v>
      </c>
      <c r="F234" t="str">
        <f t="shared" si="4"/>
        <v>S3</v>
      </c>
    </row>
    <row r="235" spans="1:6" x14ac:dyDescent="0.45">
      <c r="A235">
        <v>234</v>
      </c>
      <c r="B235">
        <v>10.9</v>
      </c>
      <c r="C235">
        <v>16</v>
      </c>
      <c r="D235" s="1" t="s">
        <v>6</v>
      </c>
      <c r="E235" s="1">
        <v>3</v>
      </c>
      <c r="F235" t="str">
        <f t="shared" si="4"/>
        <v>S3</v>
      </c>
    </row>
    <row r="236" spans="1:6" x14ac:dyDescent="0.45">
      <c r="A236">
        <v>235</v>
      </c>
      <c r="B236">
        <v>9.3000000000000007</v>
      </c>
      <c r="C236">
        <v>3</v>
      </c>
      <c r="D236" s="1" t="s">
        <v>6</v>
      </c>
      <c r="E236" s="1">
        <v>3</v>
      </c>
      <c r="F236" t="str">
        <f t="shared" si="4"/>
        <v>S3</v>
      </c>
    </row>
    <row r="237" spans="1:6" x14ac:dyDescent="0.45">
      <c r="A237">
        <v>236</v>
      </c>
      <c r="B237">
        <v>6.6</v>
      </c>
      <c r="C237">
        <v>21</v>
      </c>
      <c r="D237" s="1" t="s">
        <v>6</v>
      </c>
      <c r="E237" s="1">
        <v>4</v>
      </c>
      <c r="F237" t="str">
        <f t="shared" si="4"/>
        <v>S4</v>
      </c>
    </row>
    <row r="238" spans="1:6" x14ac:dyDescent="0.45">
      <c r="A238">
        <v>237</v>
      </c>
      <c r="B238">
        <v>3.6</v>
      </c>
      <c r="C238">
        <v>18</v>
      </c>
      <c r="D238" s="1" t="s">
        <v>6</v>
      </c>
      <c r="E238" s="1">
        <v>4</v>
      </c>
      <c r="F238" t="str">
        <f t="shared" si="4"/>
        <v>S4</v>
      </c>
    </row>
    <row r="239" spans="1:6" x14ac:dyDescent="0.45">
      <c r="A239">
        <v>238</v>
      </c>
      <c r="B239">
        <v>1.2</v>
      </c>
      <c r="C239">
        <v>13</v>
      </c>
      <c r="D239" s="1" t="s">
        <v>6</v>
      </c>
      <c r="E239" s="1">
        <v>4</v>
      </c>
      <c r="F239" t="str">
        <f t="shared" si="4"/>
        <v>S4</v>
      </c>
    </row>
    <row r="240" spans="1:6" x14ac:dyDescent="0.45">
      <c r="A240">
        <v>239</v>
      </c>
      <c r="B240">
        <v>0.2</v>
      </c>
      <c r="C240">
        <v>29</v>
      </c>
      <c r="D240" s="1" t="s">
        <v>6</v>
      </c>
      <c r="E240" s="1">
        <v>5</v>
      </c>
      <c r="F240" t="str">
        <f t="shared" si="4"/>
        <v>S5</v>
      </c>
    </row>
    <row r="241" spans="1:6" x14ac:dyDescent="0.45">
      <c r="A241">
        <v>240</v>
      </c>
      <c r="B241">
        <v>0.9</v>
      </c>
      <c r="C241">
        <v>0</v>
      </c>
      <c r="D241" s="1">
        <v>0</v>
      </c>
      <c r="E241" s="1">
        <v>0</v>
      </c>
      <c r="F241" t="str">
        <f t="shared" si="4"/>
        <v>00</v>
      </c>
    </row>
    <row r="242" spans="1:6" x14ac:dyDescent="0.45">
      <c r="A242">
        <v>241</v>
      </c>
      <c r="B242">
        <v>3.2</v>
      </c>
      <c r="C242">
        <v>6</v>
      </c>
      <c r="D242" s="1" t="s">
        <v>6</v>
      </c>
      <c r="E242" s="1">
        <v>1</v>
      </c>
      <c r="F242" t="str">
        <f t="shared" si="4"/>
        <v>S1</v>
      </c>
    </row>
    <row r="243" spans="1:6" x14ac:dyDescent="0.45">
      <c r="A243">
        <v>242</v>
      </c>
      <c r="B243">
        <v>6.6</v>
      </c>
      <c r="C243">
        <v>5</v>
      </c>
      <c r="D243" s="1" t="s">
        <v>6</v>
      </c>
      <c r="E243" s="1">
        <v>1</v>
      </c>
      <c r="F243" t="str">
        <f t="shared" si="4"/>
        <v>S1</v>
      </c>
    </row>
    <row r="244" spans="1:6" x14ac:dyDescent="0.45">
      <c r="A244">
        <v>243</v>
      </c>
      <c r="B244">
        <v>10</v>
      </c>
      <c r="C244">
        <v>2</v>
      </c>
      <c r="D244" s="1" t="s">
        <v>6</v>
      </c>
      <c r="E244" s="1">
        <v>1</v>
      </c>
      <c r="F244" t="str">
        <f t="shared" si="4"/>
        <v>S1</v>
      </c>
    </row>
    <row r="245" spans="1:6" x14ac:dyDescent="0.45">
      <c r="A245">
        <v>244</v>
      </c>
      <c r="B245">
        <v>12.7</v>
      </c>
      <c r="C245">
        <v>8</v>
      </c>
      <c r="D245" s="1" t="s">
        <v>6</v>
      </c>
      <c r="E245" s="1">
        <v>2</v>
      </c>
      <c r="F245" t="str">
        <f t="shared" si="4"/>
        <v>S2</v>
      </c>
    </row>
    <row r="246" spans="1:6" x14ac:dyDescent="0.45">
      <c r="A246">
        <v>245</v>
      </c>
      <c r="B246">
        <v>14.1</v>
      </c>
      <c r="C246">
        <v>1</v>
      </c>
      <c r="D246" s="1" t="s">
        <v>6</v>
      </c>
      <c r="E246" s="1">
        <v>2</v>
      </c>
      <c r="F246" t="str">
        <f t="shared" si="4"/>
        <v>S2</v>
      </c>
    </row>
    <row r="247" spans="1:6" x14ac:dyDescent="0.45">
      <c r="A247">
        <v>246</v>
      </c>
      <c r="B247">
        <v>14</v>
      </c>
      <c r="C247">
        <v>11</v>
      </c>
      <c r="D247" s="1" t="s">
        <v>6</v>
      </c>
      <c r="E247" s="1">
        <v>2</v>
      </c>
      <c r="F247" t="str">
        <f t="shared" si="4"/>
        <v>S2</v>
      </c>
    </row>
    <row r="248" spans="1:6" x14ac:dyDescent="0.45">
      <c r="A248">
        <v>247</v>
      </c>
      <c r="B248">
        <v>12.7</v>
      </c>
      <c r="C248">
        <v>13</v>
      </c>
      <c r="D248" s="1" t="s">
        <v>6</v>
      </c>
      <c r="E248" s="1">
        <v>3</v>
      </c>
      <c r="F248" t="str">
        <f t="shared" si="4"/>
        <v>S3</v>
      </c>
    </row>
    <row r="249" spans="1:6" x14ac:dyDescent="0.45">
      <c r="A249">
        <v>248</v>
      </c>
      <c r="B249">
        <v>11.1</v>
      </c>
      <c r="C249">
        <v>18</v>
      </c>
      <c r="D249" s="1" t="s">
        <v>6</v>
      </c>
      <c r="E249" s="1">
        <v>3</v>
      </c>
      <c r="F249" t="str">
        <f t="shared" si="4"/>
        <v>S3</v>
      </c>
    </row>
    <row r="250" spans="1:6" x14ac:dyDescent="0.45">
      <c r="A250">
        <v>249</v>
      </c>
      <c r="B250">
        <v>10</v>
      </c>
      <c r="C250">
        <v>15</v>
      </c>
      <c r="D250" s="1" t="s">
        <v>6</v>
      </c>
      <c r="E250" s="1">
        <v>3</v>
      </c>
      <c r="F250" t="str">
        <f t="shared" si="4"/>
        <v>S3</v>
      </c>
    </row>
    <row r="251" spans="1:6" x14ac:dyDescent="0.45">
      <c r="A251">
        <v>250</v>
      </c>
      <c r="B251">
        <v>10.1</v>
      </c>
      <c r="C251">
        <v>12</v>
      </c>
      <c r="D251" s="1" t="s">
        <v>6</v>
      </c>
      <c r="E251" s="1">
        <v>4</v>
      </c>
      <c r="F251" t="str">
        <f t="shared" si="4"/>
        <v>S4</v>
      </c>
    </row>
    <row r="252" spans="1:6" x14ac:dyDescent="0.45">
      <c r="A252">
        <v>251</v>
      </c>
      <c r="B252">
        <v>11.7</v>
      </c>
      <c r="C252">
        <v>2</v>
      </c>
      <c r="D252" s="1" t="s">
        <v>6</v>
      </c>
      <c r="E252" s="1">
        <v>4</v>
      </c>
      <c r="F252" t="str">
        <f t="shared" si="4"/>
        <v>S4</v>
      </c>
    </row>
    <row r="253" spans="1:6" x14ac:dyDescent="0.45">
      <c r="A253">
        <v>252</v>
      </c>
      <c r="B253">
        <v>14.8</v>
      </c>
      <c r="C253">
        <v>21</v>
      </c>
      <c r="D253" s="1" t="s">
        <v>6</v>
      </c>
      <c r="E253" s="1">
        <v>4</v>
      </c>
      <c r="F253" t="str">
        <f t="shared" si="4"/>
        <v>S4</v>
      </c>
    </row>
    <row r="254" spans="1:6" x14ac:dyDescent="0.45">
      <c r="A254">
        <v>253</v>
      </c>
      <c r="B254">
        <v>18.7</v>
      </c>
      <c r="C254">
        <v>28</v>
      </c>
      <c r="D254" s="1" t="s">
        <v>6</v>
      </c>
      <c r="E254" s="1">
        <v>5</v>
      </c>
      <c r="F254" t="str">
        <f t="shared" si="4"/>
        <v>S5</v>
      </c>
    </row>
    <row r="255" spans="1:6" x14ac:dyDescent="0.45">
      <c r="A255">
        <v>254</v>
      </c>
      <c r="B255">
        <v>22.5</v>
      </c>
      <c r="C255">
        <v>0</v>
      </c>
      <c r="D255" s="1">
        <v>0</v>
      </c>
      <c r="E255" s="1">
        <v>0</v>
      </c>
      <c r="F255" t="str">
        <f t="shared" si="4"/>
        <v>00</v>
      </c>
    </row>
    <row r="256" spans="1:6" x14ac:dyDescent="0.45">
      <c r="A256">
        <v>255</v>
      </c>
      <c r="B256">
        <v>25.4</v>
      </c>
      <c r="C256">
        <v>3</v>
      </c>
      <c r="D256" s="1" t="s">
        <v>5</v>
      </c>
      <c r="E256" s="1">
        <v>1</v>
      </c>
      <c r="F256" t="str">
        <f t="shared" si="4"/>
        <v>C1</v>
      </c>
    </row>
    <row r="257" spans="1:6" x14ac:dyDescent="0.45">
      <c r="A257">
        <v>256</v>
      </c>
      <c r="B257">
        <v>26.8</v>
      </c>
      <c r="C257">
        <v>5</v>
      </c>
      <c r="D257" s="1" t="s">
        <v>5</v>
      </c>
      <c r="E257" s="1">
        <v>1</v>
      </c>
      <c r="F257" t="str">
        <f t="shared" si="4"/>
        <v>C1</v>
      </c>
    </row>
    <row r="258" spans="1:6" x14ac:dyDescent="0.45">
      <c r="A258">
        <v>257</v>
      </c>
      <c r="B258">
        <v>26.5</v>
      </c>
      <c r="C258">
        <v>5</v>
      </c>
      <c r="D258" s="1" t="s">
        <v>5</v>
      </c>
      <c r="E258" s="1">
        <v>1</v>
      </c>
      <c r="F258" t="str">
        <f t="shared" si="4"/>
        <v>C1</v>
      </c>
    </row>
    <row r="259" spans="1:6" x14ac:dyDescent="0.45">
      <c r="A259">
        <v>258</v>
      </c>
      <c r="B259">
        <v>24.9</v>
      </c>
      <c r="C259">
        <v>7</v>
      </c>
      <c r="D259" s="1" t="s">
        <v>5</v>
      </c>
      <c r="E259" s="1">
        <v>2</v>
      </c>
      <c r="F259" t="str">
        <f t="shared" si="4"/>
        <v>C2</v>
      </c>
    </row>
    <row r="260" spans="1:6" x14ac:dyDescent="0.45">
      <c r="A260">
        <v>259</v>
      </c>
      <c r="B260">
        <v>22.6</v>
      </c>
      <c r="C260">
        <v>1</v>
      </c>
      <c r="D260" s="1" t="s">
        <v>5</v>
      </c>
      <c r="E260" s="1">
        <v>2</v>
      </c>
      <c r="F260" t="str">
        <f t="shared" ref="F260:F301" si="5">_xlfn.TEXTJOIN(,,D260,E260)</f>
        <v>C2</v>
      </c>
    </row>
    <row r="261" spans="1:6" x14ac:dyDescent="0.45">
      <c r="A261">
        <v>260</v>
      </c>
      <c r="B261">
        <v>20.7</v>
      </c>
      <c r="C261">
        <v>6</v>
      </c>
      <c r="D261" s="1" t="s">
        <v>5</v>
      </c>
      <c r="E261" s="1">
        <v>2</v>
      </c>
      <c r="F261" t="str">
        <f t="shared" si="5"/>
        <v>C2</v>
      </c>
    </row>
    <row r="262" spans="1:6" x14ac:dyDescent="0.45">
      <c r="A262">
        <v>261</v>
      </c>
      <c r="B262">
        <v>19.899999999999999</v>
      </c>
      <c r="C262">
        <v>6</v>
      </c>
      <c r="D262" s="1" t="s">
        <v>5</v>
      </c>
      <c r="E262" s="1">
        <v>3</v>
      </c>
      <c r="F262" t="str">
        <f t="shared" si="5"/>
        <v>C3</v>
      </c>
    </row>
    <row r="263" spans="1:6" x14ac:dyDescent="0.45">
      <c r="A263">
        <v>262</v>
      </c>
      <c r="B263">
        <v>20.399999999999999</v>
      </c>
      <c r="C263">
        <v>10</v>
      </c>
      <c r="D263" s="1" t="s">
        <v>5</v>
      </c>
      <c r="E263" s="1">
        <v>3</v>
      </c>
      <c r="F263" t="str">
        <f t="shared" si="5"/>
        <v>C3</v>
      </c>
    </row>
    <row r="264" spans="1:6" x14ac:dyDescent="0.45">
      <c r="A264">
        <v>263</v>
      </c>
      <c r="B264">
        <v>22.3</v>
      </c>
      <c r="C264">
        <v>16</v>
      </c>
      <c r="D264" s="1" t="s">
        <v>5</v>
      </c>
      <c r="E264" s="1">
        <v>3</v>
      </c>
      <c r="F264" t="str">
        <f t="shared" si="5"/>
        <v>C3</v>
      </c>
    </row>
    <row r="265" spans="1:6" x14ac:dyDescent="0.45">
      <c r="A265">
        <v>264</v>
      </c>
      <c r="B265">
        <v>24.8</v>
      </c>
      <c r="C265">
        <v>9</v>
      </c>
      <c r="D265" s="1" t="s">
        <v>5</v>
      </c>
      <c r="E265" s="1">
        <v>4</v>
      </c>
      <c r="F265" t="str">
        <f t="shared" si="5"/>
        <v>C4</v>
      </c>
    </row>
    <row r="266" spans="1:6" x14ac:dyDescent="0.45">
      <c r="A266">
        <v>265</v>
      </c>
      <c r="B266">
        <v>27.2</v>
      </c>
      <c r="C266">
        <v>18</v>
      </c>
      <c r="D266" s="1" t="s">
        <v>5</v>
      </c>
      <c r="E266" s="1">
        <v>4</v>
      </c>
      <c r="F266" t="str">
        <f t="shared" si="5"/>
        <v>C4</v>
      </c>
    </row>
    <row r="267" spans="1:6" x14ac:dyDescent="0.45">
      <c r="A267">
        <v>266</v>
      </c>
      <c r="B267">
        <v>28.6</v>
      </c>
      <c r="C267">
        <v>4</v>
      </c>
      <c r="D267" s="1" t="s">
        <v>5</v>
      </c>
      <c r="E267" s="1">
        <v>4</v>
      </c>
      <c r="F267" t="str">
        <f t="shared" si="5"/>
        <v>C4</v>
      </c>
    </row>
    <row r="268" spans="1:6" x14ac:dyDescent="0.45">
      <c r="A268">
        <v>267</v>
      </c>
      <c r="B268">
        <v>28.4</v>
      </c>
      <c r="C268">
        <v>22</v>
      </c>
      <c r="D268" s="1" t="s">
        <v>5</v>
      </c>
      <c r="E268" s="1">
        <v>5</v>
      </c>
      <c r="F268" t="str">
        <f t="shared" si="5"/>
        <v>C5</v>
      </c>
    </row>
    <row r="269" spans="1:6" x14ac:dyDescent="0.45">
      <c r="A269">
        <v>268</v>
      </c>
      <c r="B269">
        <v>26.5</v>
      </c>
      <c r="C269">
        <v>0</v>
      </c>
      <c r="D269" s="1">
        <v>0</v>
      </c>
      <c r="E269" s="1">
        <v>0</v>
      </c>
      <c r="F269" t="str">
        <f t="shared" si="5"/>
        <v>00</v>
      </c>
    </row>
    <row r="270" spans="1:6" x14ac:dyDescent="0.45">
      <c r="A270">
        <v>269</v>
      </c>
      <c r="B270">
        <v>23.3</v>
      </c>
      <c r="C270">
        <v>4</v>
      </c>
      <c r="D270" s="1" t="s">
        <v>5</v>
      </c>
      <c r="E270" s="1">
        <v>1</v>
      </c>
      <c r="F270" t="str">
        <f t="shared" si="5"/>
        <v>C1</v>
      </c>
    </row>
    <row r="271" spans="1:6" x14ac:dyDescent="0.45">
      <c r="A271">
        <v>270</v>
      </c>
      <c r="B271">
        <v>19.5</v>
      </c>
      <c r="C271">
        <v>6</v>
      </c>
      <c r="D271" s="1" t="s">
        <v>5</v>
      </c>
      <c r="E271" s="1">
        <v>1</v>
      </c>
      <c r="F271" t="str">
        <f t="shared" si="5"/>
        <v>C1</v>
      </c>
    </row>
    <row r="272" spans="1:6" x14ac:dyDescent="0.45">
      <c r="A272">
        <v>271</v>
      </c>
      <c r="B272">
        <v>16</v>
      </c>
      <c r="C272">
        <v>6</v>
      </c>
      <c r="D272" s="1" t="s">
        <v>5</v>
      </c>
      <c r="E272" s="1">
        <v>1</v>
      </c>
      <c r="F272" t="str">
        <f t="shared" si="5"/>
        <v>C1</v>
      </c>
    </row>
    <row r="273" spans="1:6" x14ac:dyDescent="0.45">
      <c r="A273">
        <v>272</v>
      </c>
      <c r="B273">
        <v>13.7</v>
      </c>
      <c r="C273">
        <v>9</v>
      </c>
      <c r="D273" s="1" t="s">
        <v>5</v>
      </c>
      <c r="E273" s="1">
        <v>2</v>
      </c>
      <c r="F273" t="str">
        <f t="shared" si="5"/>
        <v>C2</v>
      </c>
    </row>
    <row r="274" spans="1:6" x14ac:dyDescent="0.45">
      <c r="A274">
        <v>273</v>
      </c>
      <c r="B274">
        <v>12.9</v>
      </c>
      <c r="C274">
        <v>7</v>
      </c>
      <c r="D274" s="1" t="s">
        <v>5</v>
      </c>
      <c r="E274" s="1">
        <v>2</v>
      </c>
      <c r="F274" t="str">
        <f t="shared" si="5"/>
        <v>C2</v>
      </c>
    </row>
    <row r="275" spans="1:6" x14ac:dyDescent="0.45">
      <c r="A275">
        <v>274</v>
      </c>
      <c r="B275">
        <v>13.5</v>
      </c>
      <c r="C275">
        <v>1</v>
      </c>
      <c r="D275" s="1" t="s">
        <v>5</v>
      </c>
      <c r="E275" s="1">
        <v>2</v>
      </c>
      <c r="F275" t="str">
        <f t="shared" si="5"/>
        <v>C2</v>
      </c>
    </row>
    <row r="276" spans="1:6" x14ac:dyDescent="0.45">
      <c r="A276">
        <v>275</v>
      </c>
      <c r="B276">
        <v>15</v>
      </c>
      <c r="C276">
        <v>18</v>
      </c>
      <c r="D276" s="1" t="s">
        <v>5</v>
      </c>
      <c r="E276" s="1">
        <v>3</v>
      </c>
      <c r="F276" t="str">
        <f t="shared" si="5"/>
        <v>C3</v>
      </c>
    </row>
    <row r="277" spans="1:6" x14ac:dyDescent="0.45">
      <c r="A277">
        <v>276</v>
      </c>
      <c r="B277">
        <v>16.399999999999999</v>
      </c>
      <c r="C277">
        <v>13</v>
      </c>
      <c r="D277" s="1" t="s">
        <v>5</v>
      </c>
      <c r="E277" s="1">
        <v>3</v>
      </c>
      <c r="F277" t="str">
        <f t="shared" si="5"/>
        <v>C3</v>
      </c>
    </row>
    <row r="278" spans="1:6" x14ac:dyDescent="0.45">
      <c r="A278">
        <v>277</v>
      </c>
      <c r="B278">
        <v>17.100000000000001</v>
      </c>
      <c r="C278">
        <v>2</v>
      </c>
      <c r="D278" s="1" t="s">
        <v>5</v>
      </c>
      <c r="E278" s="1">
        <v>3</v>
      </c>
      <c r="F278" t="str">
        <f t="shared" si="5"/>
        <v>C3</v>
      </c>
    </row>
    <row r="279" spans="1:6" x14ac:dyDescent="0.45">
      <c r="A279">
        <v>278</v>
      </c>
      <c r="B279">
        <v>16.3</v>
      </c>
      <c r="C279">
        <v>10</v>
      </c>
      <c r="D279" s="1" t="s">
        <v>5</v>
      </c>
      <c r="E279" s="1">
        <v>4</v>
      </c>
      <c r="F279" t="str">
        <f t="shared" si="5"/>
        <v>C4</v>
      </c>
    </row>
    <row r="280" spans="1:6" x14ac:dyDescent="0.45">
      <c r="A280">
        <v>279</v>
      </c>
      <c r="B280">
        <v>14</v>
      </c>
      <c r="C280">
        <v>6</v>
      </c>
      <c r="D280" s="1" t="s">
        <v>5</v>
      </c>
      <c r="E280" s="1">
        <v>4</v>
      </c>
      <c r="F280" t="str">
        <f t="shared" si="5"/>
        <v>C4</v>
      </c>
    </row>
    <row r="281" spans="1:6" x14ac:dyDescent="0.45">
      <c r="A281">
        <v>280</v>
      </c>
      <c r="B281">
        <v>10.5</v>
      </c>
      <c r="C281">
        <v>20</v>
      </c>
      <c r="D281" s="1" t="s">
        <v>5</v>
      </c>
      <c r="E281" s="1">
        <v>4</v>
      </c>
      <c r="F281" t="str">
        <f t="shared" si="5"/>
        <v>C4</v>
      </c>
    </row>
    <row r="282" spans="1:6" x14ac:dyDescent="0.45">
      <c r="A282">
        <v>281</v>
      </c>
      <c r="B282">
        <v>6.7</v>
      </c>
      <c r="C282">
        <v>17</v>
      </c>
      <c r="D282" s="1" t="s">
        <v>5</v>
      </c>
      <c r="E282" s="1">
        <v>5</v>
      </c>
      <c r="F282" t="str">
        <f t="shared" si="5"/>
        <v>C5</v>
      </c>
    </row>
    <row r="283" spans="1:6" x14ac:dyDescent="0.45">
      <c r="A283">
        <v>282</v>
      </c>
      <c r="B283">
        <v>3.5</v>
      </c>
      <c r="C283">
        <v>13</v>
      </c>
      <c r="D283" s="1" t="s">
        <v>5</v>
      </c>
      <c r="E283" s="1">
        <v>5</v>
      </c>
      <c r="F283" t="str">
        <f t="shared" si="5"/>
        <v>C5</v>
      </c>
    </row>
    <row r="284" spans="1:6" x14ac:dyDescent="0.45">
      <c r="A284">
        <v>283</v>
      </c>
      <c r="B284">
        <v>1.6</v>
      </c>
      <c r="C284">
        <v>18</v>
      </c>
      <c r="D284" s="1" t="s">
        <v>5</v>
      </c>
      <c r="E284" s="1">
        <v>5</v>
      </c>
      <c r="F284" t="str">
        <f t="shared" si="5"/>
        <v>C5</v>
      </c>
    </row>
    <row r="285" spans="1:6" x14ac:dyDescent="0.45">
      <c r="A285">
        <v>284</v>
      </c>
      <c r="B285">
        <v>1.4</v>
      </c>
      <c r="C285">
        <v>20</v>
      </c>
      <c r="D285" s="1" t="s">
        <v>5</v>
      </c>
      <c r="E285" s="1">
        <v>5</v>
      </c>
      <c r="F285" t="str">
        <f t="shared" si="5"/>
        <v>C5</v>
      </c>
    </row>
    <row r="286" spans="1:6" x14ac:dyDescent="0.45">
      <c r="A286">
        <v>285</v>
      </c>
      <c r="B286">
        <v>2.8</v>
      </c>
      <c r="C286">
        <v>0</v>
      </c>
      <c r="D286" s="1">
        <v>0</v>
      </c>
      <c r="E286" s="1">
        <v>0</v>
      </c>
      <c r="F286" t="str">
        <f t="shared" si="5"/>
        <v>00</v>
      </c>
    </row>
    <row r="287" spans="1:6" x14ac:dyDescent="0.45">
      <c r="A287">
        <v>286</v>
      </c>
      <c r="B287">
        <v>5.2</v>
      </c>
      <c r="C287">
        <v>6</v>
      </c>
      <c r="D287" s="1" t="s">
        <v>6</v>
      </c>
      <c r="E287" s="1">
        <v>1</v>
      </c>
      <c r="F287" t="str">
        <f t="shared" si="5"/>
        <v>S1</v>
      </c>
    </row>
    <row r="288" spans="1:6" x14ac:dyDescent="0.45">
      <c r="A288">
        <v>287</v>
      </c>
      <c r="B288">
        <v>7.7</v>
      </c>
      <c r="C288">
        <v>5</v>
      </c>
      <c r="D288" s="1" t="s">
        <v>6</v>
      </c>
      <c r="E288" s="1">
        <v>1</v>
      </c>
      <c r="F288" t="str">
        <f t="shared" si="5"/>
        <v>S1</v>
      </c>
    </row>
    <row r="289" spans="1:6" x14ac:dyDescent="0.45">
      <c r="A289">
        <v>288</v>
      </c>
      <c r="B289">
        <v>9.6</v>
      </c>
      <c r="C289">
        <v>1</v>
      </c>
      <c r="D289" s="1" t="s">
        <v>6</v>
      </c>
      <c r="E289" s="1">
        <v>1</v>
      </c>
      <c r="F289" t="str">
        <f t="shared" si="5"/>
        <v>S1</v>
      </c>
    </row>
    <row r="290" spans="1:6" x14ac:dyDescent="0.45">
      <c r="A290">
        <v>289</v>
      </c>
      <c r="B290">
        <v>10.1</v>
      </c>
      <c r="C290">
        <v>8</v>
      </c>
      <c r="D290" s="1" t="s">
        <v>6</v>
      </c>
      <c r="E290" s="1">
        <v>2</v>
      </c>
      <c r="F290" t="str">
        <f t="shared" si="5"/>
        <v>S2</v>
      </c>
    </row>
    <row r="291" spans="1:6" x14ac:dyDescent="0.45">
      <c r="A291">
        <v>290</v>
      </c>
      <c r="B291">
        <v>9.3000000000000007</v>
      </c>
      <c r="C291">
        <v>3</v>
      </c>
      <c r="D291" s="1" t="s">
        <v>6</v>
      </c>
      <c r="E291" s="1">
        <v>2</v>
      </c>
      <c r="F291" t="str">
        <f t="shared" si="5"/>
        <v>S2</v>
      </c>
    </row>
    <row r="292" spans="1:6" x14ac:dyDescent="0.45">
      <c r="A292">
        <v>291</v>
      </c>
      <c r="B292">
        <v>7.4</v>
      </c>
      <c r="C292">
        <v>5</v>
      </c>
      <c r="D292" s="1" t="s">
        <v>6</v>
      </c>
      <c r="E292" s="1">
        <v>2</v>
      </c>
      <c r="F292" t="str">
        <f t="shared" si="5"/>
        <v>S2</v>
      </c>
    </row>
    <row r="293" spans="1:6" x14ac:dyDescent="0.45">
      <c r="A293">
        <v>292</v>
      </c>
      <c r="B293">
        <v>5.0999999999999996</v>
      </c>
      <c r="C293">
        <v>17</v>
      </c>
      <c r="D293" s="1" t="s">
        <v>6</v>
      </c>
      <c r="E293" s="1">
        <v>3</v>
      </c>
      <c r="F293" t="str">
        <f t="shared" si="5"/>
        <v>S3</v>
      </c>
    </row>
    <row r="294" spans="1:6" x14ac:dyDescent="0.45">
      <c r="A294">
        <v>293</v>
      </c>
      <c r="B294">
        <v>3.5</v>
      </c>
      <c r="C294">
        <v>9</v>
      </c>
      <c r="D294" s="1" t="s">
        <v>6</v>
      </c>
      <c r="E294" s="1">
        <v>3</v>
      </c>
      <c r="F294" t="str">
        <f t="shared" si="5"/>
        <v>S3</v>
      </c>
    </row>
    <row r="295" spans="1:6" x14ac:dyDescent="0.45">
      <c r="A295">
        <v>294</v>
      </c>
      <c r="B295">
        <v>3.2</v>
      </c>
      <c r="C295">
        <v>4</v>
      </c>
      <c r="D295" s="1" t="s">
        <v>6</v>
      </c>
      <c r="E295" s="1">
        <v>3</v>
      </c>
      <c r="F295" t="str">
        <f t="shared" si="5"/>
        <v>S3</v>
      </c>
    </row>
    <row r="296" spans="1:6" x14ac:dyDescent="0.45">
      <c r="A296">
        <v>295</v>
      </c>
      <c r="B296">
        <v>4.5999999999999996</v>
      </c>
      <c r="C296">
        <v>24</v>
      </c>
      <c r="D296" s="1" t="s">
        <v>6</v>
      </c>
      <c r="E296" s="1">
        <v>4</v>
      </c>
      <c r="F296" t="str">
        <f t="shared" si="5"/>
        <v>S4</v>
      </c>
    </row>
    <row r="297" spans="1:6" x14ac:dyDescent="0.45">
      <c r="A297">
        <v>296</v>
      </c>
      <c r="B297">
        <v>7.5</v>
      </c>
      <c r="C297">
        <v>21</v>
      </c>
      <c r="D297" s="1" t="s">
        <v>6</v>
      </c>
      <c r="E297" s="1">
        <v>4</v>
      </c>
      <c r="F297" t="str">
        <f t="shared" si="5"/>
        <v>S4</v>
      </c>
    </row>
    <row r="298" spans="1:6" x14ac:dyDescent="0.45">
      <c r="A298">
        <v>297</v>
      </c>
      <c r="B298">
        <v>11.3</v>
      </c>
      <c r="C298">
        <v>8</v>
      </c>
      <c r="D298" s="1" t="s">
        <v>6</v>
      </c>
      <c r="E298" s="1">
        <v>5</v>
      </c>
      <c r="F298" t="str">
        <f t="shared" si="5"/>
        <v>S5</v>
      </c>
    </row>
    <row r="299" spans="1:6" x14ac:dyDescent="0.45">
      <c r="A299">
        <v>298</v>
      </c>
      <c r="B299">
        <v>15.2</v>
      </c>
      <c r="C299">
        <v>23</v>
      </c>
      <c r="D299" s="1" t="s">
        <v>6</v>
      </c>
      <c r="E299" s="1">
        <v>5</v>
      </c>
      <c r="F299" t="str">
        <f t="shared" si="5"/>
        <v>S5</v>
      </c>
    </row>
    <row r="300" spans="1:6" x14ac:dyDescent="0.45">
      <c r="A300">
        <v>299</v>
      </c>
      <c r="B300">
        <v>18.3</v>
      </c>
      <c r="C300">
        <v>0</v>
      </c>
      <c r="D300" s="1">
        <v>0</v>
      </c>
      <c r="E300" s="1">
        <v>0</v>
      </c>
      <c r="F300" t="str">
        <f t="shared" si="5"/>
        <v>00</v>
      </c>
    </row>
    <row r="301" spans="1:6" x14ac:dyDescent="0.45">
      <c r="A301">
        <v>300</v>
      </c>
      <c r="B301">
        <v>19.899999999999999</v>
      </c>
      <c r="C301">
        <v>5</v>
      </c>
      <c r="D301" s="1" t="s">
        <v>5</v>
      </c>
      <c r="E301" s="1">
        <v>1</v>
      </c>
      <c r="F301" t="str">
        <f t="shared" si="5"/>
        <v>C1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4CB7-31EC-4B6F-A392-2B9B81D0A680}">
  <dimension ref="A1:M501"/>
  <sheetViews>
    <sheetView workbookViewId="0">
      <selection activeCell="O8" sqref="O8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  <col min="7" max="7" width="14.265625" bestFit="1" customWidth="1"/>
    <col min="8" max="8" width="13.73046875" bestFit="1" customWidth="1"/>
    <col min="9" max="9" width="13.73046875" customWidth="1"/>
    <col min="11" max="11" width="10.73046875" bestFit="1" customWidth="1"/>
    <col min="12" max="12" width="12.86328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3</v>
      </c>
      <c r="H1" t="s">
        <v>4</v>
      </c>
      <c r="I1" t="s">
        <v>30</v>
      </c>
      <c r="J1" t="s">
        <v>29</v>
      </c>
      <c r="K1" t="s">
        <v>31</v>
      </c>
      <c r="L1" t="s">
        <v>32</v>
      </c>
      <c r="M1" t="s">
        <v>12</v>
      </c>
    </row>
    <row r="2" spans="1:13" x14ac:dyDescent="0.45">
      <c r="A2">
        <v>1</v>
      </c>
      <c r="B2">
        <v>19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M2" t="str">
        <f>IF(B2&lt;10,"S","C")</f>
        <v>C</v>
      </c>
    </row>
    <row r="3" spans="1:13" x14ac:dyDescent="0.45">
      <c r="A3">
        <v>2</v>
      </c>
      <c r="B3">
        <v>22</v>
      </c>
      <c r="C3">
        <v>1</v>
      </c>
      <c r="D3" t="s">
        <v>5</v>
      </c>
      <c r="E3">
        <v>1</v>
      </c>
      <c r="F3">
        <v>2</v>
      </c>
      <c r="G3" t="str">
        <f>IF(I3=1,0, IF(K3=1,M3,G2))</f>
        <v>C</v>
      </c>
      <c r="H3">
        <f t="shared" ref="H3:H5" si="0">IF(I3=1,0,IF(K3=1,1,IF(MOD(J2,3)=0, IF(H2+1&gt;5,5,H2+1),H2)))</f>
        <v>1</v>
      </c>
      <c r="I3">
        <f>IF(AND(H2=5,C2&gt;=20),1,0)</f>
        <v>0</v>
      </c>
      <c r="J3">
        <f>IF(G3=G2,J2+1,1)</f>
        <v>1</v>
      </c>
      <c r="K3">
        <f>IF(AND(G2=0,H2=0),1,0)</f>
        <v>1</v>
      </c>
      <c r="L3">
        <f>IF(J2=3,1,0)</f>
        <v>0</v>
      </c>
      <c r="M3" t="str">
        <f>IF(B3&lt;10,"S","C")</f>
        <v>C</v>
      </c>
    </row>
    <row r="4" spans="1:13" x14ac:dyDescent="0.45">
      <c r="A4">
        <v>3</v>
      </c>
      <c r="B4">
        <v>23.6</v>
      </c>
      <c r="C4">
        <v>4</v>
      </c>
      <c r="D4" t="s">
        <v>5</v>
      </c>
      <c r="E4">
        <v>1</v>
      </c>
      <c r="F4">
        <v>3</v>
      </c>
      <c r="G4" t="str">
        <f t="shared" ref="G4:G67" si="1">IF(I4=1,0, IF(K4=1,M4,G3))</f>
        <v>C</v>
      </c>
      <c r="H4">
        <f t="shared" si="0"/>
        <v>1</v>
      </c>
      <c r="I4">
        <f t="shared" ref="I4:I67" si="2">IF(AND(H3=5,C3&gt;=20),1,0)</f>
        <v>0</v>
      </c>
      <c r="J4">
        <f t="shared" ref="J4:J67" si="3">IF(G4=G3,J3+1,1)</f>
        <v>2</v>
      </c>
      <c r="K4">
        <f t="shared" ref="K4:K67" si="4">IF(AND(G3=0,H3=0),1,0)</f>
        <v>0</v>
      </c>
      <c r="L4">
        <f t="shared" ref="L4:L67" si="5">IF(J3=3,1,0)</f>
        <v>0</v>
      </c>
      <c r="M4" t="str">
        <f t="shared" ref="M4:M67" si="6">IF(B4&lt;10,"S","C")</f>
        <v>C</v>
      </c>
    </row>
    <row r="5" spans="1:13" x14ac:dyDescent="0.45">
      <c r="A5">
        <v>4</v>
      </c>
      <c r="B5">
        <v>23.6</v>
      </c>
      <c r="C5">
        <v>4</v>
      </c>
      <c r="D5" t="s">
        <v>5</v>
      </c>
      <c r="E5">
        <v>1</v>
      </c>
      <c r="F5">
        <v>4</v>
      </c>
      <c r="G5" t="str">
        <f t="shared" si="1"/>
        <v>C</v>
      </c>
      <c r="H5">
        <f t="shared" si="0"/>
        <v>1</v>
      </c>
      <c r="I5">
        <f t="shared" si="2"/>
        <v>0</v>
      </c>
      <c r="J5">
        <f t="shared" si="3"/>
        <v>3</v>
      </c>
      <c r="K5">
        <f t="shared" si="4"/>
        <v>0</v>
      </c>
      <c r="L5">
        <f t="shared" si="5"/>
        <v>0</v>
      </c>
      <c r="M5" t="str">
        <f t="shared" si="6"/>
        <v>C</v>
      </c>
    </row>
    <row r="6" spans="1:13" x14ac:dyDescent="0.45">
      <c r="A6">
        <v>5</v>
      </c>
      <c r="B6">
        <v>22.3</v>
      </c>
      <c r="C6">
        <v>10</v>
      </c>
      <c r="D6" t="s">
        <v>5</v>
      </c>
      <c r="E6">
        <v>2</v>
      </c>
      <c r="F6">
        <v>5</v>
      </c>
      <c r="G6" t="str">
        <f t="shared" si="1"/>
        <v>C</v>
      </c>
      <c r="H6">
        <f>IF(I6=1,0,IF(K6=1,1,IF(MOD(J5,3)=0, IF(H5+1&gt;5,5,H5+1),H5)))</f>
        <v>2</v>
      </c>
      <c r="I6">
        <f t="shared" si="2"/>
        <v>0</v>
      </c>
      <c r="J6">
        <f t="shared" si="3"/>
        <v>4</v>
      </c>
      <c r="K6">
        <f t="shared" si="4"/>
        <v>0</v>
      </c>
      <c r="L6">
        <f t="shared" si="5"/>
        <v>1</v>
      </c>
      <c r="M6" t="str">
        <f t="shared" si="6"/>
        <v>C</v>
      </c>
    </row>
    <row r="7" spans="1:13" x14ac:dyDescent="0.45">
      <c r="A7">
        <v>6</v>
      </c>
      <c r="B7">
        <v>20.399999999999999</v>
      </c>
      <c r="C7">
        <v>8</v>
      </c>
      <c r="D7" t="s">
        <v>5</v>
      </c>
      <c r="E7">
        <v>2</v>
      </c>
      <c r="F7">
        <v>6</v>
      </c>
      <c r="G7" t="str">
        <f t="shared" si="1"/>
        <v>C</v>
      </c>
      <c r="H7">
        <f t="shared" ref="H7:H70" si="7">IF(I7=1,0,IF(K7=1,1,IF(MOD(J6,3)=0, IF(H6+1&gt;5,5,H6+1),H6)))</f>
        <v>2</v>
      </c>
      <c r="I7">
        <f t="shared" si="2"/>
        <v>0</v>
      </c>
      <c r="J7">
        <f t="shared" si="3"/>
        <v>5</v>
      </c>
      <c r="K7">
        <f t="shared" si="4"/>
        <v>0</v>
      </c>
      <c r="L7">
        <f t="shared" si="5"/>
        <v>0</v>
      </c>
      <c r="M7" t="str">
        <f t="shared" si="6"/>
        <v>C</v>
      </c>
    </row>
    <row r="8" spans="1:13" x14ac:dyDescent="0.45">
      <c r="A8">
        <v>7</v>
      </c>
      <c r="B8">
        <v>18.899999999999999</v>
      </c>
      <c r="C8">
        <v>10</v>
      </c>
      <c r="D8" t="s">
        <v>5</v>
      </c>
      <c r="E8">
        <v>2</v>
      </c>
      <c r="F8">
        <v>7</v>
      </c>
      <c r="G8" t="str">
        <f t="shared" si="1"/>
        <v>C</v>
      </c>
      <c r="H8">
        <f t="shared" si="7"/>
        <v>2</v>
      </c>
      <c r="I8">
        <f t="shared" si="2"/>
        <v>0</v>
      </c>
      <c r="J8">
        <f t="shared" si="3"/>
        <v>6</v>
      </c>
      <c r="K8">
        <f t="shared" si="4"/>
        <v>0</v>
      </c>
      <c r="L8">
        <f t="shared" si="5"/>
        <v>0</v>
      </c>
      <c r="M8" t="str">
        <f t="shared" si="6"/>
        <v>C</v>
      </c>
    </row>
    <row r="9" spans="1:13" x14ac:dyDescent="0.45">
      <c r="A9">
        <v>8</v>
      </c>
      <c r="B9">
        <v>18.5</v>
      </c>
      <c r="C9">
        <v>11</v>
      </c>
      <c r="D9" t="s">
        <v>5</v>
      </c>
      <c r="E9">
        <v>3</v>
      </c>
      <c r="F9">
        <v>8</v>
      </c>
      <c r="G9" t="str">
        <f t="shared" si="1"/>
        <v>C</v>
      </c>
      <c r="H9">
        <f t="shared" si="7"/>
        <v>3</v>
      </c>
      <c r="I9">
        <f t="shared" si="2"/>
        <v>0</v>
      </c>
      <c r="J9">
        <f t="shared" si="3"/>
        <v>7</v>
      </c>
      <c r="K9">
        <f t="shared" si="4"/>
        <v>0</v>
      </c>
      <c r="L9">
        <f t="shared" si="5"/>
        <v>0</v>
      </c>
      <c r="M9" t="str">
        <f t="shared" si="6"/>
        <v>C</v>
      </c>
    </row>
    <row r="10" spans="1:13" x14ac:dyDescent="0.45">
      <c r="A10">
        <v>9</v>
      </c>
      <c r="B10">
        <v>19.5</v>
      </c>
      <c r="C10">
        <v>14</v>
      </c>
      <c r="D10" t="s">
        <v>5</v>
      </c>
      <c r="E10">
        <v>3</v>
      </c>
      <c r="F10">
        <v>9</v>
      </c>
      <c r="G10" t="str">
        <f t="shared" si="1"/>
        <v>C</v>
      </c>
      <c r="H10">
        <f t="shared" si="7"/>
        <v>3</v>
      </c>
      <c r="I10">
        <f t="shared" si="2"/>
        <v>0</v>
      </c>
      <c r="J10">
        <f t="shared" si="3"/>
        <v>8</v>
      </c>
      <c r="K10">
        <f t="shared" si="4"/>
        <v>0</v>
      </c>
      <c r="L10">
        <f t="shared" si="5"/>
        <v>0</v>
      </c>
      <c r="M10" t="str">
        <f t="shared" si="6"/>
        <v>C</v>
      </c>
    </row>
    <row r="11" spans="1:13" x14ac:dyDescent="0.45">
      <c r="A11">
        <v>10</v>
      </c>
      <c r="B11">
        <v>21.8</v>
      </c>
      <c r="C11">
        <v>15</v>
      </c>
      <c r="D11" t="s">
        <v>5</v>
      </c>
      <c r="E11">
        <v>3</v>
      </c>
      <c r="F11">
        <v>10</v>
      </c>
      <c r="G11" t="str">
        <f t="shared" si="1"/>
        <v>C</v>
      </c>
      <c r="H11">
        <f t="shared" si="7"/>
        <v>3</v>
      </c>
      <c r="I11">
        <f t="shared" si="2"/>
        <v>0</v>
      </c>
      <c r="J11">
        <f t="shared" si="3"/>
        <v>9</v>
      </c>
      <c r="K11">
        <f t="shared" si="4"/>
        <v>0</v>
      </c>
      <c r="L11">
        <f t="shared" si="5"/>
        <v>0</v>
      </c>
      <c r="M11" t="str">
        <f t="shared" si="6"/>
        <v>C</v>
      </c>
    </row>
    <row r="12" spans="1:13" x14ac:dyDescent="0.45">
      <c r="A12">
        <v>11</v>
      </c>
      <c r="B12">
        <v>24.8</v>
      </c>
      <c r="C12">
        <v>3</v>
      </c>
      <c r="D12" t="s">
        <v>5</v>
      </c>
      <c r="E12">
        <v>4</v>
      </c>
      <c r="F12">
        <v>11</v>
      </c>
      <c r="G12" t="str">
        <f t="shared" si="1"/>
        <v>C</v>
      </c>
      <c r="H12">
        <f t="shared" si="7"/>
        <v>4</v>
      </c>
      <c r="I12">
        <f t="shared" si="2"/>
        <v>0</v>
      </c>
      <c r="J12">
        <f t="shared" si="3"/>
        <v>10</v>
      </c>
      <c r="K12">
        <f t="shared" si="4"/>
        <v>0</v>
      </c>
      <c r="L12">
        <f t="shared" si="5"/>
        <v>0</v>
      </c>
      <c r="M12" t="str">
        <f t="shared" si="6"/>
        <v>C</v>
      </c>
    </row>
    <row r="13" spans="1:13" x14ac:dyDescent="0.45">
      <c r="A13">
        <v>12</v>
      </c>
      <c r="B13">
        <v>27.7</v>
      </c>
      <c r="C13">
        <v>23</v>
      </c>
      <c r="D13" t="s">
        <v>5</v>
      </c>
      <c r="E13">
        <v>4</v>
      </c>
      <c r="F13">
        <v>12</v>
      </c>
      <c r="G13" t="str">
        <f t="shared" si="1"/>
        <v>C</v>
      </c>
      <c r="H13">
        <f t="shared" si="7"/>
        <v>4</v>
      </c>
      <c r="I13">
        <f t="shared" si="2"/>
        <v>0</v>
      </c>
      <c r="J13">
        <f t="shared" si="3"/>
        <v>11</v>
      </c>
      <c r="K13">
        <f t="shared" si="4"/>
        <v>0</v>
      </c>
      <c r="L13">
        <f t="shared" si="5"/>
        <v>0</v>
      </c>
      <c r="M13" t="str">
        <f t="shared" si="6"/>
        <v>C</v>
      </c>
    </row>
    <row r="14" spans="1:13" x14ac:dyDescent="0.45">
      <c r="A14">
        <v>13</v>
      </c>
      <c r="B14">
        <v>29.5</v>
      </c>
      <c r="C14">
        <v>17</v>
      </c>
      <c r="D14" t="s">
        <v>5</v>
      </c>
      <c r="E14">
        <v>4</v>
      </c>
      <c r="F14">
        <v>13</v>
      </c>
      <c r="G14" t="str">
        <f t="shared" si="1"/>
        <v>C</v>
      </c>
      <c r="H14">
        <f t="shared" si="7"/>
        <v>4</v>
      </c>
      <c r="I14">
        <f t="shared" si="2"/>
        <v>0</v>
      </c>
      <c r="J14">
        <f t="shared" si="3"/>
        <v>12</v>
      </c>
      <c r="K14">
        <f t="shared" si="4"/>
        <v>0</v>
      </c>
      <c r="L14">
        <f t="shared" si="5"/>
        <v>0</v>
      </c>
      <c r="M14" t="str">
        <f t="shared" si="6"/>
        <v>C</v>
      </c>
    </row>
    <row r="15" spans="1:13" x14ac:dyDescent="0.45">
      <c r="A15">
        <v>14</v>
      </c>
      <c r="B15">
        <v>29.8</v>
      </c>
      <c r="C15">
        <v>15</v>
      </c>
      <c r="D15" t="s">
        <v>5</v>
      </c>
      <c r="E15">
        <v>5</v>
      </c>
      <c r="F15">
        <v>14</v>
      </c>
      <c r="G15" t="str">
        <f t="shared" si="1"/>
        <v>C</v>
      </c>
      <c r="H15">
        <f t="shared" si="7"/>
        <v>5</v>
      </c>
      <c r="I15">
        <f t="shared" si="2"/>
        <v>0</v>
      </c>
      <c r="J15">
        <f t="shared" si="3"/>
        <v>13</v>
      </c>
      <c r="K15">
        <f t="shared" si="4"/>
        <v>0</v>
      </c>
      <c r="L15">
        <f t="shared" si="5"/>
        <v>0</v>
      </c>
      <c r="M15" t="str">
        <f t="shared" si="6"/>
        <v>C</v>
      </c>
    </row>
    <row r="16" spans="1:13" x14ac:dyDescent="0.45">
      <c r="A16">
        <v>15</v>
      </c>
      <c r="B16">
        <v>28.3</v>
      </c>
      <c r="C16">
        <v>22</v>
      </c>
      <c r="D16" t="s">
        <v>5</v>
      </c>
      <c r="E16">
        <v>5</v>
      </c>
      <c r="F16">
        <v>15</v>
      </c>
      <c r="G16" t="str">
        <f t="shared" si="1"/>
        <v>C</v>
      </c>
      <c r="H16">
        <f t="shared" si="7"/>
        <v>5</v>
      </c>
      <c r="I16">
        <f t="shared" si="2"/>
        <v>0</v>
      </c>
      <c r="J16">
        <f t="shared" si="3"/>
        <v>14</v>
      </c>
      <c r="K16">
        <f t="shared" si="4"/>
        <v>0</v>
      </c>
      <c r="L16">
        <f t="shared" si="5"/>
        <v>0</v>
      </c>
      <c r="M16" t="str">
        <f t="shared" si="6"/>
        <v>C</v>
      </c>
    </row>
    <row r="17" spans="1:13" x14ac:dyDescent="0.45">
      <c r="A17">
        <v>16</v>
      </c>
      <c r="B17">
        <v>25.5</v>
      </c>
      <c r="C17">
        <v>0</v>
      </c>
      <c r="D17">
        <v>0</v>
      </c>
      <c r="E17">
        <v>0</v>
      </c>
      <c r="F17">
        <v>16</v>
      </c>
      <c r="G17">
        <f t="shared" si="1"/>
        <v>0</v>
      </c>
      <c r="H17">
        <f t="shared" si="7"/>
        <v>0</v>
      </c>
      <c r="I17">
        <f t="shared" si="2"/>
        <v>1</v>
      </c>
      <c r="J17">
        <f t="shared" si="3"/>
        <v>1</v>
      </c>
      <c r="K17">
        <f t="shared" si="4"/>
        <v>0</v>
      </c>
      <c r="L17">
        <f t="shared" si="5"/>
        <v>0</v>
      </c>
      <c r="M17" t="str">
        <f t="shared" si="6"/>
        <v>C</v>
      </c>
    </row>
    <row r="18" spans="1:13" x14ac:dyDescent="0.45">
      <c r="A18">
        <v>17</v>
      </c>
      <c r="B18">
        <v>22</v>
      </c>
      <c r="C18">
        <v>2</v>
      </c>
      <c r="D18" t="s">
        <v>5</v>
      </c>
      <c r="E18">
        <v>1</v>
      </c>
      <c r="F18">
        <v>17</v>
      </c>
      <c r="G18" t="str">
        <f t="shared" si="1"/>
        <v>C</v>
      </c>
      <c r="H18">
        <f t="shared" si="7"/>
        <v>1</v>
      </c>
      <c r="I18">
        <f t="shared" si="2"/>
        <v>0</v>
      </c>
      <c r="J18">
        <f t="shared" si="3"/>
        <v>1</v>
      </c>
      <c r="K18">
        <f t="shared" si="4"/>
        <v>1</v>
      </c>
      <c r="L18">
        <f t="shared" si="5"/>
        <v>0</v>
      </c>
      <c r="M18" t="str">
        <f t="shared" si="6"/>
        <v>C</v>
      </c>
    </row>
    <row r="19" spans="1:13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v>18</v>
      </c>
      <c r="G19" t="str">
        <f t="shared" si="1"/>
        <v>C</v>
      </c>
      <c r="H19">
        <f t="shared" si="7"/>
        <v>1</v>
      </c>
      <c r="I19">
        <f t="shared" si="2"/>
        <v>0</v>
      </c>
      <c r="J19">
        <f t="shared" si="3"/>
        <v>2</v>
      </c>
      <c r="K19">
        <f t="shared" si="4"/>
        <v>0</v>
      </c>
      <c r="L19">
        <f t="shared" si="5"/>
        <v>0</v>
      </c>
      <c r="M19" t="str">
        <f t="shared" si="6"/>
        <v>C</v>
      </c>
    </row>
    <row r="20" spans="1:13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v>19</v>
      </c>
      <c r="G20" t="str">
        <f t="shared" si="1"/>
        <v>C</v>
      </c>
      <c r="H20">
        <f t="shared" si="7"/>
        <v>1</v>
      </c>
      <c r="I20">
        <f t="shared" si="2"/>
        <v>0</v>
      </c>
      <c r="J20">
        <f t="shared" si="3"/>
        <v>3</v>
      </c>
      <c r="K20">
        <f t="shared" si="4"/>
        <v>0</v>
      </c>
      <c r="L20">
        <f t="shared" si="5"/>
        <v>0</v>
      </c>
      <c r="M20" t="str">
        <f t="shared" si="6"/>
        <v>C</v>
      </c>
    </row>
    <row r="21" spans="1:13" x14ac:dyDescent="0.45">
      <c r="A21">
        <v>20</v>
      </c>
      <c r="B21">
        <v>16.3</v>
      </c>
      <c r="C21">
        <v>12</v>
      </c>
      <c r="D21" t="s">
        <v>5</v>
      </c>
      <c r="E21">
        <v>2</v>
      </c>
      <c r="F21">
        <v>20</v>
      </c>
      <c r="G21" t="str">
        <f t="shared" si="1"/>
        <v>C</v>
      </c>
      <c r="H21">
        <f t="shared" si="7"/>
        <v>2</v>
      </c>
      <c r="I21">
        <f t="shared" si="2"/>
        <v>0</v>
      </c>
      <c r="J21">
        <f t="shared" si="3"/>
        <v>4</v>
      </c>
      <c r="K21">
        <f t="shared" si="4"/>
        <v>0</v>
      </c>
      <c r="L21">
        <f t="shared" si="5"/>
        <v>1</v>
      </c>
      <c r="M21" t="str">
        <f t="shared" si="6"/>
        <v>C</v>
      </c>
    </row>
    <row r="22" spans="1:13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v>21</v>
      </c>
      <c r="G22" t="str">
        <f t="shared" si="1"/>
        <v>C</v>
      </c>
      <c r="H22">
        <f t="shared" si="7"/>
        <v>2</v>
      </c>
      <c r="I22">
        <f t="shared" si="2"/>
        <v>0</v>
      </c>
      <c r="J22">
        <f t="shared" si="3"/>
        <v>5</v>
      </c>
      <c r="K22">
        <f t="shared" si="4"/>
        <v>0</v>
      </c>
      <c r="L22">
        <f t="shared" si="5"/>
        <v>0</v>
      </c>
      <c r="M22" t="str">
        <f t="shared" si="6"/>
        <v>C</v>
      </c>
    </row>
    <row r="23" spans="1:13" x14ac:dyDescent="0.45">
      <c r="A23">
        <v>22</v>
      </c>
      <c r="B23">
        <v>18.7</v>
      </c>
      <c r="C23">
        <v>6</v>
      </c>
      <c r="D23" t="s">
        <v>5</v>
      </c>
      <c r="E23">
        <v>2</v>
      </c>
      <c r="F23">
        <v>22</v>
      </c>
      <c r="G23" t="str">
        <f t="shared" si="1"/>
        <v>C</v>
      </c>
      <c r="H23">
        <f t="shared" si="7"/>
        <v>2</v>
      </c>
      <c r="I23">
        <f t="shared" si="2"/>
        <v>0</v>
      </c>
      <c r="J23">
        <f t="shared" si="3"/>
        <v>6</v>
      </c>
      <c r="K23">
        <f t="shared" si="4"/>
        <v>0</v>
      </c>
      <c r="L23">
        <f t="shared" si="5"/>
        <v>0</v>
      </c>
      <c r="M23" t="str">
        <f t="shared" si="6"/>
        <v>C</v>
      </c>
    </row>
    <row r="24" spans="1:13" x14ac:dyDescent="0.45">
      <c r="A24">
        <v>23</v>
      </c>
      <c r="B24">
        <v>20.2</v>
      </c>
      <c r="C24">
        <v>18</v>
      </c>
      <c r="D24" t="s">
        <v>5</v>
      </c>
      <c r="E24">
        <v>2</v>
      </c>
      <c r="F24">
        <v>23</v>
      </c>
      <c r="G24" t="str">
        <f t="shared" si="1"/>
        <v>C</v>
      </c>
      <c r="H24">
        <f t="shared" si="7"/>
        <v>3</v>
      </c>
      <c r="I24">
        <f t="shared" si="2"/>
        <v>0</v>
      </c>
      <c r="J24">
        <f t="shared" si="3"/>
        <v>7</v>
      </c>
      <c r="K24">
        <f t="shared" si="4"/>
        <v>0</v>
      </c>
      <c r="L24">
        <f t="shared" si="5"/>
        <v>0</v>
      </c>
      <c r="M24" t="str">
        <f t="shared" si="6"/>
        <v>C</v>
      </c>
    </row>
    <row r="25" spans="1:13" x14ac:dyDescent="0.45">
      <c r="A25">
        <v>24</v>
      </c>
      <c r="B25">
        <v>20.8</v>
      </c>
      <c r="C25">
        <v>15</v>
      </c>
      <c r="D25" t="s">
        <v>5</v>
      </c>
      <c r="E25">
        <v>3</v>
      </c>
      <c r="F25">
        <v>24</v>
      </c>
      <c r="G25" t="str">
        <f t="shared" si="1"/>
        <v>C</v>
      </c>
      <c r="H25">
        <f t="shared" si="7"/>
        <v>3</v>
      </c>
      <c r="I25">
        <f t="shared" si="2"/>
        <v>0</v>
      </c>
      <c r="J25">
        <f t="shared" si="3"/>
        <v>8</v>
      </c>
      <c r="K25">
        <f t="shared" si="4"/>
        <v>0</v>
      </c>
      <c r="L25">
        <f t="shared" si="5"/>
        <v>0</v>
      </c>
      <c r="M25" t="str">
        <f t="shared" si="6"/>
        <v>C</v>
      </c>
    </row>
    <row r="26" spans="1:13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v>25</v>
      </c>
      <c r="G26" t="str">
        <f t="shared" si="1"/>
        <v>C</v>
      </c>
      <c r="H26">
        <f t="shared" si="7"/>
        <v>3</v>
      </c>
      <c r="I26">
        <f t="shared" si="2"/>
        <v>0</v>
      </c>
      <c r="J26">
        <f t="shared" si="3"/>
        <v>9</v>
      </c>
      <c r="K26">
        <f t="shared" si="4"/>
        <v>0</v>
      </c>
      <c r="L26">
        <f t="shared" si="5"/>
        <v>0</v>
      </c>
      <c r="M26" t="str">
        <f t="shared" si="6"/>
        <v>C</v>
      </c>
    </row>
    <row r="27" spans="1:13" x14ac:dyDescent="0.45">
      <c r="A27">
        <v>26</v>
      </c>
      <c r="B27">
        <v>17.5</v>
      </c>
      <c r="C27">
        <v>19</v>
      </c>
      <c r="D27" t="s">
        <v>5</v>
      </c>
      <c r="E27">
        <v>4</v>
      </c>
      <c r="F27">
        <v>26</v>
      </c>
      <c r="G27" t="str">
        <f t="shared" si="1"/>
        <v>C</v>
      </c>
      <c r="H27">
        <f t="shared" si="7"/>
        <v>4</v>
      </c>
      <c r="I27">
        <f t="shared" si="2"/>
        <v>0</v>
      </c>
      <c r="J27">
        <f t="shared" si="3"/>
        <v>10</v>
      </c>
      <c r="K27">
        <f t="shared" si="4"/>
        <v>0</v>
      </c>
      <c r="L27">
        <f t="shared" si="5"/>
        <v>0</v>
      </c>
      <c r="M27" t="str">
        <f t="shared" si="6"/>
        <v>C</v>
      </c>
    </row>
    <row r="28" spans="1:13" x14ac:dyDescent="0.45">
      <c r="A28">
        <v>27</v>
      </c>
      <c r="B28">
        <v>13.9</v>
      </c>
      <c r="C28">
        <v>18</v>
      </c>
      <c r="D28" t="s">
        <v>5</v>
      </c>
      <c r="E28">
        <v>4</v>
      </c>
      <c r="F28">
        <v>27</v>
      </c>
      <c r="G28" t="str">
        <f t="shared" si="1"/>
        <v>C</v>
      </c>
      <c r="H28">
        <f t="shared" si="7"/>
        <v>4</v>
      </c>
      <c r="I28">
        <f t="shared" si="2"/>
        <v>0</v>
      </c>
      <c r="J28">
        <f t="shared" si="3"/>
        <v>11</v>
      </c>
      <c r="K28">
        <f t="shared" si="4"/>
        <v>0</v>
      </c>
      <c r="L28">
        <f t="shared" si="5"/>
        <v>0</v>
      </c>
      <c r="M28" t="str">
        <f t="shared" si="6"/>
        <v>C</v>
      </c>
    </row>
    <row r="29" spans="1:13" x14ac:dyDescent="0.45">
      <c r="A29">
        <v>28</v>
      </c>
      <c r="B29">
        <v>9.9</v>
      </c>
      <c r="C29">
        <v>4</v>
      </c>
      <c r="D29" t="s">
        <v>5</v>
      </c>
      <c r="E29">
        <v>4</v>
      </c>
      <c r="F29">
        <v>28</v>
      </c>
      <c r="G29" t="str">
        <f t="shared" si="1"/>
        <v>C</v>
      </c>
      <c r="H29">
        <f t="shared" si="7"/>
        <v>4</v>
      </c>
      <c r="I29">
        <f t="shared" si="2"/>
        <v>0</v>
      </c>
      <c r="J29">
        <f t="shared" si="3"/>
        <v>12</v>
      </c>
      <c r="K29">
        <f t="shared" si="4"/>
        <v>0</v>
      </c>
      <c r="L29">
        <f t="shared" si="5"/>
        <v>0</v>
      </c>
      <c r="M29" t="str">
        <f t="shared" si="6"/>
        <v>S</v>
      </c>
    </row>
    <row r="30" spans="1:13" x14ac:dyDescent="0.45">
      <c r="A30">
        <v>29</v>
      </c>
      <c r="B30">
        <v>6.4</v>
      </c>
      <c r="C30">
        <v>17</v>
      </c>
      <c r="D30" t="s">
        <v>5</v>
      </c>
      <c r="E30">
        <v>5</v>
      </c>
      <c r="F30">
        <v>29</v>
      </c>
      <c r="G30" t="str">
        <f t="shared" si="1"/>
        <v>C</v>
      </c>
      <c r="H30">
        <f t="shared" si="7"/>
        <v>5</v>
      </c>
      <c r="I30">
        <f t="shared" si="2"/>
        <v>0</v>
      </c>
      <c r="J30">
        <f t="shared" si="3"/>
        <v>13</v>
      </c>
      <c r="K30">
        <f t="shared" si="4"/>
        <v>0</v>
      </c>
      <c r="L30">
        <f t="shared" si="5"/>
        <v>0</v>
      </c>
      <c r="M30" t="str">
        <f t="shared" si="6"/>
        <v>S</v>
      </c>
    </row>
    <row r="31" spans="1:13" x14ac:dyDescent="0.45">
      <c r="A31">
        <v>30</v>
      </c>
      <c r="B31">
        <v>4.2</v>
      </c>
      <c r="C31">
        <v>14</v>
      </c>
      <c r="D31" t="s">
        <v>5</v>
      </c>
      <c r="E31">
        <v>5</v>
      </c>
      <c r="F31">
        <v>30</v>
      </c>
      <c r="G31" t="str">
        <f t="shared" si="1"/>
        <v>C</v>
      </c>
      <c r="H31">
        <f t="shared" si="7"/>
        <v>5</v>
      </c>
      <c r="I31">
        <f t="shared" si="2"/>
        <v>0</v>
      </c>
      <c r="J31">
        <f t="shared" si="3"/>
        <v>14</v>
      </c>
      <c r="K31">
        <f t="shared" si="4"/>
        <v>0</v>
      </c>
      <c r="L31">
        <f t="shared" si="5"/>
        <v>0</v>
      </c>
      <c r="M31" t="str">
        <f t="shared" si="6"/>
        <v>S</v>
      </c>
    </row>
    <row r="32" spans="1:13" x14ac:dyDescent="0.45">
      <c r="A32">
        <v>31</v>
      </c>
      <c r="B32">
        <v>3.6</v>
      </c>
      <c r="C32">
        <v>12</v>
      </c>
      <c r="D32" t="s">
        <v>5</v>
      </c>
      <c r="E32">
        <v>5</v>
      </c>
      <c r="F32">
        <v>31</v>
      </c>
      <c r="G32" t="str">
        <f t="shared" si="1"/>
        <v>C</v>
      </c>
      <c r="H32">
        <f t="shared" si="7"/>
        <v>5</v>
      </c>
      <c r="I32">
        <f t="shared" si="2"/>
        <v>0</v>
      </c>
      <c r="J32">
        <f t="shared" si="3"/>
        <v>15</v>
      </c>
      <c r="K32">
        <f t="shared" si="4"/>
        <v>0</v>
      </c>
      <c r="L32">
        <f t="shared" si="5"/>
        <v>0</v>
      </c>
      <c r="M32" t="str">
        <f t="shared" si="6"/>
        <v>S</v>
      </c>
    </row>
    <row r="33" spans="1:13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v>32</v>
      </c>
      <c r="G33" t="str">
        <f t="shared" si="1"/>
        <v>C</v>
      </c>
      <c r="H33">
        <f t="shared" si="7"/>
        <v>5</v>
      </c>
      <c r="I33">
        <f t="shared" si="2"/>
        <v>0</v>
      </c>
      <c r="J33">
        <f t="shared" si="3"/>
        <v>16</v>
      </c>
      <c r="K33">
        <f t="shared" si="4"/>
        <v>0</v>
      </c>
      <c r="L33">
        <f t="shared" si="5"/>
        <v>0</v>
      </c>
      <c r="M33" t="str">
        <f t="shared" si="6"/>
        <v>S</v>
      </c>
    </row>
    <row r="34" spans="1:13" x14ac:dyDescent="0.45">
      <c r="A34">
        <v>33</v>
      </c>
      <c r="B34">
        <v>6.6</v>
      </c>
      <c r="C34">
        <v>17</v>
      </c>
      <c r="D34" t="s">
        <v>5</v>
      </c>
      <c r="E34">
        <v>5</v>
      </c>
      <c r="F34">
        <v>33</v>
      </c>
      <c r="G34" t="str">
        <f t="shared" si="1"/>
        <v>C</v>
      </c>
      <c r="H34">
        <f t="shared" si="7"/>
        <v>5</v>
      </c>
      <c r="I34">
        <f t="shared" si="2"/>
        <v>0</v>
      </c>
      <c r="J34">
        <f t="shared" si="3"/>
        <v>17</v>
      </c>
      <c r="K34">
        <f t="shared" si="4"/>
        <v>0</v>
      </c>
      <c r="L34">
        <f t="shared" si="5"/>
        <v>0</v>
      </c>
      <c r="M34" t="str">
        <f t="shared" si="6"/>
        <v>S</v>
      </c>
    </row>
    <row r="35" spans="1:13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v>34</v>
      </c>
      <c r="G35" t="str">
        <f t="shared" si="1"/>
        <v>C</v>
      </c>
      <c r="H35">
        <f t="shared" si="7"/>
        <v>5</v>
      </c>
      <c r="I35">
        <f t="shared" si="2"/>
        <v>0</v>
      </c>
      <c r="J35">
        <f t="shared" si="3"/>
        <v>18</v>
      </c>
      <c r="K35">
        <f t="shared" si="4"/>
        <v>0</v>
      </c>
      <c r="L35">
        <f t="shared" si="5"/>
        <v>0</v>
      </c>
      <c r="M35" t="str">
        <f t="shared" si="6"/>
        <v>S</v>
      </c>
    </row>
    <row r="36" spans="1:13" x14ac:dyDescent="0.45">
      <c r="A36">
        <v>35</v>
      </c>
      <c r="B36">
        <v>10</v>
      </c>
      <c r="C36">
        <v>0</v>
      </c>
      <c r="D36">
        <v>0</v>
      </c>
      <c r="E36">
        <v>0</v>
      </c>
      <c r="F36">
        <v>35</v>
      </c>
      <c r="G36">
        <f t="shared" si="1"/>
        <v>0</v>
      </c>
      <c r="H36">
        <f t="shared" si="7"/>
        <v>0</v>
      </c>
      <c r="I36">
        <f t="shared" si="2"/>
        <v>1</v>
      </c>
      <c r="J36">
        <f t="shared" si="3"/>
        <v>1</v>
      </c>
      <c r="K36">
        <f t="shared" si="4"/>
        <v>0</v>
      </c>
      <c r="L36">
        <f t="shared" si="5"/>
        <v>0</v>
      </c>
      <c r="M36" t="str">
        <f t="shared" si="6"/>
        <v>C</v>
      </c>
    </row>
    <row r="37" spans="1:13" x14ac:dyDescent="0.45">
      <c r="A37">
        <v>36</v>
      </c>
      <c r="B37">
        <v>10.1</v>
      </c>
      <c r="C37">
        <v>3</v>
      </c>
      <c r="D37" t="s">
        <v>5</v>
      </c>
      <c r="E37">
        <v>1</v>
      </c>
      <c r="F37">
        <v>36</v>
      </c>
      <c r="G37" t="str">
        <f t="shared" si="1"/>
        <v>C</v>
      </c>
      <c r="H37">
        <f t="shared" si="7"/>
        <v>1</v>
      </c>
      <c r="I37">
        <f t="shared" si="2"/>
        <v>0</v>
      </c>
      <c r="J37">
        <f t="shared" si="3"/>
        <v>1</v>
      </c>
      <c r="K37">
        <f t="shared" si="4"/>
        <v>1</v>
      </c>
      <c r="L37">
        <f t="shared" si="5"/>
        <v>0</v>
      </c>
      <c r="M37" t="str">
        <f t="shared" si="6"/>
        <v>C</v>
      </c>
    </row>
    <row r="38" spans="1:13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v>37</v>
      </c>
      <c r="G38" t="str">
        <f t="shared" si="1"/>
        <v>C</v>
      </c>
      <c r="H38">
        <f t="shared" si="7"/>
        <v>1</v>
      </c>
      <c r="I38">
        <f t="shared" si="2"/>
        <v>0</v>
      </c>
      <c r="J38">
        <f t="shared" si="3"/>
        <v>2</v>
      </c>
      <c r="K38">
        <f t="shared" si="4"/>
        <v>0</v>
      </c>
      <c r="L38">
        <f t="shared" si="5"/>
        <v>0</v>
      </c>
      <c r="M38" t="str">
        <f t="shared" si="6"/>
        <v>S</v>
      </c>
    </row>
    <row r="39" spans="1:13" x14ac:dyDescent="0.45">
      <c r="A39">
        <v>38</v>
      </c>
      <c r="B39">
        <v>6.4</v>
      </c>
      <c r="C39">
        <v>5</v>
      </c>
      <c r="D39" t="s">
        <v>5</v>
      </c>
      <c r="E39">
        <v>1</v>
      </c>
      <c r="F39">
        <v>38</v>
      </c>
      <c r="G39" t="str">
        <f t="shared" si="1"/>
        <v>C</v>
      </c>
      <c r="H39">
        <f t="shared" si="7"/>
        <v>1</v>
      </c>
      <c r="I39">
        <f t="shared" si="2"/>
        <v>0</v>
      </c>
      <c r="J39">
        <f t="shared" si="3"/>
        <v>3</v>
      </c>
      <c r="K39">
        <f t="shared" si="4"/>
        <v>0</v>
      </c>
      <c r="L39">
        <f t="shared" si="5"/>
        <v>0</v>
      </c>
      <c r="M39" t="str">
        <f t="shared" si="6"/>
        <v>S</v>
      </c>
    </row>
    <row r="40" spans="1:13" x14ac:dyDescent="0.45">
      <c r="A40">
        <v>39</v>
      </c>
      <c r="B40">
        <v>3.8</v>
      </c>
      <c r="C40">
        <v>11</v>
      </c>
      <c r="D40" t="s">
        <v>5</v>
      </c>
      <c r="E40">
        <v>2</v>
      </c>
      <c r="F40">
        <v>39</v>
      </c>
      <c r="G40" t="str">
        <f t="shared" si="1"/>
        <v>C</v>
      </c>
      <c r="H40">
        <f t="shared" si="7"/>
        <v>2</v>
      </c>
      <c r="I40">
        <f t="shared" si="2"/>
        <v>0</v>
      </c>
      <c r="J40">
        <f t="shared" si="3"/>
        <v>4</v>
      </c>
      <c r="K40">
        <f t="shared" si="4"/>
        <v>0</v>
      </c>
      <c r="L40">
        <f t="shared" si="5"/>
        <v>1</v>
      </c>
      <c r="M40" t="str">
        <f t="shared" si="6"/>
        <v>S</v>
      </c>
    </row>
    <row r="41" spans="1:13" x14ac:dyDescent="0.45">
      <c r="A41">
        <v>40</v>
      </c>
      <c r="B41">
        <v>1.7</v>
      </c>
      <c r="C41">
        <v>6</v>
      </c>
      <c r="D41" t="s">
        <v>5</v>
      </c>
      <c r="E41">
        <v>2</v>
      </c>
      <c r="F41">
        <v>40</v>
      </c>
      <c r="G41" t="str">
        <f t="shared" si="1"/>
        <v>C</v>
      </c>
      <c r="H41">
        <f t="shared" si="7"/>
        <v>2</v>
      </c>
      <c r="I41">
        <f t="shared" si="2"/>
        <v>0</v>
      </c>
      <c r="J41">
        <f t="shared" si="3"/>
        <v>5</v>
      </c>
      <c r="K41">
        <f t="shared" si="4"/>
        <v>0</v>
      </c>
      <c r="L41">
        <f t="shared" si="5"/>
        <v>0</v>
      </c>
      <c r="M41" t="str">
        <f t="shared" si="6"/>
        <v>S</v>
      </c>
    </row>
    <row r="42" spans="1:13" x14ac:dyDescent="0.45">
      <c r="A42">
        <v>41</v>
      </c>
      <c r="B42">
        <v>1</v>
      </c>
      <c r="C42">
        <v>3</v>
      </c>
      <c r="D42" t="s">
        <v>5</v>
      </c>
      <c r="E42">
        <v>2</v>
      </c>
      <c r="F42">
        <v>41</v>
      </c>
      <c r="G42" t="str">
        <f t="shared" si="1"/>
        <v>C</v>
      </c>
      <c r="H42">
        <f t="shared" si="7"/>
        <v>2</v>
      </c>
      <c r="I42">
        <f t="shared" si="2"/>
        <v>0</v>
      </c>
      <c r="J42">
        <f t="shared" si="3"/>
        <v>6</v>
      </c>
      <c r="K42">
        <f t="shared" si="4"/>
        <v>0</v>
      </c>
      <c r="L42">
        <f t="shared" si="5"/>
        <v>0</v>
      </c>
      <c r="M42" t="str">
        <f t="shared" si="6"/>
        <v>S</v>
      </c>
    </row>
    <row r="43" spans="1:13" x14ac:dyDescent="0.45">
      <c r="A43">
        <v>42</v>
      </c>
      <c r="B43">
        <v>2</v>
      </c>
      <c r="C43">
        <v>17</v>
      </c>
      <c r="D43" t="s">
        <v>5</v>
      </c>
      <c r="E43">
        <v>3</v>
      </c>
      <c r="F43">
        <v>42</v>
      </c>
      <c r="G43" t="str">
        <f t="shared" si="1"/>
        <v>C</v>
      </c>
      <c r="H43">
        <f t="shared" si="7"/>
        <v>3</v>
      </c>
      <c r="I43">
        <f t="shared" si="2"/>
        <v>0</v>
      </c>
      <c r="J43">
        <f t="shared" si="3"/>
        <v>7</v>
      </c>
      <c r="K43">
        <f t="shared" si="4"/>
        <v>0</v>
      </c>
      <c r="L43">
        <f t="shared" si="5"/>
        <v>0</v>
      </c>
      <c r="M43" t="str">
        <f t="shared" si="6"/>
        <v>S</v>
      </c>
    </row>
    <row r="44" spans="1:13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v>43</v>
      </c>
      <c r="G44" t="str">
        <f t="shared" si="1"/>
        <v>C</v>
      </c>
      <c r="H44">
        <f t="shared" si="7"/>
        <v>3</v>
      </c>
      <c r="I44">
        <f t="shared" si="2"/>
        <v>0</v>
      </c>
      <c r="J44">
        <f t="shared" si="3"/>
        <v>8</v>
      </c>
      <c r="K44">
        <f t="shared" si="4"/>
        <v>0</v>
      </c>
      <c r="L44">
        <f t="shared" si="5"/>
        <v>0</v>
      </c>
      <c r="M44" t="str">
        <f t="shared" si="6"/>
        <v>S</v>
      </c>
    </row>
    <row r="45" spans="1:13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v>44</v>
      </c>
      <c r="G45" t="str">
        <f t="shared" si="1"/>
        <v>C</v>
      </c>
      <c r="H45">
        <f t="shared" si="7"/>
        <v>3</v>
      </c>
      <c r="I45">
        <f t="shared" si="2"/>
        <v>0</v>
      </c>
      <c r="J45">
        <f t="shared" si="3"/>
        <v>9</v>
      </c>
      <c r="K45">
        <f t="shared" si="4"/>
        <v>0</v>
      </c>
      <c r="L45">
        <f t="shared" si="5"/>
        <v>0</v>
      </c>
      <c r="M45" t="str">
        <f t="shared" si="6"/>
        <v>S</v>
      </c>
    </row>
    <row r="46" spans="1:13" x14ac:dyDescent="0.45">
      <c r="A46">
        <v>45</v>
      </c>
      <c r="B46">
        <v>11.8</v>
      </c>
      <c r="C46">
        <v>2</v>
      </c>
      <c r="D46" t="s">
        <v>5</v>
      </c>
      <c r="E46">
        <v>4</v>
      </c>
      <c r="F46">
        <v>45</v>
      </c>
      <c r="G46" t="str">
        <f t="shared" si="1"/>
        <v>C</v>
      </c>
      <c r="H46">
        <f t="shared" si="7"/>
        <v>4</v>
      </c>
      <c r="I46">
        <f t="shared" si="2"/>
        <v>0</v>
      </c>
      <c r="J46">
        <f t="shared" si="3"/>
        <v>10</v>
      </c>
      <c r="K46">
        <f t="shared" si="4"/>
        <v>0</v>
      </c>
      <c r="L46">
        <f t="shared" si="5"/>
        <v>0</v>
      </c>
      <c r="M46" t="str">
        <f t="shared" si="6"/>
        <v>C</v>
      </c>
    </row>
    <row r="47" spans="1:13" x14ac:dyDescent="0.45">
      <c r="A47">
        <v>46</v>
      </c>
      <c r="B47">
        <v>14.7</v>
      </c>
      <c r="C47">
        <v>1</v>
      </c>
      <c r="D47" t="s">
        <v>5</v>
      </c>
      <c r="E47">
        <v>4</v>
      </c>
      <c r="F47">
        <v>46</v>
      </c>
      <c r="G47" t="str">
        <f t="shared" si="1"/>
        <v>C</v>
      </c>
      <c r="H47">
        <f t="shared" si="7"/>
        <v>4</v>
      </c>
      <c r="I47">
        <f t="shared" si="2"/>
        <v>0</v>
      </c>
      <c r="J47">
        <f t="shared" si="3"/>
        <v>11</v>
      </c>
      <c r="K47">
        <f t="shared" si="4"/>
        <v>0</v>
      </c>
      <c r="L47">
        <f t="shared" si="5"/>
        <v>0</v>
      </c>
      <c r="M47" t="str">
        <f t="shared" si="6"/>
        <v>C</v>
      </c>
    </row>
    <row r="48" spans="1:13" x14ac:dyDescent="0.45">
      <c r="A48">
        <v>47</v>
      </c>
      <c r="B48">
        <v>16.3</v>
      </c>
      <c r="C48">
        <v>11</v>
      </c>
      <c r="D48" t="s">
        <v>5</v>
      </c>
      <c r="E48">
        <v>4</v>
      </c>
      <c r="F48">
        <v>47</v>
      </c>
      <c r="G48" t="str">
        <f t="shared" si="1"/>
        <v>C</v>
      </c>
      <c r="H48">
        <f t="shared" si="7"/>
        <v>4</v>
      </c>
      <c r="I48">
        <f t="shared" si="2"/>
        <v>0</v>
      </c>
      <c r="J48">
        <f t="shared" si="3"/>
        <v>12</v>
      </c>
      <c r="K48">
        <f t="shared" si="4"/>
        <v>0</v>
      </c>
      <c r="L48">
        <f t="shared" si="5"/>
        <v>0</v>
      </c>
      <c r="M48" t="str">
        <f t="shared" si="6"/>
        <v>C</v>
      </c>
    </row>
    <row r="49" spans="1:13" x14ac:dyDescent="0.45">
      <c r="A49">
        <v>48</v>
      </c>
      <c r="B49">
        <v>16.3</v>
      </c>
      <c r="C49">
        <v>25</v>
      </c>
      <c r="D49" t="s">
        <v>5</v>
      </c>
      <c r="E49">
        <v>5</v>
      </c>
      <c r="F49">
        <v>48</v>
      </c>
      <c r="G49" t="str">
        <f t="shared" si="1"/>
        <v>C</v>
      </c>
      <c r="H49">
        <f t="shared" si="7"/>
        <v>5</v>
      </c>
      <c r="I49">
        <f t="shared" si="2"/>
        <v>0</v>
      </c>
      <c r="J49">
        <f t="shared" si="3"/>
        <v>13</v>
      </c>
      <c r="K49">
        <f t="shared" si="4"/>
        <v>0</v>
      </c>
      <c r="L49">
        <f t="shared" si="5"/>
        <v>0</v>
      </c>
      <c r="M49" t="str">
        <f t="shared" si="6"/>
        <v>C</v>
      </c>
    </row>
    <row r="50" spans="1:13" x14ac:dyDescent="0.45">
      <c r="A50">
        <v>49</v>
      </c>
      <c r="B50">
        <v>15.2</v>
      </c>
      <c r="C50">
        <v>0</v>
      </c>
      <c r="D50">
        <v>0</v>
      </c>
      <c r="E50">
        <v>0</v>
      </c>
      <c r="F50">
        <v>49</v>
      </c>
      <c r="G50">
        <f t="shared" si="1"/>
        <v>0</v>
      </c>
      <c r="H50">
        <f t="shared" si="7"/>
        <v>0</v>
      </c>
      <c r="I50">
        <f t="shared" si="2"/>
        <v>1</v>
      </c>
      <c r="J50">
        <f t="shared" si="3"/>
        <v>1</v>
      </c>
      <c r="K50">
        <f t="shared" si="4"/>
        <v>0</v>
      </c>
      <c r="L50">
        <f t="shared" si="5"/>
        <v>0</v>
      </c>
      <c r="M50" t="str">
        <f t="shared" si="6"/>
        <v>C</v>
      </c>
    </row>
    <row r="51" spans="1:13" x14ac:dyDescent="0.45">
      <c r="A51">
        <v>50</v>
      </c>
      <c r="B51">
        <v>13.6</v>
      </c>
      <c r="C51">
        <v>2</v>
      </c>
      <c r="D51" t="s">
        <v>5</v>
      </c>
      <c r="E51">
        <v>1</v>
      </c>
      <c r="F51">
        <v>50</v>
      </c>
      <c r="G51" t="str">
        <f t="shared" si="1"/>
        <v>C</v>
      </c>
      <c r="H51">
        <f t="shared" si="7"/>
        <v>1</v>
      </c>
      <c r="I51">
        <f t="shared" si="2"/>
        <v>0</v>
      </c>
      <c r="J51">
        <f t="shared" si="3"/>
        <v>1</v>
      </c>
      <c r="K51">
        <f t="shared" si="4"/>
        <v>1</v>
      </c>
      <c r="L51">
        <f t="shared" si="5"/>
        <v>0</v>
      </c>
      <c r="M51" t="str">
        <f t="shared" si="6"/>
        <v>C</v>
      </c>
    </row>
    <row r="52" spans="1:13" x14ac:dyDescent="0.45">
      <c r="A52">
        <v>51</v>
      </c>
      <c r="B52">
        <v>12.5</v>
      </c>
      <c r="C52">
        <v>3</v>
      </c>
      <c r="D52" t="s">
        <v>5</v>
      </c>
      <c r="E52">
        <v>1</v>
      </c>
      <c r="F52">
        <v>51</v>
      </c>
      <c r="G52" t="str">
        <f t="shared" si="1"/>
        <v>C</v>
      </c>
      <c r="H52">
        <f t="shared" si="7"/>
        <v>1</v>
      </c>
      <c r="I52">
        <f t="shared" si="2"/>
        <v>0</v>
      </c>
      <c r="J52">
        <f t="shared" si="3"/>
        <v>2</v>
      </c>
      <c r="K52">
        <f t="shared" si="4"/>
        <v>0</v>
      </c>
      <c r="L52">
        <f t="shared" si="5"/>
        <v>0</v>
      </c>
      <c r="M52" t="str">
        <f t="shared" si="6"/>
        <v>C</v>
      </c>
    </row>
    <row r="53" spans="1:13" x14ac:dyDescent="0.45">
      <c r="A53">
        <v>52</v>
      </c>
      <c r="B53">
        <v>12.5</v>
      </c>
      <c r="C53">
        <v>2</v>
      </c>
      <c r="D53" t="s">
        <v>5</v>
      </c>
      <c r="E53">
        <v>1</v>
      </c>
      <c r="F53">
        <v>52</v>
      </c>
      <c r="G53" t="str">
        <f t="shared" si="1"/>
        <v>C</v>
      </c>
      <c r="H53">
        <f t="shared" si="7"/>
        <v>1</v>
      </c>
      <c r="I53">
        <f t="shared" si="2"/>
        <v>0</v>
      </c>
      <c r="J53">
        <f t="shared" si="3"/>
        <v>3</v>
      </c>
      <c r="K53">
        <f t="shared" si="4"/>
        <v>0</v>
      </c>
      <c r="L53">
        <f t="shared" si="5"/>
        <v>0</v>
      </c>
      <c r="M53" t="str">
        <f t="shared" si="6"/>
        <v>C</v>
      </c>
    </row>
    <row r="54" spans="1:13" x14ac:dyDescent="0.45">
      <c r="A54">
        <v>53</v>
      </c>
      <c r="B54">
        <v>14.1</v>
      </c>
      <c r="C54">
        <v>4</v>
      </c>
      <c r="D54" t="s">
        <v>5</v>
      </c>
      <c r="E54">
        <v>2</v>
      </c>
      <c r="F54">
        <v>53</v>
      </c>
      <c r="G54" t="str">
        <f t="shared" si="1"/>
        <v>C</v>
      </c>
      <c r="H54">
        <f t="shared" si="7"/>
        <v>2</v>
      </c>
      <c r="I54">
        <f t="shared" si="2"/>
        <v>0</v>
      </c>
      <c r="J54">
        <f t="shared" si="3"/>
        <v>4</v>
      </c>
      <c r="K54">
        <f t="shared" si="4"/>
        <v>0</v>
      </c>
      <c r="L54">
        <f t="shared" si="5"/>
        <v>1</v>
      </c>
      <c r="M54" t="str">
        <f t="shared" si="6"/>
        <v>C</v>
      </c>
    </row>
    <row r="55" spans="1:13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v>54</v>
      </c>
      <c r="G55" t="str">
        <f t="shared" si="1"/>
        <v>C</v>
      </c>
      <c r="H55">
        <f t="shared" si="7"/>
        <v>2</v>
      </c>
      <c r="I55">
        <f t="shared" si="2"/>
        <v>0</v>
      </c>
      <c r="J55">
        <f t="shared" si="3"/>
        <v>5</v>
      </c>
      <c r="K55">
        <f t="shared" si="4"/>
        <v>0</v>
      </c>
      <c r="L55">
        <f t="shared" si="5"/>
        <v>0</v>
      </c>
      <c r="M55" t="str">
        <f t="shared" si="6"/>
        <v>C</v>
      </c>
    </row>
    <row r="56" spans="1:13" x14ac:dyDescent="0.45">
      <c r="A56">
        <v>55</v>
      </c>
      <c r="B56">
        <v>20.9</v>
      </c>
      <c r="C56">
        <v>9</v>
      </c>
      <c r="D56" t="s">
        <v>5</v>
      </c>
      <c r="E56">
        <v>2</v>
      </c>
      <c r="F56">
        <v>55</v>
      </c>
      <c r="G56" t="str">
        <f t="shared" si="1"/>
        <v>C</v>
      </c>
      <c r="H56">
        <f t="shared" si="7"/>
        <v>2</v>
      </c>
      <c r="I56">
        <f t="shared" si="2"/>
        <v>0</v>
      </c>
      <c r="J56">
        <f t="shared" si="3"/>
        <v>6</v>
      </c>
      <c r="K56">
        <f t="shared" si="4"/>
        <v>0</v>
      </c>
      <c r="L56">
        <f t="shared" si="5"/>
        <v>0</v>
      </c>
      <c r="M56" t="str">
        <f t="shared" si="6"/>
        <v>C</v>
      </c>
    </row>
    <row r="57" spans="1:13" x14ac:dyDescent="0.45">
      <c r="A57">
        <v>56</v>
      </c>
      <c r="B57">
        <v>24.5</v>
      </c>
      <c r="C57">
        <v>2</v>
      </c>
      <c r="D57" t="s">
        <v>5</v>
      </c>
      <c r="E57">
        <v>3</v>
      </c>
      <c r="F57">
        <v>56</v>
      </c>
      <c r="G57" t="str">
        <f t="shared" si="1"/>
        <v>C</v>
      </c>
      <c r="H57">
        <f t="shared" si="7"/>
        <v>3</v>
      </c>
      <c r="I57">
        <f t="shared" si="2"/>
        <v>0</v>
      </c>
      <c r="J57">
        <f t="shared" si="3"/>
        <v>7</v>
      </c>
      <c r="K57">
        <f t="shared" si="4"/>
        <v>0</v>
      </c>
      <c r="L57">
        <f t="shared" si="5"/>
        <v>0</v>
      </c>
      <c r="M57" t="str">
        <f t="shared" si="6"/>
        <v>C</v>
      </c>
    </row>
    <row r="58" spans="1:13" x14ac:dyDescent="0.45">
      <c r="A58">
        <v>57</v>
      </c>
      <c r="B58">
        <v>27.3</v>
      </c>
      <c r="C58">
        <v>16</v>
      </c>
      <c r="D58" t="s">
        <v>5</v>
      </c>
      <c r="E58">
        <v>3</v>
      </c>
      <c r="F58">
        <v>57</v>
      </c>
      <c r="G58" t="str">
        <f t="shared" si="1"/>
        <v>C</v>
      </c>
      <c r="H58">
        <f t="shared" si="7"/>
        <v>3</v>
      </c>
      <c r="I58">
        <f t="shared" si="2"/>
        <v>0</v>
      </c>
      <c r="J58">
        <f t="shared" si="3"/>
        <v>8</v>
      </c>
      <c r="K58">
        <f t="shared" si="4"/>
        <v>0</v>
      </c>
      <c r="L58">
        <f t="shared" si="5"/>
        <v>0</v>
      </c>
      <c r="M58" t="str">
        <f t="shared" si="6"/>
        <v>C</v>
      </c>
    </row>
    <row r="59" spans="1:13" x14ac:dyDescent="0.45">
      <c r="A59">
        <v>58</v>
      </c>
      <c r="B59">
        <v>28.4</v>
      </c>
      <c r="C59">
        <v>14</v>
      </c>
      <c r="D59" t="s">
        <v>5</v>
      </c>
      <c r="E59">
        <v>3</v>
      </c>
      <c r="F59">
        <v>58</v>
      </c>
      <c r="G59" t="str">
        <f t="shared" si="1"/>
        <v>C</v>
      </c>
      <c r="H59">
        <f t="shared" si="7"/>
        <v>3</v>
      </c>
      <c r="I59">
        <f t="shared" si="2"/>
        <v>0</v>
      </c>
      <c r="J59">
        <f t="shared" si="3"/>
        <v>9</v>
      </c>
      <c r="K59">
        <f t="shared" si="4"/>
        <v>0</v>
      </c>
      <c r="L59">
        <f t="shared" si="5"/>
        <v>0</v>
      </c>
      <c r="M59" t="str">
        <f t="shared" si="6"/>
        <v>C</v>
      </c>
    </row>
    <row r="60" spans="1:13" x14ac:dyDescent="0.45">
      <c r="A60">
        <v>59</v>
      </c>
      <c r="B60">
        <v>27.8</v>
      </c>
      <c r="C60">
        <v>14</v>
      </c>
      <c r="D60" t="s">
        <v>5</v>
      </c>
      <c r="E60">
        <v>3</v>
      </c>
      <c r="F60">
        <v>59</v>
      </c>
      <c r="G60" t="str">
        <f t="shared" si="1"/>
        <v>C</v>
      </c>
      <c r="H60">
        <f t="shared" si="7"/>
        <v>4</v>
      </c>
      <c r="I60">
        <f t="shared" si="2"/>
        <v>0</v>
      </c>
      <c r="J60">
        <f t="shared" si="3"/>
        <v>10</v>
      </c>
      <c r="K60">
        <f t="shared" si="4"/>
        <v>0</v>
      </c>
      <c r="L60">
        <f t="shared" si="5"/>
        <v>0</v>
      </c>
      <c r="M60" t="str">
        <f t="shared" si="6"/>
        <v>C</v>
      </c>
    </row>
    <row r="61" spans="1:13" x14ac:dyDescent="0.45">
      <c r="A61">
        <v>60</v>
      </c>
      <c r="B61">
        <v>25.9</v>
      </c>
      <c r="C61">
        <v>6</v>
      </c>
      <c r="D61" t="s">
        <v>5</v>
      </c>
      <c r="E61">
        <v>4</v>
      </c>
      <c r="F61">
        <v>60</v>
      </c>
      <c r="G61" t="str">
        <f t="shared" si="1"/>
        <v>C</v>
      </c>
      <c r="H61">
        <f t="shared" si="7"/>
        <v>4</v>
      </c>
      <c r="I61">
        <f t="shared" si="2"/>
        <v>0</v>
      </c>
      <c r="J61">
        <f t="shared" si="3"/>
        <v>11</v>
      </c>
      <c r="K61">
        <f t="shared" si="4"/>
        <v>0</v>
      </c>
      <c r="L61">
        <f t="shared" si="5"/>
        <v>0</v>
      </c>
      <c r="M61" t="str">
        <f t="shared" si="6"/>
        <v>C</v>
      </c>
    </row>
    <row r="62" spans="1:13" x14ac:dyDescent="0.45">
      <c r="A62">
        <v>61</v>
      </c>
      <c r="B62">
        <v>23.4</v>
      </c>
      <c r="C62">
        <v>21</v>
      </c>
      <c r="D62" t="s">
        <v>5</v>
      </c>
      <c r="E62">
        <v>4</v>
      </c>
      <c r="F62">
        <v>61</v>
      </c>
      <c r="G62" t="str">
        <f t="shared" si="1"/>
        <v>C</v>
      </c>
      <c r="H62">
        <f t="shared" si="7"/>
        <v>4</v>
      </c>
      <c r="I62">
        <f t="shared" si="2"/>
        <v>0</v>
      </c>
      <c r="J62">
        <f t="shared" si="3"/>
        <v>12</v>
      </c>
      <c r="K62">
        <f t="shared" si="4"/>
        <v>0</v>
      </c>
      <c r="L62">
        <f t="shared" si="5"/>
        <v>0</v>
      </c>
      <c r="M62" t="str">
        <f t="shared" si="6"/>
        <v>C</v>
      </c>
    </row>
    <row r="63" spans="1:13" x14ac:dyDescent="0.45">
      <c r="A63">
        <v>62</v>
      </c>
      <c r="B63">
        <v>21.2</v>
      </c>
      <c r="C63">
        <v>21</v>
      </c>
      <c r="D63" t="s">
        <v>5</v>
      </c>
      <c r="E63">
        <v>5</v>
      </c>
      <c r="F63">
        <v>62</v>
      </c>
      <c r="G63" t="str">
        <f t="shared" si="1"/>
        <v>C</v>
      </c>
      <c r="H63">
        <f t="shared" si="7"/>
        <v>5</v>
      </c>
      <c r="I63">
        <f t="shared" si="2"/>
        <v>0</v>
      </c>
      <c r="J63">
        <f t="shared" si="3"/>
        <v>13</v>
      </c>
      <c r="K63">
        <f t="shared" si="4"/>
        <v>0</v>
      </c>
      <c r="L63">
        <f t="shared" si="5"/>
        <v>0</v>
      </c>
      <c r="M63" t="str">
        <f t="shared" si="6"/>
        <v>C</v>
      </c>
    </row>
    <row r="64" spans="1:13" x14ac:dyDescent="0.45">
      <c r="A64">
        <v>63</v>
      </c>
      <c r="B64">
        <v>20</v>
      </c>
      <c r="C64">
        <v>0</v>
      </c>
      <c r="D64">
        <v>0</v>
      </c>
      <c r="E64">
        <v>0</v>
      </c>
      <c r="F64">
        <v>63</v>
      </c>
      <c r="G64">
        <f t="shared" si="1"/>
        <v>0</v>
      </c>
      <c r="H64">
        <f t="shared" si="7"/>
        <v>0</v>
      </c>
      <c r="I64">
        <f t="shared" si="2"/>
        <v>1</v>
      </c>
      <c r="J64">
        <f t="shared" si="3"/>
        <v>1</v>
      </c>
      <c r="K64">
        <f t="shared" si="4"/>
        <v>0</v>
      </c>
      <c r="L64">
        <f t="shared" si="5"/>
        <v>0</v>
      </c>
      <c r="M64" t="str">
        <f t="shared" si="6"/>
        <v>C</v>
      </c>
    </row>
    <row r="65" spans="1:13" x14ac:dyDescent="0.45">
      <c r="A65">
        <v>64</v>
      </c>
      <c r="B65">
        <v>20.3</v>
      </c>
      <c r="C65">
        <v>4</v>
      </c>
      <c r="D65" t="s">
        <v>5</v>
      </c>
      <c r="E65">
        <v>1</v>
      </c>
      <c r="F65">
        <v>64</v>
      </c>
      <c r="G65" t="str">
        <f t="shared" si="1"/>
        <v>C</v>
      </c>
      <c r="H65">
        <f t="shared" si="7"/>
        <v>1</v>
      </c>
      <c r="I65">
        <f t="shared" si="2"/>
        <v>0</v>
      </c>
      <c r="J65">
        <f t="shared" si="3"/>
        <v>1</v>
      </c>
      <c r="K65">
        <f t="shared" si="4"/>
        <v>1</v>
      </c>
      <c r="L65">
        <f t="shared" si="5"/>
        <v>0</v>
      </c>
      <c r="M65" t="str">
        <f t="shared" si="6"/>
        <v>C</v>
      </c>
    </row>
    <row r="66" spans="1:13" x14ac:dyDescent="0.45">
      <c r="A66">
        <v>65</v>
      </c>
      <c r="B66">
        <v>21.8</v>
      </c>
      <c r="C66">
        <v>6</v>
      </c>
      <c r="D66" t="s">
        <v>5</v>
      </c>
      <c r="E66">
        <v>1</v>
      </c>
      <c r="F66">
        <v>65</v>
      </c>
      <c r="G66" t="str">
        <f t="shared" si="1"/>
        <v>C</v>
      </c>
      <c r="H66">
        <f t="shared" si="7"/>
        <v>1</v>
      </c>
      <c r="I66">
        <f t="shared" si="2"/>
        <v>0</v>
      </c>
      <c r="J66">
        <f t="shared" si="3"/>
        <v>2</v>
      </c>
      <c r="K66">
        <f t="shared" si="4"/>
        <v>0</v>
      </c>
      <c r="L66">
        <f t="shared" si="5"/>
        <v>0</v>
      </c>
      <c r="M66" t="str">
        <f t="shared" si="6"/>
        <v>C</v>
      </c>
    </row>
    <row r="67" spans="1:13" x14ac:dyDescent="0.45">
      <c r="A67">
        <v>66</v>
      </c>
      <c r="B67">
        <v>24</v>
      </c>
      <c r="C67">
        <v>3</v>
      </c>
      <c r="D67" t="s">
        <v>5</v>
      </c>
      <c r="E67">
        <v>1</v>
      </c>
      <c r="F67">
        <v>66</v>
      </c>
      <c r="G67" t="str">
        <f t="shared" si="1"/>
        <v>C</v>
      </c>
      <c r="H67">
        <f t="shared" si="7"/>
        <v>1</v>
      </c>
      <c r="I67">
        <f t="shared" si="2"/>
        <v>0</v>
      </c>
      <c r="J67">
        <f t="shared" si="3"/>
        <v>3</v>
      </c>
      <c r="K67">
        <f t="shared" si="4"/>
        <v>0</v>
      </c>
      <c r="L67">
        <f t="shared" si="5"/>
        <v>0</v>
      </c>
      <c r="M67" t="str">
        <f t="shared" si="6"/>
        <v>C</v>
      </c>
    </row>
    <row r="68" spans="1:13" x14ac:dyDescent="0.45">
      <c r="A68">
        <v>67</v>
      </c>
      <c r="B68">
        <v>26.1</v>
      </c>
      <c r="C68">
        <v>7</v>
      </c>
      <c r="D68" t="s">
        <v>5</v>
      </c>
      <c r="E68">
        <v>2</v>
      </c>
      <c r="F68">
        <v>67</v>
      </c>
      <c r="G68" t="str">
        <f t="shared" ref="G68:G131" si="8">IF(I68=1,0, IF(K68=1,M68,G67))</f>
        <v>C</v>
      </c>
      <c r="H68">
        <f t="shared" si="7"/>
        <v>2</v>
      </c>
      <c r="I68">
        <f t="shared" ref="I68:I131" si="9">IF(AND(H67=5,C67&gt;=20),1,0)</f>
        <v>0</v>
      </c>
      <c r="J68">
        <f t="shared" ref="J68:J131" si="10">IF(G68=G67,J67+1,1)</f>
        <v>4</v>
      </c>
      <c r="K68">
        <f t="shared" ref="K68:K131" si="11">IF(AND(G67=0,H67=0),1,0)</f>
        <v>0</v>
      </c>
      <c r="L68">
        <f t="shared" ref="L68:L131" si="12">IF(J67=3,1,0)</f>
        <v>1</v>
      </c>
      <c r="M68" t="str">
        <f t="shared" ref="M68:M131" si="13">IF(B68&lt;10,"S","C")</f>
        <v>C</v>
      </c>
    </row>
    <row r="69" spans="1:13" x14ac:dyDescent="0.45">
      <c r="A69">
        <v>68</v>
      </c>
      <c r="B69">
        <v>27.3</v>
      </c>
      <c r="C69">
        <v>6</v>
      </c>
      <c r="D69" t="s">
        <v>5</v>
      </c>
      <c r="E69">
        <v>2</v>
      </c>
      <c r="F69">
        <v>68</v>
      </c>
      <c r="G69" t="str">
        <f t="shared" si="8"/>
        <v>C</v>
      </c>
      <c r="H69">
        <f t="shared" si="7"/>
        <v>2</v>
      </c>
      <c r="I69">
        <f t="shared" si="9"/>
        <v>0</v>
      </c>
      <c r="J69">
        <f t="shared" si="10"/>
        <v>5</v>
      </c>
      <c r="K69">
        <f t="shared" si="11"/>
        <v>0</v>
      </c>
      <c r="L69">
        <f t="shared" si="12"/>
        <v>0</v>
      </c>
      <c r="M69" t="str">
        <f t="shared" si="13"/>
        <v>C</v>
      </c>
    </row>
    <row r="70" spans="1:13" x14ac:dyDescent="0.45">
      <c r="A70">
        <v>69</v>
      </c>
      <c r="B70">
        <v>26.8</v>
      </c>
      <c r="C70">
        <v>8</v>
      </c>
      <c r="D70" t="s">
        <v>5</v>
      </c>
      <c r="E70">
        <v>2</v>
      </c>
      <c r="F70">
        <v>69</v>
      </c>
      <c r="G70" t="str">
        <f t="shared" si="8"/>
        <v>C</v>
      </c>
      <c r="H70">
        <f t="shared" si="7"/>
        <v>2</v>
      </c>
      <c r="I70">
        <f t="shared" si="9"/>
        <v>0</v>
      </c>
      <c r="J70">
        <f t="shared" si="10"/>
        <v>6</v>
      </c>
      <c r="K70">
        <f t="shared" si="11"/>
        <v>0</v>
      </c>
      <c r="L70">
        <f t="shared" si="12"/>
        <v>0</v>
      </c>
      <c r="M70" t="str">
        <f t="shared" si="13"/>
        <v>C</v>
      </c>
    </row>
    <row r="71" spans="1:13" x14ac:dyDescent="0.45">
      <c r="A71">
        <v>70</v>
      </c>
      <c r="B71">
        <v>24.7</v>
      </c>
      <c r="C71">
        <v>3</v>
      </c>
      <c r="D71" t="s">
        <v>5</v>
      </c>
      <c r="E71">
        <v>3</v>
      </c>
      <c r="F71">
        <v>70</v>
      </c>
      <c r="G71" t="str">
        <f t="shared" si="8"/>
        <v>C</v>
      </c>
      <c r="H71">
        <f t="shared" ref="H71:H134" si="14">IF(I71=1,0,IF(K71=1,1,IF(MOD(J70,3)=0, IF(H70+1&gt;5,5,H70+1),H70)))</f>
        <v>3</v>
      </c>
      <c r="I71">
        <f t="shared" si="9"/>
        <v>0</v>
      </c>
      <c r="J71">
        <f t="shared" si="10"/>
        <v>7</v>
      </c>
      <c r="K71">
        <f t="shared" si="11"/>
        <v>0</v>
      </c>
      <c r="L71">
        <f t="shared" si="12"/>
        <v>0</v>
      </c>
      <c r="M71" t="str">
        <f t="shared" si="13"/>
        <v>C</v>
      </c>
    </row>
    <row r="72" spans="1:13" x14ac:dyDescent="0.45">
      <c r="A72">
        <v>71</v>
      </c>
      <c r="B72">
        <v>21.2</v>
      </c>
      <c r="C72">
        <v>16</v>
      </c>
      <c r="D72" t="s">
        <v>5</v>
      </c>
      <c r="E72">
        <v>3</v>
      </c>
      <c r="F72">
        <v>71</v>
      </c>
      <c r="G72" t="str">
        <f t="shared" si="8"/>
        <v>C</v>
      </c>
      <c r="H72">
        <f t="shared" si="14"/>
        <v>3</v>
      </c>
      <c r="I72">
        <f t="shared" si="9"/>
        <v>0</v>
      </c>
      <c r="J72">
        <f t="shared" si="10"/>
        <v>8</v>
      </c>
      <c r="K72">
        <f t="shared" si="11"/>
        <v>0</v>
      </c>
      <c r="L72">
        <f t="shared" si="12"/>
        <v>0</v>
      </c>
      <c r="M72" t="str">
        <f t="shared" si="13"/>
        <v>C</v>
      </c>
    </row>
    <row r="73" spans="1:13" x14ac:dyDescent="0.45">
      <c r="A73">
        <v>72</v>
      </c>
      <c r="B73">
        <v>17.3</v>
      </c>
      <c r="C73">
        <v>8</v>
      </c>
      <c r="D73" t="s">
        <v>5</v>
      </c>
      <c r="E73">
        <v>3</v>
      </c>
      <c r="F73">
        <v>72</v>
      </c>
      <c r="G73" t="str">
        <f t="shared" si="8"/>
        <v>C</v>
      </c>
      <c r="H73">
        <f t="shared" si="14"/>
        <v>3</v>
      </c>
      <c r="I73">
        <f t="shared" si="9"/>
        <v>0</v>
      </c>
      <c r="J73">
        <f t="shared" si="10"/>
        <v>9</v>
      </c>
      <c r="K73">
        <f t="shared" si="11"/>
        <v>0</v>
      </c>
      <c r="L73">
        <f t="shared" si="12"/>
        <v>0</v>
      </c>
      <c r="M73" t="str">
        <f t="shared" si="13"/>
        <v>C</v>
      </c>
    </row>
    <row r="74" spans="1:13" x14ac:dyDescent="0.45">
      <c r="A74">
        <v>73</v>
      </c>
      <c r="B74">
        <v>13.7</v>
      </c>
      <c r="C74">
        <v>19</v>
      </c>
      <c r="D74" t="s">
        <v>5</v>
      </c>
      <c r="E74">
        <v>4</v>
      </c>
      <c r="F74">
        <v>73</v>
      </c>
      <c r="G74" t="str">
        <f t="shared" si="8"/>
        <v>C</v>
      </c>
      <c r="H74">
        <f t="shared" si="14"/>
        <v>4</v>
      </c>
      <c r="I74">
        <f t="shared" si="9"/>
        <v>0</v>
      </c>
      <c r="J74">
        <f t="shared" si="10"/>
        <v>10</v>
      </c>
      <c r="K74">
        <f t="shared" si="11"/>
        <v>0</v>
      </c>
      <c r="L74">
        <f t="shared" si="12"/>
        <v>0</v>
      </c>
      <c r="M74" t="str">
        <f t="shared" si="13"/>
        <v>C</v>
      </c>
    </row>
    <row r="75" spans="1:13" x14ac:dyDescent="0.45">
      <c r="A75">
        <v>74</v>
      </c>
      <c r="B75">
        <v>11.3</v>
      </c>
      <c r="C75">
        <v>5</v>
      </c>
      <c r="D75" t="s">
        <v>5</v>
      </c>
      <c r="E75">
        <v>4</v>
      </c>
      <c r="F75">
        <v>74</v>
      </c>
      <c r="G75" t="str">
        <f t="shared" si="8"/>
        <v>C</v>
      </c>
      <c r="H75">
        <f t="shared" si="14"/>
        <v>4</v>
      </c>
      <c r="I75">
        <f t="shared" si="9"/>
        <v>0</v>
      </c>
      <c r="J75">
        <f t="shared" si="10"/>
        <v>11</v>
      </c>
      <c r="K75">
        <f t="shared" si="11"/>
        <v>0</v>
      </c>
      <c r="L75">
        <f t="shared" si="12"/>
        <v>0</v>
      </c>
      <c r="M75" t="str">
        <f t="shared" si="13"/>
        <v>C</v>
      </c>
    </row>
    <row r="76" spans="1:13" x14ac:dyDescent="0.45">
      <c r="A76">
        <v>75</v>
      </c>
      <c r="B76">
        <v>10.5</v>
      </c>
      <c r="C76">
        <v>2</v>
      </c>
      <c r="D76" t="s">
        <v>5</v>
      </c>
      <c r="E76">
        <v>4</v>
      </c>
      <c r="F76">
        <v>75</v>
      </c>
      <c r="G76" t="str">
        <f t="shared" si="8"/>
        <v>C</v>
      </c>
      <c r="H76">
        <f t="shared" si="14"/>
        <v>4</v>
      </c>
      <c r="I76">
        <f t="shared" si="9"/>
        <v>0</v>
      </c>
      <c r="J76">
        <f t="shared" si="10"/>
        <v>12</v>
      </c>
      <c r="K76">
        <f t="shared" si="11"/>
        <v>0</v>
      </c>
      <c r="L76">
        <f t="shared" si="12"/>
        <v>0</v>
      </c>
      <c r="M76" t="str">
        <f t="shared" si="13"/>
        <v>C</v>
      </c>
    </row>
    <row r="77" spans="1:13" x14ac:dyDescent="0.45">
      <c r="A77">
        <v>76</v>
      </c>
      <c r="B77">
        <v>11</v>
      </c>
      <c r="C77">
        <v>22</v>
      </c>
      <c r="D77" t="s">
        <v>5</v>
      </c>
      <c r="E77">
        <v>5</v>
      </c>
      <c r="F77">
        <v>76</v>
      </c>
      <c r="G77" t="str">
        <f t="shared" si="8"/>
        <v>C</v>
      </c>
      <c r="H77">
        <f t="shared" si="14"/>
        <v>5</v>
      </c>
      <c r="I77">
        <f t="shared" si="9"/>
        <v>0</v>
      </c>
      <c r="J77">
        <f t="shared" si="10"/>
        <v>13</v>
      </c>
      <c r="K77">
        <f t="shared" si="11"/>
        <v>0</v>
      </c>
      <c r="L77">
        <f t="shared" si="12"/>
        <v>0</v>
      </c>
      <c r="M77" t="str">
        <f t="shared" si="13"/>
        <v>C</v>
      </c>
    </row>
    <row r="78" spans="1:13" x14ac:dyDescent="0.45">
      <c r="A78">
        <v>77</v>
      </c>
      <c r="B78">
        <v>12.5</v>
      </c>
      <c r="C78">
        <v>0</v>
      </c>
      <c r="D78">
        <v>0</v>
      </c>
      <c r="E78">
        <v>0</v>
      </c>
      <c r="F78">
        <v>77</v>
      </c>
      <c r="G78">
        <f t="shared" si="8"/>
        <v>0</v>
      </c>
      <c r="H78">
        <f t="shared" si="14"/>
        <v>0</v>
      </c>
      <c r="I78">
        <f t="shared" si="9"/>
        <v>1</v>
      </c>
      <c r="J78">
        <f t="shared" si="10"/>
        <v>1</v>
      </c>
      <c r="K78">
        <f t="shared" si="11"/>
        <v>0</v>
      </c>
      <c r="L78">
        <f t="shared" si="12"/>
        <v>0</v>
      </c>
      <c r="M78" t="str">
        <f t="shared" si="13"/>
        <v>C</v>
      </c>
    </row>
    <row r="79" spans="1:13" x14ac:dyDescent="0.45">
      <c r="A79">
        <v>78</v>
      </c>
      <c r="B79">
        <v>14</v>
      </c>
      <c r="C79">
        <v>2</v>
      </c>
      <c r="D79" t="s">
        <v>5</v>
      </c>
      <c r="E79">
        <v>1</v>
      </c>
      <c r="F79">
        <v>78</v>
      </c>
      <c r="G79" t="str">
        <f t="shared" si="8"/>
        <v>C</v>
      </c>
      <c r="H79">
        <f t="shared" si="14"/>
        <v>1</v>
      </c>
      <c r="I79">
        <f t="shared" si="9"/>
        <v>0</v>
      </c>
      <c r="J79">
        <f t="shared" si="10"/>
        <v>1</v>
      </c>
      <c r="K79">
        <f t="shared" si="11"/>
        <v>1</v>
      </c>
      <c r="L79">
        <f t="shared" si="12"/>
        <v>0</v>
      </c>
      <c r="M79" t="str">
        <f t="shared" si="13"/>
        <v>C</v>
      </c>
    </row>
    <row r="80" spans="1:13" x14ac:dyDescent="0.45">
      <c r="A80">
        <v>79</v>
      </c>
      <c r="B80">
        <v>14.7</v>
      </c>
      <c r="C80">
        <v>4</v>
      </c>
      <c r="D80" t="s">
        <v>5</v>
      </c>
      <c r="E80">
        <v>1</v>
      </c>
      <c r="F80">
        <v>79</v>
      </c>
      <c r="G80" t="str">
        <f t="shared" si="8"/>
        <v>C</v>
      </c>
      <c r="H80">
        <f t="shared" si="14"/>
        <v>1</v>
      </c>
      <c r="I80">
        <f t="shared" si="9"/>
        <v>0</v>
      </c>
      <c r="J80">
        <f t="shared" si="10"/>
        <v>2</v>
      </c>
      <c r="K80">
        <f t="shared" si="11"/>
        <v>0</v>
      </c>
      <c r="L80">
        <f t="shared" si="12"/>
        <v>0</v>
      </c>
      <c r="M80" t="str">
        <f t="shared" si="13"/>
        <v>C</v>
      </c>
    </row>
    <row r="81" spans="1:13" x14ac:dyDescent="0.45">
      <c r="A81">
        <v>80</v>
      </c>
      <c r="B81">
        <v>14.1</v>
      </c>
      <c r="C81">
        <v>5</v>
      </c>
      <c r="D81" t="s">
        <v>6</v>
      </c>
      <c r="E81">
        <v>1</v>
      </c>
      <c r="F81">
        <v>80</v>
      </c>
      <c r="G81" t="str">
        <f t="shared" si="8"/>
        <v>C</v>
      </c>
      <c r="H81">
        <f t="shared" si="14"/>
        <v>1</v>
      </c>
      <c r="I81">
        <f t="shared" si="9"/>
        <v>0</v>
      </c>
      <c r="J81">
        <f t="shared" si="10"/>
        <v>3</v>
      </c>
      <c r="K81">
        <f t="shared" si="11"/>
        <v>0</v>
      </c>
      <c r="L81">
        <f t="shared" si="12"/>
        <v>0</v>
      </c>
      <c r="M81" t="str">
        <f t="shared" si="13"/>
        <v>C</v>
      </c>
    </row>
    <row r="82" spans="1:13" x14ac:dyDescent="0.45">
      <c r="A82">
        <v>81</v>
      </c>
      <c r="B82">
        <v>11.9</v>
      </c>
      <c r="C82">
        <v>8</v>
      </c>
      <c r="D82" t="s">
        <v>5</v>
      </c>
      <c r="E82">
        <v>2</v>
      </c>
      <c r="F82">
        <v>81</v>
      </c>
      <c r="G82" t="str">
        <f t="shared" si="8"/>
        <v>C</v>
      </c>
      <c r="H82">
        <f t="shared" si="14"/>
        <v>2</v>
      </c>
      <c r="I82">
        <f t="shared" si="9"/>
        <v>0</v>
      </c>
      <c r="J82">
        <f t="shared" si="10"/>
        <v>4</v>
      </c>
      <c r="K82">
        <f t="shared" si="11"/>
        <v>0</v>
      </c>
      <c r="L82">
        <f t="shared" si="12"/>
        <v>1</v>
      </c>
      <c r="M82" t="str">
        <f t="shared" si="13"/>
        <v>C</v>
      </c>
    </row>
    <row r="83" spans="1:13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v>82</v>
      </c>
      <c r="G83" t="str">
        <f t="shared" si="8"/>
        <v>C</v>
      </c>
      <c r="H83">
        <f t="shared" si="14"/>
        <v>2</v>
      </c>
      <c r="I83">
        <f t="shared" si="9"/>
        <v>0</v>
      </c>
      <c r="J83">
        <f t="shared" si="10"/>
        <v>5</v>
      </c>
      <c r="K83">
        <f t="shared" si="11"/>
        <v>0</v>
      </c>
      <c r="L83">
        <f t="shared" si="12"/>
        <v>0</v>
      </c>
      <c r="M83" t="str">
        <f t="shared" si="13"/>
        <v>S</v>
      </c>
    </row>
    <row r="84" spans="1:13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v>83</v>
      </c>
      <c r="G84" t="str">
        <f t="shared" si="8"/>
        <v>C</v>
      </c>
      <c r="H84">
        <f t="shared" si="14"/>
        <v>2</v>
      </c>
      <c r="I84">
        <f t="shared" si="9"/>
        <v>0</v>
      </c>
      <c r="J84">
        <f t="shared" si="10"/>
        <v>6</v>
      </c>
      <c r="K84">
        <f t="shared" si="11"/>
        <v>0</v>
      </c>
      <c r="L84">
        <f t="shared" si="12"/>
        <v>0</v>
      </c>
      <c r="M84" t="str">
        <f t="shared" si="13"/>
        <v>S</v>
      </c>
    </row>
    <row r="85" spans="1:13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v>84</v>
      </c>
      <c r="G85" t="str">
        <f t="shared" si="8"/>
        <v>C</v>
      </c>
      <c r="H85">
        <f t="shared" si="14"/>
        <v>3</v>
      </c>
      <c r="I85">
        <f t="shared" si="9"/>
        <v>0</v>
      </c>
      <c r="J85">
        <f t="shared" si="10"/>
        <v>7</v>
      </c>
      <c r="K85">
        <f t="shared" si="11"/>
        <v>0</v>
      </c>
      <c r="L85">
        <f t="shared" si="12"/>
        <v>0</v>
      </c>
      <c r="M85" t="str">
        <f t="shared" si="13"/>
        <v>S</v>
      </c>
    </row>
    <row r="86" spans="1:13" x14ac:dyDescent="0.45">
      <c r="A86">
        <v>85</v>
      </c>
      <c r="B86">
        <v>0.5</v>
      </c>
      <c r="C86">
        <v>5</v>
      </c>
      <c r="D86" t="s">
        <v>5</v>
      </c>
      <c r="E86">
        <v>3</v>
      </c>
      <c r="F86">
        <v>85</v>
      </c>
      <c r="G86" t="str">
        <f t="shared" si="8"/>
        <v>C</v>
      </c>
      <c r="H86">
        <f t="shared" si="14"/>
        <v>3</v>
      </c>
      <c r="I86">
        <f t="shared" si="9"/>
        <v>0</v>
      </c>
      <c r="J86">
        <f t="shared" si="10"/>
        <v>8</v>
      </c>
      <c r="K86">
        <f t="shared" si="11"/>
        <v>0</v>
      </c>
      <c r="L86">
        <f t="shared" si="12"/>
        <v>0</v>
      </c>
      <c r="M86" t="str">
        <f t="shared" si="13"/>
        <v>S</v>
      </c>
    </row>
    <row r="87" spans="1:13" x14ac:dyDescent="0.45">
      <c r="A87">
        <v>86</v>
      </c>
      <c r="B87">
        <v>0.6</v>
      </c>
      <c r="C87">
        <v>13</v>
      </c>
      <c r="D87" t="s">
        <v>5</v>
      </c>
      <c r="E87">
        <v>3</v>
      </c>
      <c r="F87">
        <v>86</v>
      </c>
      <c r="G87" t="str">
        <f t="shared" si="8"/>
        <v>C</v>
      </c>
      <c r="H87">
        <f t="shared" si="14"/>
        <v>3</v>
      </c>
      <c r="I87">
        <f t="shared" si="9"/>
        <v>0</v>
      </c>
      <c r="J87">
        <f t="shared" si="10"/>
        <v>9</v>
      </c>
      <c r="K87">
        <f t="shared" si="11"/>
        <v>0</v>
      </c>
      <c r="L87">
        <f t="shared" si="12"/>
        <v>0</v>
      </c>
      <c r="M87" t="str">
        <f t="shared" si="13"/>
        <v>S</v>
      </c>
    </row>
    <row r="88" spans="1:13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v>87</v>
      </c>
      <c r="G88" t="str">
        <f t="shared" si="8"/>
        <v>C</v>
      </c>
      <c r="H88">
        <f t="shared" si="14"/>
        <v>4</v>
      </c>
      <c r="I88">
        <f t="shared" si="9"/>
        <v>0</v>
      </c>
      <c r="J88">
        <f t="shared" si="10"/>
        <v>10</v>
      </c>
      <c r="K88">
        <f t="shared" si="11"/>
        <v>0</v>
      </c>
      <c r="L88">
        <f t="shared" si="12"/>
        <v>0</v>
      </c>
      <c r="M88" t="str">
        <f t="shared" si="13"/>
        <v>S</v>
      </c>
    </row>
    <row r="89" spans="1:13" x14ac:dyDescent="0.45">
      <c r="A89">
        <v>88</v>
      </c>
      <c r="B89">
        <v>5</v>
      </c>
      <c r="C89">
        <v>9</v>
      </c>
      <c r="D89" t="s">
        <v>5</v>
      </c>
      <c r="E89">
        <v>4</v>
      </c>
      <c r="F89">
        <v>88</v>
      </c>
      <c r="G89" t="str">
        <f t="shared" si="8"/>
        <v>C</v>
      </c>
      <c r="H89">
        <f t="shared" si="14"/>
        <v>4</v>
      </c>
      <c r="I89">
        <f t="shared" si="9"/>
        <v>0</v>
      </c>
      <c r="J89">
        <f t="shared" si="10"/>
        <v>11</v>
      </c>
      <c r="K89">
        <f t="shared" si="11"/>
        <v>0</v>
      </c>
      <c r="L89">
        <f t="shared" si="12"/>
        <v>0</v>
      </c>
      <c r="M89" t="str">
        <f t="shared" si="13"/>
        <v>S</v>
      </c>
    </row>
    <row r="90" spans="1:13" x14ac:dyDescent="0.45">
      <c r="A90">
        <v>89</v>
      </c>
      <c r="B90">
        <v>7.9</v>
      </c>
      <c r="C90">
        <v>24</v>
      </c>
      <c r="D90" t="s">
        <v>5</v>
      </c>
      <c r="E90">
        <v>4</v>
      </c>
      <c r="F90">
        <v>89</v>
      </c>
      <c r="G90" t="str">
        <f t="shared" si="8"/>
        <v>C</v>
      </c>
      <c r="H90">
        <f t="shared" si="14"/>
        <v>4</v>
      </c>
      <c r="I90">
        <f t="shared" si="9"/>
        <v>0</v>
      </c>
      <c r="J90">
        <f t="shared" si="10"/>
        <v>12</v>
      </c>
      <c r="K90">
        <f t="shared" si="11"/>
        <v>0</v>
      </c>
      <c r="L90">
        <f t="shared" si="12"/>
        <v>0</v>
      </c>
      <c r="M90" t="str">
        <f t="shared" si="13"/>
        <v>S</v>
      </c>
    </row>
    <row r="91" spans="1:13" x14ac:dyDescent="0.45">
      <c r="A91">
        <v>90</v>
      </c>
      <c r="B91">
        <v>10</v>
      </c>
      <c r="C91">
        <v>15</v>
      </c>
      <c r="D91" t="s">
        <v>5</v>
      </c>
      <c r="E91">
        <v>5</v>
      </c>
      <c r="F91">
        <v>90</v>
      </c>
      <c r="G91" t="str">
        <f t="shared" si="8"/>
        <v>C</v>
      </c>
      <c r="H91">
        <f t="shared" si="14"/>
        <v>5</v>
      </c>
      <c r="I91">
        <f t="shared" si="9"/>
        <v>0</v>
      </c>
      <c r="J91">
        <f t="shared" si="10"/>
        <v>13</v>
      </c>
      <c r="K91">
        <f t="shared" si="11"/>
        <v>0</v>
      </c>
      <c r="L91">
        <f t="shared" si="12"/>
        <v>0</v>
      </c>
      <c r="M91" t="str">
        <f t="shared" si="13"/>
        <v>C</v>
      </c>
    </row>
    <row r="92" spans="1:13" x14ac:dyDescent="0.45">
      <c r="A92">
        <v>91</v>
      </c>
      <c r="B92">
        <v>10.9</v>
      </c>
      <c r="C92">
        <v>29</v>
      </c>
      <c r="D92" t="s">
        <v>5</v>
      </c>
      <c r="E92">
        <v>5</v>
      </c>
      <c r="F92">
        <v>91</v>
      </c>
      <c r="G92" t="str">
        <f t="shared" si="8"/>
        <v>C</v>
      </c>
      <c r="H92">
        <f t="shared" si="14"/>
        <v>5</v>
      </c>
      <c r="I92">
        <f t="shared" si="9"/>
        <v>0</v>
      </c>
      <c r="J92">
        <f t="shared" si="10"/>
        <v>14</v>
      </c>
      <c r="K92">
        <f t="shared" si="11"/>
        <v>0</v>
      </c>
      <c r="L92">
        <f t="shared" si="12"/>
        <v>0</v>
      </c>
      <c r="M92" t="str">
        <f t="shared" si="13"/>
        <v>C</v>
      </c>
    </row>
    <row r="93" spans="1:13" x14ac:dyDescent="0.45">
      <c r="A93">
        <v>92</v>
      </c>
      <c r="B93">
        <v>10.3</v>
      </c>
      <c r="C93">
        <v>0</v>
      </c>
      <c r="D93">
        <v>0</v>
      </c>
      <c r="E93">
        <v>0</v>
      </c>
      <c r="F93">
        <v>92</v>
      </c>
      <c r="G93">
        <f t="shared" si="8"/>
        <v>0</v>
      </c>
      <c r="H93">
        <f t="shared" si="14"/>
        <v>0</v>
      </c>
      <c r="I93">
        <f t="shared" si="9"/>
        <v>1</v>
      </c>
      <c r="J93">
        <f t="shared" si="10"/>
        <v>1</v>
      </c>
      <c r="K93">
        <f t="shared" si="11"/>
        <v>0</v>
      </c>
      <c r="L93">
        <f t="shared" si="12"/>
        <v>0</v>
      </c>
      <c r="M93" t="str">
        <f t="shared" si="13"/>
        <v>C</v>
      </c>
    </row>
    <row r="94" spans="1:13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v>93</v>
      </c>
      <c r="G94" t="str">
        <f t="shared" si="8"/>
        <v>S</v>
      </c>
      <c r="H94">
        <f t="shared" si="14"/>
        <v>1</v>
      </c>
      <c r="I94">
        <f t="shared" si="9"/>
        <v>0</v>
      </c>
      <c r="J94">
        <f t="shared" si="10"/>
        <v>1</v>
      </c>
      <c r="K94">
        <f t="shared" si="11"/>
        <v>1</v>
      </c>
      <c r="L94">
        <f t="shared" si="12"/>
        <v>0</v>
      </c>
      <c r="M94" t="str">
        <f t="shared" si="13"/>
        <v>S</v>
      </c>
    </row>
    <row r="95" spans="1:13" x14ac:dyDescent="0.45">
      <c r="A95">
        <v>94</v>
      </c>
      <c r="B95">
        <v>6.7</v>
      </c>
      <c r="C95">
        <v>3</v>
      </c>
      <c r="D95" t="s">
        <v>6</v>
      </c>
      <c r="E95">
        <v>1</v>
      </c>
      <c r="F95">
        <v>94</v>
      </c>
      <c r="G95" t="str">
        <f t="shared" si="8"/>
        <v>S</v>
      </c>
      <c r="H95">
        <f t="shared" si="14"/>
        <v>1</v>
      </c>
      <c r="I95">
        <f t="shared" si="9"/>
        <v>0</v>
      </c>
      <c r="J95">
        <f t="shared" si="10"/>
        <v>2</v>
      </c>
      <c r="K95">
        <f t="shared" si="11"/>
        <v>0</v>
      </c>
      <c r="L95">
        <f t="shared" si="12"/>
        <v>0</v>
      </c>
      <c r="M95" t="str">
        <f t="shared" si="13"/>
        <v>S</v>
      </c>
    </row>
    <row r="96" spans="1:13" x14ac:dyDescent="0.45">
      <c r="A96">
        <v>95</v>
      </c>
      <c r="B96">
        <v>5.3</v>
      </c>
      <c r="C96">
        <v>6</v>
      </c>
      <c r="D96" t="s">
        <v>6</v>
      </c>
      <c r="E96">
        <v>1</v>
      </c>
      <c r="F96">
        <v>95</v>
      </c>
      <c r="G96" t="str">
        <f t="shared" si="8"/>
        <v>S</v>
      </c>
      <c r="H96">
        <f t="shared" si="14"/>
        <v>1</v>
      </c>
      <c r="I96">
        <f t="shared" si="9"/>
        <v>0</v>
      </c>
      <c r="J96">
        <f t="shared" si="10"/>
        <v>3</v>
      </c>
      <c r="K96">
        <f t="shared" si="11"/>
        <v>0</v>
      </c>
      <c r="L96">
        <f t="shared" si="12"/>
        <v>0</v>
      </c>
      <c r="M96" t="str">
        <f t="shared" si="13"/>
        <v>S</v>
      </c>
    </row>
    <row r="97" spans="1:13" x14ac:dyDescent="0.45">
      <c r="A97">
        <v>96</v>
      </c>
      <c r="B97">
        <v>5.2</v>
      </c>
      <c r="C97">
        <v>3</v>
      </c>
      <c r="D97" t="s">
        <v>6</v>
      </c>
      <c r="E97">
        <v>2</v>
      </c>
      <c r="F97">
        <v>96</v>
      </c>
      <c r="G97" t="str">
        <f t="shared" si="8"/>
        <v>S</v>
      </c>
      <c r="H97">
        <f t="shared" si="14"/>
        <v>2</v>
      </c>
      <c r="I97">
        <f t="shared" si="9"/>
        <v>0</v>
      </c>
      <c r="J97">
        <f t="shared" si="10"/>
        <v>4</v>
      </c>
      <c r="K97">
        <f t="shared" si="11"/>
        <v>0</v>
      </c>
      <c r="L97">
        <f t="shared" si="12"/>
        <v>1</v>
      </c>
      <c r="M97" t="str">
        <f t="shared" si="13"/>
        <v>S</v>
      </c>
    </row>
    <row r="98" spans="1:13" x14ac:dyDescent="0.45">
      <c r="A98">
        <v>97</v>
      </c>
      <c r="B98">
        <v>6.8</v>
      </c>
      <c r="C98">
        <v>2</v>
      </c>
      <c r="D98" t="s">
        <v>6</v>
      </c>
      <c r="E98">
        <v>2</v>
      </c>
      <c r="F98">
        <v>97</v>
      </c>
      <c r="G98" t="str">
        <f t="shared" si="8"/>
        <v>S</v>
      </c>
      <c r="H98">
        <f t="shared" si="14"/>
        <v>2</v>
      </c>
      <c r="I98">
        <f t="shared" si="9"/>
        <v>0</v>
      </c>
      <c r="J98">
        <f t="shared" si="10"/>
        <v>5</v>
      </c>
      <c r="K98">
        <f t="shared" si="11"/>
        <v>0</v>
      </c>
      <c r="L98">
        <f t="shared" si="12"/>
        <v>0</v>
      </c>
      <c r="M98" t="str">
        <f t="shared" si="13"/>
        <v>S</v>
      </c>
    </row>
    <row r="99" spans="1:13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v>98</v>
      </c>
      <c r="G99" t="str">
        <f t="shared" si="8"/>
        <v>S</v>
      </c>
      <c r="H99">
        <f t="shared" si="14"/>
        <v>2</v>
      </c>
      <c r="I99">
        <f t="shared" si="9"/>
        <v>0</v>
      </c>
      <c r="J99">
        <f t="shared" si="10"/>
        <v>6</v>
      </c>
      <c r="K99">
        <f t="shared" si="11"/>
        <v>0</v>
      </c>
      <c r="L99">
        <f t="shared" si="12"/>
        <v>0</v>
      </c>
      <c r="M99" t="str">
        <f t="shared" si="13"/>
        <v>S</v>
      </c>
    </row>
    <row r="100" spans="1:13" x14ac:dyDescent="0.45">
      <c r="A100">
        <v>99</v>
      </c>
      <c r="B100">
        <v>13.7</v>
      </c>
      <c r="C100">
        <v>8</v>
      </c>
      <c r="D100" t="s">
        <v>6</v>
      </c>
      <c r="E100">
        <v>3</v>
      </c>
      <c r="F100">
        <v>99</v>
      </c>
      <c r="G100" t="str">
        <f t="shared" si="8"/>
        <v>S</v>
      </c>
      <c r="H100">
        <f t="shared" si="14"/>
        <v>3</v>
      </c>
      <c r="I100">
        <f t="shared" si="9"/>
        <v>0</v>
      </c>
      <c r="J100">
        <f t="shared" si="10"/>
        <v>7</v>
      </c>
      <c r="K100">
        <f t="shared" si="11"/>
        <v>0</v>
      </c>
      <c r="L100">
        <f t="shared" si="12"/>
        <v>0</v>
      </c>
      <c r="M100" t="str">
        <f t="shared" si="13"/>
        <v>C</v>
      </c>
    </row>
    <row r="101" spans="1:13" x14ac:dyDescent="0.45">
      <c r="A101">
        <v>100</v>
      </c>
      <c r="B101">
        <v>17.7</v>
      </c>
      <c r="C101">
        <v>6</v>
      </c>
      <c r="D101" t="s">
        <v>6</v>
      </c>
      <c r="E101">
        <v>3</v>
      </c>
      <c r="F101">
        <v>100</v>
      </c>
      <c r="G101" t="str">
        <f t="shared" si="8"/>
        <v>S</v>
      </c>
      <c r="H101">
        <f t="shared" si="14"/>
        <v>3</v>
      </c>
      <c r="I101">
        <f t="shared" si="9"/>
        <v>0</v>
      </c>
      <c r="J101">
        <f t="shared" si="10"/>
        <v>8</v>
      </c>
      <c r="K101">
        <f t="shared" si="11"/>
        <v>0</v>
      </c>
      <c r="L101">
        <f t="shared" si="12"/>
        <v>0</v>
      </c>
      <c r="M101" t="str">
        <f t="shared" si="13"/>
        <v>C</v>
      </c>
    </row>
    <row r="102" spans="1:13" x14ac:dyDescent="0.45">
      <c r="A102">
        <v>101</v>
      </c>
      <c r="B102">
        <v>20.8</v>
      </c>
      <c r="C102">
        <v>5</v>
      </c>
      <c r="D102" t="s">
        <v>6</v>
      </c>
      <c r="E102">
        <v>3</v>
      </c>
      <c r="F102">
        <v>101</v>
      </c>
      <c r="G102" t="str">
        <f t="shared" si="8"/>
        <v>S</v>
      </c>
      <c r="H102">
        <f t="shared" si="14"/>
        <v>3</v>
      </c>
      <c r="I102">
        <f t="shared" si="9"/>
        <v>0</v>
      </c>
      <c r="J102">
        <f t="shared" si="10"/>
        <v>9</v>
      </c>
      <c r="K102">
        <f t="shared" si="11"/>
        <v>0</v>
      </c>
      <c r="L102">
        <f t="shared" si="12"/>
        <v>0</v>
      </c>
      <c r="M102" t="str">
        <f t="shared" si="13"/>
        <v>C</v>
      </c>
    </row>
    <row r="103" spans="1:13" x14ac:dyDescent="0.45">
      <c r="A103">
        <v>102</v>
      </c>
      <c r="B103">
        <v>22.4</v>
      </c>
      <c r="C103">
        <v>20</v>
      </c>
      <c r="D103" t="s">
        <v>6</v>
      </c>
      <c r="E103">
        <v>4</v>
      </c>
      <c r="F103">
        <v>102</v>
      </c>
      <c r="G103" t="str">
        <f t="shared" si="8"/>
        <v>S</v>
      </c>
      <c r="H103">
        <f t="shared" si="14"/>
        <v>4</v>
      </c>
      <c r="I103">
        <f t="shared" si="9"/>
        <v>0</v>
      </c>
      <c r="J103">
        <f t="shared" si="10"/>
        <v>10</v>
      </c>
      <c r="K103">
        <f t="shared" si="11"/>
        <v>0</v>
      </c>
      <c r="L103">
        <f t="shared" si="12"/>
        <v>0</v>
      </c>
      <c r="M103" t="str">
        <f t="shared" si="13"/>
        <v>C</v>
      </c>
    </row>
    <row r="104" spans="1:13" x14ac:dyDescent="0.45">
      <c r="A104">
        <v>103</v>
      </c>
      <c r="B104">
        <v>22.5</v>
      </c>
      <c r="C104">
        <v>17</v>
      </c>
      <c r="D104" t="s">
        <v>6</v>
      </c>
      <c r="E104">
        <v>4</v>
      </c>
      <c r="F104">
        <v>103</v>
      </c>
      <c r="G104" t="str">
        <f t="shared" si="8"/>
        <v>S</v>
      </c>
      <c r="H104">
        <f t="shared" si="14"/>
        <v>4</v>
      </c>
      <c r="I104">
        <f t="shared" si="9"/>
        <v>0</v>
      </c>
      <c r="J104">
        <f t="shared" si="10"/>
        <v>11</v>
      </c>
      <c r="K104">
        <f t="shared" si="11"/>
        <v>0</v>
      </c>
      <c r="L104">
        <f t="shared" si="12"/>
        <v>0</v>
      </c>
      <c r="M104" t="str">
        <f t="shared" si="13"/>
        <v>C</v>
      </c>
    </row>
    <row r="105" spans="1:13" x14ac:dyDescent="0.45">
      <c r="A105">
        <v>104</v>
      </c>
      <c r="B105">
        <v>21.2</v>
      </c>
      <c r="C105">
        <v>11</v>
      </c>
      <c r="D105" t="s">
        <v>6</v>
      </c>
      <c r="E105">
        <v>4</v>
      </c>
      <c r="F105">
        <v>104</v>
      </c>
      <c r="G105" t="str">
        <f t="shared" si="8"/>
        <v>S</v>
      </c>
      <c r="H105">
        <f t="shared" si="14"/>
        <v>4</v>
      </c>
      <c r="I105">
        <f t="shared" si="9"/>
        <v>0</v>
      </c>
      <c r="J105">
        <f t="shared" si="10"/>
        <v>12</v>
      </c>
      <c r="K105">
        <f t="shared" si="11"/>
        <v>0</v>
      </c>
      <c r="L105">
        <f t="shared" si="12"/>
        <v>0</v>
      </c>
      <c r="M105" t="str">
        <f t="shared" si="13"/>
        <v>C</v>
      </c>
    </row>
    <row r="106" spans="1:13" x14ac:dyDescent="0.45">
      <c r="A106">
        <v>105</v>
      </c>
      <c r="B106">
        <v>19.5</v>
      </c>
      <c r="C106">
        <v>27</v>
      </c>
      <c r="D106" t="s">
        <v>6</v>
      </c>
      <c r="E106">
        <v>5</v>
      </c>
      <c r="F106">
        <v>105</v>
      </c>
      <c r="G106" t="str">
        <f t="shared" si="8"/>
        <v>S</v>
      </c>
      <c r="H106">
        <f t="shared" si="14"/>
        <v>5</v>
      </c>
      <c r="I106">
        <f t="shared" si="9"/>
        <v>0</v>
      </c>
      <c r="J106">
        <f t="shared" si="10"/>
        <v>13</v>
      </c>
      <c r="K106">
        <f t="shared" si="11"/>
        <v>0</v>
      </c>
      <c r="L106">
        <f t="shared" si="12"/>
        <v>0</v>
      </c>
      <c r="M106" t="str">
        <f t="shared" si="13"/>
        <v>C</v>
      </c>
    </row>
    <row r="107" spans="1:13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v>106</v>
      </c>
      <c r="G107">
        <f t="shared" si="8"/>
        <v>0</v>
      </c>
      <c r="H107">
        <f t="shared" si="14"/>
        <v>0</v>
      </c>
      <c r="I107">
        <f t="shared" si="9"/>
        <v>1</v>
      </c>
      <c r="J107">
        <f t="shared" si="10"/>
        <v>1</v>
      </c>
      <c r="K107">
        <f t="shared" si="11"/>
        <v>0</v>
      </c>
      <c r="L107">
        <f t="shared" si="12"/>
        <v>0</v>
      </c>
      <c r="M107" t="str">
        <f t="shared" si="13"/>
        <v>C</v>
      </c>
    </row>
    <row r="108" spans="1:13" x14ac:dyDescent="0.45">
      <c r="A108">
        <v>107</v>
      </c>
      <c r="B108">
        <v>17.8</v>
      </c>
      <c r="C108">
        <v>5</v>
      </c>
      <c r="D108" t="s">
        <v>5</v>
      </c>
      <c r="E108">
        <v>1</v>
      </c>
      <c r="F108">
        <v>107</v>
      </c>
      <c r="G108" t="str">
        <f t="shared" si="8"/>
        <v>C</v>
      </c>
      <c r="H108">
        <f t="shared" si="14"/>
        <v>1</v>
      </c>
      <c r="I108">
        <f t="shared" si="9"/>
        <v>0</v>
      </c>
      <c r="J108">
        <f t="shared" si="10"/>
        <v>1</v>
      </c>
      <c r="K108">
        <f t="shared" si="11"/>
        <v>1</v>
      </c>
      <c r="L108">
        <f t="shared" si="12"/>
        <v>0</v>
      </c>
      <c r="M108" t="str">
        <f t="shared" si="13"/>
        <v>C</v>
      </c>
    </row>
    <row r="109" spans="1:13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v>108</v>
      </c>
      <c r="G109" t="str">
        <f t="shared" si="8"/>
        <v>C</v>
      </c>
      <c r="H109">
        <f t="shared" si="14"/>
        <v>1</v>
      </c>
      <c r="I109">
        <f t="shared" si="9"/>
        <v>0</v>
      </c>
      <c r="J109">
        <f t="shared" si="10"/>
        <v>2</v>
      </c>
      <c r="K109">
        <f t="shared" si="11"/>
        <v>0</v>
      </c>
      <c r="L109">
        <f t="shared" si="12"/>
        <v>0</v>
      </c>
      <c r="M109" t="str">
        <f t="shared" si="13"/>
        <v>C</v>
      </c>
    </row>
    <row r="110" spans="1:13" x14ac:dyDescent="0.45">
      <c r="A110">
        <v>109</v>
      </c>
      <c r="B110">
        <v>21.3</v>
      </c>
      <c r="C110">
        <v>1</v>
      </c>
      <c r="D110" t="s">
        <v>5</v>
      </c>
      <c r="E110">
        <v>1</v>
      </c>
      <c r="F110">
        <v>109</v>
      </c>
      <c r="G110" t="str">
        <f t="shared" si="8"/>
        <v>C</v>
      </c>
      <c r="H110">
        <f t="shared" si="14"/>
        <v>1</v>
      </c>
      <c r="I110">
        <f t="shared" si="9"/>
        <v>0</v>
      </c>
      <c r="J110">
        <f t="shared" si="10"/>
        <v>3</v>
      </c>
      <c r="K110">
        <f t="shared" si="11"/>
        <v>0</v>
      </c>
      <c r="L110">
        <f t="shared" si="12"/>
        <v>0</v>
      </c>
      <c r="M110" t="str">
        <f t="shared" si="13"/>
        <v>C</v>
      </c>
    </row>
    <row r="111" spans="1:13" x14ac:dyDescent="0.45">
      <c r="A111">
        <v>110</v>
      </c>
      <c r="B111">
        <v>24.5</v>
      </c>
      <c r="C111">
        <v>7</v>
      </c>
      <c r="D111" t="s">
        <v>5</v>
      </c>
      <c r="E111">
        <v>2</v>
      </c>
      <c r="F111">
        <v>110</v>
      </c>
      <c r="G111" t="str">
        <f t="shared" si="8"/>
        <v>C</v>
      </c>
      <c r="H111">
        <f t="shared" si="14"/>
        <v>2</v>
      </c>
      <c r="I111">
        <f t="shared" si="9"/>
        <v>0</v>
      </c>
      <c r="J111">
        <f t="shared" si="10"/>
        <v>4</v>
      </c>
      <c r="K111">
        <f t="shared" si="11"/>
        <v>0</v>
      </c>
      <c r="L111">
        <f t="shared" si="12"/>
        <v>1</v>
      </c>
      <c r="M111" t="str">
        <f t="shared" si="13"/>
        <v>C</v>
      </c>
    </row>
    <row r="112" spans="1:13" x14ac:dyDescent="0.45">
      <c r="A112">
        <v>111</v>
      </c>
      <c r="B112">
        <v>27.5</v>
      </c>
      <c r="C112">
        <v>12</v>
      </c>
      <c r="D112" t="s">
        <v>5</v>
      </c>
      <c r="E112">
        <v>2</v>
      </c>
      <c r="F112">
        <v>111</v>
      </c>
      <c r="G112" t="str">
        <f t="shared" si="8"/>
        <v>C</v>
      </c>
      <c r="H112">
        <f t="shared" si="14"/>
        <v>2</v>
      </c>
      <c r="I112">
        <f t="shared" si="9"/>
        <v>0</v>
      </c>
      <c r="J112">
        <f t="shared" si="10"/>
        <v>5</v>
      </c>
      <c r="K112">
        <f t="shared" si="11"/>
        <v>0</v>
      </c>
      <c r="L112">
        <f t="shared" si="12"/>
        <v>0</v>
      </c>
      <c r="M112" t="str">
        <f t="shared" si="13"/>
        <v>C</v>
      </c>
    </row>
    <row r="113" spans="1:13" x14ac:dyDescent="0.45">
      <c r="A113">
        <v>112</v>
      </c>
      <c r="B113">
        <v>29.5</v>
      </c>
      <c r="C113">
        <v>6</v>
      </c>
      <c r="D113" t="s">
        <v>5</v>
      </c>
      <c r="E113">
        <v>2</v>
      </c>
      <c r="F113">
        <v>112</v>
      </c>
      <c r="G113" t="str">
        <f t="shared" si="8"/>
        <v>C</v>
      </c>
      <c r="H113">
        <f t="shared" si="14"/>
        <v>2</v>
      </c>
      <c r="I113">
        <f t="shared" si="9"/>
        <v>0</v>
      </c>
      <c r="J113">
        <f t="shared" si="10"/>
        <v>6</v>
      </c>
      <c r="K113">
        <f t="shared" si="11"/>
        <v>0</v>
      </c>
      <c r="L113">
        <f t="shared" si="12"/>
        <v>0</v>
      </c>
      <c r="M113" t="str">
        <f t="shared" si="13"/>
        <v>C</v>
      </c>
    </row>
    <row r="114" spans="1:13" x14ac:dyDescent="0.45">
      <c r="A114">
        <v>113</v>
      </c>
      <c r="B114">
        <v>29.9</v>
      </c>
      <c r="C114">
        <v>5</v>
      </c>
      <c r="D114" t="s">
        <v>5</v>
      </c>
      <c r="E114">
        <v>3</v>
      </c>
      <c r="F114">
        <v>113</v>
      </c>
      <c r="G114" t="str">
        <f t="shared" si="8"/>
        <v>C</v>
      </c>
      <c r="H114">
        <f t="shared" si="14"/>
        <v>3</v>
      </c>
      <c r="I114">
        <f t="shared" si="9"/>
        <v>0</v>
      </c>
      <c r="J114">
        <f t="shared" si="10"/>
        <v>7</v>
      </c>
      <c r="K114">
        <f t="shared" si="11"/>
        <v>0</v>
      </c>
      <c r="L114">
        <f t="shared" si="12"/>
        <v>0</v>
      </c>
      <c r="M114" t="str">
        <f t="shared" si="13"/>
        <v>C</v>
      </c>
    </row>
    <row r="115" spans="1:13" x14ac:dyDescent="0.45">
      <c r="A115">
        <v>114</v>
      </c>
      <c r="B115">
        <v>28.6</v>
      </c>
      <c r="C115">
        <v>6</v>
      </c>
      <c r="D115" t="s">
        <v>5</v>
      </c>
      <c r="E115">
        <v>3</v>
      </c>
      <c r="F115">
        <v>114</v>
      </c>
      <c r="G115" t="str">
        <f t="shared" si="8"/>
        <v>C</v>
      </c>
      <c r="H115">
        <f t="shared" si="14"/>
        <v>3</v>
      </c>
      <c r="I115">
        <f t="shared" si="9"/>
        <v>0</v>
      </c>
      <c r="J115">
        <f t="shared" si="10"/>
        <v>8</v>
      </c>
      <c r="K115">
        <f t="shared" si="11"/>
        <v>0</v>
      </c>
      <c r="L115">
        <f t="shared" si="12"/>
        <v>0</v>
      </c>
      <c r="M115" t="str">
        <f t="shared" si="13"/>
        <v>C</v>
      </c>
    </row>
    <row r="116" spans="1:13" x14ac:dyDescent="0.45">
      <c r="A116">
        <v>115</v>
      </c>
      <c r="B116">
        <v>25.9</v>
      </c>
      <c r="C116">
        <v>6</v>
      </c>
      <c r="D116" t="s">
        <v>5</v>
      </c>
      <c r="E116">
        <v>3</v>
      </c>
      <c r="F116">
        <v>115</v>
      </c>
      <c r="G116" t="str">
        <f t="shared" si="8"/>
        <v>C</v>
      </c>
      <c r="H116">
        <f t="shared" si="14"/>
        <v>3</v>
      </c>
      <c r="I116">
        <f t="shared" si="9"/>
        <v>0</v>
      </c>
      <c r="J116">
        <f t="shared" si="10"/>
        <v>9</v>
      </c>
      <c r="K116">
        <f t="shared" si="11"/>
        <v>0</v>
      </c>
      <c r="L116">
        <f t="shared" si="12"/>
        <v>0</v>
      </c>
      <c r="M116" t="str">
        <f t="shared" si="13"/>
        <v>C</v>
      </c>
    </row>
    <row r="117" spans="1:13" x14ac:dyDescent="0.45">
      <c r="A117">
        <v>116</v>
      </c>
      <c r="B117">
        <v>22.6</v>
      </c>
      <c r="C117">
        <v>23</v>
      </c>
      <c r="D117" t="s">
        <v>5</v>
      </c>
      <c r="E117">
        <v>4</v>
      </c>
      <c r="F117">
        <v>116</v>
      </c>
      <c r="G117" t="str">
        <f t="shared" si="8"/>
        <v>C</v>
      </c>
      <c r="H117">
        <f t="shared" si="14"/>
        <v>4</v>
      </c>
      <c r="I117">
        <f t="shared" si="9"/>
        <v>0</v>
      </c>
      <c r="J117">
        <f t="shared" si="10"/>
        <v>10</v>
      </c>
      <c r="K117">
        <f t="shared" si="11"/>
        <v>0</v>
      </c>
      <c r="L117">
        <f t="shared" si="12"/>
        <v>0</v>
      </c>
      <c r="M117" t="str">
        <f t="shared" si="13"/>
        <v>C</v>
      </c>
    </row>
    <row r="118" spans="1:13" x14ac:dyDescent="0.45">
      <c r="A118">
        <v>117</v>
      </c>
      <c r="B118">
        <v>19.7</v>
      </c>
      <c r="C118">
        <v>16</v>
      </c>
      <c r="D118" t="s">
        <v>5</v>
      </c>
      <c r="E118">
        <v>4</v>
      </c>
      <c r="F118">
        <v>117</v>
      </c>
      <c r="G118" t="str">
        <f t="shared" si="8"/>
        <v>C</v>
      </c>
      <c r="H118">
        <f t="shared" si="14"/>
        <v>4</v>
      </c>
      <c r="I118">
        <f t="shared" si="9"/>
        <v>0</v>
      </c>
      <c r="J118">
        <f t="shared" si="10"/>
        <v>11</v>
      </c>
      <c r="K118">
        <f t="shared" si="11"/>
        <v>0</v>
      </c>
      <c r="L118">
        <f t="shared" si="12"/>
        <v>0</v>
      </c>
      <c r="M118" t="str">
        <f t="shared" si="13"/>
        <v>C</v>
      </c>
    </row>
    <row r="119" spans="1:13" x14ac:dyDescent="0.45">
      <c r="A119">
        <v>118</v>
      </c>
      <c r="B119">
        <v>17.8</v>
      </c>
      <c r="C119">
        <v>1</v>
      </c>
      <c r="D119" t="s">
        <v>5</v>
      </c>
      <c r="E119">
        <v>4</v>
      </c>
      <c r="F119">
        <v>118</v>
      </c>
      <c r="G119" t="str">
        <f t="shared" si="8"/>
        <v>C</v>
      </c>
      <c r="H119">
        <f t="shared" si="14"/>
        <v>4</v>
      </c>
      <c r="I119">
        <f t="shared" si="9"/>
        <v>0</v>
      </c>
      <c r="J119">
        <f t="shared" si="10"/>
        <v>12</v>
      </c>
      <c r="K119">
        <f t="shared" si="11"/>
        <v>0</v>
      </c>
      <c r="L119">
        <f t="shared" si="12"/>
        <v>0</v>
      </c>
      <c r="M119" t="str">
        <f t="shared" si="13"/>
        <v>C</v>
      </c>
    </row>
    <row r="120" spans="1:13" x14ac:dyDescent="0.45">
      <c r="A120">
        <v>119</v>
      </c>
      <c r="B120">
        <v>17.3</v>
      </c>
      <c r="C120">
        <v>27</v>
      </c>
      <c r="D120" t="s">
        <v>5</v>
      </c>
      <c r="E120">
        <v>5</v>
      </c>
      <c r="F120">
        <v>119</v>
      </c>
      <c r="G120" t="str">
        <f t="shared" si="8"/>
        <v>C</v>
      </c>
      <c r="H120">
        <f t="shared" si="14"/>
        <v>5</v>
      </c>
      <c r="I120">
        <f t="shared" si="9"/>
        <v>0</v>
      </c>
      <c r="J120">
        <f t="shared" si="10"/>
        <v>13</v>
      </c>
      <c r="K120">
        <f t="shared" si="11"/>
        <v>0</v>
      </c>
      <c r="L120">
        <f t="shared" si="12"/>
        <v>0</v>
      </c>
      <c r="M120" t="str">
        <f t="shared" si="13"/>
        <v>C</v>
      </c>
    </row>
    <row r="121" spans="1:13" x14ac:dyDescent="0.45">
      <c r="A121">
        <v>120</v>
      </c>
      <c r="B121">
        <v>18.2</v>
      </c>
      <c r="C121">
        <v>0</v>
      </c>
      <c r="D121">
        <v>0</v>
      </c>
      <c r="E121">
        <v>0</v>
      </c>
      <c r="F121">
        <v>120</v>
      </c>
      <c r="G121">
        <f t="shared" si="8"/>
        <v>0</v>
      </c>
      <c r="H121">
        <f t="shared" si="14"/>
        <v>0</v>
      </c>
      <c r="I121">
        <f t="shared" si="9"/>
        <v>1</v>
      </c>
      <c r="J121">
        <f t="shared" si="10"/>
        <v>1</v>
      </c>
      <c r="K121">
        <f t="shared" si="11"/>
        <v>0</v>
      </c>
      <c r="L121">
        <f t="shared" si="12"/>
        <v>0</v>
      </c>
      <c r="M121" t="str">
        <f t="shared" si="13"/>
        <v>C</v>
      </c>
    </row>
    <row r="122" spans="1:13" x14ac:dyDescent="0.45">
      <c r="A122">
        <v>121</v>
      </c>
      <c r="B122">
        <v>19.8</v>
      </c>
      <c r="C122">
        <v>1</v>
      </c>
      <c r="D122" t="s">
        <v>5</v>
      </c>
      <c r="E122">
        <v>1</v>
      </c>
      <c r="F122">
        <v>121</v>
      </c>
      <c r="G122" t="str">
        <f t="shared" si="8"/>
        <v>C</v>
      </c>
      <c r="H122">
        <f t="shared" si="14"/>
        <v>1</v>
      </c>
      <c r="I122">
        <f t="shared" si="9"/>
        <v>0</v>
      </c>
      <c r="J122">
        <f t="shared" si="10"/>
        <v>1</v>
      </c>
      <c r="K122">
        <f t="shared" si="11"/>
        <v>1</v>
      </c>
      <c r="L122">
        <f t="shared" si="12"/>
        <v>0</v>
      </c>
      <c r="M122" t="str">
        <f t="shared" si="13"/>
        <v>C</v>
      </c>
    </row>
    <row r="123" spans="1:13" x14ac:dyDescent="0.45">
      <c r="A123">
        <v>122</v>
      </c>
      <c r="B123">
        <v>21.4</v>
      </c>
      <c r="C123">
        <v>1</v>
      </c>
      <c r="D123" t="s">
        <v>5</v>
      </c>
      <c r="E123">
        <v>1</v>
      </c>
      <c r="F123">
        <v>122</v>
      </c>
      <c r="G123" t="str">
        <f t="shared" si="8"/>
        <v>C</v>
      </c>
      <c r="H123">
        <f t="shared" si="14"/>
        <v>1</v>
      </c>
      <c r="I123">
        <f t="shared" si="9"/>
        <v>0</v>
      </c>
      <c r="J123">
        <f t="shared" si="10"/>
        <v>2</v>
      </c>
      <c r="K123">
        <f t="shared" si="11"/>
        <v>0</v>
      </c>
      <c r="L123">
        <f t="shared" si="12"/>
        <v>0</v>
      </c>
      <c r="M123" t="str">
        <f t="shared" si="13"/>
        <v>C</v>
      </c>
    </row>
    <row r="124" spans="1:13" x14ac:dyDescent="0.45">
      <c r="A124">
        <v>123</v>
      </c>
      <c r="B124">
        <v>22</v>
      </c>
      <c r="C124">
        <v>6</v>
      </c>
      <c r="D124" t="s">
        <v>5</v>
      </c>
      <c r="E124">
        <v>1</v>
      </c>
      <c r="F124">
        <v>123</v>
      </c>
      <c r="G124" t="str">
        <f t="shared" si="8"/>
        <v>C</v>
      </c>
      <c r="H124">
        <f t="shared" si="14"/>
        <v>1</v>
      </c>
      <c r="I124">
        <f t="shared" si="9"/>
        <v>0</v>
      </c>
      <c r="J124">
        <f t="shared" si="10"/>
        <v>3</v>
      </c>
      <c r="K124">
        <f t="shared" si="11"/>
        <v>0</v>
      </c>
      <c r="L124">
        <f t="shared" si="12"/>
        <v>0</v>
      </c>
      <c r="M124" t="str">
        <f t="shared" si="13"/>
        <v>C</v>
      </c>
    </row>
    <row r="125" spans="1:13" x14ac:dyDescent="0.45">
      <c r="A125">
        <v>124</v>
      </c>
      <c r="B125">
        <v>21.2</v>
      </c>
      <c r="C125">
        <v>9</v>
      </c>
      <c r="D125" t="s">
        <v>5</v>
      </c>
      <c r="E125">
        <v>2</v>
      </c>
      <c r="F125">
        <v>124</v>
      </c>
      <c r="G125" t="str">
        <f t="shared" si="8"/>
        <v>C</v>
      </c>
      <c r="H125">
        <f t="shared" si="14"/>
        <v>2</v>
      </c>
      <c r="I125">
        <f t="shared" si="9"/>
        <v>0</v>
      </c>
      <c r="J125">
        <f t="shared" si="10"/>
        <v>4</v>
      </c>
      <c r="K125">
        <f t="shared" si="11"/>
        <v>0</v>
      </c>
      <c r="L125">
        <f t="shared" si="12"/>
        <v>1</v>
      </c>
      <c r="M125" t="str">
        <f t="shared" si="13"/>
        <v>C</v>
      </c>
    </row>
    <row r="126" spans="1:13" x14ac:dyDescent="0.45">
      <c r="A126">
        <v>125</v>
      </c>
      <c r="B126">
        <v>18.8</v>
      </c>
      <c r="C126">
        <v>7</v>
      </c>
      <c r="D126" t="s">
        <v>5</v>
      </c>
      <c r="E126">
        <v>2</v>
      </c>
      <c r="F126">
        <v>125</v>
      </c>
      <c r="G126" t="str">
        <f t="shared" si="8"/>
        <v>C</v>
      </c>
      <c r="H126">
        <f t="shared" si="14"/>
        <v>2</v>
      </c>
      <c r="I126">
        <f t="shared" si="9"/>
        <v>0</v>
      </c>
      <c r="J126">
        <f t="shared" si="10"/>
        <v>5</v>
      </c>
      <c r="K126">
        <f t="shared" si="11"/>
        <v>0</v>
      </c>
      <c r="L126">
        <f t="shared" si="12"/>
        <v>0</v>
      </c>
      <c r="M126" t="str">
        <f t="shared" si="13"/>
        <v>C</v>
      </c>
    </row>
    <row r="127" spans="1:13" x14ac:dyDescent="0.45">
      <c r="A127">
        <v>126</v>
      </c>
      <c r="B127">
        <v>15.2</v>
      </c>
      <c r="C127">
        <v>12</v>
      </c>
      <c r="D127" t="s">
        <v>5</v>
      </c>
      <c r="E127">
        <v>2</v>
      </c>
      <c r="F127">
        <v>126</v>
      </c>
      <c r="G127" t="str">
        <f t="shared" si="8"/>
        <v>C</v>
      </c>
      <c r="H127">
        <f t="shared" si="14"/>
        <v>2</v>
      </c>
      <c r="I127">
        <f t="shared" si="9"/>
        <v>0</v>
      </c>
      <c r="J127">
        <f t="shared" si="10"/>
        <v>6</v>
      </c>
      <c r="K127">
        <f t="shared" si="11"/>
        <v>0</v>
      </c>
      <c r="L127">
        <f t="shared" si="12"/>
        <v>0</v>
      </c>
      <c r="M127" t="str">
        <f t="shared" si="13"/>
        <v>C</v>
      </c>
    </row>
    <row r="128" spans="1:13" x14ac:dyDescent="0.45">
      <c r="A128">
        <v>127</v>
      </c>
      <c r="B128">
        <v>11.1</v>
      </c>
      <c r="C128">
        <v>15</v>
      </c>
      <c r="D128" t="s">
        <v>5</v>
      </c>
      <c r="E128">
        <v>3</v>
      </c>
      <c r="F128">
        <v>127</v>
      </c>
      <c r="G128" t="str">
        <f t="shared" si="8"/>
        <v>C</v>
      </c>
      <c r="H128">
        <f t="shared" si="14"/>
        <v>3</v>
      </c>
      <c r="I128">
        <f t="shared" si="9"/>
        <v>0</v>
      </c>
      <c r="J128">
        <f t="shared" si="10"/>
        <v>7</v>
      </c>
      <c r="K128">
        <f t="shared" si="11"/>
        <v>0</v>
      </c>
      <c r="L128">
        <f t="shared" si="12"/>
        <v>0</v>
      </c>
      <c r="M128" t="str">
        <f t="shared" si="13"/>
        <v>C</v>
      </c>
    </row>
    <row r="129" spans="1:13" x14ac:dyDescent="0.45">
      <c r="A129">
        <v>128</v>
      </c>
      <c r="B129">
        <v>7.5</v>
      </c>
      <c r="C129">
        <v>10</v>
      </c>
      <c r="D129" t="s">
        <v>5</v>
      </c>
      <c r="E129">
        <v>3</v>
      </c>
      <c r="F129">
        <v>128</v>
      </c>
      <c r="G129" t="str">
        <f t="shared" si="8"/>
        <v>C</v>
      </c>
      <c r="H129">
        <f t="shared" si="14"/>
        <v>3</v>
      </c>
      <c r="I129">
        <f t="shared" si="9"/>
        <v>0</v>
      </c>
      <c r="J129">
        <f t="shared" si="10"/>
        <v>8</v>
      </c>
      <c r="K129">
        <f t="shared" si="11"/>
        <v>0</v>
      </c>
      <c r="L129">
        <f t="shared" si="12"/>
        <v>0</v>
      </c>
      <c r="M129" t="str">
        <f t="shared" si="13"/>
        <v>S</v>
      </c>
    </row>
    <row r="130" spans="1:13" x14ac:dyDescent="0.45">
      <c r="A130">
        <v>129</v>
      </c>
      <c r="B130">
        <v>5.2</v>
      </c>
      <c r="C130">
        <v>5</v>
      </c>
      <c r="D130" t="s">
        <v>5</v>
      </c>
      <c r="E130">
        <v>3</v>
      </c>
      <c r="F130">
        <v>129</v>
      </c>
      <c r="G130" t="str">
        <f t="shared" si="8"/>
        <v>C</v>
      </c>
      <c r="H130">
        <f t="shared" si="14"/>
        <v>3</v>
      </c>
      <c r="I130">
        <f t="shared" si="9"/>
        <v>0</v>
      </c>
      <c r="J130">
        <f t="shared" si="10"/>
        <v>9</v>
      </c>
      <c r="K130">
        <f t="shared" si="11"/>
        <v>0</v>
      </c>
      <c r="L130">
        <f t="shared" si="12"/>
        <v>0</v>
      </c>
      <c r="M130" t="str">
        <f t="shared" si="13"/>
        <v>S</v>
      </c>
    </row>
    <row r="131" spans="1:13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v>130</v>
      </c>
      <c r="G131" t="str">
        <f t="shared" si="8"/>
        <v>C</v>
      </c>
      <c r="H131">
        <f t="shared" si="14"/>
        <v>4</v>
      </c>
      <c r="I131">
        <f t="shared" si="9"/>
        <v>0</v>
      </c>
      <c r="J131">
        <f t="shared" si="10"/>
        <v>10</v>
      </c>
      <c r="K131">
        <f t="shared" si="11"/>
        <v>0</v>
      </c>
      <c r="L131">
        <f t="shared" si="12"/>
        <v>0</v>
      </c>
      <c r="M131" t="str">
        <f t="shared" si="13"/>
        <v>S</v>
      </c>
    </row>
    <row r="132" spans="1:13" x14ac:dyDescent="0.45">
      <c r="A132">
        <v>131</v>
      </c>
      <c r="B132">
        <v>5.5</v>
      </c>
      <c r="C132">
        <v>11</v>
      </c>
      <c r="D132" t="s">
        <v>5</v>
      </c>
      <c r="E132">
        <v>4</v>
      </c>
      <c r="F132">
        <v>131</v>
      </c>
      <c r="G132" t="str">
        <f t="shared" ref="G132:G195" si="15">IF(I132=1,0, IF(K132=1,M132,G131))</f>
        <v>C</v>
      </c>
      <c r="H132">
        <f t="shared" si="14"/>
        <v>4</v>
      </c>
      <c r="I132">
        <f t="shared" ref="I132:I195" si="16">IF(AND(H131=5,C131&gt;=20),1,0)</f>
        <v>0</v>
      </c>
      <c r="J132">
        <f t="shared" ref="J132:J195" si="17">IF(G132=G131,J131+1,1)</f>
        <v>11</v>
      </c>
      <c r="K132">
        <f t="shared" ref="K132:K195" si="18">IF(AND(G131=0,H131=0),1,0)</f>
        <v>0</v>
      </c>
      <c r="L132">
        <f t="shared" ref="L132:L195" si="19">IF(J131=3,1,0)</f>
        <v>0</v>
      </c>
      <c r="M132" t="str">
        <f t="shared" ref="M132:M195" si="20">IF(B132&lt;10,"S","C")</f>
        <v>S</v>
      </c>
    </row>
    <row r="133" spans="1:13" x14ac:dyDescent="0.45">
      <c r="A133">
        <v>132</v>
      </c>
      <c r="B133">
        <v>7.3</v>
      </c>
      <c r="C133">
        <v>23</v>
      </c>
      <c r="D133" t="s">
        <v>5</v>
      </c>
      <c r="E133">
        <v>4</v>
      </c>
      <c r="F133">
        <v>132</v>
      </c>
      <c r="G133" t="str">
        <f t="shared" si="15"/>
        <v>C</v>
      </c>
      <c r="H133">
        <f t="shared" si="14"/>
        <v>4</v>
      </c>
      <c r="I133">
        <f t="shared" si="16"/>
        <v>0</v>
      </c>
      <c r="J133">
        <f t="shared" si="17"/>
        <v>12</v>
      </c>
      <c r="K133">
        <f t="shared" si="18"/>
        <v>0</v>
      </c>
      <c r="L133">
        <f t="shared" si="19"/>
        <v>0</v>
      </c>
      <c r="M133" t="str">
        <f t="shared" si="20"/>
        <v>S</v>
      </c>
    </row>
    <row r="134" spans="1:13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v>133</v>
      </c>
      <c r="G134" t="str">
        <f t="shared" si="15"/>
        <v>C</v>
      </c>
      <c r="H134">
        <f t="shared" si="14"/>
        <v>5</v>
      </c>
      <c r="I134">
        <f t="shared" si="16"/>
        <v>0</v>
      </c>
      <c r="J134">
        <f t="shared" si="17"/>
        <v>13</v>
      </c>
      <c r="K134">
        <f t="shared" si="18"/>
        <v>0</v>
      </c>
      <c r="L134">
        <f t="shared" si="19"/>
        <v>0</v>
      </c>
      <c r="M134" t="str">
        <f t="shared" si="20"/>
        <v>S</v>
      </c>
    </row>
    <row r="135" spans="1:13" x14ac:dyDescent="0.45">
      <c r="A135">
        <v>134</v>
      </c>
      <c r="B135">
        <v>10.5</v>
      </c>
      <c r="C135">
        <v>21</v>
      </c>
      <c r="D135" t="s">
        <v>5</v>
      </c>
      <c r="E135">
        <v>5</v>
      </c>
      <c r="F135">
        <v>134</v>
      </c>
      <c r="G135" t="str">
        <f t="shared" si="15"/>
        <v>C</v>
      </c>
      <c r="H135">
        <f t="shared" ref="H135:H198" si="21">IF(I135=1,0,IF(K135=1,1,IF(MOD(J134,3)=0, IF(H134+1&gt;5,5,H134+1),H134)))</f>
        <v>5</v>
      </c>
      <c r="I135">
        <f t="shared" si="16"/>
        <v>0</v>
      </c>
      <c r="J135">
        <f t="shared" si="17"/>
        <v>14</v>
      </c>
      <c r="K135">
        <f t="shared" si="18"/>
        <v>0</v>
      </c>
      <c r="L135">
        <f t="shared" si="19"/>
        <v>0</v>
      </c>
      <c r="M135" t="str">
        <f t="shared" si="20"/>
        <v>C</v>
      </c>
    </row>
    <row r="136" spans="1:13" x14ac:dyDescent="0.45">
      <c r="A136">
        <v>135</v>
      </c>
      <c r="B136">
        <v>10.4</v>
      </c>
      <c r="C136">
        <v>0</v>
      </c>
      <c r="D136">
        <v>0</v>
      </c>
      <c r="E136">
        <v>0</v>
      </c>
      <c r="F136">
        <v>135</v>
      </c>
      <c r="G136">
        <f t="shared" si="15"/>
        <v>0</v>
      </c>
      <c r="H136">
        <f t="shared" si="21"/>
        <v>0</v>
      </c>
      <c r="I136">
        <f t="shared" si="16"/>
        <v>1</v>
      </c>
      <c r="J136">
        <f t="shared" si="17"/>
        <v>1</v>
      </c>
      <c r="K136">
        <f t="shared" si="18"/>
        <v>0</v>
      </c>
      <c r="L136">
        <f t="shared" si="19"/>
        <v>0</v>
      </c>
      <c r="M136" t="str">
        <f t="shared" si="20"/>
        <v>C</v>
      </c>
    </row>
    <row r="137" spans="1:13" x14ac:dyDescent="0.45">
      <c r="A137">
        <v>136</v>
      </c>
      <c r="B137">
        <v>9</v>
      </c>
      <c r="C137">
        <v>4</v>
      </c>
      <c r="D137" t="s">
        <v>6</v>
      </c>
      <c r="E137">
        <v>1</v>
      </c>
      <c r="F137">
        <v>136</v>
      </c>
      <c r="G137" t="str">
        <f t="shared" si="15"/>
        <v>S</v>
      </c>
      <c r="H137">
        <f t="shared" si="21"/>
        <v>1</v>
      </c>
      <c r="I137">
        <f t="shared" si="16"/>
        <v>0</v>
      </c>
      <c r="J137">
        <f t="shared" si="17"/>
        <v>1</v>
      </c>
      <c r="K137">
        <f t="shared" si="18"/>
        <v>1</v>
      </c>
      <c r="L137">
        <f t="shared" si="19"/>
        <v>0</v>
      </c>
      <c r="M137" t="str">
        <f t="shared" si="20"/>
        <v>S</v>
      </c>
    </row>
    <row r="138" spans="1:13" x14ac:dyDescent="0.45">
      <c r="A138">
        <v>137</v>
      </c>
      <c r="B138">
        <v>6.4</v>
      </c>
      <c r="C138">
        <v>3</v>
      </c>
      <c r="D138" t="s">
        <v>6</v>
      </c>
      <c r="E138">
        <v>1</v>
      </c>
      <c r="F138">
        <v>137</v>
      </c>
      <c r="G138" t="str">
        <f t="shared" si="15"/>
        <v>S</v>
      </c>
      <c r="H138">
        <f t="shared" si="21"/>
        <v>1</v>
      </c>
      <c r="I138">
        <f t="shared" si="16"/>
        <v>0</v>
      </c>
      <c r="J138">
        <f t="shared" si="17"/>
        <v>2</v>
      </c>
      <c r="K138">
        <f t="shared" si="18"/>
        <v>0</v>
      </c>
      <c r="L138">
        <f t="shared" si="19"/>
        <v>0</v>
      </c>
      <c r="M138" t="str">
        <f t="shared" si="20"/>
        <v>S</v>
      </c>
    </row>
    <row r="139" spans="1:13" x14ac:dyDescent="0.45">
      <c r="A139">
        <v>138</v>
      </c>
      <c r="B139">
        <v>3.6</v>
      </c>
      <c r="C139">
        <v>3</v>
      </c>
      <c r="D139" t="s">
        <v>6</v>
      </c>
      <c r="E139">
        <v>1</v>
      </c>
      <c r="F139">
        <v>138</v>
      </c>
      <c r="G139" t="str">
        <f t="shared" si="15"/>
        <v>S</v>
      </c>
      <c r="H139">
        <f t="shared" si="21"/>
        <v>1</v>
      </c>
      <c r="I139">
        <f t="shared" si="16"/>
        <v>0</v>
      </c>
      <c r="J139">
        <f t="shared" si="17"/>
        <v>3</v>
      </c>
      <c r="K139">
        <f t="shared" si="18"/>
        <v>0</v>
      </c>
      <c r="L139">
        <f t="shared" si="19"/>
        <v>0</v>
      </c>
      <c r="M139" t="str">
        <f t="shared" si="20"/>
        <v>S</v>
      </c>
    </row>
    <row r="140" spans="1:13" x14ac:dyDescent="0.45">
      <c r="A140">
        <v>139</v>
      </c>
      <c r="B140">
        <v>1.4</v>
      </c>
      <c r="C140">
        <v>4</v>
      </c>
      <c r="D140" t="s">
        <v>6</v>
      </c>
      <c r="E140">
        <v>2</v>
      </c>
      <c r="F140">
        <v>139</v>
      </c>
      <c r="G140" t="str">
        <f t="shared" si="15"/>
        <v>S</v>
      </c>
      <c r="H140">
        <f t="shared" si="21"/>
        <v>2</v>
      </c>
      <c r="I140">
        <f t="shared" si="16"/>
        <v>0</v>
      </c>
      <c r="J140">
        <f t="shared" si="17"/>
        <v>4</v>
      </c>
      <c r="K140">
        <f t="shared" si="18"/>
        <v>0</v>
      </c>
      <c r="L140">
        <f t="shared" si="19"/>
        <v>1</v>
      </c>
      <c r="M140" t="str">
        <f t="shared" si="20"/>
        <v>S</v>
      </c>
    </row>
    <row r="141" spans="1:13" x14ac:dyDescent="0.45">
      <c r="A141">
        <v>140</v>
      </c>
      <c r="B141">
        <v>0.5</v>
      </c>
      <c r="C141">
        <v>5</v>
      </c>
      <c r="D141" t="s">
        <v>6</v>
      </c>
      <c r="E141">
        <v>2</v>
      </c>
      <c r="F141">
        <v>140</v>
      </c>
      <c r="G141" t="str">
        <f t="shared" si="15"/>
        <v>S</v>
      </c>
      <c r="H141">
        <f t="shared" si="21"/>
        <v>2</v>
      </c>
      <c r="I141">
        <f t="shared" si="16"/>
        <v>0</v>
      </c>
      <c r="J141">
        <f t="shared" si="17"/>
        <v>5</v>
      </c>
      <c r="K141">
        <f t="shared" si="18"/>
        <v>0</v>
      </c>
      <c r="L141">
        <f t="shared" si="19"/>
        <v>0</v>
      </c>
      <c r="M141" t="str">
        <f t="shared" si="20"/>
        <v>S</v>
      </c>
    </row>
    <row r="142" spans="1:13" x14ac:dyDescent="0.45">
      <c r="A142">
        <v>141</v>
      </c>
      <c r="B142">
        <v>1.4</v>
      </c>
      <c r="C142">
        <v>1</v>
      </c>
      <c r="D142" t="s">
        <v>6</v>
      </c>
      <c r="E142">
        <v>2</v>
      </c>
      <c r="F142">
        <v>141</v>
      </c>
      <c r="G142" t="str">
        <f t="shared" si="15"/>
        <v>S</v>
      </c>
      <c r="H142">
        <f t="shared" si="21"/>
        <v>2</v>
      </c>
      <c r="I142">
        <f t="shared" si="16"/>
        <v>0</v>
      </c>
      <c r="J142">
        <f t="shared" si="17"/>
        <v>6</v>
      </c>
      <c r="K142">
        <f t="shared" si="18"/>
        <v>0</v>
      </c>
      <c r="L142">
        <f t="shared" si="19"/>
        <v>0</v>
      </c>
      <c r="M142" t="str">
        <f t="shared" si="20"/>
        <v>S</v>
      </c>
    </row>
    <row r="143" spans="1:13" x14ac:dyDescent="0.45">
      <c r="A143">
        <v>142</v>
      </c>
      <c r="B143">
        <v>3.9</v>
      </c>
      <c r="C143">
        <v>3</v>
      </c>
      <c r="D143" t="s">
        <v>6</v>
      </c>
      <c r="E143">
        <v>3</v>
      </c>
      <c r="F143">
        <v>142</v>
      </c>
      <c r="G143" t="str">
        <f t="shared" si="15"/>
        <v>S</v>
      </c>
      <c r="H143">
        <f t="shared" si="21"/>
        <v>3</v>
      </c>
      <c r="I143">
        <f t="shared" si="16"/>
        <v>0</v>
      </c>
      <c r="J143">
        <f t="shared" si="17"/>
        <v>7</v>
      </c>
      <c r="K143">
        <f t="shared" si="18"/>
        <v>0</v>
      </c>
      <c r="L143">
        <f t="shared" si="19"/>
        <v>0</v>
      </c>
      <c r="M143" t="str">
        <f t="shared" si="20"/>
        <v>S</v>
      </c>
    </row>
    <row r="144" spans="1:13" x14ac:dyDescent="0.45">
      <c r="A144">
        <v>143</v>
      </c>
      <c r="B144">
        <v>7.3</v>
      </c>
      <c r="C144">
        <v>13</v>
      </c>
      <c r="D144" t="s">
        <v>6</v>
      </c>
      <c r="E144">
        <v>3</v>
      </c>
      <c r="F144">
        <v>143</v>
      </c>
      <c r="G144" t="str">
        <f t="shared" si="15"/>
        <v>S</v>
      </c>
      <c r="H144">
        <f t="shared" si="21"/>
        <v>3</v>
      </c>
      <c r="I144">
        <f t="shared" si="16"/>
        <v>0</v>
      </c>
      <c r="J144">
        <f t="shared" si="17"/>
        <v>8</v>
      </c>
      <c r="K144">
        <f t="shared" si="18"/>
        <v>0</v>
      </c>
      <c r="L144">
        <f t="shared" si="19"/>
        <v>0</v>
      </c>
      <c r="M144" t="str">
        <f t="shared" si="20"/>
        <v>S</v>
      </c>
    </row>
    <row r="145" spans="1:13" x14ac:dyDescent="0.45">
      <c r="A145">
        <v>144</v>
      </c>
      <c r="B145">
        <v>10.9</v>
      </c>
      <c r="C145">
        <v>12</v>
      </c>
      <c r="D145" t="s">
        <v>6</v>
      </c>
      <c r="E145">
        <v>3</v>
      </c>
      <c r="F145">
        <v>144</v>
      </c>
      <c r="G145" t="str">
        <f t="shared" si="15"/>
        <v>S</v>
      </c>
      <c r="H145">
        <f t="shared" si="21"/>
        <v>3</v>
      </c>
      <c r="I145">
        <f t="shared" si="16"/>
        <v>0</v>
      </c>
      <c r="J145">
        <f t="shared" si="17"/>
        <v>9</v>
      </c>
      <c r="K145">
        <f t="shared" si="18"/>
        <v>0</v>
      </c>
      <c r="L145">
        <f t="shared" si="19"/>
        <v>0</v>
      </c>
      <c r="M145" t="str">
        <f t="shared" si="20"/>
        <v>C</v>
      </c>
    </row>
    <row r="146" spans="1:13" x14ac:dyDescent="0.45">
      <c r="A146">
        <v>145</v>
      </c>
      <c r="B146">
        <v>13.7</v>
      </c>
      <c r="C146">
        <v>9</v>
      </c>
      <c r="D146" t="s">
        <v>6</v>
      </c>
      <c r="E146">
        <v>4</v>
      </c>
      <c r="F146">
        <v>145</v>
      </c>
      <c r="G146" t="str">
        <f t="shared" si="15"/>
        <v>S</v>
      </c>
      <c r="H146">
        <f t="shared" si="21"/>
        <v>4</v>
      </c>
      <c r="I146">
        <f t="shared" si="16"/>
        <v>0</v>
      </c>
      <c r="J146">
        <f t="shared" si="17"/>
        <v>10</v>
      </c>
      <c r="K146">
        <f t="shared" si="18"/>
        <v>0</v>
      </c>
      <c r="L146">
        <f t="shared" si="19"/>
        <v>0</v>
      </c>
      <c r="M146" t="str">
        <f t="shared" si="20"/>
        <v>C</v>
      </c>
    </row>
    <row r="147" spans="1:13" x14ac:dyDescent="0.45">
      <c r="A147">
        <v>146</v>
      </c>
      <c r="B147">
        <v>15.1</v>
      </c>
      <c r="C147">
        <v>21</v>
      </c>
      <c r="D147" t="s">
        <v>6</v>
      </c>
      <c r="E147">
        <v>4</v>
      </c>
      <c r="F147">
        <v>146</v>
      </c>
      <c r="G147" t="str">
        <f t="shared" si="15"/>
        <v>S</v>
      </c>
      <c r="H147">
        <f t="shared" si="21"/>
        <v>4</v>
      </c>
      <c r="I147">
        <f t="shared" si="16"/>
        <v>0</v>
      </c>
      <c r="J147">
        <f t="shared" si="17"/>
        <v>11</v>
      </c>
      <c r="K147">
        <f t="shared" si="18"/>
        <v>0</v>
      </c>
      <c r="L147">
        <f t="shared" si="19"/>
        <v>0</v>
      </c>
      <c r="M147" t="str">
        <f t="shared" si="20"/>
        <v>C</v>
      </c>
    </row>
    <row r="148" spans="1:13" x14ac:dyDescent="0.45">
      <c r="A148">
        <v>147</v>
      </c>
      <c r="B148">
        <v>15.1</v>
      </c>
      <c r="C148">
        <v>14</v>
      </c>
      <c r="D148" t="s">
        <v>6</v>
      </c>
      <c r="E148">
        <v>4</v>
      </c>
      <c r="F148">
        <v>147</v>
      </c>
      <c r="G148" t="str">
        <f t="shared" si="15"/>
        <v>S</v>
      </c>
      <c r="H148">
        <f t="shared" si="21"/>
        <v>4</v>
      </c>
      <c r="I148">
        <f t="shared" si="16"/>
        <v>0</v>
      </c>
      <c r="J148">
        <f t="shared" si="17"/>
        <v>12</v>
      </c>
      <c r="K148">
        <f t="shared" si="18"/>
        <v>0</v>
      </c>
      <c r="L148">
        <f t="shared" si="19"/>
        <v>0</v>
      </c>
      <c r="M148" t="str">
        <f t="shared" si="20"/>
        <v>C</v>
      </c>
    </row>
    <row r="149" spans="1:13" x14ac:dyDescent="0.45">
      <c r="A149">
        <v>148</v>
      </c>
      <c r="B149">
        <v>13.9</v>
      </c>
      <c r="C149">
        <v>11</v>
      </c>
      <c r="D149" t="s">
        <v>6</v>
      </c>
      <c r="E149">
        <v>5</v>
      </c>
      <c r="F149">
        <v>148</v>
      </c>
      <c r="G149" t="str">
        <f t="shared" si="15"/>
        <v>S</v>
      </c>
      <c r="H149">
        <f t="shared" si="21"/>
        <v>5</v>
      </c>
      <c r="I149">
        <f t="shared" si="16"/>
        <v>0</v>
      </c>
      <c r="J149">
        <f t="shared" si="17"/>
        <v>13</v>
      </c>
      <c r="K149">
        <f t="shared" si="18"/>
        <v>0</v>
      </c>
      <c r="L149">
        <f t="shared" si="19"/>
        <v>0</v>
      </c>
      <c r="M149" t="str">
        <f t="shared" si="20"/>
        <v>C</v>
      </c>
    </row>
    <row r="150" spans="1:13" x14ac:dyDescent="0.45">
      <c r="A150">
        <v>149</v>
      </c>
      <c r="B150">
        <v>12.3</v>
      </c>
      <c r="C150">
        <v>20</v>
      </c>
      <c r="D150" t="s">
        <v>6</v>
      </c>
      <c r="E150">
        <v>5</v>
      </c>
      <c r="F150">
        <v>149</v>
      </c>
      <c r="G150" t="str">
        <f t="shared" si="15"/>
        <v>S</v>
      </c>
      <c r="H150">
        <f t="shared" si="21"/>
        <v>5</v>
      </c>
      <c r="I150">
        <f t="shared" si="16"/>
        <v>0</v>
      </c>
      <c r="J150">
        <f t="shared" si="17"/>
        <v>14</v>
      </c>
      <c r="K150">
        <f t="shared" si="18"/>
        <v>0</v>
      </c>
      <c r="L150">
        <f t="shared" si="19"/>
        <v>0</v>
      </c>
      <c r="M150" t="str">
        <f t="shared" si="20"/>
        <v>C</v>
      </c>
    </row>
    <row r="151" spans="1:13" x14ac:dyDescent="0.45">
      <c r="A151">
        <v>150</v>
      </c>
      <c r="B151">
        <v>11.2</v>
      </c>
      <c r="C151">
        <v>0</v>
      </c>
      <c r="D151">
        <v>0</v>
      </c>
      <c r="E151">
        <v>0</v>
      </c>
      <c r="F151">
        <v>150</v>
      </c>
      <c r="G151">
        <f t="shared" si="15"/>
        <v>0</v>
      </c>
      <c r="H151">
        <f t="shared" si="21"/>
        <v>0</v>
      </c>
      <c r="I151">
        <f t="shared" si="16"/>
        <v>1</v>
      </c>
      <c r="J151">
        <f t="shared" si="17"/>
        <v>1</v>
      </c>
      <c r="K151">
        <f t="shared" si="18"/>
        <v>0</v>
      </c>
      <c r="L151">
        <f t="shared" si="19"/>
        <v>0</v>
      </c>
      <c r="M151" t="str">
        <f t="shared" si="20"/>
        <v>C</v>
      </c>
    </row>
    <row r="152" spans="1:13" x14ac:dyDescent="0.45">
      <c r="A152">
        <v>151</v>
      </c>
      <c r="B152">
        <v>11.3</v>
      </c>
      <c r="C152">
        <v>6</v>
      </c>
      <c r="D152" t="s">
        <v>5</v>
      </c>
      <c r="E152">
        <v>1</v>
      </c>
      <c r="F152">
        <v>151</v>
      </c>
      <c r="G152" t="str">
        <f t="shared" si="15"/>
        <v>C</v>
      </c>
      <c r="H152">
        <f t="shared" si="21"/>
        <v>1</v>
      </c>
      <c r="I152">
        <f t="shared" si="16"/>
        <v>0</v>
      </c>
      <c r="J152">
        <f t="shared" si="17"/>
        <v>1</v>
      </c>
      <c r="K152">
        <f t="shared" si="18"/>
        <v>1</v>
      </c>
      <c r="L152">
        <f t="shared" si="19"/>
        <v>0</v>
      </c>
      <c r="M152" t="str">
        <f t="shared" si="20"/>
        <v>C</v>
      </c>
    </row>
    <row r="153" spans="1:13" x14ac:dyDescent="0.45">
      <c r="A153">
        <v>152</v>
      </c>
      <c r="B153">
        <v>12.9</v>
      </c>
      <c r="C153">
        <v>3</v>
      </c>
      <c r="D153" t="s">
        <v>5</v>
      </c>
      <c r="E153">
        <v>1</v>
      </c>
      <c r="F153">
        <v>152</v>
      </c>
      <c r="G153" t="str">
        <f t="shared" si="15"/>
        <v>C</v>
      </c>
      <c r="H153">
        <f t="shared" si="21"/>
        <v>1</v>
      </c>
      <c r="I153">
        <f t="shared" si="16"/>
        <v>0</v>
      </c>
      <c r="J153">
        <f t="shared" si="17"/>
        <v>2</v>
      </c>
      <c r="K153">
        <f t="shared" si="18"/>
        <v>0</v>
      </c>
      <c r="L153">
        <f t="shared" si="19"/>
        <v>0</v>
      </c>
      <c r="M153" t="str">
        <f t="shared" si="20"/>
        <v>C</v>
      </c>
    </row>
    <row r="154" spans="1:13" x14ac:dyDescent="0.45">
      <c r="A154">
        <v>153</v>
      </c>
      <c r="B154">
        <v>16</v>
      </c>
      <c r="C154">
        <v>6</v>
      </c>
      <c r="D154" t="s">
        <v>5</v>
      </c>
      <c r="E154">
        <v>1</v>
      </c>
      <c r="F154">
        <v>153</v>
      </c>
      <c r="G154" t="str">
        <f t="shared" si="15"/>
        <v>C</v>
      </c>
      <c r="H154">
        <f t="shared" si="21"/>
        <v>1</v>
      </c>
      <c r="I154">
        <f t="shared" si="16"/>
        <v>0</v>
      </c>
      <c r="J154">
        <f t="shared" si="17"/>
        <v>3</v>
      </c>
      <c r="K154">
        <f t="shared" si="18"/>
        <v>0</v>
      </c>
      <c r="L154">
        <f t="shared" si="19"/>
        <v>0</v>
      </c>
      <c r="M154" t="str">
        <f t="shared" si="20"/>
        <v>C</v>
      </c>
    </row>
    <row r="155" spans="1:13" x14ac:dyDescent="0.45">
      <c r="A155">
        <v>154</v>
      </c>
      <c r="B155">
        <v>19.8</v>
      </c>
      <c r="C155">
        <v>2</v>
      </c>
      <c r="D155" t="s">
        <v>5</v>
      </c>
      <c r="E155">
        <v>2</v>
      </c>
      <c r="F155">
        <v>154</v>
      </c>
      <c r="G155" t="str">
        <f t="shared" si="15"/>
        <v>C</v>
      </c>
      <c r="H155">
        <f t="shared" si="21"/>
        <v>2</v>
      </c>
      <c r="I155">
        <f t="shared" si="16"/>
        <v>0</v>
      </c>
      <c r="J155">
        <f t="shared" si="17"/>
        <v>4</v>
      </c>
      <c r="K155">
        <f t="shared" si="18"/>
        <v>0</v>
      </c>
      <c r="L155">
        <f t="shared" si="19"/>
        <v>1</v>
      </c>
      <c r="M155" t="str">
        <f t="shared" si="20"/>
        <v>C</v>
      </c>
    </row>
    <row r="156" spans="1:13" x14ac:dyDescent="0.45">
      <c r="A156">
        <v>155</v>
      </c>
      <c r="B156">
        <v>23.6</v>
      </c>
      <c r="C156">
        <v>11</v>
      </c>
      <c r="D156" t="s">
        <v>5</v>
      </c>
      <c r="E156">
        <v>2</v>
      </c>
      <c r="F156">
        <v>155</v>
      </c>
      <c r="G156" t="str">
        <f t="shared" si="15"/>
        <v>C</v>
      </c>
      <c r="H156">
        <f t="shared" si="21"/>
        <v>2</v>
      </c>
      <c r="I156">
        <f t="shared" si="16"/>
        <v>0</v>
      </c>
      <c r="J156">
        <f t="shared" si="17"/>
        <v>5</v>
      </c>
      <c r="K156">
        <f t="shared" si="18"/>
        <v>0</v>
      </c>
      <c r="L156">
        <f t="shared" si="19"/>
        <v>0</v>
      </c>
      <c r="M156" t="str">
        <f t="shared" si="20"/>
        <v>C</v>
      </c>
    </row>
    <row r="157" spans="1:13" x14ac:dyDescent="0.45">
      <c r="A157">
        <v>156</v>
      </c>
      <c r="B157">
        <v>26.4</v>
      </c>
      <c r="C157">
        <v>11</v>
      </c>
      <c r="D157" t="s">
        <v>5</v>
      </c>
      <c r="E157">
        <v>2</v>
      </c>
      <c r="F157">
        <v>156</v>
      </c>
      <c r="G157" t="str">
        <f t="shared" si="15"/>
        <v>C</v>
      </c>
      <c r="H157">
        <f t="shared" si="21"/>
        <v>2</v>
      </c>
      <c r="I157">
        <f t="shared" si="16"/>
        <v>0</v>
      </c>
      <c r="J157">
        <f t="shared" si="17"/>
        <v>6</v>
      </c>
      <c r="K157">
        <f t="shared" si="18"/>
        <v>0</v>
      </c>
      <c r="L157">
        <f t="shared" si="19"/>
        <v>0</v>
      </c>
      <c r="M157" t="str">
        <f t="shared" si="20"/>
        <v>C</v>
      </c>
    </row>
    <row r="158" spans="1:13" x14ac:dyDescent="0.45">
      <c r="A158">
        <v>157</v>
      </c>
      <c r="B158">
        <v>27.7</v>
      </c>
      <c r="C158">
        <v>5</v>
      </c>
      <c r="D158" t="s">
        <v>5</v>
      </c>
      <c r="E158">
        <v>3</v>
      </c>
      <c r="F158">
        <v>157</v>
      </c>
      <c r="G158" t="str">
        <f t="shared" si="15"/>
        <v>C</v>
      </c>
      <c r="H158">
        <f t="shared" si="21"/>
        <v>3</v>
      </c>
      <c r="I158">
        <f t="shared" si="16"/>
        <v>0</v>
      </c>
      <c r="J158">
        <f t="shared" si="17"/>
        <v>7</v>
      </c>
      <c r="K158">
        <f t="shared" si="18"/>
        <v>0</v>
      </c>
      <c r="L158">
        <f t="shared" si="19"/>
        <v>0</v>
      </c>
      <c r="M158" t="str">
        <f t="shared" si="20"/>
        <v>C</v>
      </c>
    </row>
    <row r="159" spans="1:13" x14ac:dyDescent="0.45">
      <c r="A159">
        <v>158</v>
      </c>
      <c r="B159">
        <v>27.2</v>
      </c>
      <c r="C159">
        <v>18</v>
      </c>
      <c r="D159" t="s">
        <v>5</v>
      </c>
      <c r="E159">
        <v>3</v>
      </c>
      <c r="F159">
        <v>158</v>
      </c>
      <c r="G159" t="str">
        <f t="shared" si="15"/>
        <v>C</v>
      </c>
      <c r="H159">
        <f t="shared" si="21"/>
        <v>3</v>
      </c>
      <c r="I159">
        <f t="shared" si="16"/>
        <v>0</v>
      </c>
      <c r="J159">
        <f t="shared" si="17"/>
        <v>8</v>
      </c>
      <c r="K159">
        <f t="shared" si="18"/>
        <v>0</v>
      </c>
      <c r="L159">
        <f t="shared" si="19"/>
        <v>0</v>
      </c>
      <c r="M159" t="str">
        <f t="shared" si="20"/>
        <v>C</v>
      </c>
    </row>
    <row r="160" spans="1:13" x14ac:dyDescent="0.45">
      <c r="A160">
        <v>159</v>
      </c>
      <c r="B160">
        <v>25.5</v>
      </c>
      <c r="C160">
        <v>5</v>
      </c>
      <c r="D160" t="s">
        <v>5</v>
      </c>
      <c r="E160">
        <v>3</v>
      </c>
      <c r="F160">
        <v>159</v>
      </c>
      <c r="G160" t="str">
        <f t="shared" si="15"/>
        <v>C</v>
      </c>
      <c r="H160">
        <f t="shared" si="21"/>
        <v>3</v>
      </c>
      <c r="I160">
        <f t="shared" si="16"/>
        <v>0</v>
      </c>
      <c r="J160">
        <f t="shared" si="17"/>
        <v>9</v>
      </c>
      <c r="K160">
        <f t="shared" si="18"/>
        <v>0</v>
      </c>
      <c r="L160">
        <f t="shared" si="19"/>
        <v>0</v>
      </c>
      <c r="M160" t="str">
        <f t="shared" si="20"/>
        <v>C</v>
      </c>
    </row>
    <row r="161" spans="1:13" x14ac:dyDescent="0.45">
      <c r="A161">
        <v>160</v>
      </c>
      <c r="B161">
        <v>23.1</v>
      </c>
      <c r="C161">
        <v>8</v>
      </c>
      <c r="D161" t="s">
        <v>5</v>
      </c>
      <c r="E161">
        <v>4</v>
      </c>
      <c r="F161">
        <v>160</v>
      </c>
      <c r="G161" t="str">
        <f t="shared" si="15"/>
        <v>C</v>
      </c>
      <c r="H161">
        <f t="shared" si="21"/>
        <v>4</v>
      </c>
      <c r="I161">
        <f t="shared" si="16"/>
        <v>0</v>
      </c>
      <c r="J161">
        <f t="shared" si="17"/>
        <v>10</v>
      </c>
      <c r="K161">
        <f t="shared" si="18"/>
        <v>0</v>
      </c>
      <c r="L161">
        <f t="shared" si="19"/>
        <v>0</v>
      </c>
      <c r="M161" t="str">
        <f t="shared" si="20"/>
        <v>C</v>
      </c>
    </row>
    <row r="162" spans="1:13" x14ac:dyDescent="0.45">
      <c r="A162">
        <v>161</v>
      </c>
      <c r="B162">
        <v>21</v>
      </c>
      <c r="C162">
        <v>22</v>
      </c>
      <c r="D162" t="s">
        <v>5</v>
      </c>
      <c r="E162">
        <v>4</v>
      </c>
      <c r="F162">
        <v>161</v>
      </c>
      <c r="G162" t="str">
        <f t="shared" si="15"/>
        <v>C</v>
      </c>
      <c r="H162">
        <f t="shared" si="21"/>
        <v>4</v>
      </c>
      <c r="I162">
        <f t="shared" si="16"/>
        <v>0</v>
      </c>
      <c r="J162">
        <f t="shared" si="17"/>
        <v>11</v>
      </c>
      <c r="K162">
        <f t="shared" si="18"/>
        <v>0</v>
      </c>
      <c r="L162">
        <f t="shared" si="19"/>
        <v>0</v>
      </c>
      <c r="M162" t="str">
        <f t="shared" si="20"/>
        <v>C</v>
      </c>
    </row>
    <row r="163" spans="1:13" x14ac:dyDescent="0.45">
      <c r="A163">
        <v>162</v>
      </c>
      <c r="B163">
        <v>20</v>
      </c>
      <c r="C163">
        <v>19</v>
      </c>
      <c r="D163" t="s">
        <v>5</v>
      </c>
      <c r="E163">
        <v>4</v>
      </c>
      <c r="F163">
        <v>162</v>
      </c>
      <c r="G163" t="str">
        <f t="shared" si="15"/>
        <v>C</v>
      </c>
      <c r="H163">
        <f t="shared" si="21"/>
        <v>4</v>
      </c>
      <c r="I163">
        <f t="shared" si="16"/>
        <v>0</v>
      </c>
      <c r="J163">
        <f t="shared" si="17"/>
        <v>12</v>
      </c>
      <c r="K163">
        <f t="shared" si="18"/>
        <v>0</v>
      </c>
      <c r="L163">
        <f t="shared" si="19"/>
        <v>0</v>
      </c>
      <c r="M163" t="str">
        <f t="shared" si="20"/>
        <v>C</v>
      </c>
    </row>
    <row r="164" spans="1:13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v>163</v>
      </c>
      <c r="G164" t="str">
        <f t="shared" si="15"/>
        <v>C</v>
      </c>
      <c r="H164">
        <f t="shared" si="21"/>
        <v>5</v>
      </c>
      <c r="I164">
        <f t="shared" si="16"/>
        <v>0</v>
      </c>
      <c r="J164">
        <f t="shared" si="17"/>
        <v>13</v>
      </c>
      <c r="K164">
        <f t="shared" si="18"/>
        <v>0</v>
      </c>
      <c r="L164">
        <f t="shared" si="19"/>
        <v>0</v>
      </c>
      <c r="M164" t="str">
        <f t="shared" si="20"/>
        <v>C</v>
      </c>
    </row>
    <row r="165" spans="1:13" x14ac:dyDescent="0.45">
      <c r="A165">
        <v>164</v>
      </c>
      <c r="B165">
        <v>22.1</v>
      </c>
      <c r="C165">
        <v>0</v>
      </c>
      <c r="D165">
        <v>0</v>
      </c>
      <c r="E165">
        <v>0</v>
      </c>
      <c r="F165">
        <v>164</v>
      </c>
      <c r="G165">
        <f t="shared" si="15"/>
        <v>0</v>
      </c>
      <c r="H165">
        <f t="shared" si="21"/>
        <v>0</v>
      </c>
      <c r="I165">
        <f t="shared" si="16"/>
        <v>1</v>
      </c>
      <c r="J165">
        <f t="shared" si="17"/>
        <v>1</v>
      </c>
      <c r="K165">
        <f t="shared" si="18"/>
        <v>0</v>
      </c>
      <c r="L165">
        <f t="shared" si="19"/>
        <v>0</v>
      </c>
      <c r="M165" t="str">
        <f t="shared" si="20"/>
        <v>C</v>
      </c>
    </row>
    <row r="166" spans="1:13" x14ac:dyDescent="0.45">
      <c r="A166">
        <v>165</v>
      </c>
      <c r="B166">
        <v>24.5</v>
      </c>
      <c r="C166">
        <v>1</v>
      </c>
      <c r="D166" t="s">
        <v>6</v>
      </c>
      <c r="E166">
        <v>1</v>
      </c>
      <c r="F166">
        <v>165</v>
      </c>
      <c r="G166" t="str">
        <f t="shared" si="15"/>
        <v>C</v>
      </c>
      <c r="H166">
        <f t="shared" si="21"/>
        <v>1</v>
      </c>
      <c r="I166">
        <f t="shared" si="16"/>
        <v>0</v>
      </c>
      <c r="J166">
        <f t="shared" si="17"/>
        <v>1</v>
      </c>
      <c r="K166">
        <f t="shared" si="18"/>
        <v>1</v>
      </c>
      <c r="L166">
        <f t="shared" si="19"/>
        <v>0</v>
      </c>
      <c r="M166" t="str">
        <f t="shared" si="20"/>
        <v>C</v>
      </c>
    </row>
    <row r="167" spans="1:13" x14ac:dyDescent="0.45">
      <c r="A167">
        <v>166</v>
      </c>
      <c r="B167">
        <v>26.8</v>
      </c>
      <c r="C167">
        <v>2</v>
      </c>
      <c r="D167" t="s">
        <v>6</v>
      </c>
      <c r="E167">
        <v>1</v>
      </c>
      <c r="F167">
        <v>166</v>
      </c>
      <c r="G167" t="str">
        <f t="shared" si="15"/>
        <v>C</v>
      </c>
      <c r="H167">
        <f t="shared" si="21"/>
        <v>1</v>
      </c>
      <c r="I167">
        <f t="shared" si="16"/>
        <v>0</v>
      </c>
      <c r="J167">
        <f t="shared" si="17"/>
        <v>2</v>
      </c>
      <c r="K167">
        <f t="shared" si="18"/>
        <v>0</v>
      </c>
      <c r="L167">
        <f t="shared" si="19"/>
        <v>0</v>
      </c>
      <c r="M167" t="str">
        <f t="shared" si="20"/>
        <v>C</v>
      </c>
    </row>
    <row r="168" spans="1:13" x14ac:dyDescent="0.45">
      <c r="A168">
        <v>167</v>
      </c>
      <c r="B168">
        <v>28</v>
      </c>
      <c r="C168">
        <v>4</v>
      </c>
      <c r="D168" t="s">
        <v>6</v>
      </c>
      <c r="E168">
        <v>1</v>
      </c>
      <c r="F168">
        <v>167</v>
      </c>
      <c r="G168" t="str">
        <f t="shared" si="15"/>
        <v>C</v>
      </c>
      <c r="H168">
        <f t="shared" si="21"/>
        <v>1</v>
      </c>
      <c r="I168">
        <f t="shared" si="16"/>
        <v>0</v>
      </c>
      <c r="J168">
        <f t="shared" si="17"/>
        <v>3</v>
      </c>
      <c r="K168">
        <f t="shared" si="18"/>
        <v>0</v>
      </c>
      <c r="L168">
        <f t="shared" si="19"/>
        <v>0</v>
      </c>
      <c r="M168" t="str">
        <f t="shared" si="20"/>
        <v>C</v>
      </c>
    </row>
    <row r="169" spans="1:13" x14ac:dyDescent="0.45">
      <c r="A169">
        <v>168</v>
      </c>
      <c r="B169">
        <v>27.7</v>
      </c>
      <c r="C169">
        <v>8</v>
      </c>
      <c r="D169" t="s">
        <v>6</v>
      </c>
      <c r="E169">
        <v>2</v>
      </c>
      <c r="F169">
        <v>168</v>
      </c>
      <c r="G169" t="str">
        <f t="shared" si="15"/>
        <v>C</v>
      </c>
      <c r="H169">
        <f t="shared" si="21"/>
        <v>2</v>
      </c>
      <c r="I169">
        <f t="shared" si="16"/>
        <v>0</v>
      </c>
      <c r="J169">
        <f t="shared" si="17"/>
        <v>4</v>
      </c>
      <c r="K169">
        <f t="shared" si="18"/>
        <v>0</v>
      </c>
      <c r="L169">
        <f t="shared" si="19"/>
        <v>1</v>
      </c>
      <c r="M169" t="str">
        <f t="shared" si="20"/>
        <v>C</v>
      </c>
    </row>
    <row r="170" spans="1:13" x14ac:dyDescent="0.45">
      <c r="A170">
        <v>169</v>
      </c>
      <c r="B170">
        <v>25.6</v>
      </c>
      <c r="C170">
        <v>4</v>
      </c>
      <c r="D170" t="s">
        <v>6</v>
      </c>
      <c r="E170">
        <v>2</v>
      </c>
      <c r="F170">
        <v>169</v>
      </c>
      <c r="G170" t="str">
        <f t="shared" si="15"/>
        <v>C</v>
      </c>
      <c r="H170">
        <f t="shared" si="21"/>
        <v>2</v>
      </c>
      <c r="I170">
        <f t="shared" si="16"/>
        <v>0</v>
      </c>
      <c r="J170">
        <f t="shared" si="17"/>
        <v>5</v>
      </c>
      <c r="K170">
        <f t="shared" si="18"/>
        <v>0</v>
      </c>
      <c r="L170">
        <f t="shared" si="19"/>
        <v>0</v>
      </c>
      <c r="M170" t="str">
        <f t="shared" si="20"/>
        <v>C</v>
      </c>
    </row>
    <row r="171" spans="1:13" x14ac:dyDescent="0.45">
      <c r="A171">
        <v>170</v>
      </c>
      <c r="B171">
        <v>22.3</v>
      </c>
      <c r="C171">
        <v>7</v>
      </c>
      <c r="D171" t="s">
        <v>6</v>
      </c>
      <c r="E171">
        <v>2</v>
      </c>
      <c r="F171">
        <v>170</v>
      </c>
      <c r="G171" t="str">
        <f t="shared" si="15"/>
        <v>C</v>
      </c>
      <c r="H171">
        <f t="shared" si="21"/>
        <v>2</v>
      </c>
      <c r="I171">
        <f t="shared" si="16"/>
        <v>0</v>
      </c>
      <c r="J171">
        <f t="shared" si="17"/>
        <v>6</v>
      </c>
      <c r="K171">
        <f t="shared" si="18"/>
        <v>0</v>
      </c>
      <c r="L171">
        <f t="shared" si="19"/>
        <v>0</v>
      </c>
      <c r="M171" t="str">
        <f t="shared" si="20"/>
        <v>C</v>
      </c>
    </row>
    <row r="172" spans="1:13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v>171</v>
      </c>
      <c r="G172" t="str">
        <f t="shared" si="15"/>
        <v>C</v>
      </c>
      <c r="H172">
        <f t="shared" si="21"/>
        <v>3</v>
      </c>
      <c r="I172">
        <f t="shared" si="16"/>
        <v>0</v>
      </c>
      <c r="J172">
        <f t="shared" si="17"/>
        <v>7</v>
      </c>
      <c r="K172">
        <f t="shared" si="18"/>
        <v>0</v>
      </c>
      <c r="L172">
        <f t="shared" si="19"/>
        <v>0</v>
      </c>
      <c r="M172" t="str">
        <f t="shared" si="20"/>
        <v>C</v>
      </c>
    </row>
    <row r="173" spans="1:13" x14ac:dyDescent="0.45">
      <c r="A173">
        <v>172</v>
      </c>
      <c r="B173">
        <v>14.9</v>
      </c>
      <c r="C173">
        <v>18</v>
      </c>
      <c r="D173" t="s">
        <v>6</v>
      </c>
      <c r="E173">
        <v>3</v>
      </c>
      <c r="F173">
        <v>172</v>
      </c>
      <c r="G173" t="str">
        <f t="shared" si="15"/>
        <v>C</v>
      </c>
      <c r="H173">
        <f t="shared" si="21"/>
        <v>3</v>
      </c>
      <c r="I173">
        <f t="shared" si="16"/>
        <v>0</v>
      </c>
      <c r="J173">
        <f t="shared" si="17"/>
        <v>8</v>
      </c>
      <c r="K173">
        <f t="shared" si="18"/>
        <v>0</v>
      </c>
      <c r="L173">
        <f t="shared" si="19"/>
        <v>0</v>
      </c>
      <c r="M173" t="str">
        <f t="shared" si="20"/>
        <v>C</v>
      </c>
    </row>
    <row r="174" spans="1:13" x14ac:dyDescent="0.45">
      <c r="A174">
        <v>173</v>
      </c>
      <c r="B174">
        <v>12.5</v>
      </c>
      <c r="C174">
        <v>6</v>
      </c>
      <c r="D174" t="s">
        <v>6</v>
      </c>
      <c r="E174">
        <v>3</v>
      </c>
      <c r="F174">
        <v>173</v>
      </c>
      <c r="G174" t="str">
        <f t="shared" si="15"/>
        <v>C</v>
      </c>
      <c r="H174">
        <f t="shared" si="21"/>
        <v>3</v>
      </c>
      <c r="I174">
        <f t="shared" si="16"/>
        <v>0</v>
      </c>
      <c r="J174">
        <f t="shared" si="17"/>
        <v>9</v>
      </c>
      <c r="K174">
        <f t="shared" si="18"/>
        <v>0</v>
      </c>
      <c r="L174">
        <f t="shared" si="19"/>
        <v>0</v>
      </c>
      <c r="M174" t="str">
        <f t="shared" si="20"/>
        <v>C</v>
      </c>
    </row>
    <row r="175" spans="1:13" x14ac:dyDescent="0.45">
      <c r="A175">
        <v>174</v>
      </c>
      <c r="B175">
        <v>11.7</v>
      </c>
      <c r="C175">
        <v>20</v>
      </c>
      <c r="D175" t="s">
        <v>6</v>
      </c>
      <c r="E175">
        <v>4</v>
      </c>
      <c r="F175">
        <v>174</v>
      </c>
      <c r="G175" t="str">
        <f t="shared" si="15"/>
        <v>C</v>
      </c>
      <c r="H175">
        <f t="shared" si="21"/>
        <v>4</v>
      </c>
      <c r="I175">
        <f t="shared" si="16"/>
        <v>0</v>
      </c>
      <c r="J175">
        <f t="shared" si="17"/>
        <v>10</v>
      </c>
      <c r="K175">
        <f t="shared" si="18"/>
        <v>0</v>
      </c>
      <c r="L175">
        <f t="shared" si="19"/>
        <v>0</v>
      </c>
      <c r="M175" t="str">
        <f t="shared" si="20"/>
        <v>C</v>
      </c>
    </row>
    <row r="176" spans="1:13" x14ac:dyDescent="0.45">
      <c r="A176">
        <v>175</v>
      </c>
      <c r="B176">
        <v>12.3</v>
      </c>
      <c r="C176">
        <v>14</v>
      </c>
      <c r="D176" t="s">
        <v>6</v>
      </c>
      <c r="E176">
        <v>4</v>
      </c>
      <c r="F176">
        <v>175</v>
      </c>
      <c r="G176" t="str">
        <f t="shared" si="15"/>
        <v>C</v>
      </c>
      <c r="H176">
        <f t="shared" si="21"/>
        <v>4</v>
      </c>
      <c r="I176">
        <f t="shared" si="16"/>
        <v>0</v>
      </c>
      <c r="J176">
        <f t="shared" si="17"/>
        <v>11</v>
      </c>
      <c r="K176">
        <f t="shared" si="18"/>
        <v>0</v>
      </c>
      <c r="L176">
        <f t="shared" si="19"/>
        <v>0</v>
      </c>
      <c r="M176" t="str">
        <f t="shared" si="20"/>
        <v>C</v>
      </c>
    </row>
    <row r="177" spans="1:13" x14ac:dyDescent="0.45">
      <c r="A177">
        <v>176</v>
      </c>
      <c r="B177">
        <v>13.7</v>
      </c>
      <c r="C177">
        <v>22</v>
      </c>
      <c r="D177" t="s">
        <v>6</v>
      </c>
      <c r="E177">
        <v>4</v>
      </c>
      <c r="F177">
        <v>176</v>
      </c>
      <c r="G177" t="str">
        <f t="shared" si="15"/>
        <v>C</v>
      </c>
      <c r="H177">
        <f t="shared" si="21"/>
        <v>4</v>
      </c>
      <c r="I177">
        <f t="shared" si="16"/>
        <v>0</v>
      </c>
      <c r="J177">
        <f t="shared" si="17"/>
        <v>12</v>
      </c>
      <c r="K177">
        <f t="shared" si="18"/>
        <v>0</v>
      </c>
      <c r="L177">
        <f t="shared" si="19"/>
        <v>0</v>
      </c>
      <c r="M177" t="str">
        <f t="shared" si="20"/>
        <v>C</v>
      </c>
    </row>
    <row r="178" spans="1:13" x14ac:dyDescent="0.45">
      <c r="A178">
        <v>177</v>
      </c>
      <c r="B178">
        <v>15.2</v>
      </c>
      <c r="C178">
        <v>23</v>
      </c>
      <c r="D178" t="s">
        <v>6</v>
      </c>
      <c r="E178">
        <v>5</v>
      </c>
      <c r="F178">
        <v>177</v>
      </c>
      <c r="G178" t="str">
        <f t="shared" si="15"/>
        <v>C</v>
      </c>
      <c r="H178">
        <f t="shared" si="21"/>
        <v>5</v>
      </c>
      <c r="I178">
        <f t="shared" si="16"/>
        <v>0</v>
      </c>
      <c r="J178">
        <f t="shared" si="17"/>
        <v>13</v>
      </c>
      <c r="K178">
        <f t="shared" si="18"/>
        <v>0</v>
      </c>
      <c r="L178">
        <f t="shared" si="19"/>
        <v>0</v>
      </c>
      <c r="M178" t="str">
        <f t="shared" si="20"/>
        <v>C</v>
      </c>
    </row>
    <row r="179" spans="1:13" x14ac:dyDescent="0.45">
      <c r="A179">
        <v>178</v>
      </c>
      <c r="B179">
        <v>15.9</v>
      </c>
      <c r="C179">
        <v>0</v>
      </c>
      <c r="D179">
        <v>0</v>
      </c>
      <c r="E179">
        <v>0</v>
      </c>
      <c r="F179">
        <v>178</v>
      </c>
      <c r="G179">
        <f t="shared" si="15"/>
        <v>0</v>
      </c>
      <c r="H179">
        <f t="shared" si="21"/>
        <v>0</v>
      </c>
      <c r="I179">
        <f t="shared" si="16"/>
        <v>1</v>
      </c>
      <c r="J179">
        <f t="shared" si="17"/>
        <v>1</v>
      </c>
      <c r="K179">
        <f t="shared" si="18"/>
        <v>0</v>
      </c>
      <c r="L179">
        <f t="shared" si="19"/>
        <v>0</v>
      </c>
      <c r="M179" t="str">
        <f t="shared" si="20"/>
        <v>C</v>
      </c>
    </row>
    <row r="180" spans="1:13" x14ac:dyDescent="0.45">
      <c r="A180">
        <v>179</v>
      </c>
      <c r="B180">
        <v>15.1</v>
      </c>
      <c r="C180">
        <v>1</v>
      </c>
      <c r="D180" t="s">
        <v>5</v>
      </c>
      <c r="E180">
        <v>1</v>
      </c>
      <c r="F180">
        <v>179</v>
      </c>
      <c r="G180" t="str">
        <f t="shared" si="15"/>
        <v>C</v>
      </c>
      <c r="H180">
        <f t="shared" si="21"/>
        <v>1</v>
      </c>
      <c r="I180">
        <f t="shared" si="16"/>
        <v>0</v>
      </c>
      <c r="J180">
        <f t="shared" si="17"/>
        <v>1</v>
      </c>
      <c r="K180">
        <f t="shared" si="18"/>
        <v>1</v>
      </c>
      <c r="L180">
        <f t="shared" si="19"/>
        <v>0</v>
      </c>
      <c r="M180" t="str">
        <f t="shared" si="20"/>
        <v>C</v>
      </c>
    </row>
    <row r="181" spans="1:13" x14ac:dyDescent="0.45">
      <c r="A181">
        <v>180</v>
      </c>
      <c r="B181">
        <v>12.9</v>
      </c>
      <c r="C181">
        <v>1</v>
      </c>
      <c r="D181" t="s">
        <v>5</v>
      </c>
      <c r="E181">
        <v>1</v>
      </c>
      <c r="F181">
        <v>180</v>
      </c>
      <c r="G181" t="str">
        <f t="shared" si="15"/>
        <v>C</v>
      </c>
      <c r="H181">
        <f t="shared" si="21"/>
        <v>1</v>
      </c>
      <c r="I181">
        <f t="shared" si="16"/>
        <v>0</v>
      </c>
      <c r="J181">
        <f t="shared" si="17"/>
        <v>2</v>
      </c>
      <c r="K181">
        <f t="shared" si="18"/>
        <v>0</v>
      </c>
      <c r="L181">
        <f t="shared" si="19"/>
        <v>0</v>
      </c>
      <c r="M181" t="str">
        <f t="shared" si="20"/>
        <v>C</v>
      </c>
    </row>
    <row r="182" spans="1:13" x14ac:dyDescent="0.45">
      <c r="A182">
        <v>181</v>
      </c>
      <c r="B182">
        <v>9.6</v>
      </c>
      <c r="C182">
        <v>1</v>
      </c>
      <c r="D182" t="s">
        <v>5</v>
      </c>
      <c r="E182">
        <v>1</v>
      </c>
      <c r="F182">
        <v>181</v>
      </c>
      <c r="G182" t="str">
        <f t="shared" si="15"/>
        <v>C</v>
      </c>
      <c r="H182">
        <f t="shared" si="21"/>
        <v>1</v>
      </c>
      <c r="I182">
        <f t="shared" si="16"/>
        <v>0</v>
      </c>
      <c r="J182">
        <f t="shared" si="17"/>
        <v>3</v>
      </c>
      <c r="K182">
        <f t="shared" si="18"/>
        <v>0</v>
      </c>
      <c r="L182">
        <f t="shared" si="19"/>
        <v>0</v>
      </c>
      <c r="M182" t="str">
        <f t="shared" si="20"/>
        <v>S</v>
      </c>
    </row>
    <row r="183" spans="1:13" x14ac:dyDescent="0.45">
      <c r="A183">
        <v>182</v>
      </c>
      <c r="B183">
        <v>5.9</v>
      </c>
      <c r="C183">
        <v>2</v>
      </c>
      <c r="D183" t="s">
        <v>5</v>
      </c>
      <c r="E183">
        <v>2</v>
      </c>
      <c r="F183">
        <v>182</v>
      </c>
      <c r="G183" t="str">
        <f t="shared" si="15"/>
        <v>C</v>
      </c>
      <c r="H183">
        <f t="shared" si="21"/>
        <v>2</v>
      </c>
      <c r="I183">
        <f t="shared" si="16"/>
        <v>0</v>
      </c>
      <c r="J183">
        <f t="shared" si="17"/>
        <v>4</v>
      </c>
      <c r="K183">
        <f t="shared" si="18"/>
        <v>0</v>
      </c>
      <c r="L183">
        <f t="shared" si="19"/>
        <v>1</v>
      </c>
      <c r="M183" t="str">
        <f t="shared" si="20"/>
        <v>S</v>
      </c>
    </row>
    <row r="184" spans="1:13" x14ac:dyDescent="0.45">
      <c r="A184">
        <v>183</v>
      </c>
      <c r="B184">
        <v>2.8</v>
      </c>
      <c r="C184">
        <v>6</v>
      </c>
      <c r="D184" t="s">
        <v>5</v>
      </c>
      <c r="E184">
        <v>2</v>
      </c>
      <c r="F184">
        <v>183</v>
      </c>
      <c r="G184" t="str">
        <f t="shared" si="15"/>
        <v>C</v>
      </c>
      <c r="H184">
        <f t="shared" si="21"/>
        <v>2</v>
      </c>
      <c r="I184">
        <f t="shared" si="16"/>
        <v>0</v>
      </c>
      <c r="J184">
        <f t="shared" si="17"/>
        <v>5</v>
      </c>
      <c r="K184">
        <f t="shared" si="18"/>
        <v>0</v>
      </c>
      <c r="L184">
        <f t="shared" si="19"/>
        <v>0</v>
      </c>
      <c r="M184" t="str">
        <f t="shared" si="20"/>
        <v>S</v>
      </c>
    </row>
    <row r="185" spans="1:13" x14ac:dyDescent="0.45">
      <c r="A185">
        <v>184</v>
      </c>
      <c r="B185">
        <v>1</v>
      </c>
      <c r="C185">
        <v>9</v>
      </c>
      <c r="D185" t="s">
        <v>5</v>
      </c>
      <c r="E185">
        <v>2</v>
      </c>
      <c r="F185">
        <v>184</v>
      </c>
      <c r="G185" t="str">
        <f t="shared" si="15"/>
        <v>C</v>
      </c>
      <c r="H185">
        <f t="shared" si="21"/>
        <v>2</v>
      </c>
      <c r="I185">
        <f t="shared" si="16"/>
        <v>0</v>
      </c>
      <c r="J185">
        <f t="shared" si="17"/>
        <v>6</v>
      </c>
      <c r="K185">
        <f t="shared" si="18"/>
        <v>0</v>
      </c>
      <c r="L185">
        <f t="shared" si="19"/>
        <v>0</v>
      </c>
      <c r="M185" t="str">
        <f t="shared" si="20"/>
        <v>S</v>
      </c>
    </row>
    <row r="186" spans="1:13" x14ac:dyDescent="0.45">
      <c r="A186">
        <v>185</v>
      </c>
      <c r="B186">
        <v>0.9</v>
      </c>
      <c r="C186">
        <v>6</v>
      </c>
      <c r="D186" t="s">
        <v>5</v>
      </c>
      <c r="E186">
        <v>3</v>
      </c>
      <c r="F186">
        <v>185</v>
      </c>
      <c r="G186" t="str">
        <f t="shared" si="15"/>
        <v>C</v>
      </c>
      <c r="H186">
        <f t="shared" si="21"/>
        <v>3</v>
      </c>
      <c r="I186">
        <f t="shared" si="16"/>
        <v>0</v>
      </c>
      <c r="J186">
        <f t="shared" si="17"/>
        <v>7</v>
      </c>
      <c r="K186">
        <f t="shared" si="18"/>
        <v>0</v>
      </c>
      <c r="L186">
        <f t="shared" si="19"/>
        <v>0</v>
      </c>
      <c r="M186" t="str">
        <f t="shared" si="20"/>
        <v>S</v>
      </c>
    </row>
    <row r="187" spans="1:13" x14ac:dyDescent="0.45">
      <c r="A187">
        <v>186</v>
      </c>
      <c r="B187">
        <v>2.5</v>
      </c>
      <c r="C187">
        <v>1</v>
      </c>
      <c r="D187" t="s">
        <v>5</v>
      </c>
      <c r="E187">
        <v>3</v>
      </c>
      <c r="F187">
        <v>186</v>
      </c>
      <c r="G187" t="str">
        <f t="shared" si="15"/>
        <v>C</v>
      </c>
      <c r="H187">
        <f t="shared" si="21"/>
        <v>3</v>
      </c>
      <c r="I187">
        <f t="shared" si="16"/>
        <v>0</v>
      </c>
      <c r="J187">
        <f t="shared" si="17"/>
        <v>8</v>
      </c>
      <c r="K187">
        <f t="shared" si="18"/>
        <v>0</v>
      </c>
      <c r="L187">
        <f t="shared" si="19"/>
        <v>0</v>
      </c>
      <c r="M187" t="str">
        <f t="shared" si="20"/>
        <v>S</v>
      </c>
    </row>
    <row r="188" spans="1:13" x14ac:dyDescent="0.45">
      <c r="A188">
        <v>187</v>
      </c>
      <c r="B188">
        <v>5</v>
      </c>
      <c r="C188">
        <v>3</v>
      </c>
      <c r="D188" t="s">
        <v>5</v>
      </c>
      <c r="E188">
        <v>3</v>
      </c>
      <c r="F188">
        <v>187</v>
      </c>
      <c r="G188" t="str">
        <f t="shared" si="15"/>
        <v>C</v>
      </c>
      <c r="H188">
        <f t="shared" si="21"/>
        <v>3</v>
      </c>
      <c r="I188">
        <f t="shared" si="16"/>
        <v>0</v>
      </c>
      <c r="J188">
        <f t="shared" si="17"/>
        <v>9</v>
      </c>
      <c r="K188">
        <f t="shared" si="18"/>
        <v>0</v>
      </c>
      <c r="L188">
        <f t="shared" si="19"/>
        <v>0</v>
      </c>
      <c r="M188" t="str">
        <f t="shared" si="20"/>
        <v>S</v>
      </c>
    </row>
    <row r="189" spans="1:13" x14ac:dyDescent="0.45">
      <c r="A189">
        <v>188</v>
      </c>
      <c r="B189">
        <v>7.7</v>
      </c>
      <c r="C189">
        <v>7</v>
      </c>
      <c r="D189" t="s">
        <v>5</v>
      </c>
      <c r="E189">
        <v>4</v>
      </c>
      <c r="F189">
        <v>188</v>
      </c>
      <c r="G189" t="str">
        <f t="shared" si="15"/>
        <v>C</v>
      </c>
      <c r="H189">
        <f t="shared" si="21"/>
        <v>4</v>
      </c>
      <c r="I189">
        <f t="shared" si="16"/>
        <v>0</v>
      </c>
      <c r="J189">
        <f t="shared" si="17"/>
        <v>10</v>
      </c>
      <c r="K189">
        <f t="shared" si="18"/>
        <v>0</v>
      </c>
      <c r="L189">
        <f t="shared" si="19"/>
        <v>0</v>
      </c>
      <c r="M189" t="str">
        <f t="shared" si="20"/>
        <v>S</v>
      </c>
    </row>
    <row r="190" spans="1:13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v>189</v>
      </c>
      <c r="G190" t="str">
        <f t="shared" si="15"/>
        <v>C</v>
      </c>
      <c r="H190">
        <f t="shared" si="21"/>
        <v>4</v>
      </c>
      <c r="I190">
        <f t="shared" si="16"/>
        <v>0</v>
      </c>
      <c r="J190">
        <f t="shared" si="17"/>
        <v>11</v>
      </c>
      <c r="K190">
        <f t="shared" si="18"/>
        <v>0</v>
      </c>
      <c r="L190">
        <f t="shared" si="19"/>
        <v>0</v>
      </c>
      <c r="M190" t="str">
        <f t="shared" si="20"/>
        <v>S</v>
      </c>
    </row>
    <row r="191" spans="1:13" x14ac:dyDescent="0.45">
      <c r="A191">
        <v>190</v>
      </c>
      <c r="B191">
        <v>10.4</v>
      </c>
      <c r="C191">
        <v>3</v>
      </c>
      <c r="D191" t="s">
        <v>5</v>
      </c>
      <c r="E191">
        <v>4</v>
      </c>
      <c r="F191">
        <v>190</v>
      </c>
      <c r="G191" t="str">
        <f t="shared" si="15"/>
        <v>C</v>
      </c>
      <c r="H191">
        <f t="shared" si="21"/>
        <v>4</v>
      </c>
      <c r="I191">
        <f t="shared" si="16"/>
        <v>0</v>
      </c>
      <c r="J191">
        <f t="shared" si="17"/>
        <v>12</v>
      </c>
      <c r="K191">
        <f t="shared" si="18"/>
        <v>0</v>
      </c>
      <c r="L191">
        <f t="shared" si="19"/>
        <v>0</v>
      </c>
      <c r="M191" t="str">
        <f t="shared" si="20"/>
        <v>C</v>
      </c>
    </row>
    <row r="192" spans="1:13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v>191</v>
      </c>
      <c r="G192" t="str">
        <f t="shared" si="15"/>
        <v>C</v>
      </c>
      <c r="H192">
        <f t="shared" si="21"/>
        <v>5</v>
      </c>
      <c r="I192">
        <f t="shared" si="16"/>
        <v>0</v>
      </c>
      <c r="J192">
        <f t="shared" si="17"/>
        <v>13</v>
      </c>
      <c r="K192">
        <f t="shared" si="18"/>
        <v>0</v>
      </c>
      <c r="L192">
        <f t="shared" si="19"/>
        <v>0</v>
      </c>
      <c r="M192" t="str">
        <f t="shared" si="20"/>
        <v>S</v>
      </c>
    </row>
    <row r="193" spans="1:13" x14ac:dyDescent="0.45">
      <c r="A193">
        <v>192</v>
      </c>
      <c r="B193">
        <v>8</v>
      </c>
      <c r="C193">
        <v>0</v>
      </c>
      <c r="D193">
        <v>0</v>
      </c>
      <c r="E193">
        <v>0</v>
      </c>
      <c r="F193">
        <v>192</v>
      </c>
      <c r="G193">
        <f t="shared" si="15"/>
        <v>0</v>
      </c>
      <c r="H193">
        <f t="shared" si="21"/>
        <v>0</v>
      </c>
      <c r="I193">
        <f t="shared" si="16"/>
        <v>1</v>
      </c>
      <c r="J193">
        <f t="shared" si="17"/>
        <v>1</v>
      </c>
      <c r="K193">
        <f t="shared" si="18"/>
        <v>0</v>
      </c>
      <c r="L193">
        <f t="shared" si="19"/>
        <v>0</v>
      </c>
      <c r="M193" t="str">
        <f t="shared" si="20"/>
        <v>S</v>
      </c>
    </row>
    <row r="194" spans="1:13" x14ac:dyDescent="0.45">
      <c r="A194">
        <v>193</v>
      </c>
      <c r="B194">
        <v>5.9</v>
      </c>
      <c r="C194">
        <v>3</v>
      </c>
      <c r="D194" t="s">
        <v>6</v>
      </c>
      <c r="E194">
        <v>1</v>
      </c>
      <c r="F194">
        <v>193</v>
      </c>
      <c r="G194" t="str">
        <f t="shared" si="15"/>
        <v>S</v>
      </c>
      <c r="H194">
        <f t="shared" si="21"/>
        <v>1</v>
      </c>
      <c r="I194">
        <f t="shared" si="16"/>
        <v>0</v>
      </c>
      <c r="J194">
        <f t="shared" si="17"/>
        <v>1</v>
      </c>
      <c r="K194">
        <f t="shared" si="18"/>
        <v>1</v>
      </c>
      <c r="L194">
        <f t="shared" si="19"/>
        <v>0</v>
      </c>
      <c r="M194" t="str">
        <f t="shared" si="20"/>
        <v>S</v>
      </c>
    </row>
    <row r="195" spans="1:13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v>194</v>
      </c>
      <c r="G195" t="str">
        <f t="shared" si="15"/>
        <v>S</v>
      </c>
      <c r="H195">
        <f t="shared" si="21"/>
        <v>1</v>
      </c>
      <c r="I195">
        <f t="shared" si="16"/>
        <v>0</v>
      </c>
      <c r="J195">
        <f t="shared" si="17"/>
        <v>2</v>
      </c>
      <c r="K195">
        <f t="shared" si="18"/>
        <v>0</v>
      </c>
      <c r="L195">
        <f t="shared" si="19"/>
        <v>0</v>
      </c>
      <c r="M195" t="str">
        <f t="shared" si="20"/>
        <v>S</v>
      </c>
    </row>
    <row r="196" spans="1:13" x14ac:dyDescent="0.45">
      <c r="A196">
        <v>195</v>
      </c>
      <c r="B196">
        <v>4.2</v>
      </c>
      <c r="C196">
        <v>6</v>
      </c>
      <c r="D196" t="s">
        <v>6</v>
      </c>
      <c r="E196">
        <v>1</v>
      </c>
      <c r="F196">
        <v>195</v>
      </c>
      <c r="G196" t="str">
        <f t="shared" ref="G196:G259" si="22">IF(I196=1,0, IF(K196=1,M196,G195))</f>
        <v>S</v>
      </c>
      <c r="H196">
        <f t="shared" si="21"/>
        <v>1</v>
      </c>
      <c r="I196">
        <f t="shared" ref="I196:I259" si="23">IF(AND(H195=5,C195&gt;=20),1,0)</f>
        <v>0</v>
      </c>
      <c r="J196">
        <f t="shared" ref="J196:J259" si="24">IF(G196=G195,J195+1,1)</f>
        <v>3</v>
      </c>
      <c r="K196">
        <f t="shared" ref="K196:K259" si="25">IF(AND(G195=0,H195=0),1,0)</f>
        <v>0</v>
      </c>
      <c r="L196">
        <f t="shared" ref="L196:L259" si="26">IF(J195=3,1,0)</f>
        <v>0</v>
      </c>
      <c r="M196" t="str">
        <f t="shared" ref="M196:M259" si="27">IF(B196&lt;10,"S","C")</f>
        <v>S</v>
      </c>
    </row>
    <row r="197" spans="1:13" x14ac:dyDescent="0.45">
      <c r="A197">
        <v>196</v>
      </c>
      <c r="B197">
        <v>5.6</v>
      </c>
      <c r="C197">
        <v>8</v>
      </c>
      <c r="D197" t="s">
        <v>6</v>
      </c>
      <c r="E197">
        <v>2</v>
      </c>
      <c r="F197">
        <v>196</v>
      </c>
      <c r="G197" t="str">
        <f t="shared" si="22"/>
        <v>S</v>
      </c>
      <c r="H197">
        <f t="shared" si="21"/>
        <v>2</v>
      </c>
      <c r="I197">
        <f t="shared" si="23"/>
        <v>0</v>
      </c>
      <c r="J197">
        <f t="shared" si="24"/>
        <v>4</v>
      </c>
      <c r="K197">
        <f t="shared" si="25"/>
        <v>0</v>
      </c>
      <c r="L197">
        <f t="shared" si="26"/>
        <v>1</v>
      </c>
      <c r="M197" t="str">
        <f t="shared" si="27"/>
        <v>S</v>
      </c>
    </row>
    <row r="198" spans="1:13" x14ac:dyDescent="0.45">
      <c r="A198">
        <v>197</v>
      </c>
      <c r="B198">
        <v>8.6</v>
      </c>
      <c r="C198">
        <v>12</v>
      </c>
      <c r="D198" t="s">
        <v>6</v>
      </c>
      <c r="E198">
        <v>2</v>
      </c>
      <c r="F198">
        <v>197</v>
      </c>
      <c r="G198" t="str">
        <f t="shared" si="22"/>
        <v>S</v>
      </c>
      <c r="H198">
        <f t="shared" si="21"/>
        <v>2</v>
      </c>
      <c r="I198">
        <f t="shared" si="23"/>
        <v>0</v>
      </c>
      <c r="J198">
        <f t="shared" si="24"/>
        <v>5</v>
      </c>
      <c r="K198">
        <f t="shared" si="25"/>
        <v>0</v>
      </c>
      <c r="L198">
        <f t="shared" si="26"/>
        <v>0</v>
      </c>
      <c r="M198" t="str">
        <f t="shared" si="27"/>
        <v>S</v>
      </c>
    </row>
    <row r="199" spans="1:13" x14ac:dyDescent="0.45">
      <c r="A199">
        <v>198</v>
      </c>
      <c r="B199">
        <v>12.5</v>
      </c>
      <c r="C199">
        <v>9</v>
      </c>
      <c r="D199" t="s">
        <v>6</v>
      </c>
      <c r="E199">
        <v>2</v>
      </c>
      <c r="F199">
        <v>198</v>
      </c>
      <c r="G199" t="str">
        <f t="shared" si="22"/>
        <v>S</v>
      </c>
      <c r="H199">
        <f t="shared" ref="H199:H262" si="28">IF(I199=1,0,IF(K199=1,1,IF(MOD(J198,3)=0, IF(H198+1&gt;5,5,H198+1),H198)))</f>
        <v>2</v>
      </c>
      <c r="I199">
        <f t="shared" si="23"/>
        <v>0</v>
      </c>
      <c r="J199">
        <f t="shared" si="24"/>
        <v>6</v>
      </c>
      <c r="K199">
        <f t="shared" si="25"/>
        <v>0</v>
      </c>
      <c r="L199">
        <f t="shared" si="26"/>
        <v>0</v>
      </c>
      <c r="M199" t="str">
        <f t="shared" si="27"/>
        <v>C</v>
      </c>
    </row>
    <row r="200" spans="1:13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v>199</v>
      </c>
      <c r="G200" t="str">
        <f t="shared" si="22"/>
        <v>S</v>
      </c>
      <c r="H200">
        <f t="shared" si="28"/>
        <v>3</v>
      </c>
      <c r="I200">
        <f t="shared" si="23"/>
        <v>0</v>
      </c>
      <c r="J200">
        <f t="shared" si="24"/>
        <v>7</v>
      </c>
      <c r="K200">
        <f t="shared" si="25"/>
        <v>0</v>
      </c>
      <c r="L200">
        <f t="shared" si="26"/>
        <v>0</v>
      </c>
      <c r="M200" t="str">
        <f t="shared" si="27"/>
        <v>C</v>
      </c>
    </row>
    <row r="201" spans="1:13" x14ac:dyDescent="0.45">
      <c r="A201">
        <v>200</v>
      </c>
      <c r="B201">
        <v>19.5</v>
      </c>
      <c r="C201">
        <v>12</v>
      </c>
      <c r="D201" t="s">
        <v>6</v>
      </c>
      <c r="E201">
        <v>3</v>
      </c>
      <c r="F201">
        <v>200</v>
      </c>
      <c r="G201" t="str">
        <f t="shared" si="22"/>
        <v>S</v>
      </c>
      <c r="H201">
        <f t="shared" si="28"/>
        <v>3</v>
      </c>
      <c r="I201">
        <f t="shared" si="23"/>
        <v>0</v>
      </c>
      <c r="J201">
        <f t="shared" si="24"/>
        <v>8</v>
      </c>
      <c r="K201">
        <f t="shared" si="25"/>
        <v>0</v>
      </c>
      <c r="L201">
        <f t="shared" si="26"/>
        <v>0</v>
      </c>
      <c r="M201" t="str">
        <f t="shared" si="27"/>
        <v>C</v>
      </c>
    </row>
    <row r="202" spans="1:13" x14ac:dyDescent="0.45">
      <c r="A202">
        <v>201</v>
      </c>
      <c r="B202">
        <v>21.2</v>
      </c>
      <c r="C202">
        <v>1</v>
      </c>
      <c r="D202" t="s">
        <v>6</v>
      </c>
      <c r="E202">
        <v>3</v>
      </c>
      <c r="F202">
        <v>201</v>
      </c>
      <c r="G202" t="str">
        <f t="shared" si="22"/>
        <v>S</v>
      </c>
      <c r="H202">
        <f t="shared" si="28"/>
        <v>3</v>
      </c>
      <c r="I202">
        <f t="shared" si="23"/>
        <v>0</v>
      </c>
      <c r="J202">
        <f t="shared" si="24"/>
        <v>9</v>
      </c>
      <c r="K202">
        <f t="shared" si="25"/>
        <v>0</v>
      </c>
      <c r="L202">
        <f t="shared" si="26"/>
        <v>0</v>
      </c>
      <c r="M202" t="str">
        <f t="shared" si="27"/>
        <v>C</v>
      </c>
    </row>
    <row r="203" spans="1:13" x14ac:dyDescent="0.45">
      <c r="A203">
        <v>202</v>
      </c>
      <c r="B203">
        <v>21.3</v>
      </c>
      <c r="C203">
        <v>11</v>
      </c>
      <c r="D203" t="s">
        <v>6</v>
      </c>
      <c r="E203">
        <v>4</v>
      </c>
      <c r="F203">
        <v>202</v>
      </c>
      <c r="G203" t="str">
        <f t="shared" si="22"/>
        <v>S</v>
      </c>
      <c r="H203">
        <f t="shared" si="28"/>
        <v>4</v>
      </c>
      <c r="I203">
        <f t="shared" si="23"/>
        <v>0</v>
      </c>
      <c r="J203">
        <f t="shared" si="24"/>
        <v>10</v>
      </c>
      <c r="K203">
        <f t="shared" si="25"/>
        <v>0</v>
      </c>
      <c r="L203">
        <f t="shared" si="26"/>
        <v>0</v>
      </c>
      <c r="M203" t="str">
        <f t="shared" si="27"/>
        <v>C</v>
      </c>
    </row>
    <row r="204" spans="1:13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v>203</v>
      </c>
      <c r="G204" t="str">
        <f t="shared" si="22"/>
        <v>S</v>
      </c>
      <c r="H204">
        <f t="shared" si="28"/>
        <v>4</v>
      </c>
      <c r="I204">
        <f t="shared" si="23"/>
        <v>0</v>
      </c>
      <c r="J204">
        <f t="shared" si="24"/>
        <v>11</v>
      </c>
      <c r="K204">
        <f t="shared" si="25"/>
        <v>0</v>
      </c>
      <c r="L204">
        <f t="shared" si="26"/>
        <v>0</v>
      </c>
      <c r="M204" t="str">
        <f t="shared" si="27"/>
        <v>C</v>
      </c>
    </row>
    <row r="205" spans="1:13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v>204</v>
      </c>
      <c r="G205" t="str">
        <f t="shared" si="22"/>
        <v>S</v>
      </c>
      <c r="H205">
        <f t="shared" si="28"/>
        <v>4</v>
      </c>
      <c r="I205">
        <f t="shared" si="23"/>
        <v>0</v>
      </c>
      <c r="J205">
        <f t="shared" si="24"/>
        <v>12</v>
      </c>
      <c r="K205">
        <f t="shared" si="25"/>
        <v>0</v>
      </c>
      <c r="L205">
        <f t="shared" si="26"/>
        <v>0</v>
      </c>
      <c r="M205" t="str">
        <f t="shared" si="27"/>
        <v>C</v>
      </c>
    </row>
    <row r="206" spans="1:13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v>205</v>
      </c>
      <c r="G206" t="str">
        <f t="shared" si="22"/>
        <v>S</v>
      </c>
      <c r="H206">
        <f t="shared" si="28"/>
        <v>5</v>
      </c>
      <c r="I206">
        <f t="shared" si="23"/>
        <v>0</v>
      </c>
      <c r="J206">
        <f t="shared" si="24"/>
        <v>13</v>
      </c>
      <c r="K206">
        <f t="shared" si="25"/>
        <v>0</v>
      </c>
      <c r="L206">
        <f t="shared" si="26"/>
        <v>0</v>
      </c>
      <c r="M206" t="str">
        <f t="shared" si="27"/>
        <v>C</v>
      </c>
    </row>
    <row r="207" spans="1:13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v>206</v>
      </c>
      <c r="G207" t="str">
        <f t="shared" si="22"/>
        <v>S</v>
      </c>
      <c r="H207">
        <f t="shared" si="28"/>
        <v>5</v>
      </c>
      <c r="I207">
        <f t="shared" si="23"/>
        <v>0</v>
      </c>
      <c r="J207">
        <f t="shared" si="24"/>
        <v>14</v>
      </c>
      <c r="K207">
        <f t="shared" si="25"/>
        <v>0</v>
      </c>
      <c r="L207">
        <f t="shared" si="26"/>
        <v>0</v>
      </c>
      <c r="M207" t="str">
        <f t="shared" si="27"/>
        <v>C</v>
      </c>
    </row>
    <row r="208" spans="1:13" x14ac:dyDescent="0.45">
      <c r="A208">
        <v>207</v>
      </c>
      <c r="B208">
        <v>18.2</v>
      </c>
      <c r="C208">
        <v>17</v>
      </c>
      <c r="D208" t="s">
        <v>6</v>
      </c>
      <c r="E208">
        <v>5</v>
      </c>
      <c r="F208">
        <v>207</v>
      </c>
      <c r="G208" t="str">
        <f t="shared" si="22"/>
        <v>S</v>
      </c>
      <c r="H208">
        <f t="shared" si="28"/>
        <v>5</v>
      </c>
      <c r="I208">
        <f t="shared" si="23"/>
        <v>0</v>
      </c>
      <c r="J208">
        <f t="shared" si="24"/>
        <v>15</v>
      </c>
      <c r="K208">
        <f t="shared" si="25"/>
        <v>0</v>
      </c>
      <c r="L208">
        <f t="shared" si="26"/>
        <v>0</v>
      </c>
      <c r="M208" t="str">
        <f t="shared" si="27"/>
        <v>C</v>
      </c>
    </row>
    <row r="209" spans="1:13" x14ac:dyDescent="0.45">
      <c r="A209">
        <v>208</v>
      </c>
      <c r="B209">
        <v>20.7</v>
      </c>
      <c r="C209">
        <v>18</v>
      </c>
      <c r="D209" t="s">
        <v>6</v>
      </c>
      <c r="E209">
        <v>5</v>
      </c>
      <c r="F209">
        <v>208</v>
      </c>
      <c r="G209" t="str">
        <f t="shared" si="22"/>
        <v>S</v>
      </c>
      <c r="H209">
        <f t="shared" si="28"/>
        <v>5</v>
      </c>
      <c r="I209">
        <f t="shared" si="23"/>
        <v>0</v>
      </c>
      <c r="J209">
        <f t="shared" si="24"/>
        <v>16</v>
      </c>
      <c r="K209">
        <f t="shared" si="25"/>
        <v>0</v>
      </c>
      <c r="L209">
        <f t="shared" si="26"/>
        <v>0</v>
      </c>
      <c r="M209" t="str">
        <f t="shared" si="27"/>
        <v>C</v>
      </c>
    </row>
    <row r="210" spans="1:13" x14ac:dyDescent="0.45">
      <c r="A210">
        <v>209</v>
      </c>
      <c r="B210">
        <v>24</v>
      </c>
      <c r="C210">
        <v>13</v>
      </c>
      <c r="D210" t="s">
        <v>6</v>
      </c>
      <c r="E210">
        <v>5</v>
      </c>
      <c r="F210">
        <v>209</v>
      </c>
      <c r="G210" t="str">
        <f t="shared" si="22"/>
        <v>S</v>
      </c>
      <c r="H210">
        <f t="shared" si="28"/>
        <v>5</v>
      </c>
      <c r="I210">
        <f t="shared" si="23"/>
        <v>0</v>
      </c>
      <c r="J210">
        <f t="shared" si="24"/>
        <v>17</v>
      </c>
      <c r="K210">
        <f t="shared" si="25"/>
        <v>0</v>
      </c>
      <c r="L210">
        <f t="shared" si="26"/>
        <v>0</v>
      </c>
      <c r="M210" t="str">
        <f t="shared" si="27"/>
        <v>C</v>
      </c>
    </row>
    <row r="211" spans="1:13" x14ac:dyDescent="0.45">
      <c r="A211">
        <v>210</v>
      </c>
      <c r="B211">
        <v>27.2</v>
      </c>
      <c r="C211">
        <v>27</v>
      </c>
      <c r="D211" t="s">
        <v>6</v>
      </c>
      <c r="E211">
        <v>5</v>
      </c>
      <c r="F211">
        <v>210</v>
      </c>
      <c r="G211" t="str">
        <f t="shared" si="22"/>
        <v>S</v>
      </c>
      <c r="H211">
        <f t="shared" si="28"/>
        <v>5</v>
      </c>
      <c r="I211">
        <f t="shared" si="23"/>
        <v>0</v>
      </c>
      <c r="J211">
        <f t="shared" si="24"/>
        <v>18</v>
      </c>
      <c r="K211">
        <f t="shared" si="25"/>
        <v>0</v>
      </c>
      <c r="L211">
        <f t="shared" si="26"/>
        <v>0</v>
      </c>
      <c r="M211" t="str">
        <f t="shared" si="27"/>
        <v>C</v>
      </c>
    </row>
    <row r="212" spans="1:13" x14ac:dyDescent="0.45">
      <c r="A212">
        <v>211</v>
      </c>
      <c r="B212">
        <v>29.4</v>
      </c>
      <c r="C212">
        <v>0</v>
      </c>
      <c r="D212">
        <v>0</v>
      </c>
      <c r="E212">
        <v>0</v>
      </c>
      <c r="F212">
        <v>211</v>
      </c>
      <c r="G212">
        <f t="shared" si="22"/>
        <v>0</v>
      </c>
      <c r="H212">
        <f t="shared" si="28"/>
        <v>0</v>
      </c>
      <c r="I212">
        <f t="shared" si="23"/>
        <v>1</v>
      </c>
      <c r="J212">
        <f t="shared" si="24"/>
        <v>1</v>
      </c>
      <c r="K212">
        <f t="shared" si="25"/>
        <v>0</v>
      </c>
      <c r="L212">
        <f t="shared" si="26"/>
        <v>0</v>
      </c>
      <c r="M212" t="str">
        <f t="shared" si="27"/>
        <v>C</v>
      </c>
    </row>
    <row r="213" spans="1:13" x14ac:dyDescent="0.45">
      <c r="A213">
        <v>212</v>
      </c>
      <c r="B213">
        <v>29.9</v>
      </c>
      <c r="C213">
        <v>2</v>
      </c>
      <c r="D213" t="s">
        <v>5</v>
      </c>
      <c r="E213">
        <v>1</v>
      </c>
      <c r="F213">
        <v>212</v>
      </c>
      <c r="G213" t="str">
        <f t="shared" si="22"/>
        <v>C</v>
      </c>
      <c r="H213">
        <f t="shared" si="28"/>
        <v>1</v>
      </c>
      <c r="I213">
        <f t="shared" si="23"/>
        <v>0</v>
      </c>
      <c r="J213">
        <f t="shared" si="24"/>
        <v>1</v>
      </c>
      <c r="K213">
        <f t="shared" si="25"/>
        <v>1</v>
      </c>
      <c r="L213">
        <f t="shared" si="26"/>
        <v>0</v>
      </c>
      <c r="M213" t="str">
        <f t="shared" si="27"/>
        <v>C</v>
      </c>
    </row>
    <row r="214" spans="1:13" x14ac:dyDescent="0.45">
      <c r="A214">
        <v>213</v>
      </c>
      <c r="B214">
        <v>28.8</v>
      </c>
      <c r="C214">
        <v>4</v>
      </c>
      <c r="D214" t="s">
        <v>5</v>
      </c>
      <c r="E214">
        <v>1</v>
      </c>
      <c r="F214">
        <v>213</v>
      </c>
      <c r="G214" t="str">
        <f t="shared" si="22"/>
        <v>C</v>
      </c>
      <c r="H214">
        <f t="shared" si="28"/>
        <v>1</v>
      </c>
      <c r="I214">
        <f t="shared" si="23"/>
        <v>0</v>
      </c>
      <c r="J214">
        <f t="shared" si="24"/>
        <v>2</v>
      </c>
      <c r="K214">
        <f t="shared" si="25"/>
        <v>0</v>
      </c>
      <c r="L214">
        <f t="shared" si="26"/>
        <v>0</v>
      </c>
      <c r="M214" t="str">
        <f t="shared" si="27"/>
        <v>C</v>
      </c>
    </row>
    <row r="215" spans="1:13" x14ac:dyDescent="0.45">
      <c r="A215">
        <v>214</v>
      </c>
      <c r="B215">
        <v>26.2</v>
      </c>
      <c r="C215">
        <v>2</v>
      </c>
      <c r="D215" t="s">
        <v>5</v>
      </c>
      <c r="E215">
        <v>1</v>
      </c>
      <c r="F215">
        <v>214</v>
      </c>
      <c r="G215" t="str">
        <f t="shared" si="22"/>
        <v>C</v>
      </c>
      <c r="H215">
        <f t="shared" si="28"/>
        <v>1</v>
      </c>
      <c r="I215">
        <f t="shared" si="23"/>
        <v>0</v>
      </c>
      <c r="J215">
        <f t="shared" si="24"/>
        <v>3</v>
      </c>
      <c r="K215">
        <f t="shared" si="25"/>
        <v>0</v>
      </c>
      <c r="L215">
        <f t="shared" si="26"/>
        <v>0</v>
      </c>
      <c r="M215" t="str">
        <f t="shared" si="27"/>
        <v>C</v>
      </c>
    </row>
    <row r="216" spans="1:13" x14ac:dyDescent="0.45">
      <c r="A216">
        <v>215</v>
      </c>
      <c r="B216">
        <v>23.1</v>
      </c>
      <c r="C216">
        <v>11</v>
      </c>
      <c r="D216" t="s">
        <v>5</v>
      </c>
      <c r="E216">
        <v>1</v>
      </c>
      <c r="F216">
        <v>215</v>
      </c>
      <c r="G216" t="str">
        <f t="shared" si="22"/>
        <v>C</v>
      </c>
      <c r="H216">
        <f t="shared" si="28"/>
        <v>2</v>
      </c>
      <c r="I216">
        <f t="shared" si="23"/>
        <v>0</v>
      </c>
      <c r="J216">
        <f t="shared" si="24"/>
        <v>4</v>
      </c>
      <c r="K216">
        <f t="shared" si="25"/>
        <v>0</v>
      </c>
      <c r="L216">
        <f t="shared" si="26"/>
        <v>1</v>
      </c>
      <c r="M216" t="str">
        <f t="shared" si="27"/>
        <v>C</v>
      </c>
    </row>
    <row r="217" spans="1:13" x14ac:dyDescent="0.45">
      <c r="A217">
        <v>216</v>
      </c>
      <c r="B217">
        <v>20.3</v>
      </c>
      <c r="C217">
        <v>1</v>
      </c>
      <c r="D217" t="s">
        <v>5</v>
      </c>
      <c r="E217">
        <v>2</v>
      </c>
      <c r="F217">
        <v>216</v>
      </c>
      <c r="G217" t="str">
        <f t="shared" si="22"/>
        <v>C</v>
      </c>
      <c r="H217">
        <f t="shared" si="28"/>
        <v>2</v>
      </c>
      <c r="I217">
        <f t="shared" si="23"/>
        <v>0</v>
      </c>
      <c r="J217">
        <f t="shared" si="24"/>
        <v>5</v>
      </c>
      <c r="K217">
        <f t="shared" si="25"/>
        <v>0</v>
      </c>
      <c r="L217">
        <f t="shared" si="26"/>
        <v>0</v>
      </c>
      <c r="M217" t="str">
        <f t="shared" si="27"/>
        <v>C</v>
      </c>
    </row>
    <row r="218" spans="1:13" x14ac:dyDescent="0.45">
      <c r="A218">
        <v>217</v>
      </c>
      <c r="B218">
        <v>18.5</v>
      </c>
      <c r="C218">
        <v>7</v>
      </c>
      <c r="D218" t="s">
        <v>5</v>
      </c>
      <c r="E218">
        <v>2</v>
      </c>
      <c r="F218">
        <v>217</v>
      </c>
      <c r="G218" t="str">
        <f t="shared" si="22"/>
        <v>C</v>
      </c>
      <c r="H218">
        <f t="shared" si="28"/>
        <v>2</v>
      </c>
      <c r="I218">
        <f t="shared" si="23"/>
        <v>0</v>
      </c>
      <c r="J218">
        <f t="shared" si="24"/>
        <v>6</v>
      </c>
      <c r="K218">
        <f t="shared" si="25"/>
        <v>0</v>
      </c>
      <c r="L218">
        <f t="shared" si="26"/>
        <v>0</v>
      </c>
      <c r="M218" t="str">
        <f t="shared" si="27"/>
        <v>C</v>
      </c>
    </row>
    <row r="219" spans="1:13" x14ac:dyDescent="0.45">
      <c r="A219">
        <v>218</v>
      </c>
      <c r="B219">
        <v>18.2</v>
      </c>
      <c r="C219">
        <v>10</v>
      </c>
      <c r="D219" t="s">
        <v>5</v>
      </c>
      <c r="E219">
        <v>3</v>
      </c>
      <c r="F219">
        <v>218</v>
      </c>
      <c r="G219" t="str">
        <f t="shared" si="22"/>
        <v>C</v>
      </c>
      <c r="H219">
        <f t="shared" si="28"/>
        <v>3</v>
      </c>
      <c r="I219">
        <f t="shared" si="23"/>
        <v>0</v>
      </c>
      <c r="J219">
        <f t="shared" si="24"/>
        <v>7</v>
      </c>
      <c r="K219">
        <f t="shared" si="25"/>
        <v>0</v>
      </c>
      <c r="L219">
        <f t="shared" si="26"/>
        <v>0</v>
      </c>
      <c r="M219" t="str">
        <f t="shared" si="27"/>
        <v>C</v>
      </c>
    </row>
    <row r="220" spans="1:13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v>219</v>
      </c>
      <c r="G220" t="str">
        <f t="shared" si="22"/>
        <v>C</v>
      </c>
      <c r="H220">
        <f t="shared" si="28"/>
        <v>3</v>
      </c>
      <c r="I220">
        <f t="shared" si="23"/>
        <v>0</v>
      </c>
      <c r="J220">
        <f t="shared" si="24"/>
        <v>8</v>
      </c>
      <c r="K220">
        <f t="shared" si="25"/>
        <v>0</v>
      </c>
      <c r="L220">
        <f t="shared" si="26"/>
        <v>0</v>
      </c>
      <c r="M220" t="str">
        <f t="shared" si="27"/>
        <v>C</v>
      </c>
    </row>
    <row r="221" spans="1:13" x14ac:dyDescent="0.45">
      <c r="A221">
        <v>220</v>
      </c>
      <c r="B221">
        <v>20.9</v>
      </c>
      <c r="C221">
        <v>1</v>
      </c>
      <c r="D221" t="s">
        <v>5</v>
      </c>
      <c r="E221">
        <v>3</v>
      </c>
      <c r="F221">
        <v>220</v>
      </c>
      <c r="G221" t="str">
        <f t="shared" si="22"/>
        <v>C</v>
      </c>
      <c r="H221">
        <f t="shared" si="28"/>
        <v>3</v>
      </c>
      <c r="I221">
        <f t="shared" si="23"/>
        <v>0</v>
      </c>
      <c r="J221">
        <f t="shared" si="24"/>
        <v>9</v>
      </c>
      <c r="K221">
        <f t="shared" si="25"/>
        <v>0</v>
      </c>
      <c r="L221">
        <f t="shared" si="26"/>
        <v>0</v>
      </c>
      <c r="M221" t="str">
        <f t="shared" si="27"/>
        <v>C</v>
      </c>
    </row>
    <row r="222" spans="1:13" x14ac:dyDescent="0.45">
      <c r="A222">
        <v>221</v>
      </c>
      <c r="B222">
        <v>22.5</v>
      </c>
      <c r="C222">
        <v>4</v>
      </c>
      <c r="D222" t="s">
        <v>5</v>
      </c>
      <c r="E222">
        <v>4</v>
      </c>
      <c r="F222">
        <v>221</v>
      </c>
      <c r="G222" t="str">
        <f t="shared" si="22"/>
        <v>C</v>
      </c>
      <c r="H222">
        <f t="shared" si="28"/>
        <v>4</v>
      </c>
      <c r="I222">
        <f t="shared" si="23"/>
        <v>0</v>
      </c>
      <c r="J222">
        <f t="shared" si="24"/>
        <v>10</v>
      </c>
      <c r="K222">
        <f t="shared" si="25"/>
        <v>0</v>
      </c>
      <c r="L222">
        <f t="shared" si="26"/>
        <v>0</v>
      </c>
      <c r="M222" t="str">
        <f t="shared" si="27"/>
        <v>C</v>
      </c>
    </row>
    <row r="223" spans="1:13" x14ac:dyDescent="0.45">
      <c r="A223">
        <v>222</v>
      </c>
      <c r="B223">
        <v>23.2</v>
      </c>
      <c r="C223">
        <v>12</v>
      </c>
      <c r="D223" t="s">
        <v>5</v>
      </c>
      <c r="E223">
        <v>4</v>
      </c>
      <c r="F223">
        <v>222</v>
      </c>
      <c r="G223" t="str">
        <f t="shared" si="22"/>
        <v>C</v>
      </c>
      <c r="H223">
        <f t="shared" si="28"/>
        <v>4</v>
      </c>
      <c r="I223">
        <f t="shared" si="23"/>
        <v>0</v>
      </c>
      <c r="J223">
        <f t="shared" si="24"/>
        <v>11</v>
      </c>
      <c r="K223">
        <f t="shared" si="25"/>
        <v>0</v>
      </c>
      <c r="L223">
        <f t="shared" si="26"/>
        <v>0</v>
      </c>
      <c r="M223" t="str">
        <f t="shared" si="27"/>
        <v>C</v>
      </c>
    </row>
    <row r="224" spans="1:13" x14ac:dyDescent="0.45">
      <c r="A224">
        <v>223</v>
      </c>
      <c r="B224">
        <v>22.4</v>
      </c>
      <c r="C224">
        <v>7</v>
      </c>
      <c r="D224" t="s">
        <v>5</v>
      </c>
      <c r="E224">
        <v>4</v>
      </c>
      <c r="F224">
        <v>223</v>
      </c>
      <c r="G224" t="str">
        <f t="shared" si="22"/>
        <v>C</v>
      </c>
      <c r="H224">
        <f t="shared" si="28"/>
        <v>4</v>
      </c>
      <c r="I224">
        <f t="shared" si="23"/>
        <v>0</v>
      </c>
      <c r="J224">
        <f t="shared" si="24"/>
        <v>12</v>
      </c>
      <c r="K224">
        <f t="shared" si="25"/>
        <v>0</v>
      </c>
      <c r="L224">
        <f t="shared" si="26"/>
        <v>0</v>
      </c>
      <c r="M224" t="str">
        <f t="shared" si="27"/>
        <v>C</v>
      </c>
    </row>
    <row r="225" spans="1:13" x14ac:dyDescent="0.45">
      <c r="A225">
        <v>224</v>
      </c>
      <c r="B225">
        <v>20</v>
      </c>
      <c r="C225">
        <v>16</v>
      </c>
      <c r="D225" t="s">
        <v>5</v>
      </c>
      <c r="E225">
        <v>5</v>
      </c>
      <c r="F225">
        <v>224</v>
      </c>
      <c r="G225" t="str">
        <f t="shared" si="22"/>
        <v>C</v>
      </c>
      <c r="H225">
        <f t="shared" si="28"/>
        <v>5</v>
      </c>
      <c r="I225">
        <f t="shared" si="23"/>
        <v>0</v>
      </c>
      <c r="J225">
        <f t="shared" si="24"/>
        <v>13</v>
      </c>
      <c r="K225">
        <f t="shared" si="25"/>
        <v>0</v>
      </c>
      <c r="L225">
        <f t="shared" si="26"/>
        <v>0</v>
      </c>
      <c r="M225" t="str">
        <f t="shared" si="27"/>
        <v>C</v>
      </c>
    </row>
    <row r="226" spans="1:13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v>225</v>
      </c>
      <c r="G226" t="str">
        <f t="shared" si="22"/>
        <v>C</v>
      </c>
      <c r="H226">
        <f t="shared" si="28"/>
        <v>5</v>
      </c>
      <c r="I226">
        <f t="shared" si="23"/>
        <v>0</v>
      </c>
      <c r="J226">
        <f t="shared" si="24"/>
        <v>14</v>
      </c>
      <c r="K226">
        <f t="shared" si="25"/>
        <v>0</v>
      </c>
      <c r="L226">
        <f t="shared" si="26"/>
        <v>0</v>
      </c>
      <c r="M226" t="str">
        <f t="shared" si="27"/>
        <v>C</v>
      </c>
    </row>
    <row r="227" spans="1:13" x14ac:dyDescent="0.45">
      <c r="A227">
        <v>226</v>
      </c>
      <c r="B227">
        <v>12.3</v>
      </c>
      <c r="C227">
        <v>0</v>
      </c>
      <c r="D227">
        <v>0</v>
      </c>
      <c r="E227">
        <v>0</v>
      </c>
      <c r="F227">
        <v>226</v>
      </c>
      <c r="G227">
        <f t="shared" si="22"/>
        <v>0</v>
      </c>
      <c r="H227">
        <f t="shared" si="28"/>
        <v>0</v>
      </c>
      <c r="I227">
        <f t="shared" si="23"/>
        <v>1</v>
      </c>
      <c r="J227">
        <f t="shared" si="24"/>
        <v>1</v>
      </c>
      <c r="K227">
        <f t="shared" si="25"/>
        <v>0</v>
      </c>
      <c r="L227">
        <f t="shared" si="26"/>
        <v>0</v>
      </c>
      <c r="M227" t="str">
        <f t="shared" si="27"/>
        <v>C</v>
      </c>
    </row>
    <row r="228" spans="1:13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v>227</v>
      </c>
      <c r="G228" t="str">
        <f t="shared" si="22"/>
        <v>S</v>
      </c>
      <c r="H228">
        <f t="shared" si="28"/>
        <v>1</v>
      </c>
      <c r="I228">
        <f t="shared" si="23"/>
        <v>0</v>
      </c>
      <c r="J228">
        <f t="shared" si="24"/>
        <v>1</v>
      </c>
      <c r="K228">
        <f t="shared" si="25"/>
        <v>1</v>
      </c>
      <c r="L228">
        <f t="shared" si="26"/>
        <v>0</v>
      </c>
      <c r="M228" t="str">
        <f t="shared" si="27"/>
        <v>S</v>
      </c>
    </row>
    <row r="229" spans="1:13" x14ac:dyDescent="0.45">
      <c r="A229">
        <v>228</v>
      </c>
      <c r="B229">
        <v>6.4</v>
      </c>
      <c r="C229">
        <v>1</v>
      </c>
      <c r="D229" t="s">
        <v>6</v>
      </c>
      <c r="E229">
        <v>1</v>
      </c>
      <c r="F229">
        <v>228</v>
      </c>
      <c r="G229" t="str">
        <f t="shared" si="22"/>
        <v>S</v>
      </c>
      <c r="H229">
        <f t="shared" si="28"/>
        <v>1</v>
      </c>
      <c r="I229">
        <f t="shared" si="23"/>
        <v>0</v>
      </c>
      <c r="J229">
        <f t="shared" si="24"/>
        <v>2</v>
      </c>
      <c r="K229">
        <f t="shared" si="25"/>
        <v>0</v>
      </c>
      <c r="L229">
        <f t="shared" si="26"/>
        <v>0</v>
      </c>
      <c r="M229" t="str">
        <f t="shared" si="27"/>
        <v>S</v>
      </c>
    </row>
    <row r="230" spans="1:13" x14ac:dyDescent="0.45">
      <c r="A230">
        <v>229</v>
      </c>
      <c r="B230">
        <v>5.6</v>
      </c>
      <c r="C230">
        <v>6</v>
      </c>
      <c r="D230" t="s">
        <v>6</v>
      </c>
      <c r="E230">
        <v>1</v>
      </c>
      <c r="F230">
        <v>229</v>
      </c>
      <c r="G230" t="str">
        <f t="shared" si="22"/>
        <v>S</v>
      </c>
      <c r="H230">
        <f t="shared" si="28"/>
        <v>1</v>
      </c>
      <c r="I230">
        <f t="shared" si="23"/>
        <v>0</v>
      </c>
      <c r="J230">
        <f t="shared" si="24"/>
        <v>3</v>
      </c>
      <c r="K230">
        <f t="shared" si="25"/>
        <v>0</v>
      </c>
      <c r="L230">
        <f t="shared" si="26"/>
        <v>0</v>
      </c>
      <c r="M230" t="str">
        <f t="shared" si="27"/>
        <v>S</v>
      </c>
    </row>
    <row r="231" spans="1:13" x14ac:dyDescent="0.45">
      <c r="A231">
        <v>230</v>
      </c>
      <c r="B231">
        <v>6.4</v>
      </c>
      <c r="C231">
        <v>12</v>
      </c>
      <c r="D231" t="s">
        <v>6</v>
      </c>
      <c r="E231">
        <v>2</v>
      </c>
      <c r="F231">
        <v>230</v>
      </c>
      <c r="G231" t="str">
        <f t="shared" si="22"/>
        <v>S</v>
      </c>
      <c r="H231">
        <f t="shared" si="28"/>
        <v>2</v>
      </c>
      <c r="I231">
        <f t="shared" si="23"/>
        <v>0</v>
      </c>
      <c r="J231">
        <f t="shared" si="24"/>
        <v>4</v>
      </c>
      <c r="K231">
        <f t="shared" si="25"/>
        <v>0</v>
      </c>
      <c r="L231">
        <f t="shared" si="26"/>
        <v>1</v>
      </c>
      <c r="M231" t="str">
        <f t="shared" si="27"/>
        <v>S</v>
      </c>
    </row>
    <row r="232" spans="1:13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v>231</v>
      </c>
      <c r="G232" t="str">
        <f t="shared" si="22"/>
        <v>S</v>
      </c>
      <c r="H232">
        <f t="shared" si="28"/>
        <v>2</v>
      </c>
      <c r="I232">
        <f t="shared" si="23"/>
        <v>0</v>
      </c>
      <c r="J232">
        <f t="shared" si="24"/>
        <v>5</v>
      </c>
      <c r="K232">
        <f t="shared" si="25"/>
        <v>0</v>
      </c>
      <c r="L232">
        <f t="shared" si="26"/>
        <v>0</v>
      </c>
      <c r="M232" t="str">
        <f t="shared" si="27"/>
        <v>S</v>
      </c>
    </row>
    <row r="233" spans="1:13" x14ac:dyDescent="0.45">
      <c r="A233">
        <v>232</v>
      </c>
      <c r="B233">
        <v>10</v>
      </c>
      <c r="C233">
        <v>12</v>
      </c>
      <c r="D233" t="s">
        <v>6</v>
      </c>
      <c r="E233">
        <v>2</v>
      </c>
      <c r="F233">
        <v>232</v>
      </c>
      <c r="G233" t="str">
        <f t="shared" si="22"/>
        <v>S</v>
      </c>
      <c r="H233">
        <f t="shared" si="28"/>
        <v>2</v>
      </c>
      <c r="I233">
        <f t="shared" si="23"/>
        <v>0</v>
      </c>
      <c r="J233">
        <f t="shared" si="24"/>
        <v>6</v>
      </c>
      <c r="K233">
        <f t="shared" si="25"/>
        <v>0</v>
      </c>
      <c r="L233">
        <f t="shared" si="26"/>
        <v>0</v>
      </c>
      <c r="M233" t="str">
        <f t="shared" si="27"/>
        <v>C</v>
      </c>
    </row>
    <row r="234" spans="1:13" x14ac:dyDescent="0.45">
      <c r="A234">
        <v>233</v>
      </c>
      <c r="B234">
        <v>11.1</v>
      </c>
      <c r="C234">
        <v>17</v>
      </c>
      <c r="D234" t="s">
        <v>6</v>
      </c>
      <c r="E234">
        <v>3</v>
      </c>
      <c r="F234">
        <v>233</v>
      </c>
      <c r="G234" t="str">
        <f t="shared" si="22"/>
        <v>S</v>
      </c>
      <c r="H234">
        <f t="shared" si="28"/>
        <v>3</v>
      </c>
      <c r="I234">
        <f t="shared" si="23"/>
        <v>0</v>
      </c>
      <c r="J234">
        <f t="shared" si="24"/>
        <v>7</v>
      </c>
      <c r="K234">
        <f t="shared" si="25"/>
        <v>0</v>
      </c>
      <c r="L234">
        <f t="shared" si="26"/>
        <v>0</v>
      </c>
      <c r="M234" t="str">
        <f t="shared" si="27"/>
        <v>C</v>
      </c>
    </row>
    <row r="235" spans="1:13" x14ac:dyDescent="0.45">
      <c r="A235">
        <v>234</v>
      </c>
      <c r="B235">
        <v>10.9</v>
      </c>
      <c r="C235">
        <v>16</v>
      </c>
      <c r="D235" t="s">
        <v>6</v>
      </c>
      <c r="E235">
        <v>3</v>
      </c>
      <c r="F235">
        <v>234</v>
      </c>
      <c r="G235" t="str">
        <f t="shared" si="22"/>
        <v>S</v>
      </c>
      <c r="H235">
        <f t="shared" si="28"/>
        <v>3</v>
      </c>
      <c r="I235">
        <f t="shared" si="23"/>
        <v>0</v>
      </c>
      <c r="J235">
        <f t="shared" si="24"/>
        <v>8</v>
      </c>
      <c r="K235">
        <f t="shared" si="25"/>
        <v>0</v>
      </c>
      <c r="L235">
        <f t="shared" si="26"/>
        <v>0</v>
      </c>
      <c r="M235" t="str">
        <f t="shared" si="27"/>
        <v>C</v>
      </c>
    </row>
    <row r="236" spans="1:13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v>235</v>
      </c>
      <c r="G236" t="str">
        <f t="shared" si="22"/>
        <v>S</v>
      </c>
      <c r="H236">
        <f t="shared" si="28"/>
        <v>3</v>
      </c>
      <c r="I236">
        <f t="shared" si="23"/>
        <v>0</v>
      </c>
      <c r="J236">
        <f t="shared" si="24"/>
        <v>9</v>
      </c>
      <c r="K236">
        <f t="shared" si="25"/>
        <v>0</v>
      </c>
      <c r="L236">
        <f t="shared" si="26"/>
        <v>0</v>
      </c>
      <c r="M236" t="str">
        <f t="shared" si="27"/>
        <v>S</v>
      </c>
    </row>
    <row r="237" spans="1:13" x14ac:dyDescent="0.45">
      <c r="A237">
        <v>236</v>
      </c>
      <c r="B237">
        <v>6.6</v>
      </c>
      <c r="C237">
        <v>21</v>
      </c>
      <c r="D237" t="s">
        <v>6</v>
      </c>
      <c r="E237">
        <v>4</v>
      </c>
      <c r="F237">
        <v>236</v>
      </c>
      <c r="G237" t="str">
        <f t="shared" si="22"/>
        <v>S</v>
      </c>
      <c r="H237">
        <f t="shared" si="28"/>
        <v>4</v>
      </c>
      <c r="I237">
        <f t="shared" si="23"/>
        <v>0</v>
      </c>
      <c r="J237">
        <f t="shared" si="24"/>
        <v>10</v>
      </c>
      <c r="K237">
        <f t="shared" si="25"/>
        <v>0</v>
      </c>
      <c r="L237">
        <f t="shared" si="26"/>
        <v>0</v>
      </c>
      <c r="M237" t="str">
        <f t="shared" si="27"/>
        <v>S</v>
      </c>
    </row>
    <row r="238" spans="1:13" x14ac:dyDescent="0.45">
      <c r="A238">
        <v>237</v>
      </c>
      <c r="B238">
        <v>3.6</v>
      </c>
      <c r="C238">
        <v>18</v>
      </c>
      <c r="D238" t="s">
        <v>6</v>
      </c>
      <c r="E238">
        <v>4</v>
      </c>
      <c r="F238">
        <v>237</v>
      </c>
      <c r="G238" t="str">
        <f t="shared" si="22"/>
        <v>S</v>
      </c>
      <c r="H238">
        <f t="shared" si="28"/>
        <v>4</v>
      </c>
      <c r="I238">
        <f t="shared" si="23"/>
        <v>0</v>
      </c>
      <c r="J238">
        <f t="shared" si="24"/>
        <v>11</v>
      </c>
      <c r="K238">
        <f t="shared" si="25"/>
        <v>0</v>
      </c>
      <c r="L238">
        <f t="shared" si="26"/>
        <v>0</v>
      </c>
      <c r="M238" t="str">
        <f t="shared" si="27"/>
        <v>S</v>
      </c>
    </row>
    <row r="239" spans="1:13" x14ac:dyDescent="0.45">
      <c r="A239">
        <v>238</v>
      </c>
      <c r="B239">
        <v>1.2</v>
      </c>
      <c r="C239">
        <v>13</v>
      </c>
      <c r="D239" t="s">
        <v>6</v>
      </c>
      <c r="E239">
        <v>4</v>
      </c>
      <c r="F239">
        <v>238</v>
      </c>
      <c r="G239" t="str">
        <f t="shared" si="22"/>
        <v>S</v>
      </c>
      <c r="H239">
        <f t="shared" si="28"/>
        <v>4</v>
      </c>
      <c r="I239">
        <f t="shared" si="23"/>
        <v>0</v>
      </c>
      <c r="J239">
        <f t="shared" si="24"/>
        <v>12</v>
      </c>
      <c r="K239">
        <f t="shared" si="25"/>
        <v>0</v>
      </c>
      <c r="L239">
        <f t="shared" si="26"/>
        <v>0</v>
      </c>
      <c r="M239" t="str">
        <f t="shared" si="27"/>
        <v>S</v>
      </c>
    </row>
    <row r="240" spans="1:13" x14ac:dyDescent="0.45">
      <c r="A240">
        <v>239</v>
      </c>
      <c r="B240">
        <v>0.2</v>
      </c>
      <c r="C240">
        <v>29</v>
      </c>
      <c r="D240" t="s">
        <v>6</v>
      </c>
      <c r="E240">
        <v>5</v>
      </c>
      <c r="F240">
        <v>239</v>
      </c>
      <c r="G240" t="str">
        <f t="shared" si="22"/>
        <v>S</v>
      </c>
      <c r="H240">
        <f t="shared" si="28"/>
        <v>5</v>
      </c>
      <c r="I240">
        <f t="shared" si="23"/>
        <v>0</v>
      </c>
      <c r="J240">
        <f t="shared" si="24"/>
        <v>13</v>
      </c>
      <c r="K240">
        <f t="shared" si="25"/>
        <v>0</v>
      </c>
      <c r="L240">
        <f t="shared" si="26"/>
        <v>0</v>
      </c>
      <c r="M240" t="str">
        <f t="shared" si="27"/>
        <v>S</v>
      </c>
    </row>
    <row r="241" spans="1:13" x14ac:dyDescent="0.45">
      <c r="A241">
        <v>240</v>
      </c>
      <c r="B241">
        <v>0.9</v>
      </c>
      <c r="C241">
        <v>0</v>
      </c>
      <c r="D241">
        <v>0</v>
      </c>
      <c r="E241">
        <v>0</v>
      </c>
      <c r="F241">
        <v>240</v>
      </c>
      <c r="G241">
        <f t="shared" si="22"/>
        <v>0</v>
      </c>
      <c r="H241">
        <f t="shared" si="28"/>
        <v>0</v>
      </c>
      <c r="I241">
        <f t="shared" si="23"/>
        <v>1</v>
      </c>
      <c r="J241">
        <f t="shared" si="24"/>
        <v>1</v>
      </c>
      <c r="K241">
        <f t="shared" si="25"/>
        <v>0</v>
      </c>
      <c r="L241">
        <f t="shared" si="26"/>
        <v>0</v>
      </c>
      <c r="M241" t="str">
        <f t="shared" si="27"/>
        <v>S</v>
      </c>
    </row>
    <row r="242" spans="1:13" x14ac:dyDescent="0.45">
      <c r="A242">
        <v>241</v>
      </c>
      <c r="B242">
        <v>3.2</v>
      </c>
      <c r="C242">
        <v>6</v>
      </c>
      <c r="D242" t="s">
        <v>6</v>
      </c>
      <c r="E242">
        <v>1</v>
      </c>
      <c r="F242">
        <v>241</v>
      </c>
      <c r="G242" t="str">
        <f t="shared" si="22"/>
        <v>S</v>
      </c>
      <c r="H242">
        <f t="shared" si="28"/>
        <v>1</v>
      </c>
      <c r="I242">
        <f t="shared" si="23"/>
        <v>0</v>
      </c>
      <c r="J242">
        <f t="shared" si="24"/>
        <v>1</v>
      </c>
      <c r="K242">
        <f t="shared" si="25"/>
        <v>1</v>
      </c>
      <c r="L242">
        <f t="shared" si="26"/>
        <v>0</v>
      </c>
      <c r="M242" t="str">
        <f t="shared" si="27"/>
        <v>S</v>
      </c>
    </row>
    <row r="243" spans="1:13" x14ac:dyDescent="0.45">
      <c r="A243">
        <v>242</v>
      </c>
      <c r="B243">
        <v>6.6</v>
      </c>
      <c r="C243">
        <v>5</v>
      </c>
      <c r="D243" t="s">
        <v>6</v>
      </c>
      <c r="E243">
        <v>1</v>
      </c>
      <c r="F243">
        <v>242</v>
      </c>
      <c r="G243" t="str">
        <f t="shared" si="22"/>
        <v>S</v>
      </c>
      <c r="H243">
        <f t="shared" si="28"/>
        <v>1</v>
      </c>
      <c r="I243">
        <f t="shared" si="23"/>
        <v>0</v>
      </c>
      <c r="J243">
        <f t="shared" si="24"/>
        <v>2</v>
      </c>
      <c r="K243">
        <f t="shared" si="25"/>
        <v>0</v>
      </c>
      <c r="L243">
        <f t="shared" si="26"/>
        <v>0</v>
      </c>
      <c r="M243" t="str">
        <f t="shared" si="27"/>
        <v>S</v>
      </c>
    </row>
    <row r="244" spans="1:13" x14ac:dyDescent="0.45">
      <c r="A244">
        <v>243</v>
      </c>
      <c r="B244">
        <v>10</v>
      </c>
      <c r="C244">
        <v>2</v>
      </c>
      <c r="D244" t="s">
        <v>6</v>
      </c>
      <c r="E244">
        <v>1</v>
      </c>
      <c r="F244">
        <v>243</v>
      </c>
      <c r="G244" t="str">
        <f t="shared" si="22"/>
        <v>S</v>
      </c>
      <c r="H244">
        <f t="shared" si="28"/>
        <v>1</v>
      </c>
      <c r="I244">
        <f t="shared" si="23"/>
        <v>0</v>
      </c>
      <c r="J244">
        <f t="shared" si="24"/>
        <v>3</v>
      </c>
      <c r="K244">
        <f t="shared" si="25"/>
        <v>0</v>
      </c>
      <c r="L244">
        <f t="shared" si="26"/>
        <v>0</v>
      </c>
      <c r="M244" t="str">
        <f t="shared" si="27"/>
        <v>C</v>
      </c>
    </row>
    <row r="245" spans="1:13" x14ac:dyDescent="0.45">
      <c r="A245">
        <v>244</v>
      </c>
      <c r="B245">
        <v>12.7</v>
      </c>
      <c r="C245">
        <v>8</v>
      </c>
      <c r="D245" t="s">
        <v>6</v>
      </c>
      <c r="E245">
        <v>2</v>
      </c>
      <c r="F245">
        <v>244</v>
      </c>
      <c r="G245" t="str">
        <f t="shared" si="22"/>
        <v>S</v>
      </c>
      <c r="H245">
        <f t="shared" si="28"/>
        <v>2</v>
      </c>
      <c r="I245">
        <f t="shared" si="23"/>
        <v>0</v>
      </c>
      <c r="J245">
        <f t="shared" si="24"/>
        <v>4</v>
      </c>
      <c r="K245">
        <f t="shared" si="25"/>
        <v>0</v>
      </c>
      <c r="L245">
        <f t="shared" si="26"/>
        <v>1</v>
      </c>
      <c r="M245" t="str">
        <f t="shared" si="27"/>
        <v>C</v>
      </c>
    </row>
    <row r="246" spans="1:13" x14ac:dyDescent="0.45">
      <c r="A246">
        <v>245</v>
      </c>
      <c r="B246">
        <v>14.1</v>
      </c>
      <c r="C246">
        <v>1</v>
      </c>
      <c r="D246" t="s">
        <v>6</v>
      </c>
      <c r="E246">
        <v>2</v>
      </c>
      <c r="F246">
        <v>245</v>
      </c>
      <c r="G246" t="str">
        <f t="shared" si="22"/>
        <v>S</v>
      </c>
      <c r="H246">
        <f t="shared" si="28"/>
        <v>2</v>
      </c>
      <c r="I246">
        <f t="shared" si="23"/>
        <v>0</v>
      </c>
      <c r="J246">
        <f t="shared" si="24"/>
        <v>5</v>
      </c>
      <c r="K246">
        <f t="shared" si="25"/>
        <v>0</v>
      </c>
      <c r="L246">
        <f t="shared" si="26"/>
        <v>0</v>
      </c>
      <c r="M246" t="str">
        <f t="shared" si="27"/>
        <v>C</v>
      </c>
    </row>
    <row r="247" spans="1:13" x14ac:dyDescent="0.45">
      <c r="A247">
        <v>246</v>
      </c>
      <c r="B247">
        <v>14</v>
      </c>
      <c r="C247">
        <v>11</v>
      </c>
      <c r="D247" t="s">
        <v>6</v>
      </c>
      <c r="E247">
        <v>2</v>
      </c>
      <c r="F247">
        <v>246</v>
      </c>
      <c r="G247" t="str">
        <f t="shared" si="22"/>
        <v>S</v>
      </c>
      <c r="H247">
        <f t="shared" si="28"/>
        <v>2</v>
      </c>
      <c r="I247">
        <f t="shared" si="23"/>
        <v>0</v>
      </c>
      <c r="J247">
        <f t="shared" si="24"/>
        <v>6</v>
      </c>
      <c r="K247">
        <f t="shared" si="25"/>
        <v>0</v>
      </c>
      <c r="L247">
        <f t="shared" si="26"/>
        <v>0</v>
      </c>
      <c r="M247" t="str">
        <f t="shared" si="27"/>
        <v>C</v>
      </c>
    </row>
    <row r="248" spans="1:13" x14ac:dyDescent="0.45">
      <c r="A248">
        <v>247</v>
      </c>
      <c r="B248">
        <v>12.7</v>
      </c>
      <c r="C248">
        <v>13</v>
      </c>
      <c r="D248" t="s">
        <v>6</v>
      </c>
      <c r="E248">
        <v>3</v>
      </c>
      <c r="F248">
        <v>247</v>
      </c>
      <c r="G248" t="str">
        <f t="shared" si="22"/>
        <v>S</v>
      </c>
      <c r="H248">
        <f t="shared" si="28"/>
        <v>3</v>
      </c>
      <c r="I248">
        <f t="shared" si="23"/>
        <v>0</v>
      </c>
      <c r="J248">
        <f t="shared" si="24"/>
        <v>7</v>
      </c>
      <c r="K248">
        <f t="shared" si="25"/>
        <v>0</v>
      </c>
      <c r="L248">
        <f t="shared" si="26"/>
        <v>0</v>
      </c>
      <c r="M248" t="str">
        <f t="shared" si="27"/>
        <v>C</v>
      </c>
    </row>
    <row r="249" spans="1:13" x14ac:dyDescent="0.45">
      <c r="A249">
        <v>248</v>
      </c>
      <c r="B249">
        <v>11.1</v>
      </c>
      <c r="C249">
        <v>18</v>
      </c>
      <c r="D249" t="s">
        <v>6</v>
      </c>
      <c r="E249">
        <v>3</v>
      </c>
      <c r="F249">
        <v>248</v>
      </c>
      <c r="G249" t="str">
        <f t="shared" si="22"/>
        <v>S</v>
      </c>
      <c r="H249">
        <f t="shared" si="28"/>
        <v>3</v>
      </c>
      <c r="I249">
        <f t="shared" si="23"/>
        <v>0</v>
      </c>
      <c r="J249">
        <f t="shared" si="24"/>
        <v>8</v>
      </c>
      <c r="K249">
        <f t="shared" si="25"/>
        <v>0</v>
      </c>
      <c r="L249">
        <f t="shared" si="26"/>
        <v>0</v>
      </c>
      <c r="M249" t="str">
        <f t="shared" si="27"/>
        <v>C</v>
      </c>
    </row>
    <row r="250" spans="1:13" x14ac:dyDescent="0.45">
      <c r="A250">
        <v>249</v>
      </c>
      <c r="B250">
        <v>10</v>
      </c>
      <c r="C250">
        <v>15</v>
      </c>
      <c r="D250" t="s">
        <v>6</v>
      </c>
      <c r="E250">
        <v>3</v>
      </c>
      <c r="F250">
        <v>249</v>
      </c>
      <c r="G250" t="str">
        <f t="shared" si="22"/>
        <v>S</v>
      </c>
      <c r="H250">
        <f t="shared" si="28"/>
        <v>3</v>
      </c>
      <c r="I250">
        <f t="shared" si="23"/>
        <v>0</v>
      </c>
      <c r="J250">
        <f t="shared" si="24"/>
        <v>9</v>
      </c>
      <c r="K250">
        <f t="shared" si="25"/>
        <v>0</v>
      </c>
      <c r="L250">
        <f t="shared" si="26"/>
        <v>0</v>
      </c>
      <c r="M250" t="str">
        <f t="shared" si="27"/>
        <v>C</v>
      </c>
    </row>
    <row r="251" spans="1:13" x14ac:dyDescent="0.45">
      <c r="A251">
        <v>250</v>
      </c>
      <c r="B251">
        <v>10.1</v>
      </c>
      <c r="C251">
        <v>12</v>
      </c>
      <c r="D251" t="s">
        <v>6</v>
      </c>
      <c r="E251">
        <v>4</v>
      </c>
      <c r="F251">
        <v>250</v>
      </c>
      <c r="G251" t="str">
        <f t="shared" si="22"/>
        <v>S</v>
      </c>
      <c r="H251">
        <f t="shared" si="28"/>
        <v>4</v>
      </c>
      <c r="I251">
        <f t="shared" si="23"/>
        <v>0</v>
      </c>
      <c r="J251">
        <f t="shared" si="24"/>
        <v>10</v>
      </c>
      <c r="K251">
        <f t="shared" si="25"/>
        <v>0</v>
      </c>
      <c r="L251">
        <f t="shared" si="26"/>
        <v>0</v>
      </c>
      <c r="M251" t="str">
        <f t="shared" si="27"/>
        <v>C</v>
      </c>
    </row>
    <row r="252" spans="1:13" x14ac:dyDescent="0.45">
      <c r="A252">
        <v>251</v>
      </c>
      <c r="B252">
        <v>11.7</v>
      </c>
      <c r="C252">
        <v>2</v>
      </c>
      <c r="D252" t="s">
        <v>6</v>
      </c>
      <c r="E252">
        <v>4</v>
      </c>
      <c r="F252">
        <v>251</v>
      </c>
      <c r="G252" t="str">
        <f t="shared" si="22"/>
        <v>S</v>
      </c>
      <c r="H252">
        <f t="shared" si="28"/>
        <v>4</v>
      </c>
      <c r="I252">
        <f t="shared" si="23"/>
        <v>0</v>
      </c>
      <c r="J252">
        <f t="shared" si="24"/>
        <v>11</v>
      </c>
      <c r="K252">
        <f t="shared" si="25"/>
        <v>0</v>
      </c>
      <c r="L252">
        <f t="shared" si="26"/>
        <v>0</v>
      </c>
      <c r="M252" t="str">
        <f t="shared" si="27"/>
        <v>C</v>
      </c>
    </row>
    <row r="253" spans="1:13" x14ac:dyDescent="0.45">
      <c r="A253">
        <v>252</v>
      </c>
      <c r="B253">
        <v>14.8</v>
      </c>
      <c r="C253">
        <v>21</v>
      </c>
      <c r="D253" t="s">
        <v>6</v>
      </c>
      <c r="E253">
        <v>4</v>
      </c>
      <c r="F253">
        <v>252</v>
      </c>
      <c r="G253" t="str">
        <f t="shared" si="22"/>
        <v>S</v>
      </c>
      <c r="H253">
        <f t="shared" si="28"/>
        <v>4</v>
      </c>
      <c r="I253">
        <f t="shared" si="23"/>
        <v>0</v>
      </c>
      <c r="J253">
        <f t="shared" si="24"/>
        <v>12</v>
      </c>
      <c r="K253">
        <f t="shared" si="25"/>
        <v>0</v>
      </c>
      <c r="L253">
        <f t="shared" si="26"/>
        <v>0</v>
      </c>
      <c r="M253" t="str">
        <f t="shared" si="27"/>
        <v>C</v>
      </c>
    </row>
    <row r="254" spans="1:13" x14ac:dyDescent="0.45">
      <c r="A254">
        <v>253</v>
      </c>
      <c r="B254">
        <v>18.7</v>
      </c>
      <c r="C254">
        <v>28</v>
      </c>
      <c r="D254" t="s">
        <v>6</v>
      </c>
      <c r="E254">
        <v>5</v>
      </c>
      <c r="F254">
        <v>253</v>
      </c>
      <c r="G254" t="str">
        <f t="shared" si="22"/>
        <v>S</v>
      </c>
      <c r="H254">
        <f t="shared" si="28"/>
        <v>5</v>
      </c>
      <c r="I254">
        <f t="shared" si="23"/>
        <v>0</v>
      </c>
      <c r="J254">
        <f t="shared" si="24"/>
        <v>13</v>
      </c>
      <c r="K254">
        <f t="shared" si="25"/>
        <v>0</v>
      </c>
      <c r="L254">
        <f t="shared" si="26"/>
        <v>0</v>
      </c>
      <c r="M254" t="str">
        <f t="shared" si="27"/>
        <v>C</v>
      </c>
    </row>
    <row r="255" spans="1:13" x14ac:dyDescent="0.45">
      <c r="A255">
        <v>254</v>
      </c>
      <c r="B255">
        <v>22.5</v>
      </c>
      <c r="C255">
        <v>0</v>
      </c>
      <c r="D255">
        <v>0</v>
      </c>
      <c r="E255">
        <v>0</v>
      </c>
      <c r="F255">
        <v>254</v>
      </c>
      <c r="G255">
        <f t="shared" si="22"/>
        <v>0</v>
      </c>
      <c r="H255">
        <f t="shared" si="28"/>
        <v>0</v>
      </c>
      <c r="I255">
        <f t="shared" si="23"/>
        <v>1</v>
      </c>
      <c r="J255">
        <f t="shared" si="24"/>
        <v>1</v>
      </c>
      <c r="K255">
        <f t="shared" si="25"/>
        <v>0</v>
      </c>
      <c r="L255">
        <f t="shared" si="26"/>
        <v>0</v>
      </c>
      <c r="M255" t="str">
        <f t="shared" si="27"/>
        <v>C</v>
      </c>
    </row>
    <row r="256" spans="1:13" x14ac:dyDescent="0.45">
      <c r="A256">
        <v>255</v>
      </c>
      <c r="B256">
        <v>25.4</v>
      </c>
      <c r="C256">
        <v>3</v>
      </c>
      <c r="D256" t="s">
        <v>5</v>
      </c>
      <c r="E256">
        <v>1</v>
      </c>
      <c r="F256">
        <v>255</v>
      </c>
      <c r="G256" t="str">
        <f t="shared" si="22"/>
        <v>C</v>
      </c>
      <c r="H256">
        <f t="shared" si="28"/>
        <v>1</v>
      </c>
      <c r="I256">
        <f t="shared" si="23"/>
        <v>0</v>
      </c>
      <c r="J256">
        <f t="shared" si="24"/>
        <v>1</v>
      </c>
      <c r="K256">
        <f t="shared" si="25"/>
        <v>1</v>
      </c>
      <c r="L256">
        <f t="shared" si="26"/>
        <v>0</v>
      </c>
      <c r="M256" t="str">
        <f t="shared" si="27"/>
        <v>C</v>
      </c>
    </row>
    <row r="257" spans="1:13" x14ac:dyDescent="0.45">
      <c r="A257">
        <v>256</v>
      </c>
      <c r="B257">
        <v>26.8</v>
      </c>
      <c r="C257">
        <v>5</v>
      </c>
      <c r="D257" t="s">
        <v>5</v>
      </c>
      <c r="E257">
        <v>1</v>
      </c>
      <c r="F257">
        <v>256</v>
      </c>
      <c r="G257" t="str">
        <f t="shared" si="22"/>
        <v>C</v>
      </c>
      <c r="H257">
        <f t="shared" si="28"/>
        <v>1</v>
      </c>
      <c r="I257">
        <f t="shared" si="23"/>
        <v>0</v>
      </c>
      <c r="J257">
        <f t="shared" si="24"/>
        <v>2</v>
      </c>
      <c r="K257">
        <f t="shared" si="25"/>
        <v>0</v>
      </c>
      <c r="L257">
        <f t="shared" si="26"/>
        <v>0</v>
      </c>
      <c r="M257" t="str">
        <f t="shared" si="27"/>
        <v>C</v>
      </c>
    </row>
    <row r="258" spans="1:13" x14ac:dyDescent="0.45">
      <c r="A258">
        <v>257</v>
      </c>
      <c r="B258">
        <v>26.5</v>
      </c>
      <c r="C258">
        <v>5</v>
      </c>
      <c r="D258" t="s">
        <v>5</v>
      </c>
      <c r="E258">
        <v>1</v>
      </c>
      <c r="F258">
        <v>257</v>
      </c>
      <c r="G258" t="str">
        <f t="shared" si="22"/>
        <v>C</v>
      </c>
      <c r="H258">
        <f t="shared" si="28"/>
        <v>1</v>
      </c>
      <c r="I258">
        <f t="shared" si="23"/>
        <v>0</v>
      </c>
      <c r="J258">
        <f t="shared" si="24"/>
        <v>3</v>
      </c>
      <c r="K258">
        <f t="shared" si="25"/>
        <v>0</v>
      </c>
      <c r="L258">
        <f t="shared" si="26"/>
        <v>0</v>
      </c>
      <c r="M258" t="str">
        <f t="shared" si="27"/>
        <v>C</v>
      </c>
    </row>
    <row r="259" spans="1:13" x14ac:dyDescent="0.45">
      <c r="A259">
        <v>258</v>
      </c>
      <c r="B259">
        <v>24.9</v>
      </c>
      <c r="C259">
        <v>7</v>
      </c>
      <c r="D259" t="s">
        <v>5</v>
      </c>
      <c r="E259">
        <v>2</v>
      </c>
      <c r="F259">
        <v>258</v>
      </c>
      <c r="G259" t="str">
        <f t="shared" si="22"/>
        <v>C</v>
      </c>
      <c r="H259">
        <f t="shared" si="28"/>
        <v>2</v>
      </c>
      <c r="I259">
        <f t="shared" si="23"/>
        <v>0</v>
      </c>
      <c r="J259">
        <f t="shared" si="24"/>
        <v>4</v>
      </c>
      <c r="K259">
        <f t="shared" si="25"/>
        <v>0</v>
      </c>
      <c r="L259">
        <f t="shared" si="26"/>
        <v>1</v>
      </c>
      <c r="M259" t="str">
        <f t="shared" si="27"/>
        <v>C</v>
      </c>
    </row>
    <row r="260" spans="1:13" x14ac:dyDescent="0.45">
      <c r="A260">
        <v>259</v>
      </c>
      <c r="B260">
        <v>22.6</v>
      </c>
      <c r="C260">
        <v>1</v>
      </c>
      <c r="D260" t="s">
        <v>5</v>
      </c>
      <c r="E260">
        <v>2</v>
      </c>
      <c r="F260">
        <v>259</v>
      </c>
      <c r="G260" t="str">
        <f t="shared" ref="G260:G323" si="29">IF(I260=1,0, IF(K260=1,M260,G259))</f>
        <v>C</v>
      </c>
      <c r="H260">
        <f t="shared" si="28"/>
        <v>2</v>
      </c>
      <c r="I260">
        <f t="shared" ref="I260:I323" si="30">IF(AND(H259=5,C259&gt;=20),1,0)</f>
        <v>0</v>
      </c>
      <c r="J260">
        <f t="shared" ref="J260:J323" si="31">IF(G260=G259,J259+1,1)</f>
        <v>5</v>
      </c>
      <c r="K260">
        <f t="shared" ref="K260:K323" si="32">IF(AND(G259=0,H259=0),1,0)</f>
        <v>0</v>
      </c>
      <c r="L260">
        <f t="shared" ref="L260:L323" si="33">IF(J259=3,1,0)</f>
        <v>0</v>
      </c>
      <c r="M260" t="str">
        <f t="shared" ref="M260:M323" si="34">IF(B260&lt;10,"S","C")</f>
        <v>C</v>
      </c>
    </row>
    <row r="261" spans="1:13" x14ac:dyDescent="0.45">
      <c r="A261">
        <v>260</v>
      </c>
      <c r="B261">
        <v>20.7</v>
      </c>
      <c r="C261">
        <v>6</v>
      </c>
      <c r="D261" t="s">
        <v>5</v>
      </c>
      <c r="E261">
        <v>2</v>
      </c>
      <c r="F261">
        <v>260</v>
      </c>
      <c r="G261" t="str">
        <f t="shared" si="29"/>
        <v>C</v>
      </c>
      <c r="H261">
        <f t="shared" si="28"/>
        <v>2</v>
      </c>
      <c r="I261">
        <f t="shared" si="30"/>
        <v>0</v>
      </c>
      <c r="J261">
        <f t="shared" si="31"/>
        <v>6</v>
      </c>
      <c r="K261">
        <f t="shared" si="32"/>
        <v>0</v>
      </c>
      <c r="L261">
        <f t="shared" si="33"/>
        <v>0</v>
      </c>
      <c r="M261" t="str">
        <f t="shared" si="34"/>
        <v>C</v>
      </c>
    </row>
    <row r="262" spans="1:13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v>261</v>
      </c>
      <c r="G262" t="str">
        <f t="shared" si="29"/>
        <v>C</v>
      </c>
      <c r="H262">
        <f t="shared" si="28"/>
        <v>3</v>
      </c>
      <c r="I262">
        <f t="shared" si="30"/>
        <v>0</v>
      </c>
      <c r="J262">
        <f t="shared" si="31"/>
        <v>7</v>
      </c>
      <c r="K262">
        <f t="shared" si="32"/>
        <v>0</v>
      </c>
      <c r="L262">
        <f t="shared" si="33"/>
        <v>0</v>
      </c>
      <c r="M262" t="str">
        <f t="shared" si="34"/>
        <v>C</v>
      </c>
    </row>
    <row r="263" spans="1:13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v>262</v>
      </c>
      <c r="G263" t="str">
        <f t="shared" si="29"/>
        <v>C</v>
      </c>
      <c r="H263">
        <f t="shared" ref="H263:H326" si="35">IF(I263=1,0,IF(K263=1,1,IF(MOD(J262,3)=0, IF(H262+1&gt;5,5,H262+1),H262)))</f>
        <v>3</v>
      </c>
      <c r="I263">
        <f t="shared" si="30"/>
        <v>0</v>
      </c>
      <c r="J263">
        <f t="shared" si="31"/>
        <v>8</v>
      </c>
      <c r="K263">
        <f t="shared" si="32"/>
        <v>0</v>
      </c>
      <c r="L263">
        <f t="shared" si="33"/>
        <v>0</v>
      </c>
      <c r="M263" t="str">
        <f t="shared" si="34"/>
        <v>C</v>
      </c>
    </row>
    <row r="264" spans="1:13" x14ac:dyDescent="0.45">
      <c r="A264">
        <v>263</v>
      </c>
      <c r="B264">
        <v>22.3</v>
      </c>
      <c r="C264">
        <v>16</v>
      </c>
      <c r="D264" t="s">
        <v>5</v>
      </c>
      <c r="E264">
        <v>3</v>
      </c>
      <c r="F264">
        <v>263</v>
      </c>
      <c r="G264" t="str">
        <f t="shared" si="29"/>
        <v>C</v>
      </c>
      <c r="H264">
        <f t="shared" si="35"/>
        <v>3</v>
      </c>
      <c r="I264">
        <f t="shared" si="30"/>
        <v>0</v>
      </c>
      <c r="J264">
        <f t="shared" si="31"/>
        <v>9</v>
      </c>
      <c r="K264">
        <f t="shared" si="32"/>
        <v>0</v>
      </c>
      <c r="L264">
        <f t="shared" si="33"/>
        <v>0</v>
      </c>
      <c r="M264" t="str">
        <f t="shared" si="34"/>
        <v>C</v>
      </c>
    </row>
    <row r="265" spans="1:13" x14ac:dyDescent="0.45">
      <c r="A265">
        <v>264</v>
      </c>
      <c r="B265">
        <v>24.8</v>
      </c>
      <c r="C265">
        <v>9</v>
      </c>
      <c r="D265" t="s">
        <v>5</v>
      </c>
      <c r="E265">
        <v>4</v>
      </c>
      <c r="F265">
        <v>264</v>
      </c>
      <c r="G265" t="str">
        <f t="shared" si="29"/>
        <v>C</v>
      </c>
      <c r="H265">
        <f t="shared" si="35"/>
        <v>4</v>
      </c>
      <c r="I265">
        <f t="shared" si="30"/>
        <v>0</v>
      </c>
      <c r="J265">
        <f t="shared" si="31"/>
        <v>10</v>
      </c>
      <c r="K265">
        <f t="shared" si="32"/>
        <v>0</v>
      </c>
      <c r="L265">
        <f t="shared" si="33"/>
        <v>0</v>
      </c>
      <c r="M265" t="str">
        <f t="shared" si="34"/>
        <v>C</v>
      </c>
    </row>
    <row r="266" spans="1:13" x14ac:dyDescent="0.45">
      <c r="A266">
        <v>265</v>
      </c>
      <c r="B266">
        <v>27.2</v>
      </c>
      <c r="C266">
        <v>18</v>
      </c>
      <c r="D266" t="s">
        <v>5</v>
      </c>
      <c r="E266">
        <v>4</v>
      </c>
      <c r="F266">
        <v>265</v>
      </c>
      <c r="G266" t="str">
        <f t="shared" si="29"/>
        <v>C</v>
      </c>
      <c r="H266">
        <f t="shared" si="35"/>
        <v>4</v>
      </c>
      <c r="I266">
        <f t="shared" si="30"/>
        <v>0</v>
      </c>
      <c r="J266">
        <f t="shared" si="31"/>
        <v>11</v>
      </c>
      <c r="K266">
        <f t="shared" si="32"/>
        <v>0</v>
      </c>
      <c r="L266">
        <f t="shared" si="33"/>
        <v>0</v>
      </c>
      <c r="M266" t="str">
        <f t="shared" si="34"/>
        <v>C</v>
      </c>
    </row>
    <row r="267" spans="1:13" x14ac:dyDescent="0.45">
      <c r="A267">
        <v>266</v>
      </c>
      <c r="B267">
        <v>28.6</v>
      </c>
      <c r="C267">
        <v>4</v>
      </c>
      <c r="D267" t="s">
        <v>5</v>
      </c>
      <c r="E267">
        <v>4</v>
      </c>
      <c r="F267">
        <v>266</v>
      </c>
      <c r="G267" t="str">
        <f t="shared" si="29"/>
        <v>C</v>
      </c>
      <c r="H267">
        <f t="shared" si="35"/>
        <v>4</v>
      </c>
      <c r="I267">
        <f t="shared" si="30"/>
        <v>0</v>
      </c>
      <c r="J267">
        <f t="shared" si="31"/>
        <v>12</v>
      </c>
      <c r="K267">
        <f t="shared" si="32"/>
        <v>0</v>
      </c>
      <c r="L267">
        <f t="shared" si="33"/>
        <v>0</v>
      </c>
      <c r="M267" t="str">
        <f t="shared" si="34"/>
        <v>C</v>
      </c>
    </row>
    <row r="268" spans="1:13" x14ac:dyDescent="0.45">
      <c r="A268">
        <v>267</v>
      </c>
      <c r="B268">
        <v>28.4</v>
      </c>
      <c r="C268">
        <v>22</v>
      </c>
      <c r="D268" t="s">
        <v>5</v>
      </c>
      <c r="E268">
        <v>5</v>
      </c>
      <c r="F268">
        <v>267</v>
      </c>
      <c r="G268" t="str">
        <f t="shared" si="29"/>
        <v>C</v>
      </c>
      <c r="H268">
        <f t="shared" si="35"/>
        <v>5</v>
      </c>
      <c r="I268">
        <f t="shared" si="30"/>
        <v>0</v>
      </c>
      <c r="J268">
        <f t="shared" si="31"/>
        <v>13</v>
      </c>
      <c r="K268">
        <f t="shared" si="32"/>
        <v>0</v>
      </c>
      <c r="L268">
        <f t="shared" si="33"/>
        <v>0</v>
      </c>
      <c r="M268" t="str">
        <f t="shared" si="34"/>
        <v>C</v>
      </c>
    </row>
    <row r="269" spans="1:13" x14ac:dyDescent="0.45">
      <c r="A269">
        <v>268</v>
      </c>
      <c r="B269">
        <v>26.5</v>
      </c>
      <c r="C269">
        <v>0</v>
      </c>
      <c r="D269">
        <v>0</v>
      </c>
      <c r="E269">
        <v>0</v>
      </c>
      <c r="F269">
        <v>268</v>
      </c>
      <c r="G269">
        <f t="shared" si="29"/>
        <v>0</v>
      </c>
      <c r="H269">
        <f t="shared" si="35"/>
        <v>0</v>
      </c>
      <c r="I269">
        <f t="shared" si="30"/>
        <v>1</v>
      </c>
      <c r="J269">
        <f t="shared" si="31"/>
        <v>1</v>
      </c>
      <c r="K269">
        <f t="shared" si="32"/>
        <v>0</v>
      </c>
      <c r="L269">
        <f t="shared" si="33"/>
        <v>0</v>
      </c>
      <c r="M269" t="str">
        <f t="shared" si="34"/>
        <v>C</v>
      </c>
    </row>
    <row r="270" spans="1:13" x14ac:dyDescent="0.45">
      <c r="A270">
        <v>269</v>
      </c>
      <c r="B270">
        <v>23.3</v>
      </c>
      <c r="C270">
        <v>4</v>
      </c>
      <c r="D270" t="s">
        <v>5</v>
      </c>
      <c r="E270">
        <v>1</v>
      </c>
      <c r="F270">
        <v>269</v>
      </c>
      <c r="G270" t="str">
        <f t="shared" si="29"/>
        <v>C</v>
      </c>
      <c r="H270">
        <f t="shared" si="35"/>
        <v>1</v>
      </c>
      <c r="I270">
        <f t="shared" si="30"/>
        <v>0</v>
      </c>
      <c r="J270">
        <f t="shared" si="31"/>
        <v>1</v>
      </c>
      <c r="K270">
        <f t="shared" si="32"/>
        <v>1</v>
      </c>
      <c r="L270">
        <f t="shared" si="33"/>
        <v>0</v>
      </c>
      <c r="M270" t="str">
        <f t="shared" si="34"/>
        <v>C</v>
      </c>
    </row>
    <row r="271" spans="1:13" x14ac:dyDescent="0.45">
      <c r="A271">
        <v>270</v>
      </c>
      <c r="B271">
        <v>19.5</v>
      </c>
      <c r="C271">
        <v>6</v>
      </c>
      <c r="D271" t="s">
        <v>5</v>
      </c>
      <c r="E271">
        <v>1</v>
      </c>
      <c r="F271">
        <v>270</v>
      </c>
      <c r="G271" t="str">
        <f t="shared" si="29"/>
        <v>C</v>
      </c>
      <c r="H271">
        <f t="shared" si="35"/>
        <v>1</v>
      </c>
      <c r="I271">
        <f t="shared" si="30"/>
        <v>0</v>
      </c>
      <c r="J271">
        <f t="shared" si="31"/>
        <v>2</v>
      </c>
      <c r="K271">
        <f t="shared" si="32"/>
        <v>0</v>
      </c>
      <c r="L271">
        <f t="shared" si="33"/>
        <v>0</v>
      </c>
      <c r="M271" t="str">
        <f t="shared" si="34"/>
        <v>C</v>
      </c>
    </row>
    <row r="272" spans="1:13" x14ac:dyDescent="0.45">
      <c r="A272">
        <v>271</v>
      </c>
      <c r="B272">
        <v>16</v>
      </c>
      <c r="C272">
        <v>6</v>
      </c>
      <c r="D272" t="s">
        <v>5</v>
      </c>
      <c r="E272">
        <v>1</v>
      </c>
      <c r="F272">
        <v>271</v>
      </c>
      <c r="G272" t="str">
        <f t="shared" si="29"/>
        <v>C</v>
      </c>
      <c r="H272">
        <f t="shared" si="35"/>
        <v>1</v>
      </c>
      <c r="I272">
        <f t="shared" si="30"/>
        <v>0</v>
      </c>
      <c r="J272">
        <f t="shared" si="31"/>
        <v>3</v>
      </c>
      <c r="K272">
        <f t="shared" si="32"/>
        <v>0</v>
      </c>
      <c r="L272">
        <f t="shared" si="33"/>
        <v>0</v>
      </c>
      <c r="M272" t="str">
        <f t="shared" si="34"/>
        <v>C</v>
      </c>
    </row>
    <row r="273" spans="1:13" x14ac:dyDescent="0.45">
      <c r="A273">
        <v>272</v>
      </c>
      <c r="B273">
        <v>13.7</v>
      </c>
      <c r="C273">
        <v>9</v>
      </c>
      <c r="D273" t="s">
        <v>5</v>
      </c>
      <c r="E273">
        <v>2</v>
      </c>
      <c r="F273">
        <v>272</v>
      </c>
      <c r="G273" t="str">
        <f t="shared" si="29"/>
        <v>C</v>
      </c>
      <c r="H273">
        <f t="shared" si="35"/>
        <v>2</v>
      </c>
      <c r="I273">
        <f t="shared" si="30"/>
        <v>0</v>
      </c>
      <c r="J273">
        <f t="shared" si="31"/>
        <v>4</v>
      </c>
      <c r="K273">
        <f t="shared" si="32"/>
        <v>0</v>
      </c>
      <c r="L273">
        <f t="shared" si="33"/>
        <v>1</v>
      </c>
      <c r="M273" t="str">
        <f t="shared" si="34"/>
        <v>C</v>
      </c>
    </row>
    <row r="274" spans="1:13" x14ac:dyDescent="0.45">
      <c r="A274">
        <v>273</v>
      </c>
      <c r="B274">
        <v>12.9</v>
      </c>
      <c r="C274">
        <v>7</v>
      </c>
      <c r="D274" t="s">
        <v>5</v>
      </c>
      <c r="E274">
        <v>2</v>
      </c>
      <c r="F274">
        <v>273</v>
      </c>
      <c r="G274" t="str">
        <f t="shared" si="29"/>
        <v>C</v>
      </c>
      <c r="H274">
        <f t="shared" si="35"/>
        <v>2</v>
      </c>
      <c r="I274">
        <f t="shared" si="30"/>
        <v>0</v>
      </c>
      <c r="J274">
        <f t="shared" si="31"/>
        <v>5</v>
      </c>
      <c r="K274">
        <f t="shared" si="32"/>
        <v>0</v>
      </c>
      <c r="L274">
        <f t="shared" si="33"/>
        <v>0</v>
      </c>
      <c r="M274" t="str">
        <f t="shared" si="34"/>
        <v>C</v>
      </c>
    </row>
    <row r="275" spans="1:13" x14ac:dyDescent="0.45">
      <c r="A275">
        <v>274</v>
      </c>
      <c r="B275">
        <v>13.5</v>
      </c>
      <c r="C275">
        <v>1</v>
      </c>
      <c r="D275" t="s">
        <v>5</v>
      </c>
      <c r="E275">
        <v>2</v>
      </c>
      <c r="F275">
        <v>274</v>
      </c>
      <c r="G275" t="str">
        <f t="shared" si="29"/>
        <v>C</v>
      </c>
      <c r="H275">
        <f t="shared" si="35"/>
        <v>2</v>
      </c>
      <c r="I275">
        <f t="shared" si="30"/>
        <v>0</v>
      </c>
      <c r="J275">
        <f t="shared" si="31"/>
        <v>6</v>
      </c>
      <c r="K275">
        <f t="shared" si="32"/>
        <v>0</v>
      </c>
      <c r="L275">
        <f t="shared" si="33"/>
        <v>0</v>
      </c>
      <c r="M275" t="str">
        <f t="shared" si="34"/>
        <v>C</v>
      </c>
    </row>
    <row r="276" spans="1:13" x14ac:dyDescent="0.45">
      <c r="A276">
        <v>275</v>
      </c>
      <c r="B276">
        <v>15</v>
      </c>
      <c r="C276">
        <v>18</v>
      </c>
      <c r="D276" t="s">
        <v>5</v>
      </c>
      <c r="E276">
        <v>3</v>
      </c>
      <c r="F276">
        <v>275</v>
      </c>
      <c r="G276" t="str">
        <f t="shared" si="29"/>
        <v>C</v>
      </c>
      <c r="H276">
        <f t="shared" si="35"/>
        <v>3</v>
      </c>
      <c r="I276">
        <f t="shared" si="30"/>
        <v>0</v>
      </c>
      <c r="J276">
        <f t="shared" si="31"/>
        <v>7</v>
      </c>
      <c r="K276">
        <f t="shared" si="32"/>
        <v>0</v>
      </c>
      <c r="L276">
        <f t="shared" si="33"/>
        <v>0</v>
      </c>
      <c r="M276" t="str">
        <f t="shared" si="34"/>
        <v>C</v>
      </c>
    </row>
    <row r="277" spans="1:13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v>276</v>
      </c>
      <c r="G277" t="str">
        <f t="shared" si="29"/>
        <v>C</v>
      </c>
      <c r="H277">
        <f t="shared" si="35"/>
        <v>3</v>
      </c>
      <c r="I277">
        <f t="shared" si="30"/>
        <v>0</v>
      </c>
      <c r="J277">
        <f t="shared" si="31"/>
        <v>8</v>
      </c>
      <c r="K277">
        <f t="shared" si="32"/>
        <v>0</v>
      </c>
      <c r="L277">
        <f t="shared" si="33"/>
        <v>0</v>
      </c>
      <c r="M277" t="str">
        <f t="shared" si="34"/>
        <v>C</v>
      </c>
    </row>
    <row r="278" spans="1:13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v>277</v>
      </c>
      <c r="G278" t="str">
        <f t="shared" si="29"/>
        <v>C</v>
      </c>
      <c r="H278">
        <f t="shared" si="35"/>
        <v>3</v>
      </c>
      <c r="I278">
        <f t="shared" si="30"/>
        <v>0</v>
      </c>
      <c r="J278">
        <f t="shared" si="31"/>
        <v>9</v>
      </c>
      <c r="K278">
        <f t="shared" si="32"/>
        <v>0</v>
      </c>
      <c r="L278">
        <f t="shared" si="33"/>
        <v>0</v>
      </c>
      <c r="M278" t="str">
        <f t="shared" si="34"/>
        <v>C</v>
      </c>
    </row>
    <row r="279" spans="1:13" x14ac:dyDescent="0.45">
      <c r="A279">
        <v>278</v>
      </c>
      <c r="B279">
        <v>16.3</v>
      </c>
      <c r="C279">
        <v>10</v>
      </c>
      <c r="D279" t="s">
        <v>5</v>
      </c>
      <c r="E279">
        <v>4</v>
      </c>
      <c r="F279">
        <v>278</v>
      </c>
      <c r="G279" t="str">
        <f t="shared" si="29"/>
        <v>C</v>
      </c>
      <c r="H279">
        <f t="shared" si="35"/>
        <v>4</v>
      </c>
      <c r="I279">
        <f t="shared" si="30"/>
        <v>0</v>
      </c>
      <c r="J279">
        <f t="shared" si="31"/>
        <v>10</v>
      </c>
      <c r="K279">
        <f t="shared" si="32"/>
        <v>0</v>
      </c>
      <c r="L279">
        <f t="shared" si="33"/>
        <v>0</v>
      </c>
      <c r="M279" t="str">
        <f t="shared" si="34"/>
        <v>C</v>
      </c>
    </row>
    <row r="280" spans="1:13" x14ac:dyDescent="0.45">
      <c r="A280">
        <v>279</v>
      </c>
      <c r="B280">
        <v>14</v>
      </c>
      <c r="C280">
        <v>6</v>
      </c>
      <c r="D280" t="s">
        <v>5</v>
      </c>
      <c r="E280">
        <v>4</v>
      </c>
      <c r="F280">
        <v>279</v>
      </c>
      <c r="G280" t="str">
        <f t="shared" si="29"/>
        <v>C</v>
      </c>
      <c r="H280">
        <f t="shared" si="35"/>
        <v>4</v>
      </c>
      <c r="I280">
        <f t="shared" si="30"/>
        <v>0</v>
      </c>
      <c r="J280">
        <f t="shared" si="31"/>
        <v>11</v>
      </c>
      <c r="K280">
        <f t="shared" si="32"/>
        <v>0</v>
      </c>
      <c r="L280">
        <f t="shared" si="33"/>
        <v>0</v>
      </c>
      <c r="M280" t="str">
        <f t="shared" si="34"/>
        <v>C</v>
      </c>
    </row>
    <row r="281" spans="1:13" x14ac:dyDescent="0.45">
      <c r="A281">
        <v>280</v>
      </c>
      <c r="B281">
        <v>10.5</v>
      </c>
      <c r="C281">
        <v>20</v>
      </c>
      <c r="D281" t="s">
        <v>5</v>
      </c>
      <c r="E281">
        <v>4</v>
      </c>
      <c r="F281">
        <v>280</v>
      </c>
      <c r="G281" t="str">
        <f t="shared" si="29"/>
        <v>C</v>
      </c>
      <c r="H281">
        <f t="shared" si="35"/>
        <v>4</v>
      </c>
      <c r="I281">
        <f t="shared" si="30"/>
        <v>0</v>
      </c>
      <c r="J281">
        <f t="shared" si="31"/>
        <v>12</v>
      </c>
      <c r="K281">
        <f t="shared" si="32"/>
        <v>0</v>
      </c>
      <c r="L281">
        <f t="shared" si="33"/>
        <v>0</v>
      </c>
      <c r="M281" t="str">
        <f t="shared" si="34"/>
        <v>C</v>
      </c>
    </row>
    <row r="282" spans="1:13" x14ac:dyDescent="0.45">
      <c r="A282">
        <v>281</v>
      </c>
      <c r="B282">
        <v>6.7</v>
      </c>
      <c r="C282">
        <v>17</v>
      </c>
      <c r="D282" t="s">
        <v>5</v>
      </c>
      <c r="E282">
        <v>5</v>
      </c>
      <c r="F282">
        <v>281</v>
      </c>
      <c r="G282" t="str">
        <f t="shared" si="29"/>
        <v>C</v>
      </c>
      <c r="H282">
        <f t="shared" si="35"/>
        <v>5</v>
      </c>
      <c r="I282">
        <f t="shared" si="30"/>
        <v>0</v>
      </c>
      <c r="J282">
        <f t="shared" si="31"/>
        <v>13</v>
      </c>
      <c r="K282">
        <f t="shared" si="32"/>
        <v>0</v>
      </c>
      <c r="L282">
        <f t="shared" si="33"/>
        <v>0</v>
      </c>
      <c r="M282" t="str">
        <f t="shared" si="34"/>
        <v>S</v>
      </c>
    </row>
    <row r="283" spans="1:13" x14ac:dyDescent="0.45">
      <c r="A283">
        <v>282</v>
      </c>
      <c r="B283">
        <v>3.5</v>
      </c>
      <c r="C283">
        <v>13</v>
      </c>
      <c r="D283" t="s">
        <v>5</v>
      </c>
      <c r="E283">
        <v>5</v>
      </c>
      <c r="F283">
        <v>282</v>
      </c>
      <c r="G283" t="str">
        <f t="shared" si="29"/>
        <v>C</v>
      </c>
      <c r="H283">
        <f t="shared" si="35"/>
        <v>5</v>
      </c>
      <c r="I283">
        <f t="shared" si="30"/>
        <v>0</v>
      </c>
      <c r="J283">
        <f t="shared" si="31"/>
        <v>14</v>
      </c>
      <c r="K283">
        <f t="shared" si="32"/>
        <v>0</v>
      </c>
      <c r="L283">
        <f t="shared" si="33"/>
        <v>0</v>
      </c>
      <c r="M283" t="str">
        <f t="shared" si="34"/>
        <v>S</v>
      </c>
    </row>
    <row r="284" spans="1:13" x14ac:dyDescent="0.45">
      <c r="A284">
        <v>283</v>
      </c>
      <c r="B284">
        <v>1.6</v>
      </c>
      <c r="C284">
        <v>18</v>
      </c>
      <c r="D284" t="s">
        <v>5</v>
      </c>
      <c r="E284">
        <v>5</v>
      </c>
      <c r="F284">
        <v>283</v>
      </c>
      <c r="G284" t="str">
        <f t="shared" si="29"/>
        <v>C</v>
      </c>
      <c r="H284">
        <f t="shared" si="35"/>
        <v>5</v>
      </c>
      <c r="I284">
        <f t="shared" si="30"/>
        <v>0</v>
      </c>
      <c r="J284">
        <f t="shared" si="31"/>
        <v>15</v>
      </c>
      <c r="K284">
        <f t="shared" si="32"/>
        <v>0</v>
      </c>
      <c r="L284">
        <f t="shared" si="33"/>
        <v>0</v>
      </c>
      <c r="M284" t="str">
        <f t="shared" si="34"/>
        <v>S</v>
      </c>
    </row>
    <row r="285" spans="1:13" x14ac:dyDescent="0.45">
      <c r="A285">
        <v>284</v>
      </c>
      <c r="B285">
        <v>1.4</v>
      </c>
      <c r="C285">
        <v>20</v>
      </c>
      <c r="D285" t="s">
        <v>5</v>
      </c>
      <c r="E285">
        <v>5</v>
      </c>
      <c r="F285">
        <v>284</v>
      </c>
      <c r="G285" t="str">
        <f t="shared" si="29"/>
        <v>C</v>
      </c>
      <c r="H285">
        <f t="shared" si="35"/>
        <v>5</v>
      </c>
      <c r="I285">
        <f t="shared" si="30"/>
        <v>0</v>
      </c>
      <c r="J285">
        <f t="shared" si="31"/>
        <v>16</v>
      </c>
      <c r="K285">
        <f t="shared" si="32"/>
        <v>0</v>
      </c>
      <c r="L285">
        <f t="shared" si="33"/>
        <v>0</v>
      </c>
      <c r="M285" t="str">
        <f t="shared" si="34"/>
        <v>S</v>
      </c>
    </row>
    <row r="286" spans="1:13" x14ac:dyDescent="0.45">
      <c r="A286">
        <v>285</v>
      </c>
      <c r="B286">
        <v>2.8</v>
      </c>
      <c r="C286">
        <v>0</v>
      </c>
      <c r="D286">
        <v>0</v>
      </c>
      <c r="E286">
        <v>0</v>
      </c>
      <c r="F286">
        <v>285</v>
      </c>
      <c r="G286">
        <f t="shared" si="29"/>
        <v>0</v>
      </c>
      <c r="H286">
        <f t="shared" si="35"/>
        <v>0</v>
      </c>
      <c r="I286">
        <f t="shared" si="30"/>
        <v>1</v>
      </c>
      <c r="J286">
        <f t="shared" si="31"/>
        <v>1</v>
      </c>
      <c r="K286">
        <f t="shared" si="32"/>
        <v>0</v>
      </c>
      <c r="L286">
        <f t="shared" si="33"/>
        <v>0</v>
      </c>
      <c r="M286" t="str">
        <f t="shared" si="34"/>
        <v>S</v>
      </c>
    </row>
    <row r="287" spans="1:13" x14ac:dyDescent="0.45">
      <c r="A287">
        <v>286</v>
      </c>
      <c r="B287">
        <v>5.2</v>
      </c>
      <c r="C287">
        <v>6</v>
      </c>
      <c r="D287" t="s">
        <v>6</v>
      </c>
      <c r="E287">
        <v>1</v>
      </c>
      <c r="F287">
        <v>286</v>
      </c>
      <c r="G287" t="str">
        <f t="shared" si="29"/>
        <v>S</v>
      </c>
      <c r="H287">
        <f t="shared" si="35"/>
        <v>1</v>
      </c>
      <c r="I287">
        <f t="shared" si="30"/>
        <v>0</v>
      </c>
      <c r="J287">
        <f t="shared" si="31"/>
        <v>1</v>
      </c>
      <c r="K287">
        <f t="shared" si="32"/>
        <v>1</v>
      </c>
      <c r="L287">
        <f t="shared" si="33"/>
        <v>0</v>
      </c>
      <c r="M287" t="str">
        <f t="shared" si="34"/>
        <v>S</v>
      </c>
    </row>
    <row r="288" spans="1:13" x14ac:dyDescent="0.45">
      <c r="A288">
        <v>287</v>
      </c>
      <c r="B288">
        <v>7.7</v>
      </c>
      <c r="C288">
        <v>5</v>
      </c>
      <c r="D288" t="s">
        <v>6</v>
      </c>
      <c r="E288">
        <v>1</v>
      </c>
      <c r="F288">
        <v>287</v>
      </c>
      <c r="G288" t="str">
        <f t="shared" si="29"/>
        <v>S</v>
      </c>
      <c r="H288">
        <f t="shared" si="35"/>
        <v>1</v>
      </c>
      <c r="I288">
        <f t="shared" si="30"/>
        <v>0</v>
      </c>
      <c r="J288">
        <f t="shared" si="31"/>
        <v>2</v>
      </c>
      <c r="K288">
        <f t="shared" si="32"/>
        <v>0</v>
      </c>
      <c r="L288">
        <f t="shared" si="33"/>
        <v>0</v>
      </c>
      <c r="M288" t="str">
        <f t="shared" si="34"/>
        <v>S</v>
      </c>
    </row>
    <row r="289" spans="1:13" x14ac:dyDescent="0.45">
      <c r="A289">
        <v>288</v>
      </c>
      <c r="B289">
        <v>9.6</v>
      </c>
      <c r="C289">
        <v>1</v>
      </c>
      <c r="D289" t="s">
        <v>6</v>
      </c>
      <c r="E289">
        <v>1</v>
      </c>
      <c r="F289">
        <v>288</v>
      </c>
      <c r="G289" t="str">
        <f t="shared" si="29"/>
        <v>S</v>
      </c>
      <c r="H289">
        <f t="shared" si="35"/>
        <v>1</v>
      </c>
      <c r="I289">
        <f t="shared" si="30"/>
        <v>0</v>
      </c>
      <c r="J289">
        <f t="shared" si="31"/>
        <v>3</v>
      </c>
      <c r="K289">
        <f t="shared" si="32"/>
        <v>0</v>
      </c>
      <c r="L289">
        <f t="shared" si="33"/>
        <v>0</v>
      </c>
      <c r="M289" t="str">
        <f t="shared" si="34"/>
        <v>S</v>
      </c>
    </row>
    <row r="290" spans="1:13" x14ac:dyDescent="0.45">
      <c r="A290">
        <v>289</v>
      </c>
      <c r="B290">
        <v>10.1</v>
      </c>
      <c r="C290">
        <v>8</v>
      </c>
      <c r="D290" t="s">
        <v>6</v>
      </c>
      <c r="E290">
        <v>2</v>
      </c>
      <c r="F290">
        <v>289</v>
      </c>
      <c r="G290" t="str">
        <f t="shared" si="29"/>
        <v>S</v>
      </c>
      <c r="H290">
        <f t="shared" si="35"/>
        <v>2</v>
      </c>
      <c r="I290">
        <f t="shared" si="30"/>
        <v>0</v>
      </c>
      <c r="J290">
        <f t="shared" si="31"/>
        <v>4</v>
      </c>
      <c r="K290">
        <f t="shared" si="32"/>
        <v>0</v>
      </c>
      <c r="L290">
        <f t="shared" si="33"/>
        <v>1</v>
      </c>
      <c r="M290" t="str">
        <f t="shared" si="34"/>
        <v>C</v>
      </c>
    </row>
    <row r="291" spans="1:13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v>290</v>
      </c>
      <c r="G291" t="str">
        <f t="shared" si="29"/>
        <v>S</v>
      </c>
      <c r="H291">
        <f t="shared" si="35"/>
        <v>2</v>
      </c>
      <c r="I291">
        <f t="shared" si="30"/>
        <v>0</v>
      </c>
      <c r="J291">
        <f t="shared" si="31"/>
        <v>5</v>
      </c>
      <c r="K291">
        <f t="shared" si="32"/>
        <v>0</v>
      </c>
      <c r="L291">
        <f t="shared" si="33"/>
        <v>0</v>
      </c>
      <c r="M291" t="str">
        <f t="shared" si="34"/>
        <v>S</v>
      </c>
    </row>
    <row r="292" spans="1:13" x14ac:dyDescent="0.45">
      <c r="A292">
        <v>291</v>
      </c>
      <c r="B292">
        <v>7.4</v>
      </c>
      <c r="C292">
        <v>5</v>
      </c>
      <c r="D292" t="s">
        <v>6</v>
      </c>
      <c r="E292">
        <v>2</v>
      </c>
      <c r="F292">
        <v>291</v>
      </c>
      <c r="G292" t="str">
        <f t="shared" si="29"/>
        <v>S</v>
      </c>
      <c r="H292">
        <f t="shared" si="35"/>
        <v>2</v>
      </c>
      <c r="I292">
        <f t="shared" si="30"/>
        <v>0</v>
      </c>
      <c r="J292">
        <f t="shared" si="31"/>
        <v>6</v>
      </c>
      <c r="K292">
        <f t="shared" si="32"/>
        <v>0</v>
      </c>
      <c r="L292">
        <f t="shared" si="33"/>
        <v>0</v>
      </c>
      <c r="M292" t="str">
        <f t="shared" si="34"/>
        <v>S</v>
      </c>
    </row>
    <row r="293" spans="1:13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v>292</v>
      </c>
      <c r="G293" t="str">
        <f t="shared" si="29"/>
        <v>S</v>
      </c>
      <c r="H293">
        <f t="shared" si="35"/>
        <v>3</v>
      </c>
      <c r="I293">
        <f t="shared" si="30"/>
        <v>0</v>
      </c>
      <c r="J293">
        <f t="shared" si="31"/>
        <v>7</v>
      </c>
      <c r="K293">
        <f t="shared" si="32"/>
        <v>0</v>
      </c>
      <c r="L293">
        <f t="shared" si="33"/>
        <v>0</v>
      </c>
      <c r="M293" t="str">
        <f t="shared" si="34"/>
        <v>S</v>
      </c>
    </row>
    <row r="294" spans="1:13" x14ac:dyDescent="0.45">
      <c r="A294">
        <v>293</v>
      </c>
      <c r="B294">
        <v>3.5</v>
      </c>
      <c r="C294">
        <v>9</v>
      </c>
      <c r="D294" t="s">
        <v>6</v>
      </c>
      <c r="E294">
        <v>3</v>
      </c>
      <c r="F294">
        <v>293</v>
      </c>
      <c r="G294" t="str">
        <f t="shared" si="29"/>
        <v>S</v>
      </c>
      <c r="H294">
        <f t="shared" si="35"/>
        <v>3</v>
      </c>
      <c r="I294">
        <f t="shared" si="30"/>
        <v>0</v>
      </c>
      <c r="J294">
        <f t="shared" si="31"/>
        <v>8</v>
      </c>
      <c r="K294">
        <f t="shared" si="32"/>
        <v>0</v>
      </c>
      <c r="L294">
        <f t="shared" si="33"/>
        <v>0</v>
      </c>
      <c r="M294" t="str">
        <f t="shared" si="34"/>
        <v>S</v>
      </c>
    </row>
    <row r="295" spans="1:13" x14ac:dyDescent="0.45">
      <c r="A295">
        <v>294</v>
      </c>
      <c r="B295">
        <v>3.2</v>
      </c>
      <c r="C295">
        <v>4</v>
      </c>
      <c r="D295" t="s">
        <v>6</v>
      </c>
      <c r="E295">
        <v>3</v>
      </c>
      <c r="F295">
        <v>294</v>
      </c>
      <c r="G295" t="str">
        <f t="shared" si="29"/>
        <v>S</v>
      </c>
      <c r="H295">
        <f t="shared" si="35"/>
        <v>3</v>
      </c>
      <c r="I295">
        <f t="shared" si="30"/>
        <v>0</v>
      </c>
      <c r="J295">
        <f t="shared" si="31"/>
        <v>9</v>
      </c>
      <c r="K295">
        <f t="shared" si="32"/>
        <v>0</v>
      </c>
      <c r="L295">
        <f t="shared" si="33"/>
        <v>0</v>
      </c>
      <c r="M295" t="str">
        <f t="shared" si="34"/>
        <v>S</v>
      </c>
    </row>
    <row r="296" spans="1:13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v>295</v>
      </c>
      <c r="G296" t="str">
        <f t="shared" si="29"/>
        <v>S</v>
      </c>
      <c r="H296">
        <f t="shared" si="35"/>
        <v>4</v>
      </c>
      <c r="I296">
        <f t="shared" si="30"/>
        <v>0</v>
      </c>
      <c r="J296">
        <f t="shared" si="31"/>
        <v>10</v>
      </c>
      <c r="K296">
        <f t="shared" si="32"/>
        <v>0</v>
      </c>
      <c r="L296">
        <f t="shared" si="33"/>
        <v>0</v>
      </c>
      <c r="M296" t="str">
        <f t="shared" si="34"/>
        <v>S</v>
      </c>
    </row>
    <row r="297" spans="1:13" x14ac:dyDescent="0.45">
      <c r="A297">
        <v>296</v>
      </c>
      <c r="B297">
        <v>7.5</v>
      </c>
      <c r="C297">
        <v>21</v>
      </c>
      <c r="D297" t="s">
        <v>6</v>
      </c>
      <c r="E297">
        <v>4</v>
      </c>
      <c r="F297">
        <v>296</v>
      </c>
      <c r="G297" t="str">
        <f t="shared" si="29"/>
        <v>S</v>
      </c>
      <c r="H297">
        <f t="shared" si="35"/>
        <v>4</v>
      </c>
      <c r="I297">
        <f t="shared" si="30"/>
        <v>0</v>
      </c>
      <c r="J297">
        <f t="shared" si="31"/>
        <v>11</v>
      </c>
      <c r="K297">
        <f t="shared" si="32"/>
        <v>0</v>
      </c>
      <c r="L297">
        <f t="shared" si="33"/>
        <v>0</v>
      </c>
      <c r="M297" t="str">
        <f t="shared" si="34"/>
        <v>S</v>
      </c>
    </row>
    <row r="298" spans="1:13" x14ac:dyDescent="0.45">
      <c r="A298">
        <v>297</v>
      </c>
      <c r="B298">
        <v>11.3</v>
      </c>
      <c r="C298">
        <v>8</v>
      </c>
      <c r="D298" t="s">
        <v>6</v>
      </c>
      <c r="E298">
        <v>5</v>
      </c>
      <c r="F298">
        <v>297</v>
      </c>
      <c r="G298" t="str">
        <f t="shared" si="29"/>
        <v>S</v>
      </c>
      <c r="H298">
        <f t="shared" si="35"/>
        <v>4</v>
      </c>
      <c r="I298">
        <f t="shared" si="30"/>
        <v>0</v>
      </c>
      <c r="J298">
        <f t="shared" si="31"/>
        <v>12</v>
      </c>
      <c r="K298">
        <f t="shared" si="32"/>
        <v>0</v>
      </c>
      <c r="L298">
        <f t="shared" si="33"/>
        <v>0</v>
      </c>
      <c r="M298" t="str">
        <f t="shared" si="34"/>
        <v>C</v>
      </c>
    </row>
    <row r="299" spans="1:13" x14ac:dyDescent="0.45">
      <c r="A299">
        <v>298</v>
      </c>
      <c r="B299">
        <v>15.2</v>
      </c>
      <c r="C299">
        <v>23</v>
      </c>
      <c r="D299" t="s">
        <v>6</v>
      </c>
      <c r="E299">
        <v>5</v>
      </c>
      <c r="F299">
        <v>298</v>
      </c>
      <c r="G299" t="str">
        <f t="shared" si="29"/>
        <v>S</v>
      </c>
      <c r="H299">
        <f t="shared" si="35"/>
        <v>5</v>
      </c>
      <c r="I299">
        <f t="shared" si="30"/>
        <v>0</v>
      </c>
      <c r="J299">
        <f t="shared" si="31"/>
        <v>13</v>
      </c>
      <c r="K299">
        <f t="shared" si="32"/>
        <v>0</v>
      </c>
      <c r="L299">
        <f t="shared" si="33"/>
        <v>0</v>
      </c>
      <c r="M299" t="str">
        <f t="shared" si="34"/>
        <v>C</v>
      </c>
    </row>
    <row r="300" spans="1:13" x14ac:dyDescent="0.45">
      <c r="A300">
        <v>299</v>
      </c>
      <c r="B300">
        <v>18.3</v>
      </c>
      <c r="C300">
        <v>0</v>
      </c>
      <c r="D300">
        <v>0</v>
      </c>
      <c r="E300">
        <v>0</v>
      </c>
      <c r="F300">
        <v>299</v>
      </c>
      <c r="G300">
        <f t="shared" si="29"/>
        <v>0</v>
      </c>
      <c r="H300">
        <f t="shared" si="35"/>
        <v>0</v>
      </c>
      <c r="I300">
        <f t="shared" si="30"/>
        <v>1</v>
      </c>
      <c r="J300">
        <f t="shared" si="31"/>
        <v>1</v>
      </c>
      <c r="K300">
        <f t="shared" si="32"/>
        <v>0</v>
      </c>
      <c r="L300">
        <f t="shared" si="33"/>
        <v>0</v>
      </c>
      <c r="M300" t="str">
        <f t="shared" si="34"/>
        <v>C</v>
      </c>
    </row>
    <row r="301" spans="1:13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v>300</v>
      </c>
      <c r="G301" t="str">
        <f t="shared" si="29"/>
        <v>C</v>
      </c>
      <c r="H301">
        <f t="shared" si="35"/>
        <v>1</v>
      </c>
      <c r="I301">
        <f t="shared" si="30"/>
        <v>0</v>
      </c>
      <c r="J301">
        <f t="shared" si="31"/>
        <v>1</v>
      </c>
      <c r="K301">
        <f t="shared" si="32"/>
        <v>1</v>
      </c>
      <c r="L301">
        <f t="shared" si="33"/>
        <v>0</v>
      </c>
      <c r="M301" t="str">
        <f t="shared" si="34"/>
        <v>C</v>
      </c>
    </row>
    <row r="302" spans="1:13" x14ac:dyDescent="0.45">
      <c r="A302">
        <v>301</v>
      </c>
      <c r="B302">
        <v>20</v>
      </c>
      <c r="C302">
        <v>4</v>
      </c>
      <c r="D302">
        <v>0</v>
      </c>
      <c r="E302">
        <v>0</v>
      </c>
      <c r="F302">
        <v>301</v>
      </c>
      <c r="G302" t="str">
        <f t="shared" si="29"/>
        <v>C</v>
      </c>
      <c r="H302">
        <f t="shared" si="35"/>
        <v>1</v>
      </c>
      <c r="I302">
        <f t="shared" si="30"/>
        <v>0</v>
      </c>
      <c r="J302">
        <f t="shared" si="31"/>
        <v>2</v>
      </c>
      <c r="K302">
        <f t="shared" si="32"/>
        <v>0</v>
      </c>
      <c r="L302">
        <f t="shared" si="33"/>
        <v>0</v>
      </c>
      <c r="M302" t="str">
        <f t="shared" si="34"/>
        <v>C</v>
      </c>
    </row>
    <row r="303" spans="1:13" x14ac:dyDescent="0.4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v>302</v>
      </c>
      <c r="G303" t="str">
        <f t="shared" si="29"/>
        <v>C</v>
      </c>
      <c r="H303">
        <f t="shared" si="35"/>
        <v>1</v>
      </c>
      <c r="I303">
        <f t="shared" si="30"/>
        <v>0</v>
      </c>
      <c r="J303">
        <f t="shared" si="31"/>
        <v>3</v>
      </c>
      <c r="K303">
        <f t="shared" si="32"/>
        <v>0</v>
      </c>
      <c r="L303">
        <f t="shared" si="33"/>
        <v>0</v>
      </c>
      <c r="M303" t="str">
        <f t="shared" si="34"/>
        <v>C</v>
      </c>
    </row>
    <row r="304" spans="1:13" x14ac:dyDescent="0.45">
      <c r="A304">
        <v>303</v>
      </c>
      <c r="B304">
        <v>17.3</v>
      </c>
      <c r="C304">
        <v>2</v>
      </c>
      <c r="D304">
        <v>0</v>
      </c>
      <c r="E304">
        <v>0</v>
      </c>
      <c r="F304">
        <v>303</v>
      </c>
      <c r="G304" t="str">
        <f t="shared" si="29"/>
        <v>C</v>
      </c>
      <c r="H304">
        <f t="shared" si="35"/>
        <v>2</v>
      </c>
      <c r="I304">
        <f t="shared" si="30"/>
        <v>0</v>
      </c>
      <c r="J304">
        <f t="shared" si="31"/>
        <v>4</v>
      </c>
      <c r="K304">
        <f t="shared" si="32"/>
        <v>0</v>
      </c>
      <c r="L304">
        <f t="shared" si="33"/>
        <v>1</v>
      </c>
      <c r="M304" t="str">
        <f t="shared" si="34"/>
        <v>C</v>
      </c>
    </row>
    <row r="305" spans="1:13" x14ac:dyDescent="0.45">
      <c r="A305">
        <v>304</v>
      </c>
      <c r="B305">
        <v>16</v>
      </c>
      <c r="C305">
        <v>7</v>
      </c>
      <c r="D305">
        <v>0</v>
      </c>
      <c r="E305">
        <v>0</v>
      </c>
      <c r="F305">
        <v>304</v>
      </c>
      <c r="G305" t="str">
        <f t="shared" si="29"/>
        <v>C</v>
      </c>
      <c r="H305">
        <f t="shared" si="35"/>
        <v>2</v>
      </c>
      <c r="I305">
        <f t="shared" si="30"/>
        <v>0</v>
      </c>
      <c r="J305">
        <f t="shared" si="31"/>
        <v>5</v>
      </c>
      <c r="K305">
        <f t="shared" si="32"/>
        <v>0</v>
      </c>
      <c r="L305">
        <f t="shared" si="33"/>
        <v>0</v>
      </c>
      <c r="M305" t="str">
        <f t="shared" si="34"/>
        <v>C</v>
      </c>
    </row>
    <row r="306" spans="1:13" x14ac:dyDescent="0.45">
      <c r="A306">
        <v>305</v>
      </c>
      <c r="B306">
        <v>15.9</v>
      </c>
      <c r="C306">
        <v>4</v>
      </c>
      <c r="D306">
        <v>0</v>
      </c>
      <c r="E306">
        <v>0</v>
      </c>
      <c r="F306">
        <v>305</v>
      </c>
      <c r="G306" t="str">
        <f t="shared" si="29"/>
        <v>C</v>
      </c>
      <c r="H306">
        <f t="shared" si="35"/>
        <v>2</v>
      </c>
      <c r="I306">
        <f t="shared" si="30"/>
        <v>0</v>
      </c>
      <c r="J306">
        <f t="shared" si="31"/>
        <v>6</v>
      </c>
      <c r="K306">
        <f t="shared" si="32"/>
        <v>0</v>
      </c>
      <c r="L306">
        <f t="shared" si="33"/>
        <v>0</v>
      </c>
      <c r="M306" t="str">
        <f t="shared" si="34"/>
        <v>C</v>
      </c>
    </row>
    <row r="307" spans="1:13" x14ac:dyDescent="0.45">
      <c r="A307">
        <v>306</v>
      </c>
      <c r="B307">
        <v>17.3</v>
      </c>
      <c r="C307">
        <v>17</v>
      </c>
      <c r="D307">
        <v>0</v>
      </c>
      <c r="E307">
        <v>0</v>
      </c>
      <c r="F307">
        <v>306</v>
      </c>
      <c r="G307" t="str">
        <f t="shared" si="29"/>
        <v>C</v>
      </c>
      <c r="H307">
        <f t="shared" si="35"/>
        <v>3</v>
      </c>
      <c r="I307">
        <f t="shared" si="30"/>
        <v>0</v>
      </c>
      <c r="J307">
        <f t="shared" si="31"/>
        <v>7</v>
      </c>
      <c r="K307">
        <f t="shared" si="32"/>
        <v>0</v>
      </c>
      <c r="L307">
        <f t="shared" si="33"/>
        <v>0</v>
      </c>
      <c r="M307" t="str">
        <f t="shared" si="34"/>
        <v>C</v>
      </c>
    </row>
    <row r="308" spans="1:13" x14ac:dyDescent="0.45">
      <c r="A308">
        <v>307</v>
      </c>
      <c r="B308">
        <v>20</v>
      </c>
      <c r="C308">
        <v>14</v>
      </c>
      <c r="D308">
        <v>0</v>
      </c>
      <c r="E308">
        <v>0</v>
      </c>
      <c r="F308">
        <v>307</v>
      </c>
      <c r="G308" t="str">
        <f t="shared" si="29"/>
        <v>C</v>
      </c>
      <c r="H308">
        <f t="shared" si="35"/>
        <v>3</v>
      </c>
      <c r="I308">
        <f t="shared" si="30"/>
        <v>0</v>
      </c>
      <c r="J308">
        <f t="shared" si="31"/>
        <v>8</v>
      </c>
      <c r="K308">
        <f t="shared" si="32"/>
        <v>0</v>
      </c>
      <c r="L308">
        <f t="shared" si="33"/>
        <v>0</v>
      </c>
      <c r="M308" t="str">
        <f t="shared" si="34"/>
        <v>C</v>
      </c>
    </row>
    <row r="309" spans="1:13" x14ac:dyDescent="0.45">
      <c r="A309">
        <v>308</v>
      </c>
      <c r="B309">
        <v>23.4</v>
      </c>
      <c r="C309">
        <v>9</v>
      </c>
      <c r="D309">
        <v>0</v>
      </c>
      <c r="E309">
        <v>0</v>
      </c>
      <c r="F309">
        <v>308</v>
      </c>
      <c r="G309" t="str">
        <f t="shared" si="29"/>
        <v>C</v>
      </c>
      <c r="H309">
        <f t="shared" si="35"/>
        <v>3</v>
      </c>
      <c r="I309">
        <f t="shared" si="30"/>
        <v>0</v>
      </c>
      <c r="J309">
        <f t="shared" si="31"/>
        <v>9</v>
      </c>
      <c r="K309">
        <f t="shared" si="32"/>
        <v>0</v>
      </c>
      <c r="L309">
        <f t="shared" si="33"/>
        <v>0</v>
      </c>
      <c r="M309" t="str">
        <f t="shared" si="34"/>
        <v>C</v>
      </c>
    </row>
    <row r="310" spans="1:13" x14ac:dyDescent="0.45">
      <c r="A310">
        <v>309</v>
      </c>
      <c r="B310">
        <v>26.8</v>
      </c>
      <c r="C310">
        <v>6</v>
      </c>
      <c r="D310">
        <v>0</v>
      </c>
      <c r="E310">
        <v>0</v>
      </c>
      <c r="F310">
        <v>309</v>
      </c>
      <c r="G310" t="str">
        <f t="shared" si="29"/>
        <v>C</v>
      </c>
      <c r="H310">
        <f t="shared" si="35"/>
        <v>4</v>
      </c>
      <c r="I310">
        <f t="shared" si="30"/>
        <v>0</v>
      </c>
      <c r="J310">
        <f t="shared" si="31"/>
        <v>10</v>
      </c>
      <c r="K310">
        <f t="shared" si="32"/>
        <v>0</v>
      </c>
      <c r="L310">
        <f t="shared" si="33"/>
        <v>0</v>
      </c>
      <c r="M310" t="str">
        <f t="shared" si="34"/>
        <v>C</v>
      </c>
    </row>
    <row r="311" spans="1:13" x14ac:dyDescent="0.45">
      <c r="A311">
        <v>310</v>
      </c>
      <c r="B311">
        <v>29.1</v>
      </c>
      <c r="C311">
        <v>16</v>
      </c>
      <c r="D311">
        <v>0</v>
      </c>
      <c r="E311">
        <v>0</v>
      </c>
      <c r="F311">
        <v>310</v>
      </c>
      <c r="G311" t="str">
        <f t="shared" si="29"/>
        <v>C</v>
      </c>
      <c r="H311">
        <f t="shared" si="35"/>
        <v>4</v>
      </c>
      <c r="I311">
        <f t="shared" si="30"/>
        <v>0</v>
      </c>
      <c r="J311">
        <f t="shared" si="31"/>
        <v>11</v>
      </c>
      <c r="K311">
        <f t="shared" si="32"/>
        <v>0</v>
      </c>
      <c r="L311">
        <f t="shared" si="33"/>
        <v>0</v>
      </c>
      <c r="M311" t="str">
        <f t="shared" si="34"/>
        <v>C</v>
      </c>
    </row>
    <row r="312" spans="1:13" x14ac:dyDescent="0.45">
      <c r="A312">
        <v>311</v>
      </c>
      <c r="B312">
        <v>29.8</v>
      </c>
      <c r="C312">
        <v>2</v>
      </c>
      <c r="D312">
        <v>0</v>
      </c>
      <c r="E312">
        <v>0</v>
      </c>
      <c r="F312">
        <v>311</v>
      </c>
      <c r="G312" t="str">
        <f t="shared" si="29"/>
        <v>C</v>
      </c>
      <c r="H312">
        <f t="shared" si="35"/>
        <v>4</v>
      </c>
      <c r="I312">
        <f t="shared" si="30"/>
        <v>0</v>
      </c>
      <c r="J312">
        <f t="shared" si="31"/>
        <v>12</v>
      </c>
      <c r="K312">
        <f t="shared" si="32"/>
        <v>0</v>
      </c>
      <c r="L312">
        <f t="shared" si="33"/>
        <v>0</v>
      </c>
      <c r="M312" t="str">
        <f t="shared" si="34"/>
        <v>C</v>
      </c>
    </row>
    <row r="313" spans="1:13" x14ac:dyDescent="0.45">
      <c r="A313">
        <v>312</v>
      </c>
      <c r="B313">
        <v>28.8</v>
      </c>
      <c r="C313">
        <v>25</v>
      </c>
      <c r="D313">
        <v>0</v>
      </c>
      <c r="E313">
        <v>0</v>
      </c>
      <c r="F313">
        <v>312</v>
      </c>
      <c r="G313" t="str">
        <f t="shared" si="29"/>
        <v>C</v>
      </c>
      <c r="H313">
        <f t="shared" si="35"/>
        <v>5</v>
      </c>
      <c r="I313">
        <f t="shared" si="30"/>
        <v>0</v>
      </c>
      <c r="J313">
        <f t="shared" si="31"/>
        <v>13</v>
      </c>
      <c r="K313">
        <f t="shared" si="32"/>
        <v>0</v>
      </c>
      <c r="L313">
        <f t="shared" si="33"/>
        <v>0</v>
      </c>
      <c r="M313" t="str">
        <f t="shared" si="34"/>
        <v>C</v>
      </c>
    </row>
    <row r="314" spans="1:13" x14ac:dyDescent="0.45">
      <c r="A314">
        <v>313</v>
      </c>
      <c r="B314">
        <v>26.4</v>
      </c>
      <c r="C314">
        <v>0</v>
      </c>
      <c r="D314">
        <v>0</v>
      </c>
      <c r="E314">
        <v>0</v>
      </c>
      <c r="F314">
        <v>313</v>
      </c>
      <c r="G314">
        <f t="shared" si="29"/>
        <v>0</v>
      </c>
      <c r="H314">
        <f t="shared" si="35"/>
        <v>0</v>
      </c>
      <c r="I314">
        <f t="shared" si="30"/>
        <v>1</v>
      </c>
      <c r="J314">
        <f t="shared" si="31"/>
        <v>1</v>
      </c>
      <c r="K314">
        <f t="shared" si="32"/>
        <v>0</v>
      </c>
      <c r="L314">
        <f t="shared" si="33"/>
        <v>0</v>
      </c>
      <c r="M314" t="str">
        <f t="shared" si="34"/>
        <v>C</v>
      </c>
    </row>
    <row r="315" spans="1:13" x14ac:dyDescent="0.45">
      <c r="A315">
        <v>314</v>
      </c>
      <c r="B315">
        <v>23.4</v>
      </c>
      <c r="C315">
        <v>3</v>
      </c>
      <c r="D315">
        <v>0</v>
      </c>
      <c r="E315">
        <v>0</v>
      </c>
      <c r="F315">
        <v>314</v>
      </c>
      <c r="G315" t="str">
        <f t="shared" si="29"/>
        <v>C</v>
      </c>
      <c r="H315">
        <f t="shared" si="35"/>
        <v>1</v>
      </c>
      <c r="I315">
        <f t="shared" si="30"/>
        <v>0</v>
      </c>
      <c r="J315">
        <f t="shared" si="31"/>
        <v>1</v>
      </c>
      <c r="K315">
        <f t="shared" si="32"/>
        <v>1</v>
      </c>
      <c r="L315">
        <f t="shared" si="33"/>
        <v>0</v>
      </c>
      <c r="M315" t="str">
        <f t="shared" si="34"/>
        <v>C</v>
      </c>
    </row>
    <row r="316" spans="1:13" x14ac:dyDescent="0.45">
      <c r="A316">
        <v>315</v>
      </c>
      <c r="B316">
        <v>20.7</v>
      </c>
      <c r="C316">
        <v>4</v>
      </c>
      <c r="D316">
        <v>0</v>
      </c>
      <c r="E316">
        <v>0</v>
      </c>
      <c r="F316">
        <v>315</v>
      </c>
      <c r="G316" t="str">
        <f t="shared" si="29"/>
        <v>C</v>
      </c>
      <c r="H316">
        <f t="shared" si="35"/>
        <v>1</v>
      </c>
      <c r="I316">
        <f t="shared" si="30"/>
        <v>0</v>
      </c>
      <c r="J316">
        <f t="shared" si="31"/>
        <v>2</v>
      </c>
      <c r="K316">
        <f t="shared" si="32"/>
        <v>0</v>
      </c>
      <c r="L316">
        <f t="shared" si="33"/>
        <v>0</v>
      </c>
      <c r="M316" t="str">
        <f t="shared" si="34"/>
        <v>C</v>
      </c>
    </row>
    <row r="317" spans="1:13" x14ac:dyDescent="0.4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v>316</v>
      </c>
      <c r="G317" t="str">
        <f t="shared" si="29"/>
        <v>C</v>
      </c>
      <c r="H317">
        <f t="shared" si="35"/>
        <v>1</v>
      </c>
      <c r="I317">
        <f t="shared" si="30"/>
        <v>0</v>
      </c>
      <c r="J317">
        <f t="shared" si="31"/>
        <v>3</v>
      </c>
      <c r="K317">
        <f t="shared" si="32"/>
        <v>0</v>
      </c>
      <c r="L317">
        <f t="shared" si="33"/>
        <v>0</v>
      </c>
      <c r="M317" t="str">
        <f t="shared" si="34"/>
        <v>C</v>
      </c>
    </row>
    <row r="318" spans="1:13" x14ac:dyDescent="0.4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v>317</v>
      </c>
      <c r="G318" t="str">
        <f t="shared" si="29"/>
        <v>C</v>
      </c>
      <c r="H318">
        <f t="shared" si="35"/>
        <v>2</v>
      </c>
      <c r="I318">
        <f t="shared" si="30"/>
        <v>0</v>
      </c>
      <c r="J318">
        <f t="shared" si="31"/>
        <v>4</v>
      </c>
      <c r="K318">
        <f t="shared" si="32"/>
        <v>0</v>
      </c>
      <c r="L318">
        <f t="shared" si="33"/>
        <v>1</v>
      </c>
      <c r="M318" t="str">
        <f t="shared" si="34"/>
        <v>C</v>
      </c>
    </row>
    <row r="319" spans="1:13" x14ac:dyDescent="0.45">
      <c r="A319">
        <v>318</v>
      </c>
      <c r="B319">
        <v>20</v>
      </c>
      <c r="C319">
        <v>5</v>
      </c>
      <c r="D319">
        <v>0</v>
      </c>
      <c r="E319">
        <v>0</v>
      </c>
      <c r="F319">
        <v>318</v>
      </c>
      <c r="G319" t="str">
        <f t="shared" si="29"/>
        <v>C</v>
      </c>
      <c r="H319">
        <f t="shared" si="35"/>
        <v>2</v>
      </c>
      <c r="I319">
        <f t="shared" si="30"/>
        <v>0</v>
      </c>
      <c r="J319">
        <f t="shared" si="31"/>
        <v>5</v>
      </c>
      <c r="K319">
        <f t="shared" si="32"/>
        <v>0</v>
      </c>
      <c r="L319">
        <f t="shared" si="33"/>
        <v>0</v>
      </c>
      <c r="M319" t="str">
        <f t="shared" si="34"/>
        <v>C</v>
      </c>
    </row>
    <row r="320" spans="1:13" x14ac:dyDescent="0.45">
      <c r="A320">
        <v>319</v>
      </c>
      <c r="B320">
        <v>21.8</v>
      </c>
      <c r="C320">
        <v>4</v>
      </c>
      <c r="D320">
        <v>0</v>
      </c>
      <c r="E320">
        <v>0</v>
      </c>
      <c r="F320">
        <v>319</v>
      </c>
      <c r="G320" t="str">
        <f t="shared" si="29"/>
        <v>C</v>
      </c>
      <c r="H320">
        <f t="shared" si="35"/>
        <v>2</v>
      </c>
      <c r="I320">
        <f t="shared" si="30"/>
        <v>0</v>
      </c>
      <c r="J320">
        <f t="shared" si="31"/>
        <v>6</v>
      </c>
      <c r="K320">
        <f t="shared" si="32"/>
        <v>0</v>
      </c>
      <c r="L320">
        <f t="shared" si="33"/>
        <v>0</v>
      </c>
      <c r="M320" t="str">
        <f t="shared" si="34"/>
        <v>C</v>
      </c>
    </row>
    <row r="321" spans="1:13" x14ac:dyDescent="0.45">
      <c r="A321">
        <v>320</v>
      </c>
      <c r="B321">
        <v>23.6</v>
      </c>
      <c r="C321">
        <v>7</v>
      </c>
      <c r="D321">
        <v>0</v>
      </c>
      <c r="E321">
        <v>0</v>
      </c>
      <c r="F321">
        <v>320</v>
      </c>
      <c r="G321" t="str">
        <f t="shared" si="29"/>
        <v>C</v>
      </c>
      <c r="H321">
        <f t="shared" si="35"/>
        <v>3</v>
      </c>
      <c r="I321">
        <f t="shared" si="30"/>
        <v>0</v>
      </c>
      <c r="J321">
        <f t="shared" si="31"/>
        <v>7</v>
      </c>
      <c r="K321">
        <f t="shared" si="32"/>
        <v>0</v>
      </c>
      <c r="L321">
        <f t="shared" si="33"/>
        <v>0</v>
      </c>
      <c r="M321" t="str">
        <f t="shared" si="34"/>
        <v>C</v>
      </c>
    </row>
    <row r="322" spans="1:13" x14ac:dyDescent="0.45">
      <c r="A322">
        <v>321</v>
      </c>
      <c r="B322">
        <v>24.4</v>
      </c>
      <c r="C322">
        <v>12</v>
      </c>
      <c r="D322">
        <v>0</v>
      </c>
      <c r="E322">
        <v>0</v>
      </c>
      <c r="F322">
        <v>321</v>
      </c>
      <c r="G322" t="str">
        <f t="shared" si="29"/>
        <v>C</v>
      </c>
      <c r="H322">
        <f t="shared" si="35"/>
        <v>3</v>
      </c>
      <c r="I322">
        <f t="shared" si="30"/>
        <v>0</v>
      </c>
      <c r="J322">
        <f t="shared" si="31"/>
        <v>8</v>
      </c>
      <c r="K322">
        <f t="shared" si="32"/>
        <v>0</v>
      </c>
      <c r="L322">
        <f t="shared" si="33"/>
        <v>0</v>
      </c>
      <c r="M322" t="str">
        <f t="shared" si="34"/>
        <v>C</v>
      </c>
    </row>
    <row r="323" spans="1:13" x14ac:dyDescent="0.45">
      <c r="A323">
        <v>322</v>
      </c>
      <c r="B323">
        <v>23.6</v>
      </c>
      <c r="C323">
        <v>5</v>
      </c>
      <c r="D323">
        <v>0</v>
      </c>
      <c r="E323">
        <v>0</v>
      </c>
      <c r="F323">
        <v>322</v>
      </c>
      <c r="G323" t="str">
        <f t="shared" si="29"/>
        <v>C</v>
      </c>
      <c r="H323">
        <f t="shared" si="35"/>
        <v>3</v>
      </c>
      <c r="I323">
        <f t="shared" si="30"/>
        <v>0</v>
      </c>
      <c r="J323">
        <f t="shared" si="31"/>
        <v>9</v>
      </c>
      <c r="K323">
        <f t="shared" si="32"/>
        <v>0</v>
      </c>
      <c r="L323">
        <f t="shared" si="33"/>
        <v>0</v>
      </c>
      <c r="M323" t="str">
        <f t="shared" si="34"/>
        <v>C</v>
      </c>
    </row>
    <row r="324" spans="1:13" x14ac:dyDescent="0.45">
      <c r="A324">
        <v>323</v>
      </c>
      <c r="B324">
        <v>21.3</v>
      </c>
      <c r="C324">
        <v>3</v>
      </c>
      <c r="D324">
        <v>0</v>
      </c>
      <c r="E324">
        <v>0</v>
      </c>
      <c r="F324">
        <v>323</v>
      </c>
      <c r="G324" t="str">
        <f t="shared" ref="G324:G387" si="36">IF(I324=1,0, IF(K324=1,M324,G323))</f>
        <v>C</v>
      </c>
      <c r="H324">
        <f t="shared" si="35"/>
        <v>4</v>
      </c>
      <c r="I324">
        <f t="shared" ref="I324:I387" si="37">IF(AND(H323=5,C323&gt;=20),1,0)</f>
        <v>0</v>
      </c>
      <c r="J324">
        <f t="shared" ref="J324:J387" si="38">IF(G324=G323,J323+1,1)</f>
        <v>10</v>
      </c>
      <c r="K324">
        <f t="shared" ref="K324:K387" si="39">IF(AND(G323=0,H323=0),1,0)</f>
        <v>0</v>
      </c>
      <c r="L324">
        <f t="shared" ref="L324:L387" si="40">IF(J323=3,1,0)</f>
        <v>0</v>
      </c>
      <c r="M324" t="str">
        <f t="shared" ref="M324:M387" si="41">IF(B324&lt;10,"S","C")</f>
        <v>C</v>
      </c>
    </row>
    <row r="325" spans="1:13" x14ac:dyDescent="0.45">
      <c r="A325">
        <v>324</v>
      </c>
      <c r="B325">
        <v>17.7</v>
      </c>
      <c r="C325">
        <v>21</v>
      </c>
      <c r="D325">
        <v>0</v>
      </c>
      <c r="E325">
        <v>0</v>
      </c>
      <c r="F325">
        <v>324</v>
      </c>
      <c r="G325" t="str">
        <f t="shared" si="36"/>
        <v>C</v>
      </c>
      <c r="H325">
        <f t="shared" si="35"/>
        <v>4</v>
      </c>
      <c r="I325">
        <f t="shared" si="37"/>
        <v>0</v>
      </c>
      <c r="J325">
        <f t="shared" si="38"/>
        <v>11</v>
      </c>
      <c r="K325">
        <f t="shared" si="39"/>
        <v>0</v>
      </c>
      <c r="L325">
        <f t="shared" si="40"/>
        <v>0</v>
      </c>
      <c r="M325" t="str">
        <f t="shared" si="41"/>
        <v>C</v>
      </c>
    </row>
    <row r="326" spans="1:13" x14ac:dyDescent="0.45">
      <c r="A326">
        <v>325</v>
      </c>
      <c r="B326">
        <v>13.6</v>
      </c>
      <c r="C326">
        <v>18</v>
      </c>
      <c r="D326">
        <v>0</v>
      </c>
      <c r="E326">
        <v>0</v>
      </c>
      <c r="F326">
        <v>325</v>
      </c>
      <c r="G326" t="str">
        <f t="shared" si="36"/>
        <v>C</v>
      </c>
      <c r="H326">
        <f t="shared" si="35"/>
        <v>4</v>
      </c>
      <c r="I326">
        <f t="shared" si="37"/>
        <v>0</v>
      </c>
      <c r="J326">
        <f t="shared" si="38"/>
        <v>12</v>
      </c>
      <c r="K326">
        <f t="shared" si="39"/>
        <v>0</v>
      </c>
      <c r="L326">
        <f t="shared" si="40"/>
        <v>0</v>
      </c>
      <c r="M326" t="str">
        <f t="shared" si="41"/>
        <v>C</v>
      </c>
    </row>
    <row r="327" spans="1:13" x14ac:dyDescent="0.45">
      <c r="A327">
        <v>326</v>
      </c>
      <c r="B327">
        <v>10</v>
      </c>
      <c r="C327">
        <v>13</v>
      </c>
      <c r="D327">
        <v>0</v>
      </c>
      <c r="E327">
        <v>0</v>
      </c>
      <c r="F327">
        <v>326</v>
      </c>
      <c r="G327" t="str">
        <f t="shared" si="36"/>
        <v>C</v>
      </c>
      <c r="H327">
        <f t="shared" ref="H327:H390" si="42">IF(I327=1,0,IF(K327=1,1,IF(MOD(J326,3)=0, IF(H326+1&gt;5,5,H326+1),H326)))</f>
        <v>5</v>
      </c>
      <c r="I327">
        <f t="shared" si="37"/>
        <v>0</v>
      </c>
      <c r="J327">
        <f t="shared" si="38"/>
        <v>13</v>
      </c>
      <c r="K327">
        <f t="shared" si="39"/>
        <v>0</v>
      </c>
      <c r="L327">
        <f t="shared" si="40"/>
        <v>0</v>
      </c>
      <c r="M327" t="str">
        <f t="shared" si="41"/>
        <v>C</v>
      </c>
    </row>
    <row r="328" spans="1:13" x14ac:dyDescent="0.45">
      <c r="A328">
        <v>327</v>
      </c>
      <c r="B328">
        <v>7.6</v>
      </c>
      <c r="C328">
        <v>28</v>
      </c>
      <c r="D328">
        <v>0</v>
      </c>
      <c r="E328">
        <v>0</v>
      </c>
      <c r="F328">
        <v>327</v>
      </c>
      <c r="G328" t="str">
        <f t="shared" si="36"/>
        <v>C</v>
      </c>
      <c r="H328">
        <f t="shared" si="42"/>
        <v>5</v>
      </c>
      <c r="I328">
        <f t="shared" si="37"/>
        <v>0</v>
      </c>
      <c r="J328">
        <f t="shared" si="38"/>
        <v>14</v>
      </c>
      <c r="K328">
        <f t="shared" si="39"/>
        <v>0</v>
      </c>
      <c r="L328">
        <f t="shared" si="40"/>
        <v>0</v>
      </c>
      <c r="M328" t="str">
        <f t="shared" si="41"/>
        <v>S</v>
      </c>
    </row>
    <row r="329" spans="1:13" x14ac:dyDescent="0.45">
      <c r="A329">
        <v>328</v>
      </c>
      <c r="B329">
        <v>6.8</v>
      </c>
      <c r="C329">
        <v>0</v>
      </c>
      <c r="D329">
        <v>0</v>
      </c>
      <c r="E329">
        <v>0</v>
      </c>
      <c r="F329">
        <v>328</v>
      </c>
      <c r="G329">
        <f t="shared" si="36"/>
        <v>0</v>
      </c>
      <c r="H329">
        <f t="shared" si="42"/>
        <v>0</v>
      </c>
      <c r="I329">
        <f t="shared" si="37"/>
        <v>1</v>
      </c>
      <c r="J329">
        <f t="shared" si="38"/>
        <v>1</v>
      </c>
      <c r="K329">
        <f t="shared" si="39"/>
        <v>0</v>
      </c>
      <c r="L329">
        <f t="shared" si="40"/>
        <v>0</v>
      </c>
      <c r="M329" t="str">
        <f t="shared" si="41"/>
        <v>S</v>
      </c>
    </row>
    <row r="330" spans="1:13" x14ac:dyDescent="0.45">
      <c r="A330">
        <v>329</v>
      </c>
      <c r="B330">
        <v>7.5</v>
      </c>
      <c r="C330">
        <v>2</v>
      </c>
      <c r="D330">
        <v>0</v>
      </c>
      <c r="E330">
        <v>0</v>
      </c>
      <c r="F330">
        <v>329</v>
      </c>
      <c r="G330" t="str">
        <f t="shared" si="36"/>
        <v>S</v>
      </c>
      <c r="H330">
        <f t="shared" si="42"/>
        <v>1</v>
      </c>
      <c r="I330">
        <f t="shared" si="37"/>
        <v>0</v>
      </c>
      <c r="J330">
        <f t="shared" si="38"/>
        <v>1</v>
      </c>
      <c r="K330">
        <f t="shared" si="39"/>
        <v>1</v>
      </c>
      <c r="L330">
        <f t="shared" si="40"/>
        <v>0</v>
      </c>
      <c r="M330" t="str">
        <f t="shared" si="41"/>
        <v>S</v>
      </c>
    </row>
    <row r="331" spans="1:13" x14ac:dyDescent="0.45">
      <c r="A331">
        <v>330</v>
      </c>
      <c r="B331">
        <v>9.1</v>
      </c>
      <c r="C331">
        <v>2</v>
      </c>
      <c r="D331">
        <v>0</v>
      </c>
      <c r="E331">
        <v>0</v>
      </c>
      <c r="F331">
        <v>330</v>
      </c>
      <c r="G331" t="str">
        <f t="shared" si="36"/>
        <v>S</v>
      </c>
      <c r="H331">
        <f t="shared" si="42"/>
        <v>1</v>
      </c>
      <c r="I331">
        <f t="shared" si="37"/>
        <v>0</v>
      </c>
      <c r="J331">
        <f t="shared" si="38"/>
        <v>2</v>
      </c>
      <c r="K331">
        <f t="shared" si="39"/>
        <v>0</v>
      </c>
      <c r="L331">
        <f t="shared" si="40"/>
        <v>0</v>
      </c>
      <c r="M331" t="str">
        <f t="shared" si="41"/>
        <v>S</v>
      </c>
    </row>
    <row r="332" spans="1:13" x14ac:dyDescent="0.45">
      <c r="A332">
        <v>331</v>
      </c>
      <c r="B332">
        <v>10.9</v>
      </c>
      <c r="C332">
        <v>6</v>
      </c>
      <c r="D332">
        <v>0</v>
      </c>
      <c r="E332">
        <v>0</v>
      </c>
      <c r="F332">
        <v>331</v>
      </c>
      <c r="G332" t="str">
        <f t="shared" si="36"/>
        <v>S</v>
      </c>
      <c r="H332">
        <f t="shared" si="42"/>
        <v>1</v>
      </c>
      <c r="I332">
        <f t="shared" si="37"/>
        <v>0</v>
      </c>
      <c r="J332">
        <f t="shared" si="38"/>
        <v>3</v>
      </c>
      <c r="K332">
        <f t="shared" si="39"/>
        <v>0</v>
      </c>
      <c r="L332">
        <f t="shared" si="40"/>
        <v>0</v>
      </c>
      <c r="M332" t="str">
        <f t="shared" si="41"/>
        <v>C</v>
      </c>
    </row>
    <row r="333" spans="1:13" x14ac:dyDescent="0.45">
      <c r="A333">
        <v>332</v>
      </c>
      <c r="B333">
        <v>11.8</v>
      </c>
      <c r="C333">
        <v>11</v>
      </c>
      <c r="D333">
        <v>0</v>
      </c>
      <c r="E333">
        <v>0</v>
      </c>
      <c r="F333">
        <v>332</v>
      </c>
      <c r="G333" t="str">
        <f t="shared" si="36"/>
        <v>S</v>
      </c>
      <c r="H333">
        <f t="shared" si="42"/>
        <v>2</v>
      </c>
      <c r="I333">
        <f t="shared" si="37"/>
        <v>0</v>
      </c>
      <c r="J333">
        <f t="shared" si="38"/>
        <v>4</v>
      </c>
      <c r="K333">
        <f t="shared" si="39"/>
        <v>0</v>
      </c>
      <c r="L333">
        <f t="shared" si="40"/>
        <v>1</v>
      </c>
      <c r="M333" t="str">
        <f t="shared" si="41"/>
        <v>C</v>
      </c>
    </row>
    <row r="334" spans="1:13" x14ac:dyDescent="0.45">
      <c r="A334">
        <v>333</v>
      </c>
      <c r="B334">
        <v>11.5</v>
      </c>
      <c r="C334">
        <v>9</v>
      </c>
      <c r="D334">
        <v>0</v>
      </c>
      <c r="E334">
        <v>0</v>
      </c>
      <c r="F334">
        <v>333</v>
      </c>
      <c r="G334" t="str">
        <f t="shared" si="36"/>
        <v>S</v>
      </c>
      <c r="H334">
        <f t="shared" si="42"/>
        <v>2</v>
      </c>
      <c r="I334">
        <f t="shared" si="37"/>
        <v>0</v>
      </c>
      <c r="J334">
        <f t="shared" si="38"/>
        <v>5</v>
      </c>
      <c r="K334">
        <f t="shared" si="39"/>
        <v>0</v>
      </c>
      <c r="L334">
        <f t="shared" si="40"/>
        <v>0</v>
      </c>
      <c r="M334" t="str">
        <f t="shared" si="41"/>
        <v>C</v>
      </c>
    </row>
    <row r="335" spans="1:13" x14ac:dyDescent="0.4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v>334</v>
      </c>
      <c r="G335" t="str">
        <f t="shared" si="36"/>
        <v>S</v>
      </c>
      <c r="H335">
        <f t="shared" si="42"/>
        <v>2</v>
      </c>
      <c r="I335">
        <f t="shared" si="37"/>
        <v>0</v>
      </c>
      <c r="J335">
        <f t="shared" si="38"/>
        <v>6</v>
      </c>
      <c r="K335">
        <f t="shared" si="39"/>
        <v>0</v>
      </c>
      <c r="L335">
        <f t="shared" si="40"/>
        <v>0</v>
      </c>
      <c r="M335" t="str">
        <f t="shared" si="41"/>
        <v>S</v>
      </c>
    </row>
    <row r="336" spans="1:13" x14ac:dyDescent="0.45">
      <c r="A336">
        <v>335</v>
      </c>
      <c r="B336">
        <v>6.9</v>
      </c>
      <c r="C336">
        <v>17</v>
      </c>
      <c r="D336">
        <v>0</v>
      </c>
      <c r="E336">
        <v>0</v>
      </c>
      <c r="F336">
        <v>335</v>
      </c>
      <c r="G336" t="str">
        <f t="shared" si="36"/>
        <v>S</v>
      </c>
      <c r="H336">
        <f t="shared" si="42"/>
        <v>3</v>
      </c>
      <c r="I336">
        <f t="shared" si="37"/>
        <v>0</v>
      </c>
      <c r="J336">
        <f t="shared" si="38"/>
        <v>7</v>
      </c>
      <c r="K336">
        <f t="shared" si="39"/>
        <v>0</v>
      </c>
      <c r="L336">
        <f t="shared" si="40"/>
        <v>0</v>
      </c>
      <c r="M336" t="str">
        <f t="shared" si="41"/>
        <v>S</v>
      </c>
    </row>
    <row r="337" spans="1:13" x14ac:dyDescent="0.45">
      <c r="A337">
        <v>336</v>
      </c>
      <c r="B337">
        <v>3.8</v>
      </c>
      <c r="C337">
        <v>1</v>
      </c>
      <c r="D337">
        <v>0</v>
      </c>
      <c r="E337">
        <v>0</v>
      </c>
      <c r="F337">
        <v>336</v>
      </c>
      <c r="G337" t="str">
        <f t="shared" si="36"/>
        <v>S</v>
      </c>
      <c r="H337">
        <f t="shared" si="42"/>
        <v>3</v>
      </c>
      <c r="I337">
        <f t="shared" si="37"/>
        <v>0</v>
      </c>
      <c r="J337">
        <f t="shared" si="38"/>
        <v>8</v>
      </c>
      <c r="K337">
        <f t="shared" si="39"/>
        <v>0</v>
      </c>
      <c r="L337">
        <f t="shared" si="40"/>
        <v>0</v>
      </c>
      <c r="M337" t="str">
        <f t="shared" si="41"/>
        <v>S</v>
      </c>
    </row>
    <row r="338" spans="1:13" x14ac:dyDescent="0.45">
      <c r="A338">
        <v>337</v>
      </c>
      <c r="B338">
        <v>1.2</v>
      </c>
      <c r="C338">
        <v>2</v>
      </c>
      <c r="D338">
        <v>0</v>
      </c>
      <c r="E338">
        <v>0</v>
      </c>
      <c r="F338">
        <v>337</v>
      </c>
      <c r="G338" t="str">
        <f t="shared" si="36"/>
        <v>S</v>
      </c>
      <c r="H338">
        <f t="shared" si="42"/>
        <v>3</v>
      </c>
      <c r="I338">
        <f t="shared" si="37"/>
        <v>0</v>
      </c>
      <c r="J338">
        <f t="shared" si="38"/>
        <v>9</v>
      </c>
      <c r="K338">
        <f t="shared" si="39"/>
        <v>0</v>
      </c>
      <c r="L338">
        <f t="shared" si="40"/>
        <v>0</v>
      </c>
      <c r="M338" t="str">
        <f t="shared" si="41"/>
        <v>S</v>
      </c>
    </row>
    <row r="339" spans="1:13" x14ac:dyDescent="0.45">
      <c r="A339">
        <v>338</v>
      </c>
      <c r="B339">
        <v>0.1</v>
      </c>
      <c r="C339">
        <v>15</v>
      </c>
      <c r="D339">
        <v>0</v>
      </c>
      <c r="E339">
        <v>0</v>
      </c>
      <c r="F339">
        <v>338</v>
      </c>
      <c r="G339" t="str">
        <f t="shared" si="36"/>
        <v>S</v>
      </c>
      <c r="H339">
        <f t="shared" si="42"/>
        <v>4</v>
      </c>
      <c r="I339">
        <f t="shared" si="37"/>
        <v>0</v>
      </c>
      <c r="J339">
        <f t="shared" si="38"/>
        <v>10</v>
      </c>
      <c r="K339">
        <f t="shared" si="39"/>
        <v>0</v>
      </c>
      <c r="L339">
        <f t="shared" si="40"/>
        <v>0</v>
      </c>
      <c r="M339" t="str">
        <f t="shared" si="41"/>
        <v>S</v>
      </c>
    </row>
    <row r="340" spans="1:13" x14ac:dyDescent="0.45">
      <c r="A340">
        <v>339</v>
      </c>
      <c r="B340">
        <v>0.6</v>
      </c>
      <c r="C340">
        <v>21</v>
      </c>
      <c r="D340">
        <v>0</v>
      </c>
      <c r="E340">
        <v>0</v>
      </c>
      <c r="F340">
        <v>339</v>
      </c>
      <c r="G340" t="str">
        <f t="shared" si="36"/>
        <v>S</v>
      </c>
      <c r="H340">
        <f t="shared" si="42"/>
        <v>4</v>
      </c>
      <c r="I340">
        <f t="shared" si="37"/>
        <v>0</v>
      </c>
      <c r="J340">
        <f t="shared" si="38"/>
        <v>11</v>
      </c>
      <c r="K340">
        <f t="shared" si="39"/>
        <v>0</v>
      </c>
      <c r="L340">
        <f t="shared" si="40"/>
        <v>0</v>
      </c>
      <c r="M340" t="str">
        <f t="shared" si="41"/>
        <v>S</v>
      </c>
    </row>
    <row r="341" spans="1:13" x14ac:dyDescent="0.45">
      <c r="A341">
        <v>340</v>
      </c>
      <c r="B341">
        <v>2.8</v>
      </c>
      <c r="C341">
        <v>8</v>
      </c>
      <c r="D341">
        <v>0</v>
      </c>
      <c r="E341">
        <v>0</v>
      </c>
      <c r="F341">
        <v>340</v>
      </c>
      <c r="G341" t="str">
        <f t="shared" si="36"/>
        <v>S</v>
      </c>
      <c r="H341">
        <f t="shared" si="42"/>
        <v>4</v>
      </c>
      <c r="I341">
        <f t="shared" si="37"/>
        <v>0</v>
      </c>
      <c r="J341">
        <f t="shared" si="38"/>
        <v>12</v>
      </c>
      <c r="K341">
        <f t="shared" si="39"/>
        <v>0</v>
      </c>
      <c r="L341">
        <f t="shared" si="40"/>
        <v>0</v>
      </c>
      <c r="M341" t="str">
        <f t="shared" si="41"/>
        <v>S</v>
      </c>
    </row>
    <row r="342" spans="1:13" x14ac:dyDescent="0.45">
      <c r="A342">
        <v>341</v>
      </c>
      <c r="B342">
        <v>6</v>
      </c>
      <c r="C342">
        <v>27</v>
      </c>
      <c r="D342">
        <v>0</v>
      </c>
      <c r="E342">
        <v>0</v>
      </c>
      <c r="F342">
        <v>341</v>
      </c>
      <c r="G342" t="str">
        <f t="shared" si="36"/>
        <v>S</v>
      </c>
      <c r="H342">
        <f t="shared" si="42"/>
        <v>5</v>
      </c>
      <c r="I342">
        <f t="shared" si="37"/>
        <v>0</v>
      </c>
      <c r="J342">
        <f t="shared" si="38"/>
        <v>13</v>
      </c>
      <c r="K342">
        <f t="shared" si="39"/>
        <v>0</v>
      </c>
      <c r="L342">
        <f t="shared" si="40"/>
        <v>0</v>
      </c>
      <c r="M342" t="str">
        <f t="shared" si="41"/>
        <v>S</v>
      </c>
    </row>
    <row r="343" spans="1:13" x14ac:dyDescent="0.4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v>342</v>
      </c>
      <c r="G343">
        <f t="shared" si="36"/>
        <v>0</v>
      </c>
      <c r="H343">
        <f t="shared" si="42"/>
        <v>0</v>
      </c>
      <c r="I343">
        <f t="shared" si="37"/>
        <v>1</v>
      </c>
      <c r="J343">
        <f t="shared" si="38"/>
        <v>1</v>
      </c>
      <c r="K343">
        <f t="shared" si="39"/>
        <v>0</v>
      </c>
      <c r="L343">
        <f t="shared" si="40"/>
        <v>0</v>
      </c>
      <c r="M343" t="str">
        <f t="shared" si="41"/>
        <v>S</v>
      </c>
    </row>
    <row r="344" spans="1:13" x14ac:dyDescent="0.45">
      <c r="A344">
        <v>343</v>
      </c>
      <c r="B344">
        <v>11.8</v>
      </c>
      <c r="C344">
        <v>1</v>
      </c>
      <c r="D344">
        <v>0</v>
      </c>
      <c r="E344">
        <v>0</v>
      </c>
      <c r="F344">
        <v>343</v>
      </c>
      <c r="G344" t="str">
        <f t="shared" si="36"/>
        <v>C</v>
      </c>
      <c r="H344">
        <f t="shared" si="42"/>
        <v>1</v>
      </c>
      <c r="I344">
        <f t="shared" si="37"/>
        <v>0</v>
      </c>
      <c r="J344">
        <f t="shared" si="38"/>
        <v>1</v>
      </c>
      <c r="K344">
        <f t="shared" si="39"/>
        <v>1</v>
      </c>
      <c r="L344">
        <f t="shared" si="40"/>
        <v>0</v>
      </c>
      <c r="M344" t="str">
        <f t="shared" si="41"/>
        <v>C</v>
      </c>
    </row>
    <row r="345" spans="1:13" x14ac:dyDescent="0.45">
      <c r="A345">
        <v>344</v>
      </c>
      <c r="B345">
        <v>13.1</v>
      </c>
      <c r="C345">
        <v>4</v>
      </c>
      <c r="D345">
        <v>0</v>
      </c>
      <c r="E345">
        <v>0</v>
      </c>
      <c r="F345">
        <v>344</v>
      </c>
      <c r="G345" t="str">
        <f t="shared" si="36"/>
        <v>C</v>
      </c>
      <c r="H345">
        <f t="shared" si="42"/>
        <v>1</v>
      </c>
      <c r="I345">
        <f t="shared" si="37"/>
        <v>0</v>
      </c>
      <c r="J345">
        <f t="shared" si="38"/>
        <v>2</v>
      </c>
      <c r="K345">
        <f t="shared" si="39"/>
        <v>0</v>
      </c>
      <c r="L345">
        <f t="shared" si="40"/>
        <v>0</v>
      </c>
      <c r="M345" t="str">
        <f t="shared" si="41"/>
        <v>C</v>
      </c>
    </row>
    <row r="346" spans="1:13" x14ac:dyDescent="0.45">
      <c r="A346">
        <v>345</v>
      </c>
      <c r="B346">
        <v>12.9</v>
      </c>
      <c r="C346">
        <v>1</v>
      </c>
      <c r="D346">
        <v>0</v>
      </c>
      <c r="E346">
        <v>0</v>
      </c>
      <c r="F346">
        <v>345</v>
      </c>
      <c r="G346" t="str">
        <f t="shared" si="36"/>
        <v>C</v>
      </c>
      <c r="H346">
        <f t="shared" si="42"/>
        <v>1</v>
      </c>
      <c r="I346">
        <f t="shared" si="37"/>
        <v>0</v>
      </c>
      <c r="J346">
        <f t="shared" si="38"/>
        <v>3</v>
      </c>
      <c r="K346">
        <f t="shared" si="39"/>
        <v>0</v>
      </c>
      <c r="L346">
        <f t="shared" si="40"/>
        <v>0</v>
      </c>
      <c r="M346" t="str">
        <f t="shared" si="41"/>
        <v>C</v>
      </c>
    </row>
    <row r="347" spans="1:13" x14ac:dyDescent="0.45">
      <c r="A347">
        <v>346</v>
      </c>
      <c r="B347">
        <v>11.6</v>
      </c>
      <c r="C347">
        <v>2</v>
      </c>
      <c r="D347">
        <v>0</v>
      </c>
      <c r="E347">
        <v>0</v>
      </c>
      <c r="F347">
        <v>346</v>
      </c>
      <c r="G347" t="str">
        <f t="shared" si="36"/>
        <v>C</v>
      </c>
      <c r="H347">
        <f t="shared" si="42"/>
        <v>2</v>
      </c>
      <c r="I347">
        <f t="shared" si="37"/>
        <v>0</v>
      </c>
      <c r="J347">
        <f t="shared" si="38"/>
        <v>4</v>
      </c>
      <c r="K347">
        <f t="shared" si="39"/>
        <v>0</v>
      </c>
      <c r="L347">
        <f t="shared" si="40"/>
        <v>1</v>
      </c>
      <c r="M347" t="str">
        <f t="shared" si="41"/>
        <v>C</v>
      </c>
    </row>
    <row r="348" spans="1:13" x14ac:dyDescent="0.45">
      <c r="A348">
        <v>347</v>
      </c>
      <c r="B348">
        <v>9.9</v>
      </c>
      <c r="C348">
        <v>3</v>
      </c>
      <c r="D348">
        <v>0</v>
      </c>
      <c r="E348">
        <v>0</v>
      </c>
      <c r="F348">
        <v>347</v>
      </c>
      <c r="G348" t="str">
        <f t="shared" si="36"/>
        <v>C</v>
      </c>
      <c r="H348">
        <f t="shared" si="42"/>
        <v>2</v>
      </c>
      <c r="I348">
        <f t="shared" si="37"/>
        <v>0</v>
      </c>
      <c r="J348">
        <f t="shared" si="38"/>
        <v>5</v>
      </c>
      <c r="K348">
        <f t="shared" si="39"/>
        <v>0</v>
      </c>
      <c r="L348">
        <f t="shared" si="40"/>
        <v>0</v>
      </c>
      <c r="M348" t="str">
        <f t="shared" si="41"/>
        <v>S</v>
      </c>
    </row>
    <row r="349" spans="1:13" x14ac:dyDescent="0.4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v>348</v>
      </c>
      <c r="G349" t="str">
        <f t="shared" si="36"/>
        <v>C</v>
      </c>
      <c r="H349">
        <f t="shared" si="42"/>
        <v>2</v>
      </c>
      <c r="I349">
        <f t="shared" si="37"/>
        <v>0</v>
      </c>
      <c r="J349">
        <f t="shared" si="38"/>
        <v>6</v>
      </c>
      <c r="K349">
        <f t="shared" si="39"/>
        <v>0</v>
      </c>
      <c r="L349">
        <f t="shared" si="40"/>
        <v>0</v>
      </c>
      <c r="M349" t="str">
        <f t="shared" si="41"/>
        <v>S</v>
      </c>
    </row>
    <row r="350" spans="1:13" x14ac:dyDescent="0.4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v>349</v>
      </c>
      <c r="G350" t="str">
        <f t="shared" si="36"/>
        <v>C</v>
      </c>
      <c r="H350">
        <f t="shared" si="42"/>
        <v>3</v>
      </c>
      <c r="I350">
        <f t="shared" si="37"/>
        <v>0</v>
      </c>
      <c r="J350">
        <f t="shared" si="38"/>
        <v>7</v>
      </c>
      <c r="K350">
        <f t="shared" si="39"/>
        <v>0</v>
      </c>
      <c r="L350">
        <f t="shared" si="40"/>
        <v>0</v>
      </c>
      <c r="M350" t="str">
        <f t="shared" si="41"/>
        <v>S</v>
      </c>
    </row>
    <row r="351" spans="1:13" x14ac:dyDescent="0.45">
      <c r="A351">
        <v>350</v>
      </c>
      <c r="B351">
        <v>10.5</v>
      </c>
      <c r="C351">
        <v>15</v>
      </c>
      <c r="D351">
        <v>0</v>
      </c>
      <c r="E351">
        <v>0</v>
      </c>
      <c r="F351">
        <v>350</v>
      </c>
      <c r="G351" t="str">
        <f t="shared" si="36"/>
        <v>C</v>
      </c>
      <c r="H351">
        <f t="shared" si="42"/>
        <v>3</v>
      </c>
      <c r="I351">
        <f t="shared" si="37"/>
        <v>0</v>
      </c>
      <c r="J351">
        <f t="shared" si="38"/>
        <v>8</v>
      </c>
      <c r="K351">
        <f t="shared" si="39"/>
        <v>0</v>
      </c>
      <c r="L351">
        <f t="shared" si="40"/>
        <v>0</v>
      </c>
      <c r="M351" t="str">
        <f t="shared" si="41"/>
        <v>C</v>
      </c>
    </row>
    <row r="352" spans="1:13" x14ac:dyDescent="0.45">
      <c r="A352">
        <v>351</v>
      </c>
      <c r="B352">
        <v>13.5</v>
      </c>
      <c r="C352">
        <v>1</v>
      </c>
      <c r="D352">
        <v>0</v>
      </c>
      <c r="E352">
        <v>0</v>
      </c>
      <c r="F352">
        <v>351</v>
      </c>
      <c r="G352" t="str">
        <f t="shared" si="36"/>
        <v>C</v>
      </c>
      <c r="H352">
        <f t="shared" si="42"/>
        <v>3</v>
      </c>
      <c r="I352">
        <f t="shared" si="37"/>
        <v>0</v>
      </c>
      <c r="J352">
        <f t="shared" si="38"/>
        <v>9</v>
      </c>
      <c r="K352">
        <f t="shared" si="39"/>
        <v>0</v>
      </c>
      <c r="L352">
        <f t="shared" si="40"/>
        <v>0</v>
      </c>
      <c r="M352" t="str">
        <f t="shared" si="41"/>
        <v>C</v>
      </c>
    </row>
    <row r="353" spans="1:13" x14ac:dyDescent="0.45">
      <c r="A353">
        <v>352</v>
      </c>
      <c r="B353">
        <v>17.5</v>
      </c>
      <c r="C353">
        <v>22</v>
      </c>
      <c r="D353">
        <v>0</v>
      </c>
      <c r="E353">
        <v>0</v>
      </c>
      <c r="F353">
        <v>352</v>
      </c>
      <c r="G353" t="str">
        <f t="shared" si="36"/>
        <v>C</v>
      </c>
      <c r="H353">
        <f t="shared" si="42"/>
        <v>4</v>
      </c>
      <c r="I353">
        <f t="shared" si="37"/>
        <v>0</v>
      </c>
      <c r="J353">
        <f t="shared" si="38"/>
        <v>10</v>
      </c>
      <c r="K353">
        <f t="shared" si="39"/>
        <v>0</v>
      </c>
      <c r="L353">
        <f t="shared" si="40"/>
        <v>0</v>
      </c>
      <c r="M353" t="str">
        <f t="shared" si="41"/>
        <v>C</v>
      </c>
    </row>
    <row r="354" spans="1:13" x14ac:dyDescent="0.45">
      <c r="A354">
        <v>353</v>
      </c>
      <c r="B354">
        <v>21.4</v>
      </c>
      <c r="C354">
        <v>4</v>
      </c>
      <c r="D354">
        <v>0</v>
      </c>
      <c r="E354">
        <v>0</v>
      </c>
      <c r="F354">
        <v>353</v>
      </c>
      <c r="G354" t="str">
        <f t="shared" si="36"/>
        <v>C</v>
      </c>
      <c r="H354">
        <f t="shared" si="42"/>
        <v>4</v>
      </c>
      <c r="I354">
        <f t="shared" si="37"/>
        <v>0</v>
      </c>
      <c r="J354">
        <f t="shared" si="38"/>
        <v>11</v>
      </c>
      <c r="K354">
        <f t="shared" si="39"/>
        <v>0</v>
      </c>
      <c r="L354">
        <f t="shared" si="40"/>
        <v>0</v>
      </c>
      <c r="M354" t="str">
        <f t="shared" si="41"/>
        <v>C</v>
      </c>
    </row>
    <row r="355" spans="1:13" x14ac:dyDescent="0.45">
      <c r="A355">
        <v>354</v>
      </c>
      <c r="B355">
        <v>24.4</v>
      </c>
      <c r="C355">
        <v>4</v>
      </c>
      <c r="D355">
        <v>0</v>
      </c>
      <c r="E355">
        <v>0</v>
      </c>
      <c r="F355">
        <v>354</v>
      </c>
      <c r="G355" t="str">
        <f t="shared" si="36"/>
        <v>C</v>
      </c>
      <c r="H355">
        <f t="shared" si="42"/>
        <v>4</v>
      </c>
      <c r="I355">
        <f t="shared" si="37"/>
        <v>0</v>
      </c>
      <c r="J355">
        <f t="shared" si="38"/>
        <v>12</v>
      </c>
      <c r="K355">
        <f t="shared" si="39"/>
        <v>0</v>
      </c>
      <c r="L355">
        <f t="shared" si="40"/>
        <v>0</v>
      </c>
      <c r="M355" t="str">
        <f t="shared" si="41"/>
        <v>C</v>
      </c>
    </row>
    <row r="356" spans="1:13" x14ac:dyDescent="0.45">
      <c r="A356">
        <v>355</v>
      </c>
      <c r="B356">
        <v>25.8</v>
      </c>
      <c r="C356">
        <v>11</v>
      </c>
      <c r="D356">
        <v>0</v>
      </c>
      <c r="E356">
        <v>0</v>
      </c>
      <c r="F356">
        <v>355</v>
      </c>
      <c r="G356" t="str">
        <f t="shared" si="36"/>
        <v>C</v>
      </c>
      <c r="H356">
        <f t="shared" si="42"/>
        <v>5</v>
      </c>
      <c r="I356">
        <f t="shared" si="37"/>
        <v>0</v>
      </c>
      <c r="J356">
        <f t="shared" si="38"/>
        <v>13</v>
      </c>
      <c r="K356">
        <f t="shared" si="39"/>
        <v>0</v>
      </c>
      <c r="L356">
        <f t="shared" si="40"/>
        <v>0</v>
      </c>
      <c r="M356" t="str">
        <f t="shared" si="41"/>
        <v>C</v>
      </c>
    </row>
    <row r="357" spans="1:13" x14ac:dyDescent="0.45">
      <c r="A357">
        <v>356</v>
      </c>
      <c r="B357">
        <v>25.6</v>
      </c>
      <c r="C357">
        <v>25</v>
      </c>
      <c r="D357">
        <v>0</v>
      </c>
      <c r="E357">
        <v>0</v>
      </c>
      <c r="F357">
        <v>356</v>
      </c>
      <c r="G357" t="str">
        <f t="shared" si="36"/>
        <v>C</v>
      </c>
      <c r="H357">
        <f t="shared" si="42"/>
        <v>5</v>
      </c>
      <c r="I357">
        <f t="shared" si="37"/>
        <v>0</v>
      </c>
      <c r="J357">
        <f t="shared" si="38"/>
        <v>14</v>
      </c>
      <c r="K357">
        <f t="shared" si="39"/>
        <v>0</v>
      </c>
      <c r="L357">
        <f t="shared" si="40"/>
        <v>0</v>
      </c>
      <c r="M357" t="str">
        <f t="shared" si="41"/>
        <v>C</v>
      </c>
    </row>
    <row r="358" spans="1:13" x14ac:dyDescent="0.45">
      <c r="A358">
        <v>357</v>
      </c>
      <c r="B358">
        <v>24.1</v>
      </c>
      <c r="C358">
        <v>0</v>
      </c>
      <c r="D358">
        <v>0</v>
      </c>
      <c r="E358">
        <v>0</v>
      </c>
      <c r="F358">
        <v>357</v>
      </c>
      <c r="G358">
        <f t="shared" si="36"/>
        <v>0</v>
      </c>
      <c r="H358">
        <f t="shared" si="42"/>
        <v>0</v>
      </c>
      <c r="I358">
        <f t="shared" si="37"/>
        <v>1</v>
      </c>
      <c r="J358">
        <f t="shared" si="38"/>
        <v>1</v>
      </c>
      <c r="K358">
        <f t="shared" si="39"/>
        <v>0</v>
      </c>
      <c r="L358">
        <f t="shared" si="40"/>
        <v>0</v>
      </c>
      <c r="M358" t="str">
        <f t="shared" si="41"/>
        <v>C</v>
      </c>
    </row>
    <row r="359" spans="1:13" x14ac:dyDescent="0.45">
      <c r="A359">
        <v>358</v>
      </c>
      <c r="B359">
        <v>22</v>
      </c>
      <c r="C359">
        <v>4</v>
      </c>
      <c r="D359">
        <v>0</v>
      </c>
      <c r="E359">
        <v>0</v>
      </c>
      <c r="F359">
        <v>358</v>
      </c>
      <c r="G359" t="str">
        <f t="shared" si="36"/>
        <v>C</v>
      </c>
      <c r="H359">
        <f t="shared" si="42"/>
        <v>1</v>
      </c>
      <c r="I359">
        <f t="shared" si="37"/>
        <v>0</v>
      </c>
      <c r="J359">
        <f t="shared" si="38"/>
        <v>1</v>
      </c>
      <c r="K359">
        <f t="shared" si="39"/>
        <v>1</v>
      </c>
      <c r="L359">
        <f t="shared" si="40"/>
        <v>0</v>
      </c>
      <c r="M359" t="str">
        <f t="shared" si="41"/>
        <v>C</v>
      </c>
    </row>
    <row r="360" spans="1:13" x14ac:dyDescent="0.45">
      <c r="A360">
        <v>359</v>
      </c>
      <c r="B360">
        <v>20.3</v>
      </c>
      <c r="C360">
        <v>4</v>
      </c>
      <c r="D360">
        <v>0</v>
      </c>
      <c r="E360">
        <v>0</v>
      </c>
      <c r="F360">
        <v>359</v>
      </c>
      <c r="G360" t="str">
        <f t="shared" si="36"/>
        <v>C</v>
      </c>
      <c r="H360">
        <f t="shared" si="42"/>
        <v>1</v>
      </c>
      <c r="I360">
        <f t="shared" si="37"/>
        <v>0</v>
      </c>
      <c r="J360">
        <f t="shared" si="38"/>
        <v>2</v>
      </c>
      <c r="K360">
        <f t="shared" si="39"/>
        <v>0</v>
      </c>
      <c r="L360">
        <f t="shared" si="40"/>
        <v>0</v>
      </c>
      <c r="M360" t="str">
        <f t="shared" si="41"/>
        <v>C</v>
      </c>
    </row>
    <row r="361" spans="1:13" x14ac:dyDescent="0.4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v>360</v>
      </c>
      <c r="G361" t="str">
        <f t="shared" si="36"/>
        <v>C</v>
      </c>
      <c r="H361">
        <f t="shared" si="42"/>
        <v>1</v>
      </c>
      <c r="I361">
        <f t="shared" si="37"/>
        <v>0</v>
      </c>
      <c r="J361">
        <f t="shared" si="38"/>
        <v>3</v>
      </c>
      <c r="K361">
        <f t="shared" si="39"/>
        <v>0</v>
      </c>
      <c r="L361">
        <f t="shared" si="40"/>
        <v>0</v>
      </c>
      <c r="M361" t="str">
        <f t="shared" si="41"/>
        <v>C</v>
      </c>
    </row>
    <row r="362" spans="1:13" x14ac:dyDescent="0.45">
      <c r="A362">
        <v>361</v>
      </c>
      <c r="B362">
        <v>20.3</v>
      </c>
      <c r="C362">
        <v>11</v>
      </c>
      <c r="D362">
        <v>0</v>
      </c>
      <c r="E362">
        <v>0</v>
      </c>
      <c r="F362">
        <v>361</v>
      </c>
      <c r="G362" t="str">
        <f t="shared" si="36"/>
        <v>C</v>
      </c>
      <c r="H362">
        <f t="shared" si="42"/>
        <v>2</v>
      </c>
      <c r="I362">
        <f t="shared" si="37"/>
        <v>0</v>
      </c>
      <c r="J362">
        <f t="shared" si="38"/>
        <v>4</v>
      </c>
      <c r="K362">
        <f t="shared" si="39"/>
        <v>0</v>
      </c>
      <c r="L362">
        <f t="shared" si="40"/>
        <v>1</v>
      </c>
      <c r="M362" t="str">
        <f t="shared" si="41"/>
        <v>C</v>
      </c>
    </row>
    <row r="363" spans="1:13" x14ac:dyDescent="0.45">
      <c r="A363">
        <v>362</v>
      </c>
      <c r="B363">
        <v>22.3</v>
      </c>
      <c r="C363">
        <v>12</v>
      </c>
      <c r="D363">
        <v>0</v>
      </c>
      <c r="E363">
        <v>0</v>
      </c>
      <c r="F363">
        <v>362</v>
      </c>
      <c r="G363" t="str">
        <f t="shared" si="36"/>
        <v>C</v>
      </c>
      <c r="H363">
        <f t="shared" si="42"/>
        <v>2</v>
      </c>
      <c r="I363">
        <f t="shared" si="37"/>
        <v>0</v>
      </c>
      <c r="J363">
        <f t="shared" si="38"/>
        <v>5</v>
      </c>
      <c r="K363">
        <f t="shared" si="39"/>
        <v>0</v>
      </c>
      <c r="L363">
        <f t="shared" si="40"/>
        <v>0</v>
      </c>
      <c r="M363" t="str">
        <f t="shared" si="41"/>
        <v>C</v>
      </c>
    </row>
    <row r="364" spans="1:13" x14ac:dyDescent="0.45">
      <c r="A364">
        <v>363</v>
      </c>
      <c r="B364">
        <v>25</v>
      </c>
      <c r="C364">
        <v>2</v>
      </c>
      <c r="D364">
        <v>0</v>
      </c>
      <c r="E364">
        <v>0</v>
      </c>
      <c r="F364">
        <v>363</v>
      </c>
      <c r="G364" t="str">
        <f t="shared" si="36"/>
        <v>C</v>
      </c>
      <c r="H364">
        <f t="shared" si="42"/>
        <v>2</v>
      </c>
      <c r="I364">
        <f t="shared" si="37"/>
        <v>0</v>
      </c>
      <c r="J364">
        <f t="shared" si="38"/>
        <v>6</v>
      </c>
      <c r="K364">
        <f t="shared" si="39"/>
        <v>0</v>
      </c>
      <c r="L364">
        <f t="shared" si="40"/>
        <v>0</v>
      </c>
      <c r="M364" t="str">
        <f t="shared" si="41"/>
        <v>C</v>
      </c>
    </row>
    <row r="365" spans="1:13" x14ac:dyDescent="0.45">
      <c r="A365">
        <v>364</v>
      </c>
      <c r="B365">
        <v>27.5</v>
      </c>
      <c r="C365">
        <v>4</v>
      </c>
      <c r="D365">
        <v>0</v>
      </c>
      <c r="E365">
        <v>0</v>
      </c>
      <c r="F365">
        <v>364</v>
      </c>
      <c r="G365" t="str">
        <f t="shared" si="36"/>
        <v>C</v>
      </c>
      <c r="H365">
        <f t="shared" si="42"/>
        <v>3</v>
      </c>
      <c r="I365">
        <f t="shared" si="37"/>
        <v>0</v>
      </c>
      <c r="J365">
        <f t="shared" si="38"/>
        <v>7</v>
      </c>
      <c r="K365">
        <f t="shared" si="39"/>
        <v>0</v>
      </c>
      <c r="L365">
        <f t="shared" si="40"/>
        <v>0</v>
      </c>
      <c r="M365" t="str">
        <f t="shared" si="41"/>
        <v>C</v>
      </c>
    </row>
    <row r="366" spans="1:13" x14ac:dyDescent="0.45">
      <c r="A366">
        <v>365</v>
      </c>
      <c r="B366">
        <v>29.1</v>
      </c>
      <c r="C366">
        <v>18</v>
      </c>
      <c r="D366">
        <v>0</v>
      </c>
      <c r="E366">
        <v>0</v>
      </c>
      <c r="F366">
        <v>365</v>
      </c>
      <c r="G366" t="str">
        <f t="shared" si="36"/>
        <v>C</v>
      </c>
      <c r="H366">
        <f t="shared" si="42"/>
        <v>3</v>
      </c>
      <c r="I366">
        <f t="shared" si="37"/>
        <v>0</v>
      </c>
      <c r="J366">
        <f t="shared" si="38"/>
        <v>8</v>
      </c>
      <c r="K366">
        <f t="shared" si="39"/>
        <v>0</v>
      </c>
      <c r="L366">
        <f t="shared" si="40"/>
        <v>0</v>
      </c>
      <c r="M366" t="str">
        <f t="shared" si="41"/>
        <v>C</v>
      </c>
    </row>
    <row r="367" spans="1:13" x14ac:dyDescent="0.45">
      <c r="A367">
        <v>366</v>
      </c>
      <c r="B367">
        <v>29</v>
      </c>
      <c r="C367">
        <v>2</v>
      </c>
      <c r="D367">
        <v>0</v>
      </c>
      <c r="E367">
        <v>0</v>
      </c>
      <c r="F367">
        <v>366</v>
      </c>
      <c r="G367" t="str">
        <f t="shared" si="36"/>
        <v>C</v>
      </c>
      <c r="H367">
        <f t="shared" si="42"/>
        <v>3</v>
      </c>
      <c r="I367">
        <f t="shared" si="37"/>
        <v>0</v>
      </c>
      <c r="J367">
        <f t="shared" si="38"/>
        <v>9</v>
      </c>
      <c r="K367">
        <f t="shared" si="39"/>
        <v>0</v>
      </c>
      <c r="L367">
        <f t="shared" si="40"/>
        <v>0</v>
      </c>
      <c r="M367" t="str">
        <f t="shared" si="41"/>
        <v>C</v>
      </c>
    </row>
    <row r="368" spans="1:13" x14ac:dyDescent="0.45">
      <c r="A368">
        <v>367</v>
      </c>
      <c r="B368">
        <v>27.2</v>
      </c>
      <c r="C368">
        <v>19</v>
      </c>
      <c r="D368">
        <v>0</v>
      </c>
      <c r="E368">
        <v>0</v>
      </c>
      <c r="F368">
        <v>367</v>
      </c>
      <c r="G368" t="str">
        <f t="shared" si="36"/>
        <v>C</v>
      </c>
      <c r="H368">
        <f t="shared" si="42"/>
        <v>4</v>
      </c>
      <c r="I368">
        <f t="shared" si="37"/>
        <v>0</v>
      </c>
      <c r="J368">
        <f t="shared" si="38"/>
        <v>10</v>
      </c>
      <c r="K368">
        <f t="shared" si="39"/>
        <v>0</v>
      </c>
      <c r="L368">
        <f t="shared" si="40"/>
        <v>0</v>
      </c>
      <c r="M368" t="str">
        <f t="shared" si="41"/>
        <v>C</v>
      </c>
    </row>
    <row r="369" spans="1:13" x14ac:dyDescent="0.45">
      <c r="A369">
        <v>368</v>
      </c>
      <c r="B369">
        <v>24.1</v>
      </c>
      <c r="C369">
        <v>16</v>
      </c>
      <c r="D369">
        <v>0</v>
      </c>
      <c r="E369">
        <v>0</v>
      </c>
      <c r="F369">
        <v>368</v>
      </c>
      <c r="G369" t="str">
        <f t="shared" si="36"/>
        <v>C</v>
      </c>
      <c r="H369">
        <f t="shared" si="42"/>
        <v>4</v>
      </c>
      <c r="I369">
        <f t="shared" si="37"/>
        <v>0</v>
      </c>
      <c r="J369">
        <f t="shared" si="38"/>
        <v>11</v>
      </c>
      <c r="K369">
        <f t="shared" si="39"/>
        <v>0</v>
      </c>
      <c r="L369">
        <f t="shared" si="40"/>
        <v>0</v>
      </c>
      <c r="M369" t="str">
        <f t="shared" si="41"/>
        <v>C</v>
      </c>
    </row>
    <row r="370" spans="1:13" x14ac:dyDescent="0.4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v>369</v>
      </c>
      <c r="G370" t="str">
        <f t="shared" si="36"/>
        <v>C</v>
      </c>
      <c r="H370">
        <f t="shared" si="42"/>
        <v>4</v>
      </c>
      <c r="I370">
        <f t="shared" si="37"/>
        <v>0</v>
      </c>
      <c r="J370">
        <f t="shared" si="38"/>
        <v>12</v>
      </c>
      <c r="K370">
        <f t="shared" si="39"/>
        <v>0</v>
      </c>
      <c r="L370">
        <f t="shared" si="40"/>
        <v>0</v>
      </c>
      <c r="M370" t="str">
        <f t="shared" si="41"/>
        <v>C</v>
      </c>
    </row>
    <row r="371" spans="1:13" x14ac:dyDescent="0.4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v>370</v>
      </c>
      <c r="G371" t="str">
        <f t="shared" si="36"/>
        <v>C</v>
      </c>
      <c r="H371">
        <f t="shared" si="42"/>
        <v>5</v>
      </c>
      <c r="I371">
        <f t="shared" si="37"/>
        <v>0</v>
      </c>
      <c r="J371">
        <f t="shared" si="38"/>
        <v>13</v>
      </c>
      <c r="K371">
        <f t="shared" si="39"/>
        <v>0</v>
      </c>
      <c r="L371">
        <f t="shared" si="40"/>
        <v>0</v>
      </c>
      <c r="M371" t="str">
        <f t="shared" si="41"/>
        <v>C</v>
      </c>
    </row>
    <row r="372" spans="1:13" x14ac:dyDescent="0.45">
      <c r="A372">
        <v>371</v>
      </c>
      <c r="B372">
        <v>14.9</v>
      </c>
      <c r="C372">
        <v>0</v>
      </c>
      <c r="D372">
        <v>0</v>
      </c>
      <c r="E372">
        <v>0</v>
      </c>
      <c r="F372">
        <v>371</v>
      </c>
      <c r="G372">
        <f t="shared" si="36"/>
        <v>0</v>
      </c>
      <c r="H372">
        <f t="shared" si="42"/>
        <v>0</v>
      </c>
      <c r="I372">
        <f t="shared" si="37"/>
        <v>1</v>
      </c>
      <c r="J372">
        <f t="shared" si="38"/>
        <v>1</v>
      </c>
      <c r="K372">
        <f t="shared" si="39"/>
        <v>0</v>
      </c>
      <c r="L372">
        <f t="shared" si="40"/>
        <v>0</v>
      </c>
      <c r="M372" t="str">
        <f t="shared" si="41"/>
        <v>C</v>
      </c>
    </row>
    <row r="373" spans="1:13" x14ac:dyDescent="0.45">
      <c r="A373">
        <v>372</v>
      </c>
      <c r="B373">
        <v>14.1</v>
      </c>
      <c r="C373">
        <v>3</v>
      </c>
      <c r="D373">
        <v>0</v>
      </c>
      <c r="E373">
        <v>0</v>
      </c>
      <c r="F373">
        <v>372</v>
      </c>
      <c r="G373" t="str">
        <f t="shared" si="36"/>
        <v>C</v>
      </c>
      <c r="H373">
        <f t="shared" si="42"/>
        <v>1</v>
      </c>
      <c r="I373">
        <f t="shared" si="37"/>
        <v>0</v>
      </c>
      <c r="J373">
        <f t="shared" si="38"/>
        <v>1</v>
      </c>
      <c r="K373">
        <f t="shared" si="39"/>
        <v>1</v>
      </c>
      <c r="L373">
        <f t="shared" si="40"/>
        <v>0</v>
      </c>
      <c r="M373" t="str">
        <f t="shared" si="41"/>
        <v>C</v>
      </c>
    </row>
    <row r="374" spans="1:13" x14ac:dyDescent="0.45">
      <c r="A374">
        <v>373</v>
      </c>
      <c r="B374">
        <v>14.8</v>
      </c>
      <c r="C374">
        <v>6</v>
      </c>
      <c r="D374">
        <v>0</v>
      </c>
      <c r="E374">
        <v>0</v>
      </c>
      <c r="F374">
        <v>373</v>
      </c>
      <c r="G374" t="str">
        <f t="shared" si="36"/>
        <v>C</v>
      </c>
      <c r="H374">
        <f t="shared" si="42"/>
        <v>1</v>
      </c>
      <c r="I374">
        <f t="shared" si="37"/>
        <v>0</v>
      </c>
      <c r="J374">
        <f t="shared" si="38"/>
        <v>2</v>
      </c>
      <c r="K374">
        <f t="shared" si="39"/>
        <v>0</v>
      </c>
      <c r="L374">
        <f t="shared" si="40"/>
        <v>0</v>
      </c>
      <c r="M374" t="str">
        <f t="shared" si="41"/>
        <v>C</v>
      </c>
    </row>
    <row r="375" spans="1:13" x14ac:dyDescent="0.45">
      <c r="A375">
        <v>374</v>
      </c>
      <c r="B375">
        <v>16.3</v>
      </c>
      <c r="C375">
        <v>6</v>
      </c>
      <c r="D375">
        <v>0</v>
      </c>
      <c r="E375">
        <v>0</v>
      </c>
      <c r="F375">
        <v>374</v>
      </c>
      <c r="G375" t="str">
        <f t="shared" si="36"/>
        <v>C</v>
      </c>
      <c r="H375">
        <f t="shared" si="42"/>
        <v>1</v>
      </c>
      <c r="I375">
        <f t="shared" si="37"/>
        <v>0</v>
      </c>
      <c r="J375">
        <f t="shared" si="38"/>
        <v>3</v>
      </c>
      <c r="K375">
        <f t="shared" si="39"/>
        <v>0</v>
      </c>
      <c r="L375">
        <f t="shared" si="40"/>
        <v>0</v>
      </c>
      <c r="M375" t="str">
        <f t="shared" si="41"/>
        <v>C</v>
      </c>
    </row>
    <row r="376" spans="1:13" x14ac:dyDescent="0.45">
      <c r="A376">
        <v>375</v>
      </c>
      <c r="B376">
        <v>17.7</v>
      </c>
      <c r="C376">
        <v>8</v>
      </c>
      <c r="D376">
        <v>0</v>
      </c>
      <c r="E376">
        <v>0</v>
      </c>
      <c r="F376">
        <v>375</v>
      </c>
      <c r="G376" t="str">
        <f t="shared" si="36"/>
        <v>C</v>
      </c>
      <c r="H376">
        <f t="shared" si="42"/>
        <v>2</v>
      </c>
      <c r="I376">
        <f t="shared" si="37"/>
        <v>0</v>
      </c>
      <c r="J376">
        <f t="shared" si="38"/>
        <v>4</v>
      </c>
      <c r="K376">
        <f t="shared" si="39"/>
        <v>0</v>
      </c>
      <c r="L376">
        <f t="shared" si="40"/>
        <v>1</v>
      </c>
      <c r="M376" t="str">
        <f t="shared" si="41"/>
        <v>C</v>
      </c>
    </row>
    <row r="377" spans="1:13" x14ac:dyDescent="0.45">
      <c r="A377">
        <v>376</v>
      </c>
      <c r="B377">
        <v>18.3</v>
      </c>
      <c r="C377">
        <v>3</v>
      </c>
      <c r="D377">
        <v>0</v>
      </c>
      <c r="E377">
        <v>0</v>
      </c>
      <c r="F377">
        <v>376</v>
      </c>
      <c r="G377" t="str">
        <f t="shared" si="36"/>
        <v>C</v>
      </c>
      <c r="H377">
        <f t="shared" si="42"/>
        <v>2</v>
      </c>
      <c r="I377">
        <f t="shared" si="37"/>
        <v>0</v>
      </c>
      <c r="J377">
        <f t="shared" si="38"/>
        <v>5</v>
      </c>
      <c r="K377">
        <f t="shared" si="39"/>
        <v>0</v>
      </c>
      <c r="L377">
        <f t="shared" si="40"/>
        <v>0</v>
      </c>
      <c r="M377" t="str">
        <f t="shared" si="41"/>
        <v>C</v>
      </c>
    </row>
    <row r="378" spans="1:13" x14ac:dyDescent="0.45">
      <c r="A378">
        <v>377</v>
      </c>
      <c r="B378">
        <v>17.5</v>
      </c>
      <c r="C378">
        <v>6</v>
      </c>
      <c r="D378">
        <v>0</v>
      </c>
      <c r="E378">
        <v>0</v>
      </c>
      <c r="F378">
        <v>377</v>
      </c>
      <c r="G378" t="str">
        <f t="shared" si="36"/>
        <v>C</v>
      </c>
      <c r="H378">
        <f t="shared" si="42"/>
        <v>2</v>
      </c>
      <c r="I378">
        <f t="shared" si="37"/>
        <v>0</v>
      </c>
      <c r="J378">
        <f t="shared" si="38"/>
        <v>6</v>
      </c>
      <c r="K378">
        <f t="shared" si="39"/>
        <v>0</v>
      </c>
      <c r="L378">
        <f t="shared" si="40"/>
        <v>0</v>
      </c>
      <c r="M378" t="str">
        <f t="shared" si="41"/>
        <v>C</v>
      </c>
    </row>
    <row r="379" spans="1:13" x14ac:dyDescent="0.45">
      <c r="A379">
        <v>378</v>
      </c>
      <c r="B379">
        <v>15.1</v>
      </c>
      <c r="C379">
        <v>7</v>
      </c>
      <c r="D379">
        <v>0</v>
      </c>
      <c r="E379">
        <v>0</v>
      </c>
      <c r="F379">
        <v>378</v>
      </c>
      <c r="G379" t="str">
        <f t="shared" si="36"/>
        <v>C</v>
      </c>
      <c r="H379">
        <f t="shared" si="42"/>
        <v>3</v>
      </c>
      <c r="I379">
        <f t="shared" si="37"/>
        <v>0</v>
      </c>
      <c r="J379">
        <f t="shared" si="38"/>
        <v>7</v>
      </c>
      <c r="K379">
        <f t="shared" si="39"/>
        <v>0</v>
      </c>
      <c r="L379">
        <f t="shared" si="40"/>
        <v>0</v>
      </c>
      <c r="M379" t="str">
        <f t="shared" si="41"/>
        <v>C</v>
      </c>
    </row>
    <row r="380" spans="1:13" x14ac:dyDescent="0.45">
      <c r="A380">
        <v>379</v>
      </c>
      <c r="B380">
        <v>11.6</v>
      </c>
      <c r="C380">
        <v>11</v>
      </c>
      <c r="D380">
        <v>0</v>
      </c>
      <c r="E380">
        <v>0</v>
      </c>
      <c r="F380">
        <v>379</v>
      </c>
      <c r="G380" t="str">
        <f t="shared" si="36"/>
        <v>C</v>
      </c>
      <c r="H380">
        <f t="shared" si="42"/>
        <v>3</v>
      </c>
      <c r="I380">
        <f t="shared" si="37"/>
        <v>0</v>
      </c>
      <c r="J380">
        <f t="shared" si="38"/>
        <v>8</v>
      </c>
      <c r="K380">
        <f t="shared" si="39"/>
        <v>0</v>
      </c>
      <c r="L380">
        <f t="shared" si="40"/>
        <v>0</v>
      </c>
      <c r="M380" t="str">
        <f t="shared" si="41"/>
        <v>C</v>
      </c>
    </row>
    <row r="381" spans="1:13" x14ac:dyDescent="0.45">
      <c r="A381">
        <v>380</v>
      </c>
      <c r="B381">
        <v>7.7</v>
      </c>
      <c r="C381">
        <v>10</v>
      </c>
      <c r="D381">
        <v>0</v>
      </c>
      <c r="E381">
        <v>0</v>
      </c>
      <c r="F381">
        <v>380</v>
      </c>
      <c r="G381" t="str">
        <f t="shared" si="36"/>
        <v>C</v>
      </c>
      <c r="H381">
        <f t="shared" si="42"/>
        <v>3</v>
      </c>
      <c r="I381">
        <f t="shared" si="37"/>
        <v>0</v>
      </c>
      <c r="J381">
        <f t="shared" si="38"/>
        <v>9</v>
      </c>
      <c r="K381">
        <f t="shared" si="39"/>
        <v>0</v>
      </c>
      <c r="L381">
        <f t="shared" si="40"/>
        <v>0</v>
      </c>
      <c r="M381" t="str">
        <f t="shared" si="41"/>
        <v>S</v>
      </c>
    </row>
    <row r="382" spans="1:13" x14ac:dyDescent="0.4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v>381</v>
      </c>
      <c r="G382" t="str">
        <f t="shared" si="36"/>
        <v>C</v>
      </c>
      <c r="H382">
        <f t="shared" si="42"/>
        <v>4</v>
      </c>
      <c r="I382">
        <f t="shared" si="37"/>
        <v>0</v>
      </c>
      <c r="J382">
        <f t="shared" si="38"/>
        <v>10</v>
      </c>
      <c r="K382">
        <f t="shared" si="39"/>
        <v>0</v>
      </c>
      <c r="L382">
        <f t="shared" si="40"/>
        <v>0</v>
      </c>
      <c r="M382" t="str">
        <f t="shared" si="41"/>
        <v>S</v>
      </c>
    </row>
    <row r="383" spans="1:13" x14ac:dyDescent="0.4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v>382</v>
      </c>
      <c r="G383" t="str">
        <f t="shared" si="36"/>
        <v>C</v>
      </c>
      <c r="H383">
        <f t="shared" si="42"/>
        <v>4</v>
      </c>
      <c r="I383">
        <f t="shared" si="37"/>
        <v>0</v>
      </c>
      <c r="J383">
        <f t="shared" si="38"/>
        <v>11</v>
      </c>
      <c r="K383">
        <f t="shared" si="39"/>
        <v>0</v>
      </c>
      <c r="L383">
        <f t="shared" si="40"/>
        <v>0</v>
      </c>
      <c r="M383" t="str">
        <f t="shared" si="41"/>
        <v>S</v>
      </c>
    </row>
    <row r="384" spans="1:13" x14ac:dyDescent="0.45">
      <c r="A384">
        <v>383</v>
      </c>
      <c r="B384">
        <v>2</v>
      </c>
      <c r="C384">
        <v>22</v>
      </c>
      <c r="D384">
        <v>0</v>
      </c>
      <c r="E384">
        <v>0</v>
      </c>
      <c r="F384">
        <v>383</v>
      </c>
      <c r="G384" t="str">
        <f t="shared" si="36"/>
        <v>C</v>
      </c>
      <c r="H384">
        <f t="shared" si="42"/>
        <v>4</v>
      </c>
      <c r="I384">
        <f t="shared" si="37"/>
        <v>0</v>
      </c>
      <c r="J384">
        <f t="shared" si="38"/>
        <v>12</v>
      </c>
      <c r="K384">
        <f t="shared" si="39"/>
        <v>0</v>
      </c>
      <c r="L384">
        <f t="shared" si="40"/>
        <v>0</v>
      </c>
      <c r="M384" t="str">
        <f t="shared" si="41"/>
        <v>S</v>
      </c>
    </row>
    <row r="385" spans="1:13" x14ac:dyDescent="0.45">
      <c r="A385">
        <v>384</v>
      </c>
      <c r="B385">
        <v>3.2</v>
      </c>
      <c r="C385">
        <v>29</v>
      </c>
      <c r="D385">
        <v>0</v>
      </c>
      <c r="E385">
        <v>0</v>
      </c>
      <c r="F385">
        <v>384</v>
      </c>
      <c r="G385" t="str">
        <f t="shared" si="36"/>
        <v>C</v>
      </c>
      <c r="H385">
        <f t="shared" si="42"/>
        <v>5</v>
      </c>
      <c r="I385">
        <f t="shared" si="37"/>
        <v>0</v>
      </c>
      <c r="J385">
        <f t="shared" si="38"/>
        <v>13</v>
      </c>
      <c r="K385">
        <f t="shared" si="39"/>
        <v>0</v>
      </c>
      <c r="L385">
        <f t="shared" si="40"/>
        <v>0</v>
      </c>
      <c r="M385" t="str">
        <f t="shared" si="41"/>
        <v>S</v>
      </c>
    </row>
    <row r="386" spans="1:13" x14ac:dyDescent="0.45">
      <c r="A386">
        <v>385</v>
      </c>
      <c r="B386">
        <v>5.5</v>
      </c>
      <c r="C386">
        <v>0</v>
      </c>
      <c r="D386">
        <v>0</v>
      </c>
      <c r="E386">
        <v>0</v>
      </c>
      <c r="F386">
        <v>385</v>
      </c>
      <c r="G386">
        <f t="shared" si="36"/>
        <v>0</v>
      </c>
      <c r="H386">
        <f t="shared" si="42"/>
        <v>0</v>
      </c>
      <c r="I386">
        <f t="shared" si="37"/>
        <v>1</v>
      </c>
      <c r="J386">
        <f t="shared" si="38"/>
        <v>1</v>
      </c>
      <c r="K386">
        <f t="shared" si="39"/>
        <v>0</v>
      </c>
      <c r="L386">
        <f t="shared" si="40"/>
        <v>0</v>
      </c>
      <c r="M386" t="str">
        <f t="shared" si="41"/>
        <v>S</v>
      </c>
    </row>
    <row r="387" spans="1:13" x14ac:dyDescent="0.45">
      <c r="A387">
        <v>386</v>
      </c>
      <c r="B387">
        <v>7.9</v>
      </c>
      <c r="C387">
        <v>1</v>
      </c>
      <c r="D387">
        <v>0</v>
      </c>
      <c r="E387">
        <v>0</v>
      </c>
      <c r="F387">
        <v>386</v>
      </c>
      <c r="G387" t="str">
        <f t="shared" si="36"/>
        <v>S</v>
      </c>
      <c r="H387">
        <f t="shared" si="42"/>
        <v>1</v>
      </c>
      <c r="I387">
        <f t="shared" si="37"/>
        <v>0</v>
      </c>
      <c r="J387">
        <f t="shared" si="38"/>
        <v>1</v>
      </c>
      <c r="K387">
        <f t="shared" si="39"/>
        <v>1</v>
      </c>
      <c r="L387">
        <f t="shared" si="40"/>
        <v>0</v>
      </c>
      <c r="M387" t="str">
        <f t="shared" si="41"/>
        <v>S</v>
      </c>
    </row>
    <row r="388" spans="1:13" x14ac:dyDescent="0.45">
      <c r="A388">
        <v>387</v>
      </c>
      <c r="B388">
        <v>9.6</v>
      </c>
      <c r="C388">
        <v>2</v>
      </c>
      <c r="D388">
        <v>0</v>
      </c>
      <c r="E388">
        <v>0</v>
      </c>
      <c r="F388">
        <v>387</v>
      </c>
      <c r="G388" t="str">
        <f t="shared" ref="G388:G451" si="43">IF(I388=1,0, IF(K388=1,M388,G387))</f>
        <v>S</v>
      </c>
      <c r="H388">
        <f t="shared" si="42"/>
        <v>1</v>
      </c>
      <c r="I388">
        <f t="shared" ref="I388:I451" si="44">IF(AND(H387=5,C387&gt;=20),1,0)</f>
        <v>0</v>
      </c>
      <c r="J388">
        <f t="shared" ref="J388:J451" si="45">IF(G388=G387,J387+1,1)</f>
        <v>2</v>
      </c>
      <c r="K388">
        <f t="shared" ref="K388:K451" si="46">IF(AND(G387=0,H387=0),1,0)</f>
        <v>0</v>
      </c>
      <c r="L388">
        <f t="shared" ref="L388:L451" si="47">IF(J387=3,1,0)</f>
        <v>0</v>
      </c>
      <c r="M388" t="str">
        <f t="shared" ref="M388:M451" si="48">IF(B388&lt;10,"S","C")</f>
        <v>S</v>
      </c>
    </row>
    <row r="389" spans="1:13" x14ac:dyDescent="0.45">
      <c r="A389">
        <v>388</v>
      </c>
      <c r="B389">
        <v>10</v>
      </c>
      <c r="C389">
        <v>3</v>
      </c>
      <c r="D389">
        <v>0</v>
      </c>
      <c r="E389">
        <v>0</v>
      </c>
      <c r="F389">
        <v>388</v>
      </c>
      <c r="G389" t="str">
        <f t="shared" si="43"/>
        <v>S</v>
      </c>
      <c r="H389">
        <f t="shared" si="42"/>
        <v>1</v>
      </c>
      <c r="I389">
        <f t="shared" si="44"/>
        <v>0</v>
      </c>
      <c r="J389">
        <f t="shared" si="45"/>
        <v>3</v>
      </c>
      <c r="K389">
        <f t="shared" si="46"/>
        <v>0</v>
      </c>
      <c r="L389">
        <f t="shared" si="47"/>
        <v>0</v>
      </c>
      <c r="M389" t="str">
        <f t="shared" si="48"/>
        <v>C</v>
      </c>
    </row>
    <row r="390" spans="1:13" x14ac:dyDescent="0.45">
      <c r="A390">
        <v>389</v>
      </c>
      <c r="B390">
        <v>9</v>
      </c>
      <c r="C390">
        <v>2</v>
      </c>
      <c r="D390">
        <v>0</v>
      </c>
      <c r="E390">
        <v>0</v>
      </c>
      <c r="F390">
        <v>389</v>
      </c>
      <c r="G390" t="str">
        <f t="shared" si="43"/>
        <v>S</v>
      </c>
      <c r="H390">
        <f t="shared" si="42"/>
        <v>2</v>
      </c>
      <c r="I390">
        <f t="shared" si="44"/>
        <v>0</v>
      </c>
      <c r="J390">
        <f t="shared" si="45"/>
        <v>4</v>
      </c>
      <c r="K390">
        <f t="shared" si="46"/>
        <v>0</v>
      </c>
      <c r="L390">
        <f t="shared" si="47"/>
        <v>1</v>
      </c>
      <c r="M390" t="str">
        <f t="shared" si="48"/>
        <v>S</v>
      </c>
    </row>
    <row r="391" spans="1:13" x14ac:dyDescent="0.45">
      <c r="A391">
        <v>390</v>
      </c>
      <c r="B391">
        <v>6.9</v>
      </c>
      <c r="C391">
        <v>10</v>
      </c>
      <c r="D391">
        <v>0</v>
      </c>
      <c r="E391">
        <v>0</v>
      </c>
      <c r="F391">
        <v>390</v>
      </c>
      <c r="G391" t="str">
        <f t="shared" si="43"/>
        <v>S</v>
      </c>
      <c r="H391">
        <f t="shared" ref="H391:H454" si="49">IF(I391=1,0,IF(K391=1,1,IF(MOD(J390,3)=0, IF(H390+1&gt;5,5,H390+1),H390)))</f>
        <v>2</v>
      </c>
      <c r="I391">
        <f t="shared" si="44"/>
        <v>0</v>
      </c>
      <c r="J391">
        <f t="shared" si="45"/>
        <v>5</v>
      </c>
      <c r="K391">
        <f t="shared" si="46"/>
        <v>0</v>
      </c>
      <c r="L391">
        <f t="shared" si="47"/>
        <v>0</v>
      </c>
      <c r="M391" t="str">
        <f t="shared" si="48"/>
        <v>S</v>
      </c>
    </row>
    <row r="392" spans="1:13" x14ac:dyDescent="0.45">
      <c r="A392">
        <v>391</v>
      </c>
      <c r="B392">
        <v>4.5</v>
      </c>
      <c r="C392">
        <v>3</v>
      </c>
      <c r="D392">
        <v>0</v>
      </c>
      <c r="E392">
        <v>0</v>
      </c>
      <c r="F392">
        <v>391</v>
      </c>
      <c r="G392" t="str">
        <f t="shared" si="43"/>
        <v>S</v>
      </c>
      <c r="H392">
        <f t="shared" si="49"/>
        <v>2</v>
      </c>
      <c r="I392">
        <f t="shared" si="44"/>
        <v>0</v>
      </c>
      <c r="J392">
        <f t="shared" si="45"/>
        <v>6</v>
      </c>
      <c r="K392">
        <f t="shared" si="46"/>
        <v>0</v>
      </c>
      <c r="L392">
        <f t="shared" si="47"/>
        <v>0</v>
      </c>
      <c r="M392" t="str">
        <f t="shared" si="48"/>
        <v>S</v>
      </c>
    </row>
    <row r="393" spans="1:13" x14ac:dyDescent="0.45">
      <c r="A393">
        <v>392</v>
      </c>
      <c r="B393">
        <v>2.8</v>
      </c>
      <c r="C393">
        <v>11</v>
      </c>
      <c r="D393">
        <v>0</v>
      </c>
      <c r="E393">
        <v>0</v>
      </c>
      <c r="F393">
        <v>392</v>
      </c>
      <c r="G393" t="str">
        <f t="shared" si="43"/>
        <v>S</v>
      </c>
      <c r="H393">
        <f t="shared" si="49"/>
        <v>3</v>
      </c>
      <c r="I393">
        <f t="shared" si="44"/>
        <v>0</v>
      </c>
      <c r="J393">
        <f t="shared" si="45"/>
        <v>7</v>
      </c>
      <c r="K393">
        <f t="shared" si="46"/>
        <v>0</v>
      </c>
      <c r="L393">
        <f t="shared" si="47"/>
        <v>0</v>
      </c>
      <c r="M393" t="str">
        <f t="shared" si="48"/>
        <v>S</v>
      </c>
    </row>
    <row r="394" spans="1:13" x14ac:dyDescent="0.4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v>393</v>
      </c>
      <c r="G394" t="str">
        <f t="shared" si="43"/>
        <v>S</v>
      </c>
      <c r="H394">
        <f t="shared" si="49"/>
        <v>3</v>
      </c>
      <c r="I394">
        <f t="shared" si="44"/>
        <v>0</v>
      </c>
      <c r="J394">
        <f t="shared" si="45"/>
        <v>8</v>
      </c>
      <c r="K394">
        <f t="shared" si="46"/>
        <v>0</v>
      </c>
      <c r="L394">
        <f t="shared" si="47"/>
        <v>0</v>
      </c>
      <c r="M394" t="str">
        <f t="shared" si="48"/>
        <v>S</v>
      </c>
    </row>
    <row r="395" spans="1:13" x14ac:dyDescent="0.45">
      <c r="A395">
        <v>394</v>
      </c>
      <c r="B395">
        <v>3.6</v>
      </c>
      <c r="C395">
        <v>1</v>
      </c>
      <c r="D395">
        <v>0</v>
      </c>
      <c r="E395">
        <v>0</v>
      </c>
      <c r="F395">
        <v>394</v>
      </c>
      <c r="G395" t="str">
        <f t="shared" si="43"/>
        <v>S</v>
      </c>
      <c r="H395">
        <f t="shared" si="49"/>
        <v>3</v>
      </c>
      <c r="I395">
        <f t="shared" si="44"/>
        <v>0</v>
      </c>
      <c r="J395">
        <f t="shared" si="45"/>
        <v>9</v>
      </c>
      <c r="K395">
        <f t="shared" si="46"/>
        <v>0</v>
      </c>
      <c r="L395">
        <f t="shared" si="47"/>
        <v>0</v>
      </c>
      <c r="M395" t="str">
        <f t="shared" si="48"/>
        <v>S</v>
      </c>
    </row>
    <row r="396" spans="1:13" x14ac:dyDescent="0.45">
      <c r="A396">
        <v>395</v>
      </c>
      <c r="B396">
        <v>6.4</v>
      </c>
      <c r="C396">
        <v>8</v>
      </c>
      <c r="D396">
        <v>0</v>
      </c>
      <c r="E396">
        <v>0</v>
      </c>
      <c r="F396">
        <v>395</v>
      </c>
      <c r="G396" t="str">
        <f t="shared" si="43"/>
        <v>S</v>
      </c>
      <c r="H396">
        <f t="shared" si="49"/>
        <v>4</v>
      </c>
      <c r="I396">
        <f t="shared" si="44"/>
        <v>0</v>
      </c>
      <c r="J396">
        <f t="shared" si="45"/>
        <v>10</v>
      </c>
      <c r="K396">
        <f t="shared" si="46"/>
        <v>0</v>
      </c>
      <c r="L396">
        <f t="shared" si="47"/>
        <v>0</v>
      </c>
      <c r="M396" t="str">
        <f t="shared" si="48"/>
        <v>S</v>
      </c>
    </row>
    <row r="397" spans="1:13" x14ac:dyDescent="0.4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v>396</v>
      </c>
      <c r="G397" t="str">
        <f t="shared" si="43"/>
        <v>S</v>
      </c>
      <c r="H397">
        <f t="shared" si="49"/>
        <v>4</v>
      </c>
      <c r="I397">
        <f t="shared" si="44"/>
        <v>0</v>
      </c>
      <c r="J397">
        <f t="shared" si="45"/>
        <v>11</v>
      </c>
      <c r="K397">
        <f t="shared" si="46"/>
        <v>0</v>
      </c>
      <c r="L397">
        <f t="shared" si="47"/>
        <v>0</v>
      </c>
      <c r="M397" t="str">
        <f t="shared" si="48"/>
        <v>C</v>
      </c>
    </row>
    <row r="398" spans="1:13" x14ac:dyDescent="0.45">
      <c r="A398">
        <v>397</v>
      </c>
      <c r="B398">
        <v>14</v>
      </c>
      <c r="C398">
        <v>23</v>
      </c>
      <c r="D398">
        <v>0</v>
      </c>
      <c r="E398">
        <v>0</v>
      </c>
      <c r="F398">
        <v>397</v>
      </c>
      <c r="G398" t="str">
        <f t="shared" si="43"/>
        <v>S</v>
      </c>
      <c r="H398">
        <f t="shared" si="49"/>
        <v>4</v>
      </c>
      <c r="I398">
        <f t="shared" si="44"/>
        <v>0</v>
      </c>
      <c r="J398">
        <f t="shared" si="45"/>
        <v>12</v>
      </c>
      <c r="K398">
        <f t="shared" si="46"/>
        <v>0</v>
      </c>
      <c r="L398">
        <f t="shared" si="47"/>
        <v>0</v>
      </c>
      <c r="M398" t="str">
        <f t="shared" si="48"/>
        <v>C</v>
      </c>
    </row>
    <row r="399" spans="1:13" x14ac:dyDescent="0.4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v>398</v>
      </c>
      <c r="G399" t="str">
        <f t="shared" si="43"/>
        <v>S</v>
      </c>
      <c r="H399">
        <f t="shared" si="49"/>
        <v>5</v>
      </c>
      <c r="I399">
        <f t="shared" si="44"/>
        <v>0</v>
      </c>
      <c r="J399">
        <f t="shared" si="45"/>
        <v>13</v>
      </c>
      <c r="K399">
        <f t="shared" si="46"/>
        <v>0</v>
      </c>
      <c r="L399">
        <f t="shared" si="47"/>
        <v>0</v>
      </c>
      <c r="M399" t="str">
        <f t="shared" si="48"/>
        <v>C</v>
      </c>
    </row>
    <row r="400" spans="1:13" x14ac:dyDescent="0.45">
      <c r="A400">
        <v>399</v>
      </c>
      <c r="B400">
        <v>18.7</v>
      </c>
      <c r="C400">
        <v>0</v>
      </c>
      <c r="D400">
        <v>0</v>
      </c>
      <c r="E400">
        <v>0</v>
      </c>
      <c r="F400">
        <v>399</v>
      </c>
      <c r="G400">
        <f t="shared" si="43"/>
        <v>0</v>
      </c>
      <c r="H400">
        <f t="shared" si="49"/>
        <v>0</v>
      </c>
      <c r="I400">
        <f t="shared" si="44"/>
        <v>1</v>
      </c>
      <c r="J400">
        <f t="shared" si="45"/>
        <v>1</v>
      </c>
      <c r="K400">
        <f t="shared" si="46"/>
        <v>0</v>
      </c>
      <c r="L400">
        <f t="shared" si="47"/>
        <v>0</v>
      </c>
      <c r="M400" t="str">
        <f t="shared" si="48"/>
        <v>C</v>
      </c>
    </row>
    <row r="401" spans="1:13" x14ac:dyDescent="0.45">
      <c r="A401">
        <v>400</v>
      </c>
      <c r="B401">
        <v>18.8</v>
      </c>
      <c r="C401">
        <v>5</v>
      </c>
      <c r="D401">
        <v>0</v>
      </c>
      <c r="E401">
        <v>0</v>
      </c>
      <c r="F401">
        <v>400</v>
      </c>
      <c r="G401" t="str">
        <f t="shared" si="43"/>
        <v>C</v>
      </c>
      <c r="H401">
        <f t="shared" si="49"/>
        <v>1</v>
      </c>
      <c r="I401">
        <f t="shared" si="44"/>
        <v>0</v>
      </c>
      <c r="J401">
        <f t="shared" si="45"/>
        <v>1</v>
      </c>
      <c r="K401">
        <f t="shared" si="46"/>
        <v>1</v>
      </c>
      <c r="L401">
        <f t="shared" si="47"/>
        <v>0</v>
      </c>
      <c r="M401" t="str">
        <f t="shared" si="48"/>
        <v>C</v>
      </c>
    </row>
    <row r="402" spans="1:13" x14ac:dyDescent="0.45">
      <c r="A402">
        <v>401</v>
      </c>
      <c r="B402">
        <v>17.7</v>
      </c>
      <c r="C402">
        <v>2</v>
      </c>
      <c r="D402">
        <v>0</v>
      </c>
      <c r="E402">
        <v>0</v>
      </c>
      <c r="F402">
        <v>401</v>
      </c>
      <c r="G402" t="str">
        <f t="shared" si="43"/>
        <v>C</v>
      </c>
      <c r="H402">
        <f t="shared" si="49"/>
        <v>1</v>
      </c>
      <c r="I402">
        <f t="shared" si="44"/>
        <v>0</v>
      </c>
      <c r="J402">
        <f t="shared" si="45"/>
        <v>2</v>
      </c>
      <c r="K402">
        <f t="shared" si="46"/>
        <v>0</v>
      </c>
      <c r="L402">
        <f t="shared" si="47"/>
        <v>0</v>
      </c>
      <c r="M402" t="str">
        <f t="shared" si="48"/>
        <v>C</v>
      </c>
    </row>
    <row r="403" spans="1:13" x14ac:dyDescent="0.4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v>402</v>
      </c>
      <c r="G403" t="str">
        <f t="shared" si="43"/>
        <v>C</v>
      </c>
      <c r="H403">
        <f t="shared" si="49"/>
        <v>1</v>
      </c>
      <c r="I403">
        <f t="shared" si="44"/>
        <v>0</v>
      </c>
      <c r="J403">
        <f t="shared" si="45"/>
        <v>3</v>
      </c>
      <c r="K403">
        <f t="shared" si="46"/>
        <v>0</v>
      </c>
      <c r="L403">
        <f t="shared" si="47"/>
        <v>0</v>
      </c>
      <c r="M403" t="str">
        <f t="shared" si="48"/>
        <v>C</v>
      </c>
    </row>
    <row r="404" spans="1:13" x14ac:dyDescent="0.45">
      <c r="A404">
        <v>403</v>
      </c>
      <c r="B404">
        <v>14.9</v>
      </c>
      <c r="C404">
        <v>7</v>
      </c>
      <c r="D404">
        <v>0</v>
      </c>
      <c r="E404">
        <v>0</v>
      </c>
      <c r="F404">
        <v>403</v>
      </c>
      <c r="G404" t="str">
        <f t="shared" si="43"/>
        <v>C</v>
      </c>
      <c r="H404">
        <f t="shared" si="49"/>
        <v>2</v>
      </c>
      <c r="I404">
        <f t="shared" si="44"/>
        <v>0</v>
      </c>
      <c r="J404">
        <f t="shared" si="45"/>
        <v>4</v>
      </c>
      <c r="K404">
        <f t="shared" si="46"/>
        <v>0</v>
      </c>
      <c r="L404">
        <f t="shared" si="47"/>
        <v>1</v>
      </c>
      <c r="M404" t="str">
        <f t="shared" si="48"/>
        <v>C</v>
      </c>
    </row>
    <row r="405" spans="1:13" x14ac:dyDescent="0.45">
      <c r="A405">
        <v>404</v>
      </c>
      <c r="B405">
        <v>14.9</v>
      </c>
      <c r="C405">
        <v>2</v>
      </c>
      <c r="D405">
        <v>0</v>
      </c>
      <c r="E405">
        <v>0</v>
      </c>
      <c r="F405">
        <v>404</v>
      </c>
      <c r="G405" t="str">
        <f t="shared" si="43"/>
        <v>C</v>
      </c>
      <c r="H405">
        <f t="shared" si="49"/>
        <v>2</v>
      </c>
      <c r="I405">
        <f t="shared" si="44"/>
        <v>0</v>
      </c>
      <c r="J405">
        <f t="shared" si="45"/>
        <v>5</v>
      </c>
      <c r="K405">
        <f t="shared" si="46"/>
        <v>0</v>
      </c>
      <c r="L405">
        <f t="shared" si="47"/>
        <v>0</v>
      </c>
      <c r="M405" t="str">
        <f t="shared" si="48"/>
        <v>C</v>
      </c>
    </row>
    <row r="406" spans="1:13" x14ac:dyDescent="0.45">
      <c r="A406">
        <v>405</v>
      </c>
      <c r="B406">
        <v>16.3</v>
      </c>
      <c r="C406">
        <v>3</v>
      </c>
      <c r="D406">
        <v>0</v>
      </c>
      <c r="E406">
        <v>0</v>
      </c>
      <c r="F406">
        <v>405</v>
      </c>
      <c r="G406" t="str">
        <f t="shared" si="43"/>
        <v>C</v>
      </c>
      <c r="H406">
        <f t="shared" si="49"/>
        <v>2</v>
      </c>
      <c r="I406">
        <f t="shared" si="44"/>
        <v>0</v>
      </c>
      <c r="J406">
        <f t="shared" si="45"/>
        <v>6</v>
      </c>
      <c r="K406">
        <f t="shared" si="46"/>
        <v>0</v>
      </c>
      <c r="L406">
        <f t="shared" si="47"/>
        <v>0</v>
      </c>
      <c r="M406" t="str">
        <f t="shared" si="48"/>
        <v>C</v>
      </c>
    </row>
    <row r="407" spans="1:13" x14ac:dyDescent="0.4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v>406</v>
      </c>
      <c r="G407" t="str">
        <f t="shared" si="43"/>
        <v>C</v>
      </c>
      <c r="H407">
        <f t="shared" si="49"/>
        <v>3</v>
      </c>
      <c r="I407">
        <f t="shared" si="44"/>
        <v>0</v>
      </c>
      <c r="J407">
        <f t="shared" si="45"/>
        <v>7</v>
      </c>
      <c r="K407">
        <f t="shared" si="46"/>
        <v>0</v>
      </c>
      <c r="L407">
        <f t="shared" si="47"/>
        <v>0</v>
      </c>
      <c r="M407" t="str">
        <f t="shared" si="48"/>
        <v>C</v>
      </c>
    </row>
    <row r="408" spans="1:13" x14ac:dyDescent="0.45">
      <c r="A408">
        <v>407</v>
      </c>
      <c r="B408">
        <v>22.7</v>
      </c>
      <c r="C408">
        <v>12</v>
      </c>
      <c r="D408">
        <v>0</v>
      </c>
      <c r="E408">
        <v>0</v>
      </c>
      <c r="F408">
        <v>407</v>
      </c>
      <c r="G408" t="str">
        <f t="shared" si="43"/>
        <v>C</v>
      </c>
      <c r="H408">
        <f t="shared" si="49"/>
        <v>3</v>
      </c>
      <c r="I408">
        <f t="shared" si="44"/>
        <v>0</v>
      </c>
      <c r="J408">
        <f t="shared" si="45"/>
        <v>8</v>
      </c>
      <c r="K408">
        <f t="shared" si="46"/>
        <v>0</v>
      </c>
      <c r="L408">
        <f t="shared" si="47"/>
        <v>0</v>
      </c>
      <c r="M408" t="str">
        <f t="shared" si="48"/>
        <v>C</v>
      </c>
    </row>
    <row r="409" spans="1:13" x14ac:dyDescent="0.45">
      <c r="A409">
        <v>408</v>
      </c>
      <c r="B409">
        <v>26.1</v>
      </c>
      <c r="C409">
        <v>9</v>
      </c>
      <c r="D409">
        <v>0</v>
      </c>
      <c r="E409">
        <v>0</v>
      </c>
      <c r="F409">
        <v>408</v>
      </c>
      <c r="G409" t="str">
        <f t="shared" si="43"/>
        <v>C</v>
      </c>
      <c r="H409">
        <f t="shared" si="49"/>
        <v>3</v>
      </c>
      <c r="I409">
        <f t="shared" si="44"/>
        <v>0</v>
      </c>
      <c r="J409">
        <f t="shared" si="45"/>
        <v>9</v>
      </c>
      <c r="K409">
        <f t="shared" si="46"/>
        <v>0</v>
      </c>
      <c r="L409">
        <f t="shared" si="47"/>
        <v>0</v>
      </c>
      <c r="M409" t="str">
        <f t="shared" si="48"/>
        <v>C</v>
      </c>
    </row>
    <row r="410" spans="1:13" x14ac:dyDescent="0.45">
      <c r="A410">
        <v>409</v>
      </c>
      <c r="B410">
        <v>28.6</v>
      </c>
      <c r="C410">
        <v>14</v>
      </c>
      <c r="D410">
        <v>0</v>
      </c>
      <c r="E410">
        <v>0</v>
      </c>
      <c r="F410">
        <v>409</v>
      </c>
      <c r="G410" t="str">
        <f t="shared" si="43"/>
        <v>C</v>
      </c>
      <c r="H410">
        <f t="shared" si="49"/>
        <v>4</v>
      </c>
      <c r="I410">
        <f t="shared" si="44"/>
        <v>0</v>
      </c>
      <c r="J410">
        <f t="shared" si="45"/>
        <v>10</v>
      </c>
      <c r="K410">
        <f t="shared" si="46"/>
        <v>0</v>
      </c>
      <c r="L410">
        <f t="shared" si="47"/>
        <v>0</v>
      </c>
      <c r="M410" t="str">
        <f t="shared" si="48"/>
        <v>C</v>
      </c>
    </row>
    <row r="411" spans="1:13" x14ac:dyDescent="0.45">
      <c r="A411">
        <v>410</v>
      </c>
      <c r="B411">
        <v>29.5</v>
      </c>
      <c r="C411">
        <v>17</v>
      </c>
      <c r="D411">
        <v>0</v>
      </c>
      <c r="E411">
        <v>0</v>
      </c>
      <c r="F411">
        <v>410</v>
      </c>
      <c r="G411" t="str">
        <f t="shared" si="43"/>
        <v>C</v>
      </c>
      <c r="H411">
        <f t="shared" si="49"/>
        <v>4</v>
      </c>
      <c r="I411">
        <f t="shared" si="44"/>
        <v>0</v>
      </c>
      <c r="J411">
        <f t="shared" si="45"/>
        <v>11</v>
      </c>
      <c r="K411">
        <f t="shared" si="46"/>
        <v>0</v>
      </c>
      <c r="L411">
        <f t="shared" si="47"/>
        <v>0</v>
      </c>
      <c r="M411" t="str">
        <f t="shared" si="48"/>
        <v>C</v>
      </c>
    </row>
    <row r="412" spans="1:13" x14ac:dyDescent="0.45">
      <c r="A412">
        <v>411</v>
      </c>
      <c r="B412">
        <v>28.6</v>
      </c>
      <c r="C412">
        <v>9</v>
      </c>
      <c r="D412">
        <v>0</v>
      </c>
      <c r="E412">
        <v>0</v>
      </c>
      <c r="F412">
        <v>411</v>
      </c>
      <c r="G412" t="str">
        <f t="shared" si="43"/>
        <v>C</v>
      </c>
      <c r="H412">
        <f t="shared" si="49"/>
        <v>4</v>
      </c>
      <c r="I412">
        <f t="shared" si="44"/>
        <v>0</v>
      </c>
      <c r="J412">
        <f t="shared" si="45"/>
        <v>12</v>
      </c>
      <c r="K412">
        <f t="shared" si="46"/>
        <v>0</v>
      </c>
      <c r="L412">
        <f t="shared" si="47"/>
        <v>0</v>
      </c>
      <c r="M412" t="str">
        <f t="shared" si="48"/>
        <v>C</v>
      </c>
    </row>
    <row r="413" spans="1:13" x14ac:dyDescent="0.45">
      <c r="A413">
        <v>412</v>
      </c>
      <c r="B413">
        <v>26.4</v>
      </c>
      <c r="C413">
        <v>28</v>
      </c>
      <c r="D413">
        <v>0</v>
      </c>
      <c r="E413">
        <v>0</v>
      </c>
      <c r="F413">
        <v>412</v>
      </c>
      <c r="G413" t="str">
        <f t="shared" si="43"/>
        <v>C</v>
      </c>
      <c r="H413">
        <f t="shared" si="49"/>
        <v>5</v>
      </c>
      <c r="I413">
        <f t="shared" si="44"/>
        <v>0</v>
      </c>
      <c r="J413">
        <f t="shared" si="45"/>
        <v>13</v>
      </c>
      <c r="K413">
        <f t="shared" si="46"/>
        <v>0</v>
      </c>
      <c r="L413">
        <f t="shared" si="47"/>
        <v>0</v>
      </c>
      <c r="M413" t="str">
        <f t="shared" si="48"/>
        <v>C</v>
      </c>
    </row>
    <row r="414" spans="1:13" x14ac:dyDescent="0.45">
      <c r="A414">
        <v>413</v>
      </c>
      <c r="B414">
        <v>23.6</v>
      </c>
      <c r="C414">
        <v>0</v>
      </c>
      <c r="D414">
        <v>0</v>
      </c>
      <c r="E414">
        <v>0</v>
      </c>
      <c r="F414">
        <v>413</v>
      </c>
      <c r="G414">
        <f t="shared" si="43"/>
        <v>0</v>
      </c>
      <c r="H414">
        <f t="shared" si="49"/>
        <v>0</v>
      </c>
      <c r="I414">
        <f t="shared" si="44"/>
        <v>1</v>
      </c>
      <c r="J414">
        <f t="shared" si="45"/>
        <v>1</v>
      </c>
      <c r="K414">
        <f t="shared" si="46"/>
        <v>0</v>
      </c>
      <c r="L414">
        <f t="shared" si="47"/>
        <v>0</v>
      </c>
      <c r="M414" t="str">
        <f t="shared" si="48"/>
        <v>C</v>
      </c>
    </row>
    <row r="415" spans="1:13" x14ac:dyDescent="0.45">
      <c r="A415">
        <v>414</v>
      </c>
      <c r="B415">
        <v>21</v>
      </c>
      <c r="C415">
        <v>1</v>
      </c>
      <c r="D415">
        <v>0</v>
      </c>
      <c r="E415">
        <v>0</v>
      </c>
      <c r="F415">
        <v>414</v>
      </c>
      <c r="G415" t="str">
        <f t="shared" si="43"/>
        <v>C</v>
      </c>
      <c r="H415">
        <f t="shared" si="49"/>
        <v>1</v>
      </c>
      <c r="I415">
        <f t="shared" si="44"/>
        <v>0</v>
      </c>
      <c r="J415">
        <f t="shared" si="45"/>
        <v>1</v>
      </c>
      <c r="K415">
        <f t="shared" si="46"/>
        <v>1</v>
      </c>
      <c r="L415">
        <f t="shared" si="47"/>
        <v>0</v>
      </c>
      <c r="M415" t="str">
        <f t="shared" si="48"/>
        <v>C</v>
      </c>
    </row>
    <row r="416" spans="1:13" x14ac:dyDescent="0.4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v>415</v>
      </c>
      <c r="G416" t="str">
        <f t="shared" si="43"/>
        <v>C</v>
      </c>
      <c r="H416">
        <f t="shared" si="49"/>
        <v>1</v>
      </c>
      <c r="I416">
        <f t="shared" si="44"/>
        <v>0</v>
      </c>
      <c r="J416">
        <f t="shared" si="45"/>
        <v>2</v>
      </c>
      <c r="K416">
        <f t="shared" si="46"/>
        <v>0</v>
      </c>
      <c r="L416">
        <f t="shared" si="47"/>
        <v>0</v>
      </c>
      <c r="M416" t="str">
        <f t="shared" si="48"/>
        <v>C</v>
      </c>
    </row>
    <row r="417" spans="1:13" x14ac:dyDescent="0.45">
      <c r="A417">
        <v>416</v>
      </c>
      <c r="B417">
        <v>19.5</v>
      </c>
      <c r="C417">
        <v>4</v>
      </c>
      <c r="D417">
        <v>0</v>
      </c>
      <c r="E417">
        <v>0</v>
      </c>
      <c r="F417">
        <v>416</v>
      </c>
      <c r="G417" t="str">
        <f t="shared" si="43"/>
        <v>C</v>
      </c>
      <c r="H417">
        <f t="shared" si="49"/>
        <v>1</v>
      </c>
      <c r="I417">
        <f t="shared" si="44"/>
        <v>0</v>
      </c>
      <c r="J417">
        <f t="shared" si="45"/>
        <v>3</v>
      </c>
      <c r="K417">
        <f t="shared" si="46"/>
        <v>0</v>
      </c>
      <c r="L417">
        <f t="shared" si="47"/>
        <v>0</v>
      </c>
      <c r="M417" t="str">
        <f t="shared" si="48"/>
        <v>C</v>
      </c>
    </row>
    <row r="418" spans="1:13" x14ac:dyDescent="0.45">
      <c r="A418">
        <v>417</v>
      </c>
      <c r="B418">
        <v>20.7</v>
      </c>
      <c r="C418">
        <v>10</v>
      </c>
      <c r="D418">
        <v>0</v>
      </c>
      <c r="E418">
        <v>0</v>
      </c>
      <c r="F418">
        <v>417</v>
      </c>
      <c r="G418" t="str">
        <f t="shared" si="43"/>
        <v>C</v>
      </c>
      <c r="H418">
        <f t="shared" si="49"/>
        <v>2</v>
      </c>
      <c r="I418">
        <f t="shared" si="44"/>
        <v>0</v>
      </c>
      <c r="J418">
        <f t="shared" si="45"/>
        <v>4</v>
      </c>
      <c r="K418">
        <f t="shared" si="46"/>
        <v>0</v>
      </c>
      <c r="L418">
        <f t="shared" si="47"/>
        <v>1</v>
      </c>
      <c r="M418" t="str">
        <f t="shared" si="48"/>
        <v>C</v>
      </c>
    </row>
    <row r="419" spans="1:13" x14ac:dyDescent="0.45">
      <c r="A419">
        <v>418</v>
      </c>
      <c r="B419">
        <v>22.7</v>
      </c>
      <c r="C419">
        <v>4</v>
      </c>
      <c r="D419">
        <v>0</v>
      </c>
      <c r="E419">
        <v>0</v>
      </c>
      <c r="F419">
        <v>418</v>
      </c>
      <c r="G419" t="str">
        <f t="shared" si="43"/>
        <v>C</v>
      </c>
      <c r="H419">
        <f t="shared" si="49"/>
        <v>2</v>
      </c>
      <c r="I419">
        <f t="shared" si="44"/>
        <v>0</v>
      </c>
      <c r="J419">
        <f t="shared" si="45"/>
        <v>5</v>
      </c>
      <c r="K419">
        <f t="shared" si="46"/>
        <v>0</v>
      </c>
      <c r="L419">
        <f t="shared" si="47"/>
        <v>0</v>
      </c>
      <c r="M419" t="str">
        <f t="shared" si="48"/>
        <v>C</v>
      </c>
    </row>
    <row r="420" spans="1:13" x14ac:dyDescent="0.45">
      <c r="A420">
        <v>419</v>
      </c>
      <c r="B420">
        <v>24.5</v>
      </c>
      <c r="C420">
        <v>5</v>
      </c>
      <c r="D420">
        <v>0</v>
      </c>
      <c r="E420">
        <v>0</v>
      </c>
      <c r="F420">
        <v>419</v>
      </c>
      <c r="G420" t="str">
        <f t="shared" si="43"/>
        <v>C</v>
      </c>
      <c r="H420">
        <f t="shared" si="49"/>
        <v>2</v>
      </c>
      <c r="I420">
        <f t="shared" si="44"/>
        <v>0</v>
      </c>
      <c r="J420">
        <f t="shared" si="45"/>
        <v>6</v>
      </c>
      <c r="K420">
        <f t="shared" si="46"/>
        <v>0</v>
      </c>
      <c r="L420">
        <f t="shared" si="47"/>
        <v>0</v>
      </c>
      <c r="M420" t="str">
        <f t="shared" si="48"/>
        <v>C</v>
      </c>
    </row>
    <row r="421" spans="1:13" x14ac:dyDescent="0.45">
      <c r="A421">
        <v>420</v>
      </c>
      <c r="B421">
        <v>25.4</v>
      </c>
      <c r="C421">
        <v>8</v>
      </c>
      <c r="D421">
        <v>0</v>
      </c>
      <c r="E421">
        <v>0</v>
      </c>
      <c r="F421">
        <v>420</v>
      </c>
      <c r="G421" t="str">
        <f t="shared" si="43"/>
        <v>C</v>
      </c>
      <c r="H421">
        <f t="shared" si="49"/>
        <v>3</v>
      </c>
      <c r="I421">
        <f t="shared" si="44"/>
        <v>0</v>
      </c>
      <c r="J421">
        <f t="shared" si="45"/>
        <v>7</v>
      </c>
      <c r="K421">
        <f t="shared" si="46"/>
        <v>0</v>
      </c>
      <c r="L421">
        <f t="shared" si="47"/>
        <v>0</v>
      </c>
      <c r="M421" t="str">
        <f t="shared" si="48"/>
        <v>C</v>
      </c>
    </row>
    <row r="422" spans="1:13" x14ac:dyDescent="0.45">
      <c r="A422">
        <v>421</v>
      </c>
      <c r="B422">
        <v>24.8</v>
      </c>
      <c r="C422">
        <v>12</v>
      </c>
      <c r="D422">
        <v>0</v>
      </c>
      <c r="E422">
        <v>0</v>
      </c>
      <c r="F422">
        <v>421</v>
      </c>
      <c r="G422" t="str">
        <f t="shared" si="43"/>
        <v>C</v>
      </c>
      <c r="H422">
        <f t="shared" si="49"/>
        <v>3</v>
      </c>
      <c r="I422">
        <f t="shared" si="44"/>
        <v>0</v>
      </c>
      <c r="J422">
        <f t="shared" si="45"/>
        <v>8</v>
      </c>
      <c r="K422">
        <f t="shared" si="46"/>
        <v>0</v>
      </c>
      <c r="L422">
        <f t="shared" si="47"/>
        <v>0</v>
      </c>
      <c r="M422" t="str">
        <f t="shared" si="48"/>
        <v>C</v>
      </c>
    </row>
    <row r="423" spans="1:13" x14ac:dyDescent="0.45">
      <c r="A423">
        <v>422</v>
      </c>
      <c r="B423">
        <v>22.5</v>
      </c>
      <c r="C423">
        <v>8</v>
      </c>
      <c r="D423">
        <v>0</v>
      </c>
      <c r="E423">
        <v>0</v>
      </c>
      <c r="F423">
        <v>422</v>
      </c>
      <c r="G423" t="str">
        <f t="shared" si="43"/>
        <v>C</v>
      </c>
      <c r="H423">
        <f t="shared" si="49"/>
        <v>3</v>
      </c>
      <c r="I423">
        <f t="shared" si="44"/>
        <v>0</v>
      </c>
      <c r="J423">
        <f t="shared" si="45"/>
        <v>9</v>
      </c>
      <c r="K423">
        <f t="shared" si="46"/>
        <v>0</v>
      </c>
      <c r="L423">
        <f t="shared" si="47"/>
        <v>0</v>
      </c>
      <c r="M423" t="str">
        <f t="shared" si="48"/>
        <v>C</v>
      </c>
    </row>
    <row r="424" spans="1:13" x14ac:dyDescent="0.4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v>423</v>
      </c>
      <c r="G424" t="str">
        <f t="shared" si="43"/>
        <v>C</v>
      </c>
      <c r="H424">
        <f t="shared" si="49"/>
        <v>4</v>
      </c>
      <c r="I424">
        <f t="shared" si="44"/>
        <v>0</v>
      </c>
      <c r="J424">
        <f t="shared" si="45"/>
        <v>10</v>
      </c>
      <c r="K424">
        <f t="shared" si="46"/>
        <v>0</v>
      </c>
      <c r="L424">
        <f t="shared" si="47"/>
        <v>0</v>
      </c>
      <c r="M424" t="str">
        <f t="shared" si="48"/>
        <v>C</v>
      </c>
    </row>
    <row r="425" spans="1:13" x14ac:dyDescent="0.45">
      <c r="A425">
        <v>424</v>
      </c>
      <c r="B425">
        <v>14.8</v>
      </c>
      <c r="C425">
        <v>8</v>
      </c>
      <c r="D425">
        <v>0</v>
      </c>
      <c r="E425">
        <v>0</v>
      </c>
      <c r="F425">
        <v>424</v>
      </c>
      <c r="G425" t="str">
        <f t="shared" si="43"/>
        <v>C</v>
      </c>
      <c r="H425">
        <f t="shared" si="49"/>
        <v>4</v>
      </c>
      <c r="I425">
        <f t="shared" si="44"/>
        <v>0</v>
      </c>
      <c r="J425">
        <f t="shared" si="45"/>
        <v>11</v>
      </c>
      <c r="K425">
        <f t="shared" si="46"/>
        <v>0</v>
      </c>
      <c r="L425">
        <f t="shared" si="47"/>
        <v>0</v>
      </c>
      <c r="M425" t="str">
        <f t="shared" si="48"/>
        <v>C</v>
      </c>
    </row>
    <row r="426" spans="1:13" x14ac:dyDescent="0.45">
      <c r="A426">
        <v>425</v>
      </c>
      <c r="B426">
        <v>11.2</v>
      </c>
      <c r="C426">
        <v>7</v>
      </c>
      <c r="D426">
        <v>0</v>
      </c>
      <c r="E426">
        <v>0</v>
      </c>
      <c r="F426">
        <v>425</v>
      </c>
      <c r="G426" t="str">
        <f t="shared" si="43"/>
        <v>C</v>
      </c>
      <c r="H426">
        <f t="shared" si="49"/>
        <v>4</v>
      </c>
      <c r="I426">
        <f t="shared" si="44"/>
        <v>0</v>
      </c>
      <c r="J426">
        <f t="shared" si="45"/>
        <v>12</v>
      </c>
      <c r="K426">
        <f t="shared" si="46"/>
        <v>0</v>
      </c>
      <c r="L426">
        <f t="shared" si="47"/>
        <v>0</v>
      </c>
      <c r="M426" t="str">
        <f t="shared" si="48"/>
        <v>C</v>
      </c>
    </row>
    <row r="427" spans="1:13" x14ac:dyDescent="0.4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v>426</v>
      </c>
      <c r="G427" t="str">
        <f t="shared" si="43"/>
        <v>C</v>
      </c>
      <c r="H427">
        <f t="shared" si="49"/>
        <v>5</v>
      </c>
      <c r="I427">
        <f t="shared" si="44"/>
        <v>0</v>
      </c>
      <c r="J427">
        <f t="shared" si="45"/>
        <v>13</v>
      </c>
      <c r="K427">
        <f t="shared" si="46"/>
        <v>0</v>
      </c>
      <c r="L427">
        <f t="shared" si="47"/>
        <v>0</v>
      </c>
      <c r="M427" t="str">
        <f t="shared" si="48"/>
        <v>S</v>
      </c>
    </row>
    <row r="428" spans="1:13" x14ac:dyDescent="0.45">
      <c r="A428">
        <v>427</v>
      </c>
      <c r="B428">
        <v>8</v>
      </c>
      <c r="C428">
        <v>0</v>
      </c>
      <c r="D428">
        <v>0</v>
      </c>
      <c r="E428">
        <v>0</v>
      </c>
      <c r="F428">
        <v>427</v>
      </c>
      <c r="G428">
        <f t="shared" si="43"/>
        <v>0</v>
      </c>
      <c r="H428">
        <f t="shared" si="49"/>
        <v>0</v>
      </c>
      <c r="I428">
        <f t="shared" si="44"/>
        <v>1</v>
      </c>
      <c r="J428">
        <f t="shared" si="45"/>
        <v>1</v>
      </c>
      <c r="K428">
        <f t="shared" si="46"/>
        <v>0</v>
      </c>
      <c r="L428">
        <f t="shared" si="47"/>
        <v>0</v>
      </c>
      <c r="M428" t="str">
        <f t="shared" si="48"/>
        <v>S</v>
      </c>
    </row>
    <row r="429" spans="1:13" x14ac:dyDescent="0.45">
      <c r="A429">
        <v>428</v>
      </c>
      <c r="B429">
        <v>8.6</v>
      </c>
      <c r="C429">
        <v>2</v>
      </c>
      <c r="D429">
        <v>0</v>
      </c>
      <c r="E429">
        <v>0</v>
      </c>
      <c r="F429">
        <v>428</v>
      </c>
      <c r="G429" t="str">
        <f t="shared" si="43"/>
        <v>S</v>
      </c>
      <c r="H429">
        <f t="shared" si="49"/>
        <v>1</v>
      </c>
      <c r="I429">
        <f t="shared" si="44"/>
        <v>0</v>
      </c>
      <c r="J429">
        <f t="shared" si="45"/>
        <v>1</v>
      </c>
      <c r="K429">
        <f t="shared" si="46"/>
        <v>1</v>
      </c>
      <c r="L429">
        <f t="shared" si="47"/>
        <v>0</v>
      </c>
      <c r="M429" t="str">
        <f t="shared" si="48"/>
        <v>S</v>
      </c>
    </row>
    <row r="430" spans="1:13" x14ac:dyDescent="0.4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v>429</v>
      </c>
      <c r="G430" t="str">
        <f t="shared" si="43"/>
        <v>S</v>
      </c>
      <c r="H430">
        <f t="shared" si="49"/>
        <v>1</v>
      </c>
      <c r="I430">
        <f t="shared" si="44"/>
        <v>0</v>
      </c>
      <c r="J430">
        <f t="shared" si="45"/>
        <v>2</v>
      </c>
      <c r="K430">
        <f t="shared" si="46"/>
        <v>0</v>
      </c>
      <c r="L430">
        <f t="shared" si="47"/>
        <v>0</v>
      </c>
      <c r="M430" t="str">
        <f t="shared" si="48"/>
        <v>C</v>
      </c>
    </row>
    <row r="431" spans="1:13" x14ac:dyDescent="0.45">
      <c r="A431">
        <v>430</v>
      </c>
      <c r="B431">
        <v>11.8</v>
      </c>
      <c r="C431">
        <v>5</v>
      </c>
      <c r="D431">
        <v>0</v>
      </c>
      <c r="E431">
        <v>0</v>
      </c>
      <c r="F431">
        <v>430</v>
      </c>
      <c r="G431" t="str">
        <f t="shared" si="43"/>
        <v>S</v>
      </c>
      <c r="H431">
        <f t="shared" si="49"/>
        <v>1</v>
      </c>
      <c r="I431">
        <f t="shared" si="44"/>
        <v>0</v>
      </c>
      <c r="J431">
        <f t="shared" si="45"/>
        <v>3</v>
      </c>
      <c r="K431">
        <f t="shared" si="46"/>
        <v>0</v>
      </c>
      <c r="L431">
        <f t="shared" si="47"/>
        <v>0</v>
      </c>
      <c r="M431" t="str">
        <f t="shared" si="48"/>
        <v>C</v>
      </c>
    </row>
    <row r="432" spans="1:13" x14ac:dyDescent="0.45">
      <c r="A432">
        <v>431</v>
      </c>
      <c r="B432">
        <v>12.7</v>
      </c>
      <c r="C432">
        <v>8</v>
      </c>
      <c r="D432">
        <v>0</v>
      </c>
      <c r="E432">
        <v>0</v>
      </c>
      <c r="F432">
        <v>431</v>
      </c>
      <c r="G432" t="str">
        <f t="shared" si="43"/>
        <v>S</v>
      </c>
      <c r="H432">
        <f t="shared" si="49"/>
        <v>2</v>
      </c>
      <c r="I432">
        <f t="shared" si="44"/>
        <v>0</v>
      </c>
      <c r="J432">
        <f t="shared" si="45"/>
        <v>4</v>
      </c>
      <c r="K432">
        <f t="shared" si="46"/>
        <v>0</v>
      </c>
      <c r="L432">
        <f t="shared" si="47"/>
        <v>1</v>
      </c>
      <c r="M432" t="str">
        <f t="shared" si="48"/>
        <v>C</v>
      </c>
    </row>
    <row r="433" spans="1:13" x14ac:dyDescent="0.45">
      <c r="A433">
        <v>432</v>
      </c>
      <c r="B433">
        <v>12.2</v>
      </c>
      <c r="C433">
        <v>6</v>
      </c>
      <c r="D433">
        <v>0</v>
      </c>
      <c r="E433">
        <v>0</v>
      </c>
      <c r="F433">
        <v>432</v>
      </c>
      <c r="G433" t="str">
        <f t="shared" si="43"/>
        <v>S</v>
      </c>
      <c r="H433">
        <f t="shared" si="49"/>
        <v>2</v>
      </c>
      <c r="I433">
        <f t="shared" si="44"/>
        <v>0</v>
      </c>
      <c r="J433">
        <f t="shared" si="45"/>
        <v>5</v>
      </c>
      <c r="K433">
        <f t="shared" si="46"/>
        <v>0</v>
      </c>
      <c r="L433">
        <f t="shared" si="47"/>
        <v>0</v>
      </c>
      <c r="M433" t="str">
        <f t="shared" si="48"/>
        <v>C</v>
      </c>
    </row>
    <row r="434" spans="1:13" x14ac:dyDescent="0.45">
      <c r="A434">
        <v>433</v>
      </c>
      <c r="B434">
        <v>10.3</v>
      </c>
      <c r="C434">
        <v>9</v>
      </c>
      <c r="D434">
        <v>0</v>
      </c>
      <c r="E434">
        <v>0</v>
      </c>
      <c r="F434">
        <v>433</v>
      </c>
      <c r="G434" t="str">
        <f t="shared" si="43"/>
        <v>S</v>
      </c>
      <c r="H434">
        <f t="shared" si="49"/>
        <v>2</v>
      </c>
      <c r="I434">
        <f t="shared" si="44"/>
        <v>0</v>
      </c>
      <c r="J434">
        <f t="shared" si="45"/>
        <v>6</v>
      </c>
      <c r="K434">
        <f t="shared" si="46"/>
        <v>0</v>
      </c>
      <c r="L434">
        <f t="shared" si="47"/>
        <v>0</v>
      </c>
      <c r="M434" t="str">
        <f t="shared" si="48"/>
        <v>C</v>
      </c>
    </row>
    <row r="435" spans="1:13" x14ac:dyDescent="0.45">
      <c r="A435">
        <v>434</v>
      </c>
      <c r="B435">
        <v>7.4</v>
      </c>
      <c r="C435">
        <v>17</v>
      </c>
      <c r="D435">
        <v>0</v>
      </c>
      <c r="E435">
        <v>0</v>
      </c>
      <c r="F435">
        <v>434</v>
      </c>
      <c r="G435" t="str">
        <f t="shared" si="43"/>
        <v>S</v>
      </c>
      <c r="H435">
        <f t="shared" si="49"/>
        <v>3</v>
      </c>
      <c r="I435">
        <f t="shared" si="44"/>
        <v>0</v>
      </c>
      <c r="J435">
        <f t="shared" si="45"/>
        <v>7</v>
      </c>
      <c r="K435">
        <f t="shared" si="46"/>
        <v>0</v>
      </c>
      <c r="L435">
        <f t="shared" si="47"/>
        <v>0</v>
      </c>
      <c r="M435" t="str">
        <f t="shared" si="48"/>
        <v>S</v>
      </c>
    </row>
    <row r="436" spans="1:13" x14ac:dyDescent="0.4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v>435</v>
      </c>
      <c r="G436" t="str">
        <f t="shared" si="43"/>
        <v>S</v>
      </c>
      <c r="H436">
        <f t="shared" si="49"/>
        <v>3</v>
      </c>
      <c r="I436">
        <f t="shared" si="44"/>
        <v>0</v>
      </c>
      <c r="J436">
        <f t="shared" si="45"/>
        <v>8</v>
      </c>
      <c r="K436">
        <f t="shared" si="46"/>
        <v>0</v>
      </c>
      <c r="L436">
        <f t="shared" si="47"/>
        <v>0</v>
      </c>
      <c r="M436" t="str">
        <f t="shared" si="48"/>
        <v>S</v>
      </c>
    </row>
    <row r="437" spans="1:13" x14ac:dyDescent="0.45">
      <c r="A437">
        <v>436</v>
      </c>
      <c r="B437">
        <v>1.4</v>
      </c>
      <c r="C437">
        <v>7</v>
      </c>
      <c r="D437">
        <v>0</v>
      </c>
      <c r="E437">
        <v>0</v>
      </c>
      <c r="F437">
        <v>436</v>
      </c>
      <c r="G437" t="str">
        <f t="shared" si="43"/>
        <v>S</v>
      </c>
      <c r="H437">
        <f t="shared" si="49"/>
        <v>3</v>
      </c>
      <c r="I437">
        <f t="shared" si="44"/>
        <v>0</v>
      </c>
      <c r="J437">
        <f t="shared" si="45"/>
        <v>9</v>
      </c>
      <c r="K437">
        <f t="shared" si="46"/>
        <v>0</v>
      </c>
      <c r="L437">
        <f t="shared" si="47"/>
        <v>0</v>
      </c>
      <c r="M437" t="str">
        <f t="shared" si="48"/>
        <v>S</v>
      </c>
    </row>
    <row r="438" spans="1:13" x14ac:dyDescent="0.45">
      <c r="A438">
        <v>437</v>
      </c>
      <c r="B438">
        <v>0.1</v>
      </c>
      <c r="C438">
        <v>24</v>
      </c>
      <c r="D438">
        <v>0</v>
      </c>
      <c r="E438">
        <v>0</v>
      </c>
      <c r="F438">
        <v>437</v>
      </c>
      <c r="G438" t="str">
        <f t="shared" si="43"/>
        <v>S</v>
      </c>
      <c r="H438">
        <f t="shared" si="49"/>
        <v>4</v>
      </c>
      <c r="I438">
        <f t="shared" si="44"/>
        <v>0</v>
      </c>
      <c r="J438">
        <f t="shared" si="45"/>
        <v>10</v>
      </c>
      <c r="K438">
        <f t="shared" si="46"/>
        <v>0</v>
      </c>
      <c r="L438">
        <f t="shared" si="47"/>
        <v>0</v>
      </c>
      <c r="M438" t="str">
        <f t="shared" si="48"/>
        <v>S</v>
      </c>
    </row>
    <row r="439" spans="1:13" x14ac:dyDescent="0.45">
      <c r="A439">
        <v>438</v>
      </c>
      <c r="B439">
        <v>0.5</v>
      </c>
      <c r="C439">
        <v>16</v>
      </c>
      <c r="D439">
        <v>0</v>
      </c>
      <c r="E439">
        <v>0</v>
      </c>
      <c r="F439">
        <v>438</v>
      </c>
      <c r="G439" t="str">
        <f t="shared" si="43"/>
        <v>S</v>
      </c>
      <c r="H439">
        <f t="shared" si="49"/>
        <v>4</v>
      </c>
      <c r="I439">
        <f t="shared" si="44"/>
        <v>0</v>
      </c>
      <c r="J439">
        <f t="shared" si="45"/>
        <v>11</v>
      </c>
      <c r="K439">
        <f t="shared" si="46"/>
        <v>0</v>
      </c>
      <c r="L439">
        <f t="shared" si="47"/>
        <v>0</v>
      </c>
      <c r="M439" t="str">
        <f t="shared" si="48"/>
        <v>S</v>
      </c>
    </row>
    <row r="440" spans="1:13" x14ac:dyDescent="0.45">
      <c r="A440">
        <v>439</v>
      </c>
      <c r="B440">
        <v>2.5</v>
      </c>
      <c r="C440">
        <v>2</v>
      </c>
      <c r="D440">
        <v>0</v>
      </c>
      <c r="E440">
        <v>0</v>
      </c>
      <c r="F440">
        <v>439</v>
      </c>
      <c r="G440" t="str">
        <f t="shared" si="43"/>
        <v>S</v>
      </c>
      <c r="H440">
        <f t="shared" si="49"/>
        <v>4</v>
      </c>
      <c r="I440">
        <f t="shared" si="44"/>
        <v>0</v>
      </c>
      <c r="J440">
        <f t="shared" si="45"/>
        <v>12</v>
      </c>
      <c r="K440">
        <f t="shared" si="46"/>
        <v>0</v>
      </c>
      <c r="L440">
        <f t="shared" si="47"/>
        <v>0</v>
      </c>
      <c r="M440" t="str">
        <f t="shared" si="48"/>
        <v>S</v>
      </c>
    </row>
    <row r="441" spans="1:13" x14ac:dyDescent="0.45">
      <c r="A441">
        <v>440</v>
      </c>
      <c r="B441">
        <v>5.5</v>
      </c>
      <c r="C441">
        <v>17</v>
      </c>
      <c r="D441">
        <v>0</v>
      </c>
      <c r="E441">
        <v>0</v>
      </c>
      <c r="F441">
        <v>440</v>
      </c>
      <c r="G441" t="str">
        <f t="shared" si="43"/>
        <v>S</v>
      </c>
      <c r="H441">
        <f t="shared" si="49"/>
        <v>5</v>
      </c>
      <c r="I441">
        <f t="shared" si="44"/>
        <v>0</v>
      </c>
      <c r="J441">
        <f t="shared" si="45"/>
        <v>13</v>
      </c>
      <c r="K441">
        <f t="shared" si="46"/>
        <v>0</v>
      </c>
      <c r="L441">
        <f t="shared" si="47"/>
        <v>0</v>
      </c>
      <c r="M441" t="str">
        <f t="shared" si="48"/>
        <v>S</v>
      </c>
    </row>
    <row r="442" spans="1:13" x14ac:dyDescent="0.4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v>441</v>
      </c>
      <c r="G442" t="str">
        <f t="shared" si="43"/>
        <v>S</v>
      </c>
      <c r="H442">
        <f t="shared" si="49"/>
        <v>5</v>
      </c>
      <c r="I442">
        <f t="shared" si="44"/>
        <v>0</v>
      </c>
      <c r="J442">
        <f t="shared" si="45"/>
        <v>14</v>
      </c>
      <c r="K442">
        <f t="shared" si="46"/>
        <v>0</v>
      </c>
      <c r="L442">
        <f t="shared" si="47"/>
        <v>0</v>
      </c>
      <c r="M442" t="str">
        <f t="shared" si="48"/>
        <v>S</v>
      </c>
    </row>
    <row r="443" spans="1:13" x14ac:dyDescent="0.45">
      <c r="A443">
        <v>442</v>
      </c>
      <c r="B443">
        <v>11.1</v>
      </c>
      <c r="C443">
        <v>0</v>
      </c>
      <c r="D443">
        <v>0</v>
      </c>
      <c r="E443">
        <v>0</v>
      </c>
      <c r="F443">
        <v>442</v>
      </c>
      <c r="G443">
        <f t="shared" si="43"/>
        <v>0</v>
      </c>
      <c r="H443">
        <f t="shared" si="49"/>
        <v>0</v>
      </c>
      <c r="I443">
        <f t="shared" si="44"/>
        <v>1</v>
      </c>
      <c r="J443">
        <f t="shared" si="45"/>
        <v>1</v>
      </c>
      <c r="K443">
        <f t="shared" si="46"/>
        <v>0</v>
      </c>
      <c r="L443">
        <f t="shared" si="47"/>
        <v>0</v>
      </c>
      <c r="M443" t="str">
        <f t="shared" si="48"/>
        <v>C</v>
      </c>
    </row>
    <row r="444" spans="1:13" x14ac:dyDescent="0.45">
      <c r="A444">
        <v>443</v>
      </c>
      <c r="B444">
        <v>12.2</v>
      </c>
      <c r="C444">
        <v>4</v>
      </c>
      <c r="D444">
        <v>0</v>
      </c>
      <c r="E444">
        <v>0</v>
      </c>
      <c r="F444">
        <v>443</v>
      </c>
      <c r="G444" t="str">
        <f t="shared" si="43"/>
        <v>C</v>
      </c>
      <c r="H444">
        <f t="shared" si="49"/>
        <v>1</v>
      </c>
      <c r="I444">
        <f t="shared" si="44"/>
        <v>0</v>
      </c>
      <c r="J444">
        <f t="shared" si="45"/>
        <v>1</v>
      </c>
      <c r="K444">
        <f t="shared" si="46"/>
        <v>1</v>
      </c>
      <c r="L444">
        <f t="shared" si="47"/>
        <v>0</v>
      </c>
      <c r="M444" t="str">
        <f t="shared" si="48"/>
        <v>C</v>
      </c>
    </row>
    <row r="445" spans="1:13" x14ac:dyDescent="0.45">
      <c r="A445">
        <v>444</v>
      </c>
      <c r="B445">
        <v>11.9</v>
      </c>
      <c r="C445">
        <v>1</v>
      </c>
      <c r="D445">
        <v>0</v>
      </c>
      <c r="E445">
        <v>0</v>
      </c>
      <c r="F445">
        <v>444</v>
      </c>
      <c r="G445" t="str">
        <f t="shared" si="43"/>
        <v>C</v>
      </c>
      <c r="H445">
        <f t="shared" si="49"/>
        <v>1</v>
      </c>
      <c r="I445">
        <f t="shared" si="44"/>
        <v>0</v>
      </c>
      <c r="J445">
        <f t="shared" si="45"/>
        <v>2</v>
      </c>
      <c r="K445">
        <f t="shared" si="46"/>
        <v>0</v>
      </c>
      <c r="L445">
        <f t="shared" si="47"/>
        <v>0</v>
      </c>
      <c r="M445" t="str">
        <f t="shared" si="48"/>
        <v>C</v>
      </c>
    </row>
    <row r="446" spans="1:13" x14ac:dyDescent="0.45">
      <c r="A446">
        <v>445</v>
      </c>
      <c r="B446">
        <v>10.5</v>
      </c>
      <c r="C446">
        <v>1</v>
      </c>
      <c r="D446">
        <v>0</v>
      </c>
      <c r="E446">
        <v>0</v>
      </c>
      <c r="F446">
        <v>445</v>
      </c>
      <c r="G446" t="str">
        <f t="shared" si="43"/>
        <v>C</v>
      </c>
      <c r="H446">
        <f t="shared" si="49"/>
        <v>1</v>
      </c>
      <c r="I446">
        <f t="shared" si="44"/>
        <v>0</v>
      </c>
      <c r="J446">
        <f t="shared" si="45"/>
        <v>3</v>
      </c>
      <c r="K446">
        <f t="shared" si="46"/>
        <v>0</v>
      </c>
      <c r="L446">
        <f t="shared" si="47"/>
        <v>0</v>
      </c>
      <c r="M446" t="str">
        <f t="shared" si="48"/>
        <v>C</v>
      </c>
    </row>
    <row r="447" spans="1:13" x14ac:dyDescent="0.4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v>446</v>
      </c>
      <c r="G447" t="str">
        <f t="shared" si="43"/>
        <v>C</v>
      </c>
      <c r="H447">
        <f t="shared" si="49"/>
        <v>2</v>
      </c>
      <c r="I447">
        <f t="shared" si="44"/>
        <v>0</v>
      </c>
      <c r="J447">
        <f t="shared" si="45"/>
        <v>4</v>
      </c>
      <c r="K447">
        <f t="shared" si="46"/>
        <v>0</v>
      </c>
      <c r="L447">
        <f t="shared" si="47"/>
        <v>1</v>
      </c>
      <c r="M447" t="str">
        <f t="shared" si="48"/>
        <v>S</v>
      </c>
    </row>
    <row r="448" spans="1:13" x14ac:dyDescent="0.45">
      <c r="A448">
        <v>447</v>
      </c>
      <c r="B448">
        <v>7.5</v>
      </c>
      <c r="C448">
        <v>10</v>
      </c>
      <c r="D448">
        <v>0</v>
      </c>
      <c r="E448">
        <v>0</v>
      </c>
      <c r="F448">
        <v>447</v>
      </c>
      <c r="G448" t="str">
        <f t="shared" si="43"/>
        <v>C</v>
      </c>
      <c r="H448">
        <f t="shared" si="49"/>
        <v>2</v>
      </c>
      <c r="I448">
        <f t="shared" si="44"/>
        <v>0</v>
      </c>
      <c r="J448">
        <f t="shared" si="45"/>
        <v>5</v>
      </c>
      <c r="K448">
        <f t="shared" si="46"/>
        <v>0</v>
      </c>
      <c r="L448">
        <f t="shared" si="47"/>
        <v>0</v>
      </c>
      <c r="M448" t="str">
        <f t="shared" si="48"/>
        <v>S</v>
      </c>
    </row>
    <row r="449" spans="1:13" x14ac:dyDescent="0.45">
      <c r="A449">
        <v>448</v>
      </c>
      <c r="B449">
        <v>7.6</v>
      </c>
      <c r="C449">
        <v>10</v>
      </c>
      <c r="D449">
        <v>0</v>
      </c>
      <c r="E449">
        <v>0</v>
      </c>
      <c r="F449">
        <v>448</v>
      </c>
      <c r="G449" t="str">
        <f t="shared" si="43"/>
        <v>C</v>
      </c>
      <c r="H449">
        <f t="shared" si="49"/>
        <v>2</v>
      </c>
      <c r="I449">
        <f t="shared" si="44"/>
        <v>0</v>
      </c>
      <c r="J449">
        <f t="shared" si="45"/>
        <v>6</v>
      </c>
      <c r="K449">
        <f t="shared" si="46"/>
        <v>0</v>
      </c>
      <c r="L449">
        <f t="shared" si="47"/>
        <v>0</v>
      </c>
      <c r="M449" t="str">
        <f t="shared" si="48"/>
        <v>S</v>
      </c>
    </row>
    <row r="450" spans="1:13" x14ac:dyDescent="0.4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v>449</v>
      </c>
      <c r="G450" t="str">
        <f t="shared" si="43"/>
        <v>C</v>
      </c>
      <c r="H450">
        <f t="shared" si="49"/>
        <v>3</v>
      </c>
      <c r="I450">
        <f t="shared" si="44"/>
        <v>0</v>
      </c>
      <c r="J450">
        <f t="shared" si="45"/>
        <v>7</v>
      </c>
      <c r="K450">
        <f t="shared" si="46"/>
        <v>0</v>
      </c>
      <c r="L450">
        <f t="shared" si="47"/>
        <v>0</v>
      </c>
      <c r="M450" t="str">
        <f t="shared" si="48"/>
        <v>S</v>
      </c>
    </row>
    <row r="451" spans="1:13" x14ac:dyDescent="0.45">
      <c r="A451">
        <v>450</v>
      </c>
      <c r="B451">
        <v>12.3</v>
      </c>
      <c r="C451">
        <v>7</v>
      </c>
      <c r="D451">
        <v>0</v>
      </c>
      <c r="E451">
        <v>0</v>
      </c>
      <c r="F451">
        <v>450</v>
      </c>
      <c r="G451" t="str">
        <f t="shared" si="43"/>
        <v>C</v>
      </c>
      <c r="H451">
        <f t="shared" si="49"/>
        <v>3</v>
      </c>
      <c r="I451">
        <f t="shared" si="44"/>
        <v>0</v>
      </c>
      <c r="J451">
        <f t="shared" si="45"/>
        <v>8</v>
      </c>
      <c r="K451">
        <f t="shared" si="46"/>
        <v>0</v>
      </c>
      <c r="L451">
        <f t="shared" si="47"/>
        <v>0</v>
      </c>
      <c r="M451" t="str">
        <f t="shared" si="48"/>
        <v>C</v>
      </c>
    </row>
    <row r="452" spans="1:13" x14ac:dyDescent="0.45">
      <c r="A452">
        <v>451</v>
      </c>
      <c r="B452">
        <v>16.3</v>
      </c>
      <c r="C452">
        <v>18</v>
      </c>
      <c r="D452">
        <v>0</v>
      </c>
      <c r="E452">
        <v>0</v>
      </c>
      <c r="F452">
        <v>451</v>
      </c>
      <c r="G452" t="str">
        <f t="shared" ref="G452:G501" si="50">IF(I452=1,0, IF(K452=1,M452,G451))</f>
        <v>C</v>
      </c>
      <c r="H452">
        <f t="shared" si="49"/>
        <v>3</v>
      </c>
      <c r="I452">
        <f t="shared" ref="I452:I501" si="51">IF(AND(H451=5,C451&gt;=20),1,0)</f>
        <v>0</v>
      </c>
      <c r="J452">
        <f t="shared" ref="J452:J501" si="52">IF(G452=G451,J451+1,1)</f>
        <v>9</v>
      </c>
      <c r="K452">
        <f t="shared" ref="K452:K501" si="53">IF(AND(G451=0,H451=0),1,0)</f>
        <v>0</v>
      </c>
      <c r="L452">
        <f t="shared" ref="L452:L501" si="54">IF(J451=3,1,0)</f>
        <v>0</v>
      </c>
      <c r="M452" t="str">
        <f t="shared" ref="M452:M501" si="55">IF(B452&lt;10,"S","C")</f>
        <v>C</v>
      </c>
    </row>
    <row r="453" spans="1:13" x14ac:dyDescent="0.45">
      <c r="A453">
        <v>452</v>
      </c>
      <c r="B453">
        <v>20.2</v>
      </c>
      <c r="C453">
        <v>23</v>
      </c>
      <c r="D453">
        <v>0</v>
      </c>
      <c r="E453">
        <v>0</v>
      </c>
      <c r="F453">
        <v>452</v>
      </c>
      <c r="G453" t="str">
        <f t="shared" si="50"/>
        <v>C</v>
      </c>
      <c r="H453">
        <f t="shared" si="49"/>
        <v>4</v>
      </c>
      <c r="I453">
        <f t="shared" si="51"/>
        <v>0</v>
      </c>
      <c r="J453">
        <f t="shared" si="52"/>
        <v>10</v>
      </c>
      <c r="K453">
        <f t="shared" si="53"/>
        <v>0</v>
      </c>
      <c r="L453">
        <f t="shared" si="54"/>
        <v>0</v>
      </c>
      <c r="M453" t="str">
        <f t="shared" si="55"/>
        <v>C</v>
      </c>
    </row>
    <row r="454" spans="1:13" x14ac:dyDescent="0.45">
      <c r="A454">
        <v>453</v>
      </c>
      <c r="B454">
        <v>23.2</v>
      </c>
      <c r="C454">
        <v>7</v>
      </c>
      <c r="D454">
        <v>0</v>
      </c>
      <c r="E454">
        <v>0</v>
      </c>
      <c r="F454">
        <v>453</v>
      </c>
      <c r="G454" t="str">
        <f t="shared" si="50"/>
        <v>C</v>
      </c>
      <c r="H454">
        <f t="shared" si="49"/>
        <v>4</v>
      </c>
      <c r="I454">
        <f t="shared" si="51"/>
        <v>0</v>
      </c>
      <c r="J454">
        <f t="shared" si="52"/>
        <v>11</v>
      </c>
      <c r="K454">
        <f t="shared" si="53"/>
        <v>0</v>
      </c>
      <c r="L454">
        <f t="shared" si="54"/>
        <v>0</v>
      </c>
      <c r="M454" t="str">
        <f t="shared" si="55"/>
        <v>C</v>
      </c>
    </row>
    <row r="455" spans="1:13" x14ac:dyDescent="0.45">
      <c r="A455">
        <v>454</v>
      </c>
      <c r="B455">
        <v>24.8</v>
      </c>
      <c r="C455">
        <v>20</v>
      </c>
      <c r="D455">
        <v>0</v>
      </c>
      <c r="E455">
        <v>0</v>
      </c>
      <c r="F455">
        <v>454</v>
      </c>
      <c r="G455" t="str">
        <f t="shared" si="50"/>
        <v>C</v>
      </c>
      <c r="H455">
        <f t="shared" ref="H455:H501" si="56">IF(I455=1,0,IF(K455=1,1,IF(MOD(J454,3)=0, IF(H454+1&gt;5,5,H454+1),H454)))</f>
        <v>4</v>
      </c>
      <c r="I455">
        <f t="shared" si="51"/>
        <v>0</v>
      </c>
      <c r="J455">
        <f t="shared" si="52"/>
        <v>12</v>
      </c>
      <c r="K455">
        <f t="shared" si="53"/>
        <v>0</v>
      </c>
      <c r="L455">
        <f t="shared" si="54"/>
        <v>0</v>
      </c>
      <c r="M455" t="str">
        <f t="shared" si="55"/>
        <v>C</v>
      </c>
    </row>
    <row r="456" spans="1:13" x14ac:dyDescent="0.45">
      <c r="A456">
        <v>455</v>
      </c>
      <c r="B456">
        <v>24.9</v>
      </c>
      <c r="C456">
        <v>14</v>
      </c>
      <c r="D456">
        <v>0</v>
      </c>
      <c r="E456">
        <v>0</v>
      </c>
      <c r="F456">
        <v>455</v>
      </c>
      <c r="G456" t="str">
        <f t="shared" si="50"/>
        <v>C</v>
      </c>
      <c r="H456">
        <f t="shared" si="56"/>
        <v>5</v>
      </c>
      <c r="I456">
        <f t="shared" si="51"/>
        <v>0</v>
      </c>
      <c r="J456">
        <f t="shared" si="52"/>
        <v>13</v>
      </c>
      <c r="K456">
        <f t="shared" si="53"/>
        <v>0</v>
      </c>
      <c r="L456">
        <f t="shared" si="54"/>
        <v>0</v>
      </c>
      <c r="M456" t="str">
        <f t="shared" si="55"/>
        <v>C</v>
      </c>
    </row>
    <row r="457" spans="1:13" x14ac:dyDescent="0.45">
      <c r="A457">
        <v>456</v>
      </c>
      <c r="B457">
        <v>23.3</v>
      </c>
      <c r="C457">
        <v>11</v>
      </c>
      <c r="D457">
        <v>0</v>
      </c>
      <c r="E457">
        <v>0</v>
      </c>
      <c r="F457">
        <v>456</v>
      </c>
      <c r="G457" t="str">
        <f t="shared" si="50"/>
        <v>C</v>
      </c>
      <c r="H457">
        <f t="shared" si="56"/>
        <v>5</v>
      </c>
      <c r="I457">
        <f t="shared" si="51"/>
        <v>0</v>
      </c>
      <c r="J457">
        <f t="shared" si="52"/>
        <v>14</v>
      </c>
      <c r="K457">
        <f t="shared" si="53"/>
        <v>0</v>
      </c>
      <c r="L457">
        <f t="shared" si="54"/>
        <v>0</v>
      </c>
      <c r="M457" t="str">
        <f t="shared" si="55"/>
        <v>C</v>
      </c>
    </row>
    <row r="458" spans="1:13" x14ac:dyDescent="0.45">
      <c r="A458">
        <v>457</v>
      </c>
      <c r="B458">
        <v>21.3</v>
      </c>
      <c r="C458">
        <v>10</v>
      </c>
      <c r="D458">
        <v>0</v>
      </c>
      <c r="E458">
        <v>0</v>
      </c>
      <c r="F458">
        <v>457</v>
      </c>
      <c r="G458" t="str">
        <f t="shared" si="50"/>
        <v>C</v>
      </c>
      <c r="H458">
        <f t="shared" si="56"/>
        <v>5</v>
      </c>
      <c r="I458">
        <f t="shared" si="51"/>
        <v>0</v>
      </c>
      <c r="J458">
        <f t="shared" si="52"/>
        <v>15</v>
      </c>
      <c r="K458">
        <f t="shared" si="53"/>
        <v>0</v>
      </c>
      <c r="L458">
        <f t="shared" si="54"/>
        <v>0</v>
      </c>
      <c r="M458" t="str">
        <f t="shared" si="55"/>
        <v>C</v>
      </c>
    </row>
    <row r="459" spans="1:13" x14ac:dyDescent="0.45">
      <c r="A459">
        <v>458</v>
      </c>
      <c r="B459">
        <v>19.7</v>
      </c>
      <c r="C459">
        <v>13</v>
      </c>
      <c r="D459">
        <v>0</v>
      </c>
      <c r="E459">
        <v>0</v>
      </c>
      <c r="F459">
        <v>458</v>
      </c>
      <c r="G459" t="str">
        <f t="shared" si="50"/>
        <v>C</v>
      </c>
      <c r="H459">
        <f t="shared" si="56"/>
        <v>5</v>
      </c>
      <c r="I459">
        <f t="shared" si="51"/>
        <v>0</v>
      </c>
      <c r="J459">
        <f t="shared" si="52"/>
        <v>16</v>
      </c>
      <c r="K459">
        <f t="shared" si="53"/>
        <v>0</v>
      </c>
      <c r="L459">
        <f t="shared" si="54"/>
        <v>0</v>
      </c>
      <c r="M459" t="str">
        <f t="shared" si="55"/>
        <v>C</v>
      </c>
    </row>
    <row r="460" spans="1:13" x14ac:dyDescent="0.4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v>459</v>
      </c>
      <c r="G460" t="str">
        <f t="shared" si="50"/>
        <v>C</v>
      </c>
      <c r="H460">
        <f t="shared" si="56"/>
        <v>5</v>
      </c>
      <c r="I460">
        <f t="shared" si="51"/>
        <v>0</v>
      </c>
      <c r="J460">
        <f t="shared" si="52"/>
        <v>17</v>
      </c>
      <c r="K460">
        <f t="shared" si="53"/>
        <v>0</v>
      </c>
      <c r="L460">
        <f t="shared" si="54"/>
        <v>0</v>
      </c>
      <c r="M460" t="str">
        <f t="shared" si="55"/>
        <v>C</v>
      </c>
    </row>
    <row r="461" spans="1:13" x14ac:dyDescent="0.45">
      <c r="A461">
        <v>460</v>
      </c>
      <c r="B461">
        <v>20</v>
      </c>
      <c r="C461">
        <v>0</v>
      </c>
      <c r="D461">
        <v>0</v>
      </c>
      <c r="E461">
        <v>0</v>
      </c>
      <c r="F461">
        <v>460</v>
      </c>
      <c r="G461">
        <f t="shared" si="50"/>
        <v>0</v>
      </c>
      <c r="H461">
        <f t="shared" si="56"/>
        <v>0</v>
      </c>
      <c r="I461">
        <f t="shared" si="51"/>
        <v>1</v>
      </c>
      <c r="J461">
        <f t="shared" si="52"/>
        <v>1</v>
      </c>
      <c r="K461">
        <f t="shared" si="53"/>
        <v>0</v>
      </c>
      <c r="L461">
        <f t="shared" si="54"/>
        <v>0</v>
      </c>
      <c r="M461" t="str">
        <f t="shared" si="55"/>
        <v>C</v>
      </c>
    </row>
    <row r="462" spans="1:13" x14ac:dyDescent="0.45">
      <c r="A462">
        <v>461</v>
      </c>
      <c r="B462">
        <v>22.1</v>
      </c>
      <c r="C462">
        <v>1</v>
      </c>
      <c r="D462">
        <v>0</v>
      </c>
      <c r="E462">
        <v>0</v>
      </c>
      <c r="F462">
        <v>461</v>
      </c>
      <c r="G462" t="str">
        <f t="shared" si="50"/>
        <v>C</v>
      </c>
      <c r="H462">
        <f t="shared" si="56"/>
        <v>1</v>
      </c>
      <c r="I462">
        <f t="shared" si="51"/>
        <v>0</v>
      </c>
      <c r="J462">
        <f t="shared" si="52"/>
        <v>1</v>
      </c>
      <c r="K462">
        <f t="shared" si="53"/>
        <v>1</v>
      </c>
      <c r="L462">
        <f t="shared" si="54"/>
        <v>0</v>
      </c>
      <c r="M462" t="str">
        <f t="shared" si="55"/>
        <v>C</v>
      </c>
    </row>
    <row r="463" spans="1:13" x14ac:dyDescent="0.45">
      <c r="A463">
        <v>462</v>
      </c>
      <c r="B463">
        <v>25</v>
      </c>
      <c r="C463">
        <v>4</v>
      </c>
      <c r="D463">
        <v>0</v>
      </c>
      <c r="E463">
        <v>0</v>
      </c>
      <c r="F463">
        <v>462</v>
      </c>
      <c r="G463" t="str">
        <f t="shared" si="50"/>
        <v>C</v>
      </c>
      <c r="H463">
        <f t="shared" si="56"/>
        <v>1</v>
      </c>
      <c r="I463">
        <f t="shared" si="51"/>
        <v>0</v>
      </c>
      <c r="J463">
        <f t="shared" si="52"/>
        <v>2</v>
      </c>
      <c r="K463">
        <f t="shared" si="53"/>
        <v>0</v>
      </c>
      <c r="L463">
        <f t="shared" si="54"/>
        <v>0</v>
      </c>
      <c r="M463" t="str">
        <f t="shared" si="55"/>
        <v>C</v>
      </c>
    </row>
    <row r="464" spans="1:13" x14ac:dyDescent="0.45">
      <c r="A464">
        <v>463</v>
      </c>
      <c r="B464">
        <v>27.7</v>
      </c>
      <c r="C464">
        <v>1</v>
      </c>
      <c r="D464">
        <v>0</v>
      </c>
      <c r="E464">
        <v>0</v>
      </c>
      <c r="F464">
        <v>463</v>
      </c>
      <c r="G464" t="str">
        <f t="shared" si="50"/>
        <v>C</v>
      </c>
      <c r="H464">
        <f t="shared" si="56"/>
        <v>1</v>
      </c>
      <c r="I464">
        <f t="shared" si="51"/>
        <v>0</v>
      </c>
      <c r="J464">
        <f t="shared" si="52"/>
        <v>3</v>
      </c>
      <c r="K464">
        <f t="shared" si="53"/>
        <v>0</v>
      </c>
      <c r="L464">
        <f t="shared" si="54"/>
        <v>0</v>
      </c>
      <c r="M464" t="str">
        <f t="shared" si="55"/>
        <v>C</v>
      </c>
    </row>
    <row r="465" spans="1:13" x14ac:dyDescent="0.45">
      <c r="A465">
        <v>464</v>
      </c>
      <c r="B465">
        <v>29.4</v>
      </c>
      <c r="C465">
        <v>12</v>
      </c>
      <c r="D465">
        <v>0</v>
      </c>
      <c r="E465">
        <v>0</v>
      </c>
      <c r="F465">
        <v>464</v>
      </c>
      <c r="G465" t="str">
        <f t="shared" si="50"/>
        <v>C</v>
      </c>
      <c r="H465">
        <f t="shared" si="56"/>
        <v>2</v>
      </c>
      <c r="I465">
        <f t="shared" si="51"/>
        <v>0</v>
      </c>
      <c r="J465">
        <f t="shared" si="52"/>
        <v>4</v>
      </c>
      <c r="K465">
        <f t="shared" si="53"/>
        <v>0</v>
      </c>
      <c r="L465">
        <f t="shared" si="54"/>
        <v>1</v>
      </c>
      <c r="M465" t="str">
        <f t="shared" si="55"/>
        <v>C</v>
      </c>
    </row>
    <row r="466" spans="1:13" x14ac:dyDescent="0.45">
      <c r="A466">
        <v>465</v>
      </c>
      <c r="B466">
        <v>29.5</v>
      </c>
      <c r="C466">
        <v>12</v>
      </c>
      <c r="D466">
        <v>0</v>
      </c>
      <c r="E466">
        <v>0</v>
      </c>
      <c r="F466">
        <v>465</v>
      </c>
      <c r="G466" t="str">
        <f t="shared" si="50"/>
        <v>C</v>
      </c>
      <c r="H466">
        <f t="shared" si="56"/>
        <v>2</v>
      </c>
      <c r="I466">
        <f t="shared" si="51"/>
        <v>0</v>
      </c>
      <c r="J466">
        <f t="shared" si="52"/>
        <v>5</v>
      </c>
      <c r="K466">
        <f t="shared" si="53"/>
        <v>0</v>
      </c>
      <c r="L466">
        <f t="shared" si="54"/>
        <v>0</v>
      </c>
      <c r="M466" t="str">
        <f t="shared" si="55"/>
        <v>C</v>
      </c>
    </row>
    <row r="467" spans="1:13" x14ac:dyDescent="0.45">
      <c r="A467">
        <v>466</v>
      </c>
      <c r="B467">
        <v>27.8</v>
      </c>
      <c r="C467">
        <v>8</v>
      </c>
      <c r="D467">
        <v>0</v>
      </c>
      <c r="E467">
        <v>0</v>
      </c>
      <c r="F467">
        <v>466</v>
      </c>
      <c r="G467" t="str">
        <f t="shared" si="50"/>
        <v>C</v>
      </c>
      <c r="H467">
        <f t="shared" si="56"/>
        <v>2</v>
      </c>
      <c r="I467">
        <f t="shared" si="51"/>
        <v>0</v>
      </c>
      <c r="J467">
        <f t="shared" si="52"/>
        <v>6</v>
      </c>
      <c r="K467">
        <f t="shared" si="53"/>
        <v>0</v>
      </c>
      <c r="L467">
        <f t="shared" si="54"/>
        <v>0</v>
      </c>
      <c r="M467" t="str">
        <f t="shared" si="55"/>
        <v>C</v>
      </c>
    </row>
    <row r="468" spans="1:13" x14ac:dyDescent="0.45">
      <c r="A468">
        <v>467</v>
      </c>
      <c r="B468">
        <v>24.9</v>
      </c>
      <c r="C468">
        <v>13</v>
      </c>
      <c r="D468">
        <v>0</v>
      </c>
      <c r="E468">
        <v>0</v>
      </c>
      <c r="F468">
        <v>467</v>
      </c>
      <c r="G468" t="str">
        <f t="shared" si="50"/>
        <v>C</v>
      </c>
      <c r="H468">
        <f t="shared" si="56"/>
        <v>3</v>
      </c>
      <c r="I468">
        <f t="shared" si="51"/>
        <v>0</v>
      </c>
      <c r="J468">
        <f t="shared" si="52"/>
        <v>7</v>
      </c>
      <c r="K468">
        <f t="shared" si="53"/>
        <v>0</v>
      </c>
      <c r="L468">
        <f t="shared" si="54"/>
        <v>0</v>
      </c>
      <c r="M468" t="str">
        <f t="shared" si="55"/>
        <v>C</v>
      </c>
    </row>
    <row r="469" spans="1:13" x14ac:dyDescent="0.45">
      <c r="A469">
        <v>468</v>
      </c>
      <c r="B469">
        <v>21.3</v>
      </c>
      <c r="C469">
        <v>18</v>
      </c>
      <c r="D469">
        <v>0</v>
      </c>
      <c r="E469">
        <v>0</v>
      </c>
      <c r="F469">
        <v>468</v>
      </c>
      <c r="G469" t="str">
        <f t="shared" si="50"/>
        <v>C</v>
      </c>
      <c r="H469">
        <f t="shared" si="56"/>
        <v>3</v>
      </c>
      <c r="I469">
        <f t="shared" si="51"/>
        <v>0</v>
      </c>
      <c r="J469">
        <f t="shared" si="52"/>
        <v>8</v>
      </c>
      <c r="K469">
        <f t="shared" si="53"/>
        <v>0</v>
      </c>
      <c r="L469">
        <f t="shared" si="54"/>
        <v>0</v>
      </c>
      <c r="M469" t="str">
        <f t="shared" si="55"/>
        <v>C</v>
      </c>
    </row>
    <row r="470" spans="1:13" x14ac:dyDescent="0.4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v>469</v>
      </c>
      <c r="G470" t="str">
        <f t="shared" si="50"/>
        <v>C</v>
      </c>
      <c r="H470">
        <f t="shared" si="56"/>
        <v>3</v>
      </c>
      <c r="I470">
        <f t="shared" si="51"/>
        <v>0</v>
      </c>
      <c r="J470">
        <f t="shared" si="52"/>
        <v>9</v>
      </c>
      <c r="K470">
        <f t="shared" si="53"/>
        <v>0</v>
      </c>
      <c r="L470">
        <f t="shared" si="54"/>
        <v>0</v>
      </c>
      <c r="M470" t="str">
        <f t="shared" si="55"/>
        <v>C</v>
      </c>
    </row>
    <row r="471" spans="1:13" x14ac:dyDescent="0.45">
      <c r="A471">
        <v>470</v>
      </c>
      <c r="B471">
        <v>15.9</v>
      </c>
      <c r="C471">
        <v>10</v>
      </c>
      <c r="D471">
        <v>0</v>
      </c>
      <c r="E471">
        <v>0</v>
      </c>
      <c r="F471">
        <v>470</v>
      </c>
      <c r="G471" t="str">
        <f t="shared" si="50"/>
        <v>C</v>
      </c>
      <c r="H471">
        <f t="shared" si="56"/>
        <v>4</v>
      </c>
      <c r="I471">
        <f t="shared" si="51"/>
        <v>0</v>
      </c>
      <c r="J471">
        <f t="shared" si="52"/>
        <v>10</v>
      </c>
      <c r="K471">
        <f t="shared" si="53"/>
        <v>0</v>
      </c>
      <c r="L471">
        <f t="shared" si="54"/>
        <v>0</v>
      </c>
      <c r="M471" t="str">
        <f t="shared" si="55"/>
        <v>C</v>
      </c>
    </row>
    <row r="472" spans="1:13" x14ac:dyDescent="0.45">
      <c r="A472">
        <v>471</v>
      </c>
      <c r="B472">
        <v>15.3</v>
      </c>
      <c r="C472">
        <v>7</v>
      </c>
      <c r="D472">
        <v>0</v>
      </c>
      <c r="E472">
        <v>0</v>
      </c>
      <c r="F472">
        <v>471</v>
      </c>
      <c r="G472" t="str">
        <f t="shared" si="50"/>
        <v>C</v>
      </c>
      <c r="H472">
        <f t="shared" si="56"/>
        <v>4</v>
      </c>
      <c r="I472">
        <f t="shared" si="51"/>
        <v>0</v>
      </c>
      <c r="J472">
        <f t="shared" si="52"/>
        <v>11</v>
      </c>
      <c r="K472">
        <f t="shared" si="53"/>
        <v>0</v>
      </c>
      <c r="L472">
        <f t="shared" si="54"/>
        <v>0</v>
      </c>
      <c r="M472" t="str">
        <f t="shared" si="55"/>
        <v>C</v>
      </c>
    </row>
    <row r="473" spans="1:13" x14ac:dyDescent="0.45">
      <c r="A473">
        <v>472</v>
      </c>
      <c r="B473">
        <v>16</v>
      </c>
      <c r="C473">
        <v>5</v>
      </c>
      <c r="D473">
        <v>0</v>
      </c>
      <c r="E473">
        <v>0</v>
      </c>
      <c r="F473">
        <v>472</v>
      </c>
      <c r="G473" t="str">
        <f t="shared" si="50"/>
        <v>C</v>
      </c>
      <c r="H473">
        <f t="shared" si="56"/>
        <v>4</v>
      </c>
      <c r="I473">
        <f t="shared" si="51"/>
        <v>0</v>
      </c>
      <c r="J473">
        <f t="shared" si="52"/>
        <v>12</v>
      </c>
      <c r="K473">
        <f t="shared" si="53"/>
        <v>0</v>
      </c>
      <c r="L473">
        <f t="shared" si="54"/>
        <v>0</v>
      </c>
      <c r="M473" t="str">
        <f t="shared" si="55"/>
        <v>C</v>
      </c>
    </row>
    <row r="474" spans="1:13" x14ac:dyDescent="0.45">
      <c r="A474">
        <v>473</v>
      </c>
      <c r="B474">
        <v>17.5</v>
      </c>
      <c r="C474">
        <v>26</v>
      </c>
      <c r="D474">
        <v>0</v>
      </c>
      <c r="E474">
        <v>0</v>
      </c>
      <c r="F474">
        <v>473</v>
      </c>
      <c r="G474" t="str">
        <f t="shared" si="50"/>
        <v>C</v>
      </c>
      <c r="H474">
        <f t="shared" si="56"/>
        <v>5</v>
      </c>
      <c r="I474">
        <f t="shared" si="51"/>
        <v>0</v>
      </c>
      <c r="J474">
        <f t="shared" si="52"/>
        <v>13</v>
      </c>
      <c r="K474">
        <f t="shared" si="53"/>
        <v>0</v>
      </c>
      <c r="L474">
        <f t="shared" si="54"/>
        <v>0</v>
      </c>
      <c r="M474" t="str">
        <f t="shared" si="55"/>
        <v>C</v>
      </c>
    </row>
    <row r="475" spans="1:13" x14ac:dyDescent="0.45">
      <c r="A475">
        <v>474</v>
      </c>
      <c r="B475">
        <v>19</v>
      </c>
      <c r="C475">
        <v>0</v>
      </c>
      <c r="D475">
        <v>0</v>
      </c>
      <c r="E475">
        <v>0</v>
      </c>
      <c r="F475">
        <v>474</v>
      </c>
      <c r="G475">
        <f t="shared" si="50"/>
        <v>0</v>
      </c>
      <c r="H475">
        <f t="shared" si="56"/>
        <v>0</v>
      </c>
      <c r="I475">
        <f t="shared" si="51"/>
        <v>1</v>
      </c>
      <c r="J475">
        <f t="shared" si="52"/>
        <v>1</v>
      </c>
      <c r="K475">
        <f t="shared" si="53"/>
        <v>0</v>
      </c>
      <c r="L475">
        <f t="shared" si="54"/>
        <v>0</v>
      </c>
      <c r="M475" t="str">
        <f t="shared" si="55"/>
        <v>C</v>
      </c>
    </row>
    <row r="476" spans="1:13" x14ac:dyDescent="0.45">
      <c r="A476">
        <v>475</v>
      </c>
      <c r="B476">
        <v>19.5</v>
      </c>
      <c r="C476">
        <v>2</v>
      </c>
      <c r="D476">
        <v>0</v>
      </c>
      <c r="E476">
        <v>0</v>
      </c>
      <c r="F476">
        <v>475</v>
      </c>
      <c r="G476" t="str">
        <f t="shared" si="50"/>
        <v>C</v>
      </c>
      <c r="H476">
        <f t="shared" si="56"/>
        <v>1</v>
      </c>
      <c r="I476">
        <f t="shared" si="51"/>
        <v>0</v>
      </c>
      <c r="J476">
        <f t="shared" si="52"/>
        <v>1</v>
      </c>
      <c r="K476">
        <f t="shared" si="53"/>
        <v>1</v>
      </c>
      <c r="L476">
        <f t="shared" si="54"/>
        <v>0</v>
      </c>
      <c r="M476" t="str">
        <f t="shared" si="55"/>
        <v>C</v>
      </c>
    </row>
    <row r="477" spans="1:13" x14ac:dyDescent="0.45">
      <c r="A477">
        <v>476</v>
      </c>
      <c r="B477">
        <v>18.7</v>
      </c>
      <c r="C477">
        <v>6</v>
      </c>
      <c r="D477">
        <v>0</v>
      </c>
      <c r="E477">
        <v>0</v>
      </c>
      <c r="F477">
        <v>476</v>
      </c>
      <c r="G477" t="str">
        <f t="shared" si="50"/>
        <v>C</v>
      </c>
      <c r="H477">
        <f t="shared" si="56"/>
        <v>1</v>
      </c>
      <c r="I477">
        <f t="shared" si="51"/>
        <v>0</v>
      </c>
      <c r="J477">
        <f t="shared" si="52"/>
        <v>2</v>
      </c>
      <c r="K477">
        <f t="shared" si="53"/>
        <v>0</v>
      </c>
      <c r="L477">
        <f t="shared" si="54"/>
        <v>0</v>
      </c>
      <c r="M477" t="str">
        <f t="shared" si="55"/>
        <v>C</v>
      </c>
    </row>
    <row r="478" spans="1:13" x14ac:dyDescent="0.45">
      <c r="A478">
        <v>477</v>
      </c>
      <c r="B478">
        <v>16.3</v>
      </c>
      <c r="C478">
        <v>5</v>
      </c>
      <c r="D478">
        <v>0</v>
      </c>
      <c r="E478">
        <v>0</v>
      </c>
      <c r="F478">
        <v>477</v>
      </c>
      <c r="G478" t="str">
        <f t="shared" si="50"/>
        <v>C</v>
      </c>
      <c r="H478">
        <f t="shared" si="56"/>
        <v>1</v>
      </c>
      <c r="I478">
        <f t="shared" si="51"/>
        <v>0</v>
      </c>
      <c r="J478">
        <f t="shared" si="52"/>
        <v>3</v>
      </c>
      <c r="K478">
        <f t="shared" si="53"/>
        <v>0</v>
      </c>
      <c r="L478">
        <f t="shared" si="54"/>
        <v>0</v>
      </c>
      <c r="M478" t="str">
        <f t="shared" si="55"/>
        <v>C</v>
      </c>
    </row>
    <row r="479" spans="1:13" x14ac:dyDescent="0.45">
      <c r="A479">
        <v>478</v>
      </c>
      <c r="B479">
        <v>12.7</v>
      </c>
      <c r="C479">
        <v>6</v>
      </c>
      <c r="D479">
        <v>0</v>
      </c>
      <c r="E479">
        <v>0</v>
      </c>
      <c r="F479">
        <v>478</v>
      </c>
      <c r="G479" t="str">
        <f t="shared" si="50"/>
        <v>C</v>
      </c>
      <c r="H479">
        <f t="shared" si="56"/>
        <v>2</v>
      </c>
      <c r="I479">
        <f t="shared" si="51"/>
        <v>0</v>
      </c>
      <c r="J479">
        <f t="shared" si="52"/>
        <v>4</v>
      </c>
      <c r="K479">
        <f t="shared" si="53"/>
        <v>0</v>
      </c>
      <c r="L479">
        <f t="shared" si="54"/>
        <v>1</v>
      </c>
      <c r="M479" t="str">
        <f t="shared" si="55"/>
        <v>C</v>
      </c>
    </row>
    <row r="480" spans="1:13" x14ac:dyDescent="0.4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v>479</v>
      </c>
      <c r="G480" t="str">
        <f t="shared" si="50"/>
        <v>C</v>
      </c>
      <c r="H480">
        <f t="shared" si="56"/>
        <v>2</v>
      </c>
      <c r="I480">
        <f t="shared" si="51"/>
        <v>0</v>
      </c>
      <c r="J480">
        <f t="shared" si="52"/>
        <v>5</v>
      </c>
      <c r="K480">
        <f t="shared" si="53"/>
        <v>0</v>
      </c>
      <c r="L480">
        <f t="shared" si="54"/>
        <v>0</v>
      </c>
      <c r="M480" t="str">
        <f t="shared" si="55"/>
        <v>S</v>
      </c>
    </row>
    <row r="481" spans="1:13" x14ac:dyDescent="0.45">
      <c r="A481">
        <v>480</v>
      </c>
      <c r="B481">
        <v>5.3</v>
      </c>
      <c r="C481">
        <v>2</v>
      </c>
      <c r="D481">
        <v>0</v>
      </c>
      <c r="E481">
        <v>0</v>
      </c>
      <c r="F481">
        <v>480</v>
      </c>
      <c r="G481" t="str">
        <f t="shared" si="50"/>
        <v>C</v>
      </c>
      <c r="H481">
        <f t="shared" si="56"/>
        <v>2</v>
      </c>
      <c r="I481">
        <f t="shared" si="51"/>
        <v>0</v>
      </c>
      <c r="J481">
        <f t="shared" si="52"/>
        <v>6</v>
      </c>
      <c r="K481">
        <f t="shared" si="53"/>
        <v>0</v>
      </c>
      <c r="L481">
        <f t="shared" si="54"/>
        <v>0</v>
      </c>
      <c r="M481" t="str">
        <f t="shared" si="55"/>
        <v>S</v>
      </c>
    </row>
    <row r="482" spans="1:13" x14ac:dyDescent="0.45">
      <c r="A482">
        <v>481</v>
      </c>
      <c r="B482">
        <v>3.2</v>
      </c>
      <c r="C482">
        <v>7</v>
      </c>
      <c r="D482">
        <v>0</v>
      </c>
      <c r="E482">
        <v>0</v>
      </c>
      <c r="F482">
        <v>481</v>
      </c>
      <c r="G482" t="str">
        <f t="shared" si="50"/>
        <v>C</v>
      </c>
      <c r="H482">
        <f t="shared" si="56"/>
        <v>3</v>
      </c>
      <c r="I482">
        <f t="shared" si="51"/>
        <v>0</v>
      </c>
      <c r="J482">
        <f t="shared" si="52"/>
        <v>7</v>
      </c>
      <c r="K482">
        <f t="shared" si="53"/>
        <v>0</v>
      </c>
      <c r="L482">
        <f t="shared" si="54"/>
        <v>0</v>
      </c>
      <c r="M482" t="str">
        <f t="shared" si="55"/>
        <v>S</v>
      </c>
    </row>
    <row r="483" spans="1:13" x14ac:dyDescent="0.45">
      <c r="A483">
        <v>482</v>
      </c>
      <c r="B483">
        <v>2.7</v>
      </c>
      <c r="C483">
        <v>7</v>
      </c>
      <c r="D483">
        <v>0</v>
      </c>
      <c r="E483">
        <v>0</v>
      </c>
      <c r="F483">
        <v>482</v>
      </c>
      <c r="G483" t="str">
        <f t="shared" si="50"/>
        <v>C</v>
      </c>
      <c r="H483">
        <f t="shared" si="56"/>
        <v>3</v>
      </c>
      <c r="I483">
        <f t="shared" si="51"/>
        <v>0</v>
      </c>
      <c r="J483">
        <f t="shared" si="52"/>
        <v>8</v>
      </c>
      <c r="K483">
        <f t="shared" si="53"/>
        <v>0</v>
      </c>
      <c r="L483">
        <f t="shared" si="54"/>
        <v>0</v>
      </c>
      <c r="M483" t="str">
        <f t="shared" si="55"/>
        <v>S</v>
      </c>
    </row>
    <row r="484" spans="1:13" x14ac:dyDescent="0.45">
      <c r="A484">
        <v>483</v>
      </c>
      <c r="B484">
        <v>3.9</v>
      </c>
      <c r="C484">
        <v>8</v>
      </c>
      <c r="D484">
        <v>0</v>
      </c>
      <c r="E484">
        <v>0</v>
      </c>
      <c r="F484">
        <v>483</v>
      </c>
      <c r="G484" t="str">
        <f t="shared" si="50"/>
        <v>C</v>
      </c>
      <c r="H484">
        <f t="shared" si="56"/>
        <v>3</v>
      </c>
      <c r="I484">
        <f t="shared" si="51"/>
        <v>0</v>
      </c>
      <c r="J484">
        <f t="shared" si="52"/>
        <v>9</v>
      </c>
      <c r="K484">
        <f t="shared" si="53"/>
        <v>0</v>
      </c>
      <c r="L484">
        <f t="shared" si="54"/>
        <v>0</v>
      </c>
      <c r="M484" t="str">
        <f t="shared" si="55"/>
        <v>S</v>
      </c>
    </row>
    <row r="485" spans="1:13" x14ac:dyDescent="0.45">
      <c r="A485">
        <v>484</v>
      </c>
      <c r="B485">
        <v>6</v>
      </c>
      <c r="C485">
        <v>18</v>
      </c>
      <c r="D485">
        <v>0</v>
      </c>
      <c r="E485">
        <v>0</v>
      </c>
      <c r="F485">
        <v>484</v>
      </c>
      <c r="G485" t="str">
        <f t="shared" si="50"/>
        <v>C</v>
      </c>
      <c r="H485">
        <f t="shared" si="56"/>
        <v>4</v>
      </c>
      <c r="I485">
        <f t="shared" si="51"/>
        <v>0</v>
      </c>
      <c r="J485">
        <f t="shared" si="52"/>
        <v>10</v>
      </c>
      <c r="K485">
        <f t="shared" si="53"/>
        <v>0</v>
      </c>
      <c r="L485">
        <f t="shared" si="54"/>
        <v>0</v>
      </c>
      <c r="M485" t="str">
        <f t="shared" si="55"/>
        <v>S</v>
      </c>
    </row>
    <row r="486" spans="1:13" x14ac:dyDescent="0.4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v>485</v>
      </c>
      <c r="G486" t="str">
        <f t="shared" si="50"/>
        <v>C</v>
      </c>
      <c r="H486">
        <f t="shared" si="56"/>
        <v>4</v>
      </c>
      <c r="I486">
        <f t="shared" si="51"/>
        <v>0</v>
      </c>
      <c r="J486">
        <f t="shared" si="52"/>
        <v>11</v>
      </c>
      <c r="K486">
        <f t="shared" si="53"/>
        <v>0</v>
      </c>
      <c r="L486">
        <f t="shared" si="54"/>
        <v>0</v>
      </c>
      <c r="M486" t="str">
        <f t="shared" si="55"/>
        <v>S</v>
      </c>
    </row>
    <row r="487" spans="1:13" x14ac:dyDescent="0.4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v>486</v>
      </c>
      <c r="G487" t="str">
        <f t="shared" si="50"/>
        <v>C</v>
      </c>
      <c r="H487">
        <f t="shared" si="56"/>
        <v>4</v>
      </c>
      <c r="I487">
        <f t="shared" si="51"/>
        <v>0</v>
      </c>
      <c r="J487">
        <f t="shared" si="52"/>
        <v>12</v>
      </c>
      <c r="K487">
        <f t="shared" si="53"/>
        <v>0</v>
      </c>
      <c r="L487">
        <f t="shared" si="54"/>
        <v>0</v>
      </c>
      <c r="M487" t="str">
        <f t="shared" si="55"/>
        <v>S</v>
      </c>
    </row>
    <row r="488" spans="1:13" x14ac:dyDescent="0.45">
      <c r="A488">
        <v>487</v>
      </c>
      <c r="B488">
        <v>10</v>
      </c>
      <c r="C488">
        <v>11</v>
      </c>
      <c r="D488">
        <v>0</v>
      </c>
      <c r="E488">
        <v>0</v>
      </c>
      <c r="F488">
        <v>487</v>
      </c>
      <c r="G488" t="str">
        <f t="shared" si="50"/>
        <v>C</v>
      </c>
      <c r="H488">
        <f t="shared" si="56"/>
        <v>5</v>
      </c>
      <c r="I488">
        <f t="shared" si="51"/>
        <v>0</v>
      </c>
      <c r="J488">
        <f t="shared" si="52"/>
        <v>13</v>
      </c>
      <c r="K488">
        <f t="shared" si="53"/>
        <v>0</v>
      </c>
      <c r="L488">
        <f t="shared" si="54"/>
        <v>0</v>
      </c>
      <c r="M488" t="str">
        <f t="shared" si="55"/>
        <v>C</v>
      </c>
    </row>
    <row r="489" spans="1:13" x14ac:dyDescent="0.4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v>488</v>
      </c>
      <c r="G489" t="str">
        <f t="shared" si="50"/>
        <v>C</v>
      </c>
      <c r="H489">
        <f t="shared" si="56"/>
        <v>5</v>
      </c>
      <c r="I489">
        <f t="shared" si="51"/>
        <v>0</v>
      </c>
      <c r="J489">
        <f t="shared" si="52"/>
        <v>14</v>
      </c>
      <c r="K489">
        <f t="shared" si="53"/>
        <v>0</v>
      </c>
      <c r="L489">
        <f t="shared" si="54"/>
        <v>0</v>
      </c>
      <c r="M489" t="str">
        <f t="shared" si="55"/>
        <v>S</v>
      </c>
    </row>
    <row r="490" spans="1:13" x14ac:dyDescent="0.45">
      <c r="A490">
        <v>489</v>
      </c>
      <c r="B490">
        <v>6.6</v>
      </c>
      <c r="C490">
        <v>22</v>
      </c>
      <c r="D490">
        <v>0</v>
      </c>
      <c r="E490">
        <v>0</v>
      </c>
      <c r="F490">
        <v>489</v>
      </c>
      <c r="G490" t="str">
        <f t="shared" si="50"/>
        <v>C</v>
      </c>
      <c r="H490">
        <f t="shared" si="56"/>
        <v>5</v>
      </c>
      <c r="I490">
        <f t="shared" si="51"/>
        <v>0</v>
      </c>
      <c r="J490">
        <f t="shared" si="52"/>
        <v>15</v>
      </c>
      <c r="K490">
        <f t="shared" si="53"/>
        <v>0</v>
      </c>
      <c r="L490">
        <f t="shared" si="54"/>
        <v>0</v>
      </c>
      <c r="M490" t="str">
        <f t="shared" si="55"/>
        <v>S</v>
      </c>
    </row>
    <row r="491" spans="1:13" x14ac:dyDescent="0.4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v>490</v>
      </c>
      <c r="G491">
        <f t="shared" si="50"/>
        <v>0</v>
      </c>
      <c r="H491">
        <f t="shared" si="56"/>
        <v>0</v>
      </c>
      <c r="I491">
        <f t="shared" si="51"/>
        <v>1</v>
      </c>
      <c r="J491">
        <f t="shared" si="52"/>
        <v>1</v>
      </c>
      <c r="K491">
        <f t="shared" si="53"/>
        <v>0</v>
      </c>
      <c r="L491">
        <f t="shared" si="54"/>
        <v>0</v>
      </c>
      <c r="M491" t="str">
        <f t="shared" si="55"/>
        <v>S</v>
      </c>
    </row>
    <row r="492" spans="1:13" x14ac:dyDescent="0.4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v>491</v>
      </c>
      <c r="G492" t="str">
        <f t="shared" si="50"/>
        <v>S</v>
      </c>
      <c r="H492">
        <f t="shared" si="56"/>
        <v>1</v>
      </c>
      <c r="I492">
        <f t="shared" si="51"/>
        <v>0</v>
      </c>
      <c r="J492">
        <f t="shared" si="52"/>
        <v>1</v>
      </c>
      <c r="K492">
        <f t="shared" si="53"/>
        <v>1</v>
      </c>
      <c r="L492">
        <f t="shared" si="54"/>
        <v>0</v>
      </c>
      <c r="M492" t="str">
        <f t="shared" si="55"/>
        <v>S</v>
      </c>
    </row>
    <row r="493" spans="1:13" x14ac:dyDescent="0.45">
      <c r="A493">
        <v>492</v>
      </c>
      <c r="B493">
        <v>1.6</v>
      </c>
      <c r="C493">
        <v>4</v>
      </c>
      <c r="D493">
        <v>0</v>
      </c>
      <c r="E493">
        <v>0</v>
      </c>
      <c r="F493">
        <v>492</v>
      </c>
      <c r="G493" t="str">
        <f t="shared" si="50"/>
        <v>S</v>
      </c>
      <c r="H493">
        <f t="shared" si="56"/>
        <v>1</v>
      </c>
      <c r="I493">
        <f t="shared" si="51"/>
        <v>0</v>
      </c>
      <c r="J493">
        <f t="shared" si="52"/>
        <v>2</v>
      </c>
      <c r="K493">
        <f t="shared" si="53"/>
        <v>0</v>
      </c>
      <c r="L493">
        <f t="shared" si="54"/>
        <v>0</v>
      </c>
      <c r="M493" t="str">
        <f t="shared" si="55"/>
        <v>S</v>
      </c>
    </row>
    <row r="494" spans="1:13" x14ac:dyDescent="0.45">
      <c r="A494">
        <v>493</v>
      </c>
      <c r="B494">
        <v>2.7</v>
      </c>
      <c r="C494">
        <v>1</v>
      </c>
      <c r="D494">
        <v>0</v>
      </c>
      <c r="E494">
        <v>0</v>
      </c>
      <c r="F494">
        <v>493</v>
      </c>
      <c r="G494" t="str">
        <f t="shared" si="50"/>
        <v>S</v>
      </c>
      <c r="H494">
        <f t="shared" si="56"/>
        <v>1</v>
      </c>
      <c r="I494">
        <f t="shared" si="51"/>
        <v>0</v>
      </c>
      <c r="J494">
        <f t="shared" si="52"/>
        <v>3</v>
      </c>
      <c r="K494">
        <f t="shared" si="53"/>
        <v>0</v>
      </c>
      <c r="L494">
        <f t="shared" si="54"/>
        <v>0</v>
      </c>
      <c r="M494" t="str">
        <f t="shared" si="55"/>
        <v>S</v>
      </c>
    </row>
    <row r="495" spans="1:13" x14ac:dyDescent="0.45">
      <c r="A495">
        <v>494</v>
      </c>
      <c r="B495">
        <v>5.4</v>
      </c>
      <c r="C495">
        <v>9</v>
      </c>
      <c r="D495">
        <v>0</v>
      </c>
      <c r="E495">
        <v>0</v>
      </c>
      <c r="F495">
        <v>494</v>
      </c>
      <c r="G495" t="str">
        <f t="shared" si="50"/>
        <v>S</v>
      </c>
      <c r="H495">
        <f t="shared" si="56"/>
        <v>2</v>
      </c>
      <c r="I495">
        <f t="shared" si="51"/>
        <v>0</v>
      </c>
      <c r="J495">
        <f t="shared" si="52"/>
        <v>4</v>
      </c>
      <c r="K495">
        <f t="shared" si="53"/>
        <v>0</v>
      </c>
      <c r="L495">
        <f t="shared" si="54"/>
        <v>1</v>
      </c>
      <c r="M495" t="str">
        <f t="shared" si="55"/>
        <v>S</v>
      </c>
    </row>
    <row r="496" spans="1:13" x14ac:dyDescent="0.45">
      <c r="A496">
        <v>495</v>
      </c>
      <c r="B496">
        <v>9.1</v>
      </c>
      <c r="C496">
        <v>11</v>
      </c>
      <c r="D496">
        <v>0</v>
      </c>
      <c r="E496">
        <v>0</v>
      </c>
      <c r="F496">
        <v>495</v>
      </c>
      <c r="G496" t="str">
        <f t="shared" si="50"/>
        <v>S</v>
      </c>
      <c r="H496">
        <f t="shared" si="56"/>
        <v>2</v>
      </c>
      <c r="I496">
        <f t="shared" si="51"/>
        <v>0</v>
      </c>
      <c r="J496">
        <f t="shared" si="52"/>
        <v>5</v>
      </c>
      <c r="K496">
        <f t="shared" si="53"/>
        <v>0</v>
      </c>
      <c r="L496">
        <f t="shared" si="54"/>
        <v>0</v>
      </c>
      <c r="M496" t="str">
        <f t="shared" si="55"/>
        <v>S</v>
      </c>
    </row>
    <row r="497" spans="1:13" x14ac:dyDescent="0.45">
      <c r="A497">
        <v>496</v>
      </c>
      <c r="B497">
        <v>12.9</v>
      </c>
      <c r="C497">
        <v>8</v>
      </c>
      <c r="D497">
        <v>0</v>
      </c>
      <c r="E497">
        <v>0</v>
      </c>
      <c r="F497">
        <v>496</v>
      </c>
      <c r="G497" t="str">
        <f t="shared" si="50"/>
        <v>S</v>
      </c>
      <c r="H497">
        <f t="shared" si="56"/>
        <v>2</v>
      </c>
      <c r="I497">
        <f t="shared" si="51"/>
        <v>0</v>
      </c>
      <c r="J497">
        <f t="shared" si="52"/>
        <v>6</v>
      </c>
      <c r="K497">
        <f t="shared" si="53"/>
        <v>0</v>
      </c>
      <c r="L497">
        <f t="shared" si="54"/>
        <v>0</v>
      </c>
      <c r="M497" t="str">
        <f t="shared" si="55"/>
        <v>C</v>
      </c>
    </row>
    <row r="498" spans="1:13" x14ac:dyDescent="0.45">
      <c r="A498">
        <v>497</v>
      </c>
      <c r="B498">
        <v>15.9</v>
      </c>
      <c r="C498">
        <v>16</v>
      </c>
      <c r="D498">
        <v>0</v>
      </c>
      <c r="E498">
        <v>0</v>
      </c>
      <c r="F498">
        <v>497</v>
      </c>
      <c r="G498" t="str">
        <f t="shared" si="50"/>
        <v>S</v>
      </c>
      <c r="H498">
        <f t="shared" si="56"/>
        <v>3</v>
      </c>
      <c r="I498">
        <f t="shared" si="51"/>
        <v>0</v>
      </c>
      <c r="J498">
        <f t="shared" si="52"/>
        <v>7</v>
      </c>
      <c r="K498">
        <f t="shared" si="53"/>
        <v>0</v>
      </c>
      <c r="L498">
        <f t="shared" si="54"/>
        <v>0</v>
      </c>
      <c r="M498" t="str">
        <f t="shared" si="55"/>
        <v>C</v>
      </c>
    </row>
    <row r="499" spans="1:13" x14ac:dyDescent="0.45">
      <c r="A499">
        <v>498</v>
      </c>
      <c r="B499">
        <v>17.5</v>
      </c>
      <c r="C499">
        <v>15</v>
      </c>
      <c r="D499">
        <v>0</v>
      </c>
      <c r="E499">
        <v>0</v>
      </c>
      <c r="F499">
        <v>498</v>
      </c>
      <c r="G499" t="str">
        <f t="shared" si="50"/>
        <v>S</v>
      </c>
      <c r="H499">
        <f t="shared" si="56"/>
        <v>3</v>
      </c>
      <c r="I499">
        <f t="shared" si="51"/>
        <v>0</v>
      </c>
      <c r="J499">
        <f t="shared" si="52"/>
        <v>8</v>
      </c>
      <c r="K499">
        <f t="shared" si="53"/>
        <v>0</v>
      </c>
      <c r="L499">
        <f t="shared" si="54"/>
        <v>0</v>
      </c>
      <c r="M499" t="str">
        <f t="shared" si="55"/>
        <v>C</v>
      </c>
    </row>
    <row r="500" spans="1:13" x14ac:dyDescent="0.45">
      <c r="A500">
        <v>499</v>
      </c>
      <c r="B500">
        <v>17.5</v>
      </c>
      <c r="C500">
        <v>8</v>
      </c>
      <c r="D500">
        <v>0</v>
      </c>
      <c r="E500">
        <v>0</v>
      </c>
      <c r="F500">
        <v>499</v>
      </c>
      <c r="G500" t="str">
        <f t="shared" si="50"/>
        <v>S</v>
      </c>
      <c r="H500">
        <f t="shared" si="56"/>
        <v>3</v>
      </c>
      <c r="I500">
        <f t="shared" si="51"/>
        <v>0</v>
      </c>
      <c r="J500">
        <f t="shared" si="52"/>
        <v>9</v>
      </c>
      <c r="K500">
        <f t="shared" si="53"/>
        <v>0</v>
      </c>
      <c r="L500">
        <f t="shared" si="54"/>
        <v>0</v>
      </c>
      <c r="M500" t="str">
        <f t="shared" si="55"/>
        <v>C</v>
      </c>
    </row>
    <row r="501" spans="1:13" x14ac:dyDescent="0.4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v>500</v>
      </c>
      <c r="G501" t="str">
        <f t="shared" si="50"/>
        <v>S</v>
      </c>
      <c r="H501">
        <f t="shared" si="56"/>
        <v>4</v>
      </c>
      <c r="I501">
        <f t="shared" si="51"/>
        <v>0</v>
      </c>
      <c r="J501">
        <f t="shared" si="52"/>
        <v>10</v>
      </c>
      <c r="K501">
        <f t="shared" si="53"/>
        <v>0</v>
      </c>
      <c r="L501">
        <f t="shared" si="54"/>
        <v>0</v>
      </c>
      <c r="M501" t="str">
        <f t="shared" si="55"/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3890-156A-4854-81DA-E7FC366D2C11}">
  <dimension ref="A1:Q501"/>
  <sheetViews>
    <sheetView topLeftCell="G1" workbookViewId="0">
      <selection activeCell="P16" sqref="P16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  <col min="7" max="7" width="14.265625" bestFit="1" customWidth="1"/>
    <col min="8" max="8" width="13.73046875" bestFit="1" customWidth="1"/>
    <col min="9" max="9" width="13.73046875" customWidth="1"/>
    <col min="11" max="11" width="10.73046875" bestFit="1" customWidth="1"/>
    <col min="12" max="12" width="12.86328125" bestFit="1" customWidth="1"/>
    <col min="16" max="16" width="16.1328125" bestFit="1" customWidth="1"/>
    <col min="17" max="17" width="11.863281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3</v>
      </c>
      <c r="H1" t="s">
        <v>4</v>
      </c>
      <c r="I1" t="s">
        <v>30</v>
      </c>
      <c r="J1" t="s">
        <v>29</v>
      </c>
      <c r="K1" t="s">
        <v>31</v>
      </c>
      <c r="L1" t="s">
        <v>32</v>
      </c>
      <c r="M1" t="s">
        <v>12</v>
      </c>
    </row>
    <row r="2" spans="1:17" x14ac:dyDescent="0.45">
      <c r="A2">
        <v>1</v>
      </c>
      <c r="B2">
        <v>19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M2" t="str">
        <f>IF(B2&lt;10,"S","C")</f>
        <v>C</v>
      </c>
    </row>
    <row r="3" spans="1:17" x14ac:dyDescent="0.45">
      <c r="A3">
        <v>2</v>
      </c>
      <c r="B3">
        <v>22</v>
      </c>
      <c r="C3">
        <v>1</v>
      </c>
      <c r="D3" t="s">
        <v>5</v>
      </c>
      <c r="E3">
        <v>1</v>
      </c>
      <c r="F3">
        <v>2</v>
      </c>
      <c r="G3" t="str">
        <f>IF(I3=1,0, IF(K3=1,M3,G2))</f>
        <v>C</v>
      </c>
      <c r="H3">
        <f t="shared" ref="H3:H5" si="0">IF(I3=1,0,IF(K3=1,1,IF(MOD(J2,3)=0, IF(H2+1&gt;5,5,H2+1),H2)))</f>
        <v>1</v>
      </c>
      <c r="I3">
        <f>IF(AND(H2=5,C2&gt;=20),1,0)</f>
        <v>0</v>
      </c>
      <c r="J3">
        <f>IF(G3=G2,J2+1,1)</f>
        <v>1</v>
      </c>
      <c r="K3">
        <f>IF(AND(G2=0,H2=0),1,0)</f>
        <v>1</v>
      </c>
      <c r="L3">
        <f>IF(J2=3,1,0)</f>
        <v>0</v>
      </c>
      <c r="M3" t="str">
        <f>IF(B3&lt;10,"S","C")</f>
        <v>C</v>
      </c>
    </row>
    <row r="4" spans="1:17" x14ac:dyDescent="0.45">
      <c r="A4">
        <v>3</v>
      </c>
      <c r="B4">
        <v>23.6</v>
      </c>
      <c r="C4">
        <v>4</v>
      </c>
      <c r="D4" t="s">
        <v>5</v>
      </c>
      <c r="E4">
        <v>1</v>
      </c>
      <c r="F4">
        <v>3</v>
      </c>
      <c r="G4" t="str">
        <f t="shared" ref="G4:G67" si="1">IF(I4=1,0, IF(K4=1,M4,G3))</f>
        <v>C</v>
      </c>
      <c r="H4">
        <f t="shared" si="0"/>
        <v>1</v>
      </c>
      <c r="I4">
        <f t="shared" ref="I4:I67" si="2">IF(AND(H3=5,C3&gt;=20),1,0)</f>
        <v>0</v>
      </c>
      <c r="J4">
        <f t="shared" ref="J4:J67" si="3">IF(G4=G3,J3+1,1)</f>
        <v>2</v>
      </c>
      <c r="K4">
        <f t="shared" ref="K4:K67" si="4">IF(AND(G3=0,H3=0),1,0)</f>
        <v>0</v>
      </c>
      <c r="L4">
        <f t="shared" ref="L4:L67" si="5">IF(J3=3,1,0)</f>
        <v>0</v>
      </c>
      <c r="M4" t="str">
        <f t="shared" ref="M4:M67" si="6">IF(B4&lt;10,"S","C")</f>
        <v>C</v>
      </c>
    </row>
    <row r="5" spans="1:17" x14ac:dyDescent="0.45">
      <c r="A5">
        <v>4</v>
      </c>
      <c r="B5">
        <v>23.6</v>
      </c>
      <c r="C5">
        <v>4</v>
      </c>
      <c r="D5" t="s">
        <v>5</v>
      </c>
      <c r="E5">
        <v>1</v>
      </c>
      <c r="F5">
        <v>4</v>
      </c>
      <c r="G5" t="str">
        <f t="shared" si="1"/>
        <v>C</v>
      </c>
      <c r="H5">
        <f t="shared" si="0"/>
        <v>1</v>
      </c>
      <c r="I5">
        <f t="shared" si="2"/>
        <v>0</v>
      </c>
      <c r="J5">
        <f t="shared" si="3"/>
        <v>3</v>
      </c>
      <c r="K5">
        <f t="shared" si="4"/>
        <v>0</v>
      </c>
      <c r="L5">
        <f t="shared" si="5"/>
        <v>0</v>
      </c>
      <c r="M5" t="str">
        <f t="shared" si="6"/>
        <v>C</v>
      </c>
      <c r="P5" s="2" t="s">
        <v>13</v>
      </c>
      <c r="Q5" t="s">
        <v>33</v>
      </c>
    </row>
    <row r="6" spans="1:17" x14ac:dyDescent="0.45">
      <c r="A6">
        <v>5</v>
      </c>
      <c r="B6">
        <v>22.3</v>
      </c>
      <c r="C6">
        <v>10</v>
      </c>
      <c r="D6" t="s">
        <v>5</v>
      </c>
      <c r="E6">
        <v>2</v>
      </c>
      <c r="F6">
        <v>5</v>
      </c>
      <c r="G6" t="str">
        <f t="shared" si="1"/>
        <v>C</v>
      </c>
      <c r="H6">
        <f>IF(I6=1,0,IF(K6=1,1,IF(MOD(J5,3)=0, IF(H5+1&gt;5,5,H5+1),H5)))</f>
        <v>2</v>
      </c>
      <c r="I6">
        <f t="shared" si="2"/>
        <v>0</v>
      </c>
      <c r="J6">
        <f t="shared" si="3"/>
        <v>4</v>
      </c>
      <c r="K6">
        <f t="shared" si="4"/>
        <v>0</v>
      </c>
      <c r="L6">
        <f t="shared" si="5"/>
        <v>1</v>
      </c>
      <c r="M6" t="str">
        <f t="shared" si="6"/>
        <v>C</v>
      </c>
      <c r="P6" s="3">
        <v>0</v>
      </c>
      <c r="Q6" s="4">
        <v>34</v>
      </c>
    </row>
    <row r="7" spans="1:17" x14ac:dyDescent="0.45">
      <c r="A7">
        <v>6</v>
      </c>
      <c r="B7">
        <v>20.399999999999999</v>
      </c>
      <c r="C7">
        <v>8</v>
      </c>
      <c r="D7" t="s">
        <v>5</v>
      </c>
      <c r="E7">
        <v>2</v>
      </c>
      <c r="F7">
        <v>6</v>
      </c>
      <c r="G7" t="str">
        <f t="shared" si="1"/>
        <v>C</v>
      </c>
      <c r="H7">
        <f t="shared" ref="H7:H70" si="7">IF(I7=1,0,IF(K7=1,1,IF(MOD(J6,3)=0, IF(H6+1&gt;5,5,H6+1),H6)))</f>
        <v>2</v>
      </c>
      <c r="I7">
        <f t="shared" si="2"/>
        <v>0</v>
      </c>
      <c r="J7">
        <f t="shared" si="3"/>
        <v>5</v>
      </c>
      <c r="K7">
        <f t="shared" si="4"/>
        <v>0</v>
      </c>
      <c r="L7">
        <f t="shared" si="5"/>
        <v>0</v>
      </c>
      <c r="M7" t="str">
        <f t="shared" si="6"/>
        <v>C</v>
      </c>
      <c r="P7" s="3">
        <v>1</v>
      </c>
      <c r="Q7" s="4">
        <v>102</v>
      </c>
    </row>
    <row r="8" spans="1:17" x14ac:dyDescent="0.45">
      <c r="A8">
        <v>7</v>
      </c>
      <c r="B8">
        <v>18.899999999999999</v>
      </c>
      <c r="C8">
        <v>10</v>
      </c>
      <c r="D8" t="s">
        <v>5</v>
      </c>
      <c r="E8">
        <v>2</v>
      </c>
      <c r="F8">
        <v>7</v>
      </c>
      <c r="G8" t="str">
        <f t="shared" si="1"/>
        <v>C</v>
      </c>
      <c r="H8">
        <f t="shared" si="7"/>
        <v>2</v>
      </c>
      <c r="I8">
        <f t="shared" si="2"/>
        <v>0</v>
      </c>
      <c r="J8">
        <f t="shared" si="3"/>
        <v>6</v>
      </c>
      <c r="K8">
        <f t="shared" si="4"/>
        <v>0</v>
      </c>
      <c r="L8">
        <f t="shared" si="5"/>
        <v>0</v>
      </c>
      <c r="M8" t="str">
        <f t="shared" si="6"/>
        <v>C</v>
      </c>
      <c r="P8" s="3">
        <v>2</v>
      </c>
      <c r="Q8" s="4">
        <v>102</v>
      </c>
    </row>
    <row r="9" spans="1:17" x14ac:dyDescent="0.45">
      <c r="A9">
        <v>8</v>
      </c>
      <c r="B9">
        <v>18.5</v>
      </c>
      <c r="C9">
        <v>11</v>
      </c>
      <c r="D9" t="s">
        <v>5</v>
      </c>
      <c r="E9">
        <v>3</v>
      </c>
      <c r="F9">
        <v>8</v>
      </c>
      <c r="G9" t="str">
        <f t="shared" si="1"/>
        <v>C</v>
      </c>
      <c r="H9">
        <f t="shared" si="7"/>
        <v>3</v>
      </c>
      <c r="I9">
        <f t="shared" si="2"/>
        <v>0</v>
      </c>
      <c r="J9">
        <f t="shared" si="3"/>
        <v>7</v>
      </c>
      <c r="K9">
        <f t="shared" si="4"/>
        <v>0</v>
      </c>
      <c r="L9">
        <f t="shared" si="5"/>
        <v>0</v>
      </c>
      <c r="M9" t="str">
        <f t="shared" si="6"/>
        <v>C</v>
      </c>
      <c r="P9" s="3">
        <v>3</v>
      </c>
      <c r="Q9" s="4">
        <v>102</v>
      </c>
    </row>
    <row r="10" spans="1:17" x14ac:dyDescent="0.45">
      <c r="A10">
        <v>9</v>
      </c>
      <c r="B10">
        <v>19.5</v>
      </c>
      <c r="C10">
        <v>14</v>
      </c>
      <c r="D10" t="s">
        <v>5</v>
      </c>
      <c r="E10">
        <v>3</v>
      </c>
      <c r="F10">
        <v>9</v>
      </c>
      <c r="G10" t="str">
        <f t="shared" si="1"/>
        <v>C</v>
      </c>
      <c r="H10">
        <f t="shared" si="7"/>
        <v>3</v>
      </c>
      <c r="I10">
        <f t="shared" si="2"/>
        <v>0</v>
      </c>
      <c r="J10">
        <f t="shared" si="3"/>
        <v>8</v>
      </c>
      <c r="K10">
        <f t="shared" si="4"/>
        <v>0</v>
      </c>
      <c r="L10">
        <f t="shared" si="5"/>
        <v>0</v>
      </c>
      <c r="M10" t="str">
        <f t="shared" si="6"/>
        <v>C</v>
      </c>
      <c r="P10" s="3">
        <v>4</v>
      </c>
      <c r="Q10" s="4">
        <v>100</v>
      </c>
    </row>
    <row r="11" spans="1:17" x14ac:dyDescent="0.45">
      <c r="A11">
        <v>10</v>
      </c>
      <c r="B11">
        <v>21.8</v>
      </c>
      <c r="C11">
        <v>15</v>
      </c>
      <c r="D11" t="s">
        <v>5</v>
      </c>
      <c r="E11">
        <v>3</v>
      </c>
      <c r="F11">
        <v>10</v>
      </c>
      <c r="G11" t="str">
        <f t="shared" si="1"/>
        <v>C</v>
      </c>
      <c r="H11">
        <f t="shared" si="7"/>
        <v>3</v>
      </c>
      <c r="I11">
        <f t="shared" si="2"/>
        <v>0</v>
      </c>
      <c r="J11">
        <f t="shared" si="3"/>
        <v>9</v>
      </c>
      <c r="K11">
        <f t="shared" si="4"/>
        <v>0</v>
      </c>
      <c r="L11">
        <f t="shared" si="5"/>
        <v>0</v>
      </c>
      <c r="M11" t="str">
        <f t="shared" si="6"/>
        <v>C</v>
      </c>
      <c r="P11" s="3">
        <v>5</v>
      </c>
      <c r="Q11" s="4">
        <v>60</v>
      </c>
    </row>
    <row r="12" spans="1:17" x14ac:dyDescent="0.45">
      <c r="A12">
        <v>11</v>
      </c>
      <c r="B12">
        <v>24.8</v>
      </c>
      <c r="C12">
        <v>3</v>
      </c>
      <c r="D12" t="s">
        <v>5</v>
      </c>
      <c r="E12">
        <v>4</v>
      </c>
      <c r="F12">
        <v>11</v>
      </c>
      <c r="G12" t="str">
        <f t="shared" si="1"/>
        <v>C</v>
      </c>
      <c r="H12">
        <f t="shared" si="7"/>
        <v>4</v>
      </c>
      <c r="I12">
        <f t="shared" si="2"/>
        <v>0</v>
      </c>
      <c r="J12">
        <f t="shared" si="3"/>
        <v>10</v>
      </c>
      <c r="K12">
        <f t="shared" si="4"/>
        <v>0</v>
      </c>
      <c r="L12">
        <f t="shared" si="5"/>
        <v>0</v>
      </c>
      <c r="M12" t="str">
        <f t="shared" si="6"/>
        <v>C</v>
      </c>
      <c r="P12" s="3" t="s">
        <v>25</v>
      </c>
      <c r="Q12" s="4">
        <v>500</v>
      </c>
    </row>
    <row r="13" spans="1:17" x14ac:dyDescent="0.45">
      <c r="A13">
        <v>12</v>
      </c>
      <c r="B13">
        <v>27.7</v>
      </c>
      <c r="C13">
        <v>23</v>
      </c>
      <c r="D13" t="s">
        <v>5</v>
      </c>
      <c r="E13">
        <v>4</v>
      </c>
      <c r="F13">
        <v>12</v>
      </c>
      <c r="G13" t="str">
        <f t="shared" si="1"/>
        <v>C</v>
      </c>
      <c r="H13">
        <f t="shared" si="7"/>
        <v>4</v>
      </c>
      <c r="I13">
        <f t="shared" si="2"/>
        <v>0</v>
      </c>
      <c r="J13">
        <f t="shared" si="3"/>
        <v>11</v>
      </c>
      <c r="K13">
        <f t="shared" si="4"/>
        <v>0</v>
      </c>
      <c r="L13">
        <f t="shared" si="5"/>
        <v>0</v>
      </c>
      <c r="M13" t="str">
        <f t="shared" si="6"/>
        <v>C</v>
      </c>
    </row>
    <row r="14" spans="1:17" x14ac:dyDescent="0.45">
      <c r="A14">
        <v>13</v>
      </c>
      <c r="B14">
        <v>29.5</v>
      </c>
      <c r="C14">
        <v>17</v>
      </c>
      <c r="D14" t="s">
        <v>5</v>
      </c>
      <c r="E14">
        <v>4</v>
      </c>
      <c r="F14">
        <v>13</v>
      </c>
      <c r="G14" t="str">
        <f t="shared" si="1"/>
        <v>C</v>
      </c>
      <c r="H14">
        <f t="shared" si="7"/>
        <v>4</v>
      </c>
      <c r="I14">
        <f t="shared" si="2"/>
        <v>0</v>
      </c>
      <c r="J14">
        <f t="shared" si="3"/>
        <v>12</v>
      </c>
      <c r="K14">
        <f t="shared" si="4"/>
        <v>0</v>
      </c>
      <c r="L14">
        <f t="shared" si="5"/>
        <v>0</v>
      </c>
      <c r="M14" t="str">
        <f t="shared" si="6"/>
        <v>C</v>
      </c>
    </row>
    <row r="15" spans="1:17" x14ac:dyDescent="0.45">
      <c r="A15">
        <v>14</v>
      </c>
      <c r="B15">
        <v>29.8</v>
      </c>
      <c r="C15">
        <v>15</v>
      </c>
      <c r="D15" t="s">
        <v>5</v>
      </c>
      <c r="E15">
        <v>5</v>
      </c>
      <c r="F15">
        <v>14</v>
      </c>
      <c r="G15" t="str">
        <f t="shared" si="1"/>
        <v>C</v>
      </c>
      <c r="H15">
        <f t="shared" si="7"/>
        <v>5</v>
      </c>
      <c r="I15">
        <f t="shared" si="2"/>
        <v>0</v>
      </c>
      <c r="J15">
        <f t="shared" si="3"/>
        <v>13</v>
      </c>
      <c r="K15">
        <f t="shared" si="4"/>
        <v>0</v>
      </c>
      <c r="L15">
        <f t="shared" si="5"/>
        <v>0</v>
      </c>
      <c r="M15" t="str">
        <f t="shared" si="6"/>
        <v>C</v>
      </c>
    </row>
    <row r="16" spans="1:17" x14ac:dyDescent="0.45">
      <c r="A16">
        <v>15</v>
      </c>
      <c r="B16">
        <v>28.3</v>
      </c>
      <c r="C16">
        <v>22</v>
      </c>
      <c r="D16" t="s">
        <v>5</v>
      </c>
      <c r="E16">
        <v>5</v>
      </c>
      <c r="F16">
        <v>15</v>
      </c>
      <c r="G16" t="str">
        <f t="shared" si="1"/>
        <v>C</v>
      </c>
      <c r="H16">
        <f t="shared" si="7"/>
        <v>5</v>
      </c>
      <c r="I16">
        <f t="shared" si="2"/>
        <v>0</v>
      </c>
      <c r="J16">
        <f t="shared" si="3"/>
        <v>14</v>
      </c>
      <c r="K16">
        <f t="shared" si="4"/>
        <v>0</v>
      </c>
      <c r="L16">
        <f t="shared" si="5"/>
        <v>0</v>
      </c>
      <c r="M16" t="str">
        <f t="shared" si="6"/>
        <v>C</v>
      </c>
    </row>
    <row r="17" spans="1:13" x14ac:dyDescent="0.45">
      <c r="A17">
        <v>16</v>
      </c>
      <c r="B17">
        <v>25.5</v>
      </c>
      <c r="C17">
        <v>0</v>
      </c>
      <c r="D17">
        <v>0</v>
      </c>
      <c r="E17">
        <v>0</v>
      </c>
      <c r="F17">
        <v>16</v>
      </c>
      <c r="G17">
        <f t="shared" si="1"/>
        <v>0</v>
      </c>
      <c r="H17">
        <f t="shared" si="7"/>
        <v>0</v>
      </c>
      <c r="I17">
        <f t="shared" si="2"/>
        <v>1</v>
      </c>
      <c r="J17">
        <f t="shared" si="3"/>
        <v>1</v>
      </c>
      <c r="K17">
        <f t="shared" si="4"/>
        <v>0</v>
      </c>
      <c r="L17">
        <f t="shared" si="5"/>
        <v>0</v>
      </c>
      <c r="M17" t="str">
        <f t="shared" si="6"/>
        <v>C</v>
      </c>
    </row>
    <row r="18" spans="1:13" x14ac:dyDescent="0.45">
      <c r="A18">
        <v>17</v>
      </c>
      <c r="B18">
        <v>22</v>
      </c>
      <c r="C18">
        <v>2</v>
      </c>
      <c r="D18" t="s">
        <v>5</v>
      </c>
      <c r="E18">
        <v>1</v>
      </c>
      <c r="F18">
        <v>17</v>
      </c>
      <c r="G18" t="str">
        <f t="shared" si="1"/>
        <v>C</v>
      </c>
      <c r="H18">
        <f t="shared" si="7"/>
        <v>1</v>
      </c>
      <c r="I18">
        <f t="shared" si="2"/>
        <v>0</v>
      </c>
      <c r="J18">
        <f t="shared" si="3"/>
        <v>1</v>
      </c>
      <c r="K18">
        <f t="shared" si="4"/>
        <v>1</v>
      </c>
      <c r="L18">
        <f t="shared" si="5"/>
        <v>0</v>
      </c>
      <c r="M18" t="str">
        <f t="shared" si="6"/>
        <v>C</v>
      </c>
    </row>
    <row r="19" spans="1:13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v>18</v>
      </c>
      <c r="G19" t="str">
        <f t="shared" si="1"/>
        <v>C</v>
      </c>
      <c r="H19">
        <f t="shared" si="7"/>
        <v>1</v>
      </c>
      <c r="I19">
        <f t="shared" si="2"/>
        <v>0</v>
      </c>
      <c r="J19">
        <f t="shared" si="3"/>
        <v>2</v>
      </c>
      <c r="K19">
        <f t="shared" si="4"/>
        <v>0</v>
      </c>
      <c r="L19">
        <f t="shared" si="5"/>
        <v>0</v>
      </c>
      <c r="M19" t="str">
        <f t="shared" si="6"/>
        <v>C</v>
      </c>
    </row>
    <row r="20" spans="1:13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v>19</v>
      </c>
      <c r="G20" t="str">
        <f t="shared" si="1"/>
        <v>C</v>
      </c>
      <c r="H20">
        <f t="shared" si="7"/>
        <v>1</v>
      </c>
      <c r="I20">
        <f t="shared" si="2"/>
        <v>0</v>
      </c>
      <c r="J20">
        <f t="shared" si="3"/>
        <v>3</v>
      </c>
      <c r="K20">
        <f t="shared" si="4"/>
        <v>0</v>
      </c>
      <c r="L20">
        <f t="shared" si="5"/>
        <v>0</v>
      </c>
      <c r="M20" t="str">
        <f t="shared" si="6"/>
        <v>C</v>
      </c>
    </row>
    <row r="21" spans="1:13" x14ac:dyDescent="0.45">
      <c r="A21">
        <v>20</v>
      </c>
      <c r="B21">
        <v>16.3</v>
      </c>
      <c r="C21">
        <v>12</v>
      </c>
      <c r="D21" t="s">
        <v>5</v>
      </c>
      <c r="E21">
        <v>2</v>
      </c>
      <c r="F21">
        <v>20</v>
      </c>
      <c r="G21" t="str">
        <f t="shared" si="1"/>
        <v>C</v>
      </c>
      <c r="H21">
        <f t="shared" si="7"/>
        <v>2</v>
      </c>
      <c r="I21">
        <f t="shared" si="2"/>
        <v>0</v>
      </c>
      <c r="J21">
        <f t="shared" si="3"/>
        <v>4</v>
      </c>
      <c r="K21">
        <f t="shared" si="4"/>
        <v>0</v>
      </c>
      <c r="L21">
        <f t="shared" si="5"/>
        <v>1</v>
      </c>
      <c r="M21" t="str">
        <f t="shared" si="6"/>
        <v>C</v>
      </c>
    </row>
    <row r="22" spans="1:13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v>21</v>
      </c>
      <c r="G22" t="str">
        <f t="shared" si="1"/>
        <v>C</v>
      </c>
      <c r="H22">
        <f t="shared" si="7"/>
        <v>2</v>
      </c>
      <c r="I22">
        <f t="shared" si="2"/>
        <v>0</v>
      </c>
      <c r="J22">
        <f t="shared" si="3"/>
        <v>5</v>
      </c>
      <c r="K22">
        <f t="shared" si="4"/>
        <v>0</v>
      </c>
      <c r="L22">
        <f t="shared" si="5"/>
        <v>0</v>
      </c>
      <c r="M22" t="str">
        <f t="shared" si="6"/>
        <v>C</v>
      </c>
    </row>
    <row r="23" spans="1:13" x14ac:dyDescent="0.45">
      <c r="A23">
        <v>22</v>
      </c>
      <c r="B23">
        <v>18.7</v>
      </c>
      <c r="C23">
        <v>6</v>
      </c>
      <c r="D23" t="s">
        <v>5</v>
      </c>
      <c r="E23">
        <v>2</v>
      </c>
      <c r="F23">
        <v>22</v>
      </c>
      <c r="G23" t="str">
        <f t="shared" si="1"/>
        <v>C</v>
      </c>
      <c r="H23">
        <f t="shared" si="7"/>
        <v>2</v>
      </c>
      <c r="I23">
        <f t="shared" si="2"/>
        <v>0</v>
      </c>
      <c r="J23">
        <f t="shared" si="3"/>
        <v>6</v>
      </c>
      <c r="K23">
        <f t="shared" si="4"/>
        <v>0</v>
      </c>
      <c r="L23">
        <f t="shared" si="5"/>
        <v>0</v>
      </c>
      <c r="M23" t="str">
        <f t="shared" si="6"/>
        <v>C</v>
      </c>
    </row>
    <row r="24" spans="1:13" x14ac:dyDescent="0.45">
      <c r="A24">
        <v>23</v>
      </c>
      <c r="B24">
        <v>20.2</v>
      </c>
      <c r="C24">
        <v>18</v>
      </c>
      <c r="D24" t="s">
        <v>5</v>
      </c>
      <c r="E24">
        <v>2</v>
      </c>
      <c r="F24">
        <v>23</v>
      </c>
      <c r="G24" t="str">
        <f t="shared" si="1"/>
        <v>C</v>
      </c>
      <c r="H24">
        <f t="shared" si="7"/>
        <v>3</v>
      </c>
      <c r="I24">
        <f t="shared" si="2"/>
        <v>0</v>
      </c>
      <c r="J24">
        <f t="shared" si="3"/>
        <v>7</v>
      </c>
      <c r="K24">
        <f t="shared" si="4"/>
        <v>0</v>
      </c>
      <c r="L24">
        <f t="shared" si="5"/>
        <v>0</v>
      </c>
      <c r="M24" t="str">
        <f t="shared" si="6"/>
        <v>C</v>
      </c>
    </row>
    <row r="25" spans="1:13" x14ac:dyDescent="0.45">
      <c r="A25">
        <v>24</v>
      </c>
      <c r="B25">
        <v>20.8</v>
      </c>
      <c r="C25">
        <v>15</v>
      </c>
      <c r="D25" t="s">
        <v>5</v>
      </c>
      <c r="E25">
        <v>3</v>
      </c>
      <c r="F25">
        <v>24</v>
      </c>
      <c r="G25" t="str">
        <f t="shared" si="1"/>
        <v>C</v>
      </c>
      <c r="H25">
        <f t="shared" si="7"/>
        <v>3</v>
      </c>
      <c r="I25">
        <f t="shared" si="2"/>
        <v>0</v>
      </c>
      <c r="J25">
        <f t="shared" si="3"/>
        <v>8</v>
      </c>
      <c r="K25">
        <f t="shared" si="4"/>
        <v>0</v>
      </c>
      <c r="L25">
        <f t="shared" si="5"/>
        <v>0</v>
      </c>
      <c r="M25" t="str">
        <f t="shared" si="6"/>
        <v>C</v>
      </c>
    </row>
    <row r="26" spans="1:13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v>25</v>
      </c>
      <c r="G26" t="str">
        <f t="shared" si="1"/>
        <v>C</v>
      </c>
      <c r="H26">
        <f t="shared" si="7"/>
        <v>3</v>
      </c>
      <c r="I26">
        <f t="shared" si="2"/>
        <v>0</v>
      </c>
      <c r="J26">
        <f t="shared" si="3"/>
        <v>9</v>
      </c>
      <c r="K26">
        <f t="shared" si="4"/>
        <v>0</v>
      </c>
      <c r="L26">
        <f t="shared" si="5"/>
        <v>0</v>
      </c>
      <c r="M26" t="str">
        <f t="shared" si="6"/>
        <v>C</v>
      </c>
    </row>
    <row r="27" spans="1:13" x14ac:dyDescent="0.45">
      <c r="A27">
        <v>26</v>
      </c>
      <c r="B27">
        <v>17.5</v>
      </c>
      <c r="C27">
        <v>19</v>
      </c>
      <c r="D27" t="s">
        <v>5</v>
      </c>
      <c r="E27">
        <v>4</v>
      </c>
      <c r="F27">
        <v>26</v>
      </c>
      <c r="G27" t="str">
        <f t="shared" si="1"/>
        <v>C</v>
      </c>
      <c r="H27">
        <f t="shared" si="7"/>
        <v>4</v>
      </c>
      <c r="I27">
        <f t="shared" si="2"/>
        <v>0</v>
      </c>
      <c r="J27">
        <f t="shared" si="3"/>
        <v>10</v>
      </c>
      <c r="K27">
        <f t="shared" si="4"/>
        <v>0</v>
      </c>
      <c r="L27">
        <f t="shared" si="5"/>
        <v>0</v>
      </c>
      <c r="M27" t="str">
        <f t="shared" si="6"/>
        <v>C</v>
      </c>
    </row>
    <row r="28" spans="1:13" x14ac:dyDescent="0.45">
      <c r="A28">
        <v>27</v>
      </c>
      <c r="B28">
        <v>13.9</v>
      </c>
      <c r="C28">
        <v>18</v>
      </c>
      <c r="D28" t="s">
        <v>5</v>
      </c>
      <c r="E28">
        <v>4</v>
      </c>
      <c r="F28">
        <v>27</v>
      </c>
      <c r="G28" t="str">
        <f t="shared" si="1"/>
        <v>C</v>
      </c>
      <c r="H28">
        <f t="shared" si="7"/>
        <v>4</v>
      </c>
      <c r="I28">
        <f t="shared" si="2"/>
        <v>0</v>
      </c>
      <c r="J28">
        <f t="shared" si="3"/>
        <v>11</v>
      </c>
      <c r="K28">
        <f t="shared" si="4"/>
        <v>0</v>
      </c>
      <c r="L28">
        <f t="shared" si="5"/>
        <v>0</v>
      </c>
      <c r="M28" t="str">
        <f t="shared" si="6"/>
        <v>C</v>
      </c>
    </row>
    <row r="29" spans="1:13" x14ac:dyDescent="0.45">
      <c r="A29">
        <v>28</v>
      </c>
      <c r="B29">
        <v>9.9</v>
      </c>
      <c r="C29">
        <v>4</v>
      </c>
      <c r="D29" t="s">
        <v>5</v>
      </c>
      <c r="E29">
        <v>4</v>
      </c>
      <c r="F29">
        <v>28</v>
      </c>
      <c r="G29" t="str">
        <f t="shared" si="1"/>
        <v>C</v>
      </c>
      <c r="H29">
        <f t="shared" si="7"/>
        <v>4</v>
      </c>
      <c r="I29">
        <f t="shared" si="2"/>
        <v>0</v>
      </c>
      <c r="J29">
        <f t="shared" si="3"/>
        <v>12</v>
      </c>
      <c r="K29">
        <f t="shared" si="4"/>
        <v>0</v>
      </c>
      <c r="L29">
        <f t="shared" si="5"/>
        <v>0</v>
      </c>
      <c r="M29" t="str">
        <f t="shared" si="6"/>
        <v>S</v>
      </c>
    </row>
    <row r="30" spans="1:13" x14ac:dyDescent="0.45">
      <c r="A30">
        <v>29</v>
      </c>
      <c r="B30">
        <v>6.4</v>
      </c>
      <c r="C30">
        <v>17</v>
      </c>
      <c r="D30" t="s">
        <v>5</v>
      </c>
      <c r="E30">
        <v>5</v>
      </c>
      <c r="F30">
        <v>29</v>
      </c>
      <c r="G30" t="str">
        <f t="shared" si="1"/>
        <v>C</v>
      </c>
      <c r="H30">
        <f t="shared" si="7"/>
        <v>5</v>
      </c>
      <c r="I30">
        <f t="shared" si="2"/>
        <v>0</v>
      </c>
      <c r="J30">
        <f t="shared" si="3"/>
        <v>13</v>
      </c>
      <c r="K30">
        <f t="shared" si="4"/>
        <v>0</v>
      </c>
      <c r="L30">
        <f t="shared" si="5"/>
        <v>0</v>
      </c>
      <c r="M30" t="str">
        <f t="shared" si="6"/>
        <v>S</v>
      </c>
    </row>
    <row r="31" spans="1:13" x14ac:dyDescent="0.45">
      <c r="A31">
        <v>30</v>
      </c>
      <c r="B31">
        <v>4.2</v>
      </c>
      <c r="C31">
        <v>14</v>
      </c>
      <c r="D31" t="s">
        <v>5</v>
      </c>
      <c r="E31">
        <v>5</v>
      </c>
      <c r="F31">
        <v>30</v>
      </c>
      <c r="G31" t="str">
        <f t="shared" si="1"/>
        <v>C</v>
      </c>
      <c r="H31">
        <f t="shared" si="7"/>
        <v>5</v>
      </c>
      <c r="I31">
        <f t="shared" si="2"/>
        <v>0</v>
      </c>
      <c r="J31">
        <f t="shared" si="3"/>
        <v>14</v>
      </c>
      <c r="K31">
        <f t="shared" si="4"/>
        <v>0</v>
      </c>
      <c r="L31">
        <f t="shared" si="5"/>
        <v>0</v>
      </c>
      <c r="M31" t="str">
        <f t="shared" si="6"/>
        <v>S</v>
      </c>
    </row>
    <row r="32" spans="1:13" x14ac:dyDescent="0.45">
      <c r="A32">
        <v>31</v>
      </c>
      <c r="B32">
        <v>3.6</v>
      </c>
      <c r="C32">
        <v>12</v>
      </c>
      <c r="D32" t="s">
        <v>5</v>
      </c>
      <c r="E32">
        <v>5</v>
      </c>
      <c r="F32">
        <v>31</v>
      </c>
      <c r="G32" t="str">
        <f t="shared" si="1"/>
        <v>C</v>
      </c>
      <c r="H32">
        <f t="shared" si="7"/>
        <v>5</v>
      </c>
      <c r="I32">
        <f t="shared" si="2"/>
        <v>0</v>
      </c>
      <c r="J32">
        <f t="shared" si="3"/>
        <v>15</v>
      </c>
      <c r="K32">
        <f t="shared" si="4"/>
        <v>0</v>
      </c>
      <c r="L32">
        <f t="shared" si="5"/>
        <v>0</v>
      </c>
      <c r="M32" t="str">
        <f t="shared" si="6"/>
        <v>S</v>
      </c>
    </row>
    <row r="33" spans="1:13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v>32</v>
      </c>
      <c r="G33" t="str">
        <f t="shared" si="1"/>
        <v>C</v>
      </c>
      <c r="H33">
        <f t="shared" si="7"/>
        <v>5</v>
      </c>
      <c r="I33">
        <f t="shared" si="2"/>
        <v>0</v>
      </c>
      <c r="J33">
        <f t="shared" si="3"/>
        <v>16</v>
      </c>
      <c r="K33">
        <f t="shared" si="4"/>
        <v>0</v>
      </c>
      <c r="L33">
        <f t="shared" si="5"/>
        <v>0</v>
      </c>
      <c r="M33" t="str">
        <f t="shared" si="6"/>
        <v>S</v>
      </c>
    </row>
    <row r="34" spans="1:13" x14ac:dyDescent="0.45">
      <c r="A34">
        <v>33</v>
      </c>
      <c r="B34">
        <v>6.6</v>
      </c>
      <c r="C34">
        <v>17</v>
      </c>
      <c r="D34" t="s">
        <v>5</v>
      </c>
      <c r="E34">
        <v>5</v>
      </c>
      <c r="F34">
        <v>33</v>
      </c>
      <c r="G34" t="str">
        <f t="shared" si="1"/>
        <v>C</v>
      </c>
      <c r="H34">
        <f t="shared" si="7"/>
        <v>5</v>
      </c>
      <c r="I34">
        <f t="shared" si="2"/>
        <v>0</v>
      </c>
      <c r="J34">
        <f t="shared" si="3"/>
        <v>17</v>
      </c>
      <c r="K34">
        <f t="shared" si="4"/>
        <v>0</v>
      </c>
      <c r="L34">
        <f t="shared" si="5"/>
        <v>0</v>
      </c>
      <c r="M34" t="str">
        <f t="shared" si="6"/>
        <v>S</v>
      </c>
    </row>
    <row r="35" spans="1:13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v>34</v>
      </c>
      <c r="G35" t="str">
        <f t="shared" si="1"/>
        <v>C</v>
      </c>
      <c r="H35">
        <f t="shared" si="7"/>
        <v>5</v>
      </c>
      <c r="I35">
        <f t="shared" si="2"/>
        <v>0</v>
      </c>
      <c r="J35">
        <f t="shared" si="3"/>
        <v>18</v>
      </c>
      <c r="K35">
        <f t="shared" si="4"/>
        <v>0</v>
      </c>
      <c r="L35">
        <f t="shared" si="5"/>
        <v>0</v>
      </c>
      <c r="M35" t="str">
        <f t="shared" si="6"/>
        <v>S</v>
      </c>
    </row>
    <row r="36" spans="1:13" x14ac:dyDescent="0.45">
      <c r="A36">
        <v>35</v>
      </c>
      <c r="B36">
        <v>10</v>
      </c>
      <c r="C36">
        <v>0</v>
      </c>
      <c r="D36">
        <v>0</v>
      </c>
      <c r="E36">
        <v>0</v>
      </c>
      <c r="F36">
        <v>35</v>
      </c>
      <c r="G36">
        <f t="shared" si="1"/>
        <v>0</v>
      </c>
      <c r="H36">
        <f t="shared" si="7"/>
        <v>0</v>
      </c>
      <c r="I36">
        <f t="shared" si="2"/>
        <v>1</v>
      </c>
      <c r="J36">
        <f t="shared" si="3"/>
        <v>1</v>
      </c>
      <c r="K36">
        <f t="shared" si="4"/>
        <v>0</v>
      </c>
      <c r="L36">
        <f t="shared" si="5"/>
        <v>0</v>
      </c>
      <c r="M36" t="str">
        <f t="shared" si="6"/>
        <v>C</v>
      </c>
    </row>
    <row r="37" spans="1:13" x14ac:dyDescent="0.45">
      <c r="A37">
        <v>36</v>
      </c>
      <c r="B37">
        <v>10.1</v>
      </c>
      <c r="C37">
        <v>3</v>
      </c>
      <c r="D37" t="s">
        <v>5</v>
      </c>
      <c r="E37">
        <v>1</v>
      </c>
      <c r="F37">
        <v>36</v>
      </c>
      <c r="G37" t="str">
        <f t="shared" si="1"/>
        <v>C</v>
      </c>
      <c r="H37">
        <f t="shared" si="7"/>
        <v>1</v>
      </c>
      <c r="I37">
        <f t="shared" si="2"/>
        <v>0</v>
      </c>
      <c r="J37">
        <f t="shared" si="3"/>
        <v>1</v>
      </c>
      <c r="K37">
        <f t="shared" si="4"/>
        <v>1</v>
      </c>
      <c r="L37">
        <f t="shared" si="5"/>
        <v>0</v>
      </c>
      <c r="M37" t="str">
        <f t="shared" si="6"/>
        <v>C</v>
      </c>
    </row>
    <row r="38" spans="1:13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v>37</v>
      </c>
      <c r="G38" t="str">
        <f t="shared" si="1"/>
        <v>C</v>
      </c>
      <c r="H38">
        <f t="shared" si="7"/>
        <v>1</v>
      </c>
      <c r="I38">
        <f t="shared" si="2"/>
        <v>0</v>
      </c>
      <c r="J38">
        <f t="shared" si="3"/>
        <v>2</v>
      </c>
      <c r="K38">
        <f t="shared" si="4"/>
        <v>0</v>
      </c>
      <c r="L38">
        <f t="shared" si="5"/>
        <v>0</v>
      </c>
      <c r="M38" t="str">
        <f t="shared" si="6"/>
        <v>S</v>
      </c>
    </row>
    <row r="39" spans="1:13" x14ac:dyDescent="0.45">
      <c r="A39">
        <v>38</v>
      </c>
      <c r="B39">
        <v>6.4</v>
      </c>
      <c r="C39">
        <v>5</v>
      </c>
      <c r="D39" t="s">
        <v>5</v>
      </c>
      <c r="E39">
        <v>1</v>
      </c>
      <c r="F39">
        <v>38</v>
      </c>
      <c r="G39" t="str">
        <f t="shared" si="1"/>
        <v>C</v>
      </c>
      <c r="H39">
        <f t="shared" si="7"/>
        <v>1</v>
      </c>
      <c r="I39">
        <f t="shared" si="2"/>
        <v>0</v>
      </c>
      <c r="J39">
        <f t="shared" si="3"/>
        <v>3</v>
      </c>
      <c r="K39">
        <f t="shared" si="4"/>
        <v>0</v>
      </c>
      <c r="L39">
        <f t="shared" si="5"/>
        <v>0</v>
      </c>
      <c r="M39" t="str">
        <f t="shared" si="6"/>
        <v>S</v>
      </c>
    </row>
    <row r="40" spans="1:13" x14ac:dyDescent="0.45">
      <c r="A40">
        <v>39</v>
      </c>
      <c r="B40">
        <v>3.8</v>
      </c>
      <c r="C40">
        <v>11</v>
      </c>
      <c r="D40" t="s">
        <v>5</v>
      </c>
      <c r="E40">
        <v>2</v>
      </c>
      <c r="F40">
        <v>39</v>
      </c>
      <c r="G40" t="str">
        <f t="shared" si="1"/>
        <v>C</v>
      </c>
      <c r="H40">
        <f t="shared" si="7"/>
        <v>2</v>
      </c>
      <c r="I40">
        <f t="shared" si="2"/>
        <v>0</v>
      </c>
      <c r="J40">
        <f t="shared" si="3"/>
        <v>4</v>
      </c>
      <c r="K40">
        <f t="shared" si="4"/>
        <v>0</v>
      </c>
      <c r="L40">
        <f t="shared" si="5"/>
        <v>1</v>
      </c>
      <c r="M40" t="str">
        <f t="shared" si="6"/>
        <v>S</v>
      </c>
    </row>
    <row r="41" spans="1:13" x14ac:dyDescent="0.45">
      <c r="A41">
        <v>40</v>
      </c>
      <c r="B41">
        <v>1.7</v>
      </c>
      <c r="C41">
        <v>6</v>
      </c>
      <c r="D41" t="s">
        <v>5</v>
      </c>
      <c r="E41">
        <v>2</v>
      </c>
      <c r="F41">
        <v>40</v>
      </c>
      <c r="G41" t="str">
        <f t="shared" si="1"/>
        <v>C</v>
      </c>
      <c r="H41">
        <f t="shared" si="7"/>
        <v>2</v>
      </c>
      <c r="I41">
        <f t="shared" si="2"/>
        <v>0</v>
      </c>
      <c r="J41">
        <f t="shared" si="3"/>
        <v>5</v>
      </c>
      <c r="K41">
        <f t="shared" si="4"/>
        <v>0</v>
      </c>
      <c r="L41">
        <f t="shared" si="5"/>
        <v>0</v>
      </c>
      <c r="M41" t="str">
        <f t="shared" si="6"/>
        <v>S</v>
      </c>
    </row>
    <row r="42" spans="1:13" x14ac:dyDescent="0.45">
      <c r="A42">
        <v>41</v>
      </c>
      <c r="B42">
        <v>1</v>
      </c>
      <c r="C42">
        <v>3</v>
      </c>
      <c r="D42" t="s">
        <v>5</v>
      </c>
      <c r="E42">
        <v>2</v>
      </c>
      <c r="F42">
        <v>41</v>
      </c>
      <c r="G42" t="str">
        <f t="shared" si="1"/>
        <v>C</v>
      </c>
      <c r="H42">
        <f t="shared" si="7"/>
        <v>2</v>
      </c>
      <c r="I42">
        <f t="shared" si="2"/>
        <v>0</v>
      </c>
      <c r="J42">
        <f t="shared" si="3"/>
        <v>6</v>
      </c>
      <c r="K42">
        <f t="shared" si="4"/>
        <v>0</v>
      </c>
      <c r="L42">
        <f t="shared" si="5"/>
        <v>0</v>
      </c>
      <c r="M42" t="str">
        <f t="shared" si="6"/>
        <v>S</v>
      </c>
    </row>
    <row r="43" spans="1:13" x14ac:dyDescent="0.45">
      <c r="A43">
        <v>42</v>
      </c>
      <c r="B43">
        <v>2</v>
      </c>
      <c r="C43">
        <v>17</v>
      </c>
      <c r="D43" t="s">
        <v>5</v>
      </c>
      <c r="E43">
        <v>3</v>
      </c>
      <c r="F43">
        <v>42</v>
      </c>
      <c r="G43" t="str">
        <f t="shared" si="1"/>
        <v>C</v>
      </c>
      <c r="H43">
        <f t="shared" si="7"/>
        <v>3</v>
      </c>
      <c r="I43">
        <f t="shared" si="2"/>
        <v>0</v>
      </c>
      <c r="J43">
        <f t="shared" si="3"/>
        <v>7</v>
      </c>
      <c r="K43">
        <f t="shared" si="4"/>
        <v>0</v>
      </c>
      <c r="L43">
        <f t="shared" si="5"/>
        <v>0</v>
      </c>
      <c r="M43" t="str">
        <f t="shared" si="6"/>
        <v>S</v>
      </c>
    </row>
    <row r="44" spans="1:13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v>43</v>
      </c>
      <c r="G44" t="str">
        <f t="shared" si="1"/>
        <v>C</v>
      </c>
      <c r="H44">
        <f t="shared" si="7"/>
        <v>3</v>
      </c>
      <c r="I44">
        <f t="shared" si="2"/>
        <v>0</v>
      </c>
      <c r="J44">
        <f t="shared" si="3"/>
        <v>8</v>
      </c>
      <c r="K44">
        <f t="shared" si="4"/>
        <v>0</v>
      </c>
      <c r="L44">
        <f t="shared" si="5"/>
        <v>0</v>
      </c>
      <c r="M44" t="str">
        <f t="shared" si="6"/>
        <v>S</v>
      </c>
    </row>
    <row r="45" spans="1:13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v>44</v>
      </c>
      <c r="G45" t="str">
        <f t="shared" si="1"/>
        <v>C</v>
      </c>
      <c r="H45">
        <f t="shared" si="7"/>
        <v>3</v>
      </c>
      <c r="I45">
        <f t="shared" si="2"/>
        <v>0</v>
      </c>
      <c r="J45">
        <f t="shared" si="3"/>
        <v>9</v>
      </c>
      <c r="K45">
        <f t="shared" si="4"/>
        <v>0</v>
      </c>
      <c r="L45">
        <f t="shared" si="5"/>
        <v>0</v>
      </c>
      <c r="M45" t="str">
        <f t="shared" si="6"/>
        <v>S</v>
      </c>
    </row>
    <row r="46" spans="1:13" x14ac:dyDescent="0.45">
      <c r="A46">
        <v>45</v>
      </c>
      <c r="B46">
        <v>11.8</v>
      </c>
      <c r="C46">
        <v>2</v>
      </c>
      <c r="D46" t="s">
        <v>5</v>
      </c>
      <c r="E46">
        <v>4</v>
      </c>
      <c r="F46">
        <v>45</v>
      </c>
      <c r="G46" t="str">
        <f t="shared" si="1"/>
        <v>C</v>
      </c>
      <c r="H46">
        <f t="shared" si="7"/>
        <v>4</v>
      </c>
      <c r="I46">
        <f t="shared" si="2"/>
        <v>0</v>
      </c>
      <c r="J46">
        <f t="shared" si="3"/>
        <v>10</v>
      </c>
      <c r="K46">
        <f t="shared" si="4"/>
        <v>0</v>
      </c>
      <c r="L46">
        <f t="shared" si="5"/>
        <v>0</v>
      </c>
      <c r="M46" t="str">
        <f t="shared" si="6"/>
        <v>C</v>
      </c>
    </row>
    <row r="47" spans="1:13" x14ac:dyDescent="0.45">
      <c r="A47">
        <v>46</v>
      </c>
      <c r="B47">
        <v>14.7</v>
      </c>
      <c r="C47">
        <v>1</v>
      </c>
      <c r="D47" t="s">
        <v>5</v>
      </c>
      <c r="E47">
        <v>4</v>
      </c>
      <c r="F47">
        <v>46</v>
      </c>
      <c r="G47" t="str">
        <f t="shared" si="1"/>
        <v>C</v>
      </c>
      <c r="H47">
        <f t="shared" si="7"/>
        <v>4</v>
      </c>
      <c r="I47">
        <f t="shared" si="2"/>
        <v>0</v>
      </c>
      <c r="J47">
        <f t="shared" si="3"/>
        <v>11</v>
      </c>
      <c r="K47">
        <f t="shared" si="4"/>
        <v>0</v>
      </c>
      <c r="L47">
        <f t="shared" si="5"/>
        <v>0</v>
      </c>
      <c r="M47" t="str">
        <f t="shared" si="6"/>
        <v>C</v>
      </c>
    </row>
    <row r="48" spans="1:13" x14ac:dyDescent="0.45">
      <c r="A48">
        <v>47</v>
      </c>
      <c r="B48">
        <v>16.3</v>
      </c>
      <c r="C48">
        <v>11</v>
      </c>
      <c r="D48" t="s">
        <v>5</v>
      </c>
      <c r="E48">
        <v>4</v>
      </c>
      <c r="F48">
        <v>47</v>
      </c>
      <c r="G48" t="str">
        <f t="shared" si="1"/>
        <v>C</v>
      </c>
      <c r="H48">
        <f t="shared" si="7"/>
        <v>4</v>
      </c>
      <c r="I48">
        <f t="shared" si="2"/>
        <v>0</v>
      </c>
      <c r="J48">
        <f t="shared" si="3"/>
        <v>12</v>
      </c>
      <c r="K48">
        <f t="shared" si="4"/>
        <v>0</v>
      </c>
      <c r="L48">
        <f t="shared" si="5"/>
        <v>0</v>
      </c>
      <c r="M48" t="str">
        <f t="shared" si="6"/>
        <v>C</v>
      </c>
    </row>
    <row r="49" spans="1:13" x14ac:dyDescent="0.45">
      <c r="A49">
        <v>48</v>
      </c>
      <c r="B49">
        <v>16.3</v>
      </c>
      <c r="C49">
        <v>25</v>
      </c>
      <c r="D49" t="s">
        <v>5</v>
      </c>
      <c r="E49">
        <v>5</v>
      </c>
      <c r="F49">
        <v>48</v>
      </c>
      <c r="G49" t="str">
        <f t="shared" si="1"/>
        <v>C</v>
      </c>
      <c r="H49">
        <f t="shared" si="7"/>
        <v>5</v>
      </c>
      <c r="I49">
        <f t="shared" si="2"/>
        <v>0</v>
      </c>
      <c r="J49">
        <f t="shared" si="3"/>
        <v>13</v>
      </c>
      <c r="K49">
        <f t="shared" si="4"/>
        <v>0</v>
      </c>
      <c r="L49">
        <f t="shared" si="5"/>
        <v>0</v>
      </c>
      <c r="M49" t="str">
        <f t="shared" si="6"/>
        <v>C</v>
      </c>
    </row>
    <row r="50" spans="1:13" x14ac:dyDescent="0.45">
      <c r="A50">
        <v>49</v>
      </c>
      <c r="B50">
        <v>15.2</v>
      </c>
      <c r="C50">
        <v>0</v>
      </c>
      <c r="D50">
        <v>0</v>
      </c>
      <c r="E50">
        <v>0</v>
      </c>
      <c r="F50">
        <v>49</v>
      </c>
      <c r="G50">
        <f t="shared" si="1"/>
        <v>0</v>
      </c>
      <c r="H50">
        <f t="shared" si="7"/>
        <v>0</v>
      </c>
      <c r="I50">
        <f t="shared" si="2"/>
        <v>1</v>
      </c>
      <c r="J50">
        <f t="shared" si="3"/>
        <v>1</v>
      </c>
      <c r="K50">
        <f t="shared" si="4"/>
        <v>0</v>
      </c>
      <c r="L50">
        <f t="shared" si="5"/>
        <v>0</v>
      </c>
      <c r="M50" t="str">
        <f t="shared" si="6"/>
        <v>C</v>
      </c>
    </row>
    <row r="51" spans="1:13" x14ac:dyDescent="0.45">
      <c r="A51">
        <v>50</v>
      </c>
      <c r="B51">
        <v>13.6</v>
      </c>
      <c r="C51">
        <v>2</v>
      </c>
      <c r="D51" t="s">
        <v>5</v>
      </c>
      <c r="E51">
        <v>1</v>
      </c>
      <c r="F51">
        <v>50</v>
      </c>
      <c r="G51" t="str">
        <f t="shared" si="1"/>
        <v>C</v>
      </c>
      <c r="H51">
        <f t="shared" si="7"/>
        <v>1</v>
      </c>
      <c r="I51">
        <f t="shared" si="2"/>
        <v>0</v>
      </c>
      <c r="J51">
        <f t="shared" si="3"/>
        <v>1</v>
      </c>
      <c r="K51">
        <f t="shared" si="4"/>
        <v>1</v>
      </c>
      <c r="L51">
        <f t="shared" si="5"/>
        <v>0</v>
      </c>
      <c r="M51" t="str">
        <f t="shared" si="6"/>
        <v>C</v>
      </c>
    </row>
    <row r="52" spans="1:13" x14ac:dyDescent="0.45">
      <c r="A52">
        <v>51</v>
      </c>
      <c r="B52">
        <v>12.5</v>
      </c>
      <c r="C52">
        <v>3</v>
      </c>
      <c r="D52" t="s">
        <v>5</v>
      </c>
      <c r="E52">
        <v>1</v>
      </c>
      <c r="F52">
        <v>51</v>
      </c>
      <c r="G52" t="str">
        <f t="shared" si="1"/>
        <v>C</v>
      </c>
      <c r="H52">
        <f t="shared" si="7"/>
        <v>1</v>
      </c>
      <c r="I52">
        <f t="shared" si="2"/>
        <v>0</v>
      </c>
      <c r="J52">
        <f t="shared" si="3"/>
        <v>2</v>
      </c>
      <c r="K52">
        <f t="shared" si="4"/>
        <v>0</v>
      </c>
      <c r="L52">
        <f t="shared" si="5"/>
        <v>0</v>
      </c>
      <c r="M52" t="str">
        <f t="shared" si="6"/>
        <v>C</v>
      </c>
    </row>
    <row r="53" spans="1:13" x14ac:dyDescent="0.45">
      <c r="A53">
        <v>52</v>
      </c>
      <c r="B53">
        <v>12.5</v>
      </c>
      <c r="C53">
        <v>2</v>
      </c>
      <c r="D53" t="s">
        <v>5</v>
      </c>
      <c r="E53">
        <v>1</v>
      </c>
      <c r="F53">
        <v>52</v>
      </c>
      <c r="G53" t="str">
        <f t="shared" si="1"/>
        <v>C</v>
      </c>
      <c r="H53">
        <f t="shared" si="7"/>
        <v>1</v>
      </c>
      <c r="I53">
        <f t="shared" si="2"/>
        <v>0</v>
      </c>
      <c r="J53">
        <f t="shared" si="3"/>
        <v>3</v>
      </c>
      <c r="K53">
        <f t="shared" si="4"/>
        <v>0</v>
      </c>
      <c r="L53">
        <f t="shared" si="5"/>
        <v>0</v>
      </c>
      <c r="M53" t="str">
        <f t="shared" si="6"/>
        <v>C</v>
      </c>
    </row>
    <row r="54" spans="1:13" x14ac:dyDescent="0.45">
      <c r="A54">
        <v>53</v>
      </c>
      <c r="B54">
        <v>14.1</v>
      </c>
      <c r="C54">
        <v>4</v>
      </c>
      <c r="D54" t="s">
        <v>5</v>
      </c>
      <c r="E54">
        <v>2</v>
      </c>
      <c r="F54">
        <v>53</v>
      </c>
      <c r="G54" t="str">
        <f t="shared" si="1"/>
        <v>C</v>
      </c>
      <c r="H54">
        <f t="shared" si="7"/>
        <v>2</v>
      </c>
      <c r="I54">
        <f t="shared" si="2"/>
        <v>0</v>
      </c>
      <c r="J54">
        <f t="shared" si="3"/>
        <v>4</v>
      </c>
      <c r="K54">
        <f t="shared" si="4"/>
        <v>0</v>
      </c>
      <c r="L54">
        <f t="shared" si="5"/>
        <v>1</v>
      </c>
      <c r="M54" t="str">
        <f t="shared" si="6"/>
        <v>C</v>
      </c>
    </row>
    <row r="55" spans="1:13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v>54</v>
      </c>
      <c r="G55" t="str">
        <f t="shared" si="1"/>
        <v>C</v>
      </c>
      <c r="H55">
        <f t="shared" si="7"/>
        <v>2</v>
      </c>
      <c r="I55">
        <f t="shared" si="2"/>
        <v>0</v>
      </c>
      <c r="J55">
        <f t="shared" si="3"/>
        <v>5</v>
      </c>
      <c r="K55">
        <f t="shared" si="4"/>
        <v>0</v>
      </c>
      <c r="L55">
        <f t="shared" si="5"/>
        <v>0</v>
      </c>
      <c r="M55" t="str">
        <f t="shared" si="6"/>
        <v>C</v>
      </c>
    </row>
    <row r="56" spans="1:13" x14ac:dyDescent="0.45">
      <c r="A56">
        <v>55</v>
      </c>
      <c r="B56">
        <v>20.9</v>
      </c>
      <c r="C56">
        <v>9</v>
      </c>
      <c r="D56" t="s">
        <v>5</v>
      </c>
      <c r="E56">
        <v>2</v>
      </c>
      <c r="F56">
        <v>55</v>
      </c>
      <c r="G56" t="str">
        <f t="shared" si="1"/>
        <v>C</v>
      </c>
      <c r="H56">
        <f t="shared" si="7"/>
        <v>2</v>
      </c>
      <c r="I56">
        <f t="shared" si="2"/>
        <v>0</v>
      </c>
      <c r="J56">
        <f t="shared" si="3"/>
        <v>6</v>
      </c>
      <c r="K56">
        <f t="shared" si="4"/>
        <v>0</v>
      </c>
      <c r="L56">
        <f t="shared" si="5"/>
        <v>0</v>
      </c>
      <c r="M56" t="str">
        <f t="shared" si="6"/>
        <v>C</v>
      </c>
    </row>
    <row r="57" spans="1:13" x14ac:dyDescent="0.45">
      <c r="A57">
        <v>56</v>
      </c>
      <c r="B57">
        <v>24.5</v>
      </c>
      <c r="C57">
        <v>2</v>
      </c>
      <c r="D57" t="s">
        <v>5</v>
      </c>
      <c r="E57">
        <v>3</v>
      </c>
      <c r="F57">
        <v>56</v>
      </c>
      <c r="G57" t="str">
        <f t="shared" si="1"/>
        <v>C</v>
      </c>
      <c r="H57">
        <f t="shared" si="7"/>
        <v>3</v>
      </c>
      <c r="I57">
        <f t="shared" si="2"/>
        <v>0</v>
      </c>
      <c r="J57">
        <f t="shared" si="3"/>
        <v>7</v>
      </c>
      <c r="K57">
        <f t="shared" si="4"/>
        <v>0</v>
      </c>
      <c r="L57">
        <f t="shared" si="5"/>
        <v>0</v>
      </c>
      <c r="M57" t="str">
        <f t="shared" si="6"/>
        <v>C</v>
      </c>
    </row>
    <row r="58" spans="1:13" x14ac:dyDescent="0.45">
      <c r="A58">
        <v>57</v>
      </c>
      <c r="B58">
        <v>27.3</v>
      </c>
      <c r="C58">
        <v>16</v>
      </c>
      <c r="D58" t="s">
        <v>5</v>
      </c>
      <c r="E58">
        <v>3</v>
      </c>
      <c r="F58">
        <v>57</v>
      </c>
      <c r="G58" t="str">
        <f t="shared" si="1"/>
        <v>C</v>
      </c>
      <c r="H58">
        <f t="shared" si="7"/>
        <v>3</v>
      </c>
      <c r="I58">
        <f t="shared" si="2"/>
        <v>0</v>
      </c>
      <c r="J58">
        <f t="shared" si="3"/>
        <v>8</v>
      </c>
      <c r="K58">
        <f t="shared" si="4"/>
        <v>0</v>
      </c>
      <c r="L58">
        <f t="shared" si="5"/>
        <v>0</v>
      </c>
      <c r="M58" t="str">
        <f t="shared" si="6"/>
        <v>C</v>
      </c>
    </row>
    <row r="59" spans="1:13" x14ac:dyDescent="0.45">
      <c r="A59">
        <v>58</v>
      </c>
      <c r="B59">
        <v>28.4</v>
      </c>
      <c r="C59">
        <v>14</v>
      </c>
      <c r="D59" t="s">
        <v>5</v>
      </c>
      <c r="E59">
        <v>3</v>
      </c>
      <c r="F59">
        <v>58</v>
      </c>
      <c r="G59" t="str">
        <f t="shared" si="1"/>
        <v>C</v>
      </c>
      <c r="H59">
        <f t="shared" si="7"/>
        <v>3</v>
      </c>
      <c r="I59">
        <f t="shared" si="2"/>
        <v>0</v>
      </c>
      <c r="J59">
        <f t="shared" si="3"/>
        <v>9</v>
      </c>
      <c r="K59">
        <f t="shared" si="4"/>
        <v>0</v>
      </c>
      <c r="L59">
        <f t="shared" si="5"/>
        <v>0</v>
      </c>
      <c r="M59" t="str">
        <f t="shared" si="6"/>
        <v>C</v>
      </c>
    </row>
    <row r="60" spans="1:13" x14ac:dyDescent="0.45">
      <c r="A60">
        <v>59</v>
      </c>
      <c r="B60">
        <v>27.8</v>
      </c>
      <c r="C60">
        <v>14</v>
      </c>
      <c r="D60" t="s">
        <v>5</v>
      </c>
      <c r="E60">
        <v>3</v>
      </c>
      <c r="F60">
        <v>59</v>
      </c>
      <c r="G60" t="str">
        <f t="shared" si="1"/>
        <v>C</v>
      </c>
      <c r="H60">
        <f t="shared" si="7"/>
        <v>4</v>
      </c>
      <c r="I60">
        <f t="shared" si="2"/>
        <v>0</v>
      </c>
      <c r="J60">
        <f t="shared" si="3"/>
        <v>10</v>
      </c>
      <c r="K60">
        <f t="shared" si="4"/>
        <v>0</v>
      </c>
      <c r="L60">
        <f t="shared" si="5"/>
        <v>0</v>
      </c>
      <c r="M60" t="str">
        <f t="shared" si="6"/>
        <v>C</v>
      </c>
    </row>
    <row r="61" spans="1:13" x14ac:dyDescent="0.45">
      <c r="A61">
        <v>60</v>
      </c>
      <c r="B61">
        <v>25.9</v>
      </c>
      <c r="C61">
        <v>6</v>
      </c>
      <c r="D61" t="s">
        <v>5</v>
      </c>
      <c r="E61">
        <v>4</v>
      </c>
      <c r="F61">
        <v>60</v>
      </c>
      <c r="G61" t="str">
        <f t="shared" si="1"/>
        <v>C</v>
      </c>
      <c r="H61">
        <f t="shared" si="7"/>
        <v>4</v>
      </c>
      <c r="I61">
        <f t="shared" si="2"/>
        <v>0</v>
      </c>
      <c r="J61">
        <f t="shared" si="3"/>
        <v>11</v>
      </c>
      <c r="K61">
        <f t="shared" si="4"/>
        <v>0</v>
      </c>
      <c r="L61">
        <f t="shared" si="5"/>
        <v>0</v>
      </c>
      <c r="M61" t="str">
        <f t="shared" si="6"/>
        <v>C</v>
      </c>
    </row>
    <row r="62" spans="1:13" x14ac:dyDescent="0.45">
      <c r="A62">
        <v>61</v>
      </c>
      <c r="B62">
        <v>23.4</v>
      </c>
      <c r="C62">
        <v>21</v>
      </c>
      <c r="D62" t="s">
        <v>5</v>
      </c>
      <c r="E62">
        <v>4</v>
      </c>
      <c r="F62">
        <v>61</v>
      </c>
      <c r="G62" t="str">
        <f t="shared" si="1"/>
        <v>C</v>
      </c>
      <c r="H62">
        <f t="shared" si="7"/>
        <v>4</v>
      </c>
      <c r="I62">
        <f t="shared" si="2"/>
        <v>0</v>
      </c>
      <c r="J62">
        <f t="shared" si="3"/>
        <v>12</v>
      </c>
      <c r="K62">
        <f t="shared" si="4"/>
        <v>0</v>
      </c>
      <c r="L62">
        <f t="shared" si="5"/>
        <v>0</v>
      </c>
      <c r="M62" t="str">
        <f t="shared" si="6"/>
        <v>C</v>
      </c>
    </row>
    <row r="63" spans="1:13" x14ac:dyDescent="0.45">
      <c r="A63">
        <v>62</v>
      </c>
      <c r="B63">
        <v>21.2</v>
      </c>
      <c r="C63">
        <v>21</v>
      </c>
      <c r="D63" t="s">
        <v>5</v>
      </c>
      <c r="E63">
        <v>5</v>
      </c>
      <c r="F63">
        <v>62</v>
      </c>
      <c r="G63" t="str">
        <f t="shared" si="1"/>
        <v>C</v>
      </c>
      <c r="H63">
        <f t="shared" si="7"/>
        <v>5</v>
      </c>
      <c r="I63">
        <f t="shared" si="2"/>
        <v>0</v>
      </c>
      <c r="J63">
        <f t="shared" si="3"/>
        <v>13</v>
      </c>
      <c r="K63">
        <f t="shared" si="4"/>
        <v>0</v>
      </c>
      <c r="L63">
        <f t="shared" si="5"/>
        <v>0</v>
      </c>
      <c r="M63" t="str">
        <f t="shared" si="6"/>
        <v>C</v>
      </c>
    </row>
    <row r="64" spans="1:13" x14ac:dyDescent="0.45">
      <c r="A64">
        <v>63</v>
      </c>
      <c r="B64">
        <v>20</v>
      </c>
      <c r="C64">
        <v>0</v>
      </c>
      <c r="D64">
        <v>0</v>
      </c>
      <c r="E64">
        <v>0</v>
      </c>
      <c r="F64">
        <v>63</v>
      </c>
      <c r="G64">
        <f t="shared" si="1"/>
        <v>0</v>
      </c>
      <c r="H64">
        <f t="shared" si="7"/>
        <v>0</v>
      </c>
      <c r="I64">
        <f t="shared" si="2"/>
        <v>1</v>
      </c>
      <c r="J64">
        <f t="shared" si="3"/>
        <v>1</v>
      </c>
      <c r="K64">
        <f t="shared" si="4"/>
        <v>0</v>
      </c>
      <c r="L64">
        <f t="shared" si="5"/>
        <v>0</v>
      </c>
      <c r="M64" t="str">
        <f t="shared" si="6"/>
        <v>C</v>
      </c>
    </row>
    <row r="65" spans="1:13" x14ac:dyDescent="0.45">
      <c r="A65">
        <v>64</v>
      </c>
      <c r="B65">
        <v>20.3</v>
      </c>
      <c r="C65">
        <v>4</v>
      </c>
      <c r="D65" t="s">
        <v>5</v>
      </c>
      <c r="E65">
        <v>1</v>
      </c>
      <c r="F65">
        <v>64</v>
      </c>
      <c r="G65" t="str">
        <f t="shared" si="1"/>
        <v>C</v>
      </c>
      <c r="H65">
        <f t="shared" si="7"/>
        <v>1</v>
      </c>
      <c r="I65">
        <f t="shared" si="2"/>
        <v>0</v>
      </c>
      <c r="J65">
        <f t="shared" si="3"/>
        <v>1</v>
      </c>
      <c r="K65">
        <f t="shared" si="4"/>
        <v>1</v>
      </c>
      <c r="L65">
        <f t="shared" si="5"/>
        <v>0</v>
      </c>
      <c r="M65" t="str">
        <f t="shared" si="6"/>
        <v>C</v>
      </c>
    </row>
    <row r="66" spans="1:13" x14ac:dyDescent="0.45">
      <c r="A66">
        <v>65</v>
      </c>
      <c r="B66">
        <v>21.8</v>
      </c>
      <c r="C66">
        <v>6</v>
      </c>
      <c r="D66" t="s">
        <v>5</v>
      </c>
      <c r="E66">
        <v>1</v>
      </c>
      <c r="F66">
        <v>65</v>
      </c>
      <c r="G66" t="str">
        <f t="shared" si="1"/>
        <v>C</v>
      </c>
      <c r="H66">
        <f t="shared" si="7"/>
        <v>1</v>
      </c>
      <c r="I66">
        <f t="shared" si="2"/>
        <v>0</v>
      </c>
      <c r="J66">
        <f t="shared" si="3"/>
        <v>2</v>
      </c>
      <c r="K66">
        <f t="shared" si="4"/>
        <v>0</v>
      </c>
      <c r="L66">
        <f t="shared" si="5"/>
        <v>0</v>
      </c>
      <c r="M66" t="str">
        <f t="shared" si="6"/>
        <v>C</v>
      </c>
    </row>
    <row r="67" spans="1:13" x14ac:dyDescent="0.45">
      <c r="A67">
        <v>66</v>
      </c>
      <c r="B67">
        <v>24</v>
      </c>
      <c r="C67">
        <v>3</v>
      </c>
      <c r="D67" t="s">
        <v>5</v>
      </c>
      <c r="E67">
        <v>1</v>
      </c>
      <c r="F67">
        <v>66</v>
      </c>
      <c r="G67" t="str">
        <f t="shared" si="1"/>
        <v>C</v>
      </c>
      <c r="H67">
        <f t="shared" si="7"/>
        <v>1</v>
      </c>
      <c r="I67">
        <f t="shared" si="2"/>
        <v>0</v>
      </c>
      <c r="J67">
        <f t="shared" si="3"/>
        <v>3</v>
      </c>
      <c r="K67">
        <f t="shared" si="4"/>
        <v>0</v>
      </c>
      <c r="L67">
        <f t="shared" si="5"/>
        <v>0</v>
      </c>
      <c r="M67" t="str">
        <f t="shared" si="6"/>
        <v>C</v>
      </c>
    </row>
    <row r="68" spans="1:13" x14ac:dyDescent="0.45">
      <c r="A68">
        <v>67</v>
      </c>
      <c r="B68">
        <v>26.1</v>
      </c>
      <c r="C68">
        <v>7</v>
      </c>
      <c r="D68" t="s">
        <v>5</v>
      </c>
      <c r="E68">
        <v>2</v>
      </c>
      <c r="F68">
        <v>67</v>
      </c>
      <c r="G68" t="str">
        <f t="shared" ref="G68:G131" si="8">IF(I68=1,0, IF(K68=1,M68,G67))</f>
        <v>C</v>
      </c>
      <c r="H68">
        <f t="shared" si="7"/>
        <v>2</v>
      </c>
      <c r="I68">
        <f t="shared" ref="I68:I131" si="9">IF(AND(H67=5,C67&gt;=20),1,0)</f>
        <v>0</v>
      </c>
      <c r="J68">
        <f t="shared" ref="J68:J131" si="10">IF(G68=G67,J67+1,1)</f>
        <v>4</v>
      </c>
      <c r="K68">
        <f t="shared" ref="K68:K131" si="11">IF(AND(G67=0,H67=0),1,0)</f>
        <v>0</v>
      </c>
      <c r="L68">
        <f t="shared" ref="L68:L131" si="12">IF(J67=3,1,0)</f>
        <v>1</v>
      </c>
      <c r="M68" t="str">
        <f t="shared" ref="M68:M131" si="13">IF(B68&lt;10,"S","C")</f>
        <v>C</v>
      </c>
    </row>
    <row r="69" spans="1:13" x14ac:dyDescent="0.45">
      <c r="A69">
        <v>68</v>
      </c>
      <c r="B69">
        <v>27.3</v>
      </c>
      <c r="C69">
        <v>6</v>
      </c>
      <c r="D69" t="s">
        <v>5</v>
      </c>
      <c r="E69">
        <v>2</v>
      </c>
      <c r="F69">
        <v>68</v>
      </c>
      <c r="G69" t="str">
        <f t="shared" si="8"/>
        <v>C</v>
      </c>
      <c r="H69">
        <f t="shared" si="7"/>
        <v>2</v>
      </c>
      <c r="I69">
        <f t="shared" si="9"/>
        <v>0</v>
      </c>
      <c r="J69">
        <f t="shared" si="10"/>
        <v>5</v>
      </c>
      <c r="K69">
        <f t="shared" si="11"/>
        <v>0</v>
      </c>
      <c r="L69">
        <f t="shared" si="12"/>
        <v>0</v>
      </c>
      <c r="M69" t="str">
        <f t="shared" si="13"/>
        <v>C</v>
      </c>
    </row>
    <row r="70" spans="1:13" x14ac:dyDescent="0.45">
      <c r="A70">
        <v>69</v>
      </c>
      <c r="B70">
        <v>26.8</v>
      </c>
      <c r="C70">
        <v>8</v>
      </c>
      <c r="D70" t="s">
        <v>5</v>
      </c>
      <c r="E70">
        <v>2</v>
      </c>
      <c r="F70">
        <v>69</v>
      </c>
      <c r="G70" t="str">
        <f t="shared" si="8"/>
        <v>C</v>
      </c>
      <c r="H70">
        <f t="shared" si="7"/>
        <v>2</v>
      </c>
      <c r="I70">
        <f t="shared" si="9"/>
        <v>0</v>
      </c>
      <c r="J70">
        <f t="shared" si="10"/>
        <v>6</v>
      </c>
      <c r="K70">
        <f t="shared" si="11"/>
        <v>0</v>
      </c>
      <c r="L70">
        <f t="shared" si="12"/>
        <v>0</v>
      </c>
      <c r="M70" t="str">
        <f t="shared" si="13"/>
        <v>C</v>
      </c>
    </row>
    <row r="71" spans="1:13" x14ac:dyDescent="0.45">
      <c r="A71">
        <v>70</v>
      </c>
      <c r="B71">
        <v>24.7</v>
      </c>
      <c r="C71">
        <v>3</v>
      </c>
      <c r="D71" t="s">
        <v>5</v>
      </c>
      <c r="E71">
        <v>3</v>
      </c>
      <c r="F71">
        <v>70</v>
      </c>
      <c r="G71" t="str">
        <f t="shared" si="8"/>
        <v>C</v>
      </c>
      <c r="H71">
        <f t="shared" ref="H71:H134" si="14">IF(I71=1,0,IF(K71=1,1,IF(MOD(J70,3)=0, IF(H70+1&gt;5,5,H70+1),H70)))</f>
        <v>3</v>
      </c>
      <c r="I71">
        <f t="shared" si="9"/>
        <v>0</v>
      </c>
      <c r="J71">
        <f t="shared" si="10"/>
        <v>7</v>
      </c>
      <c r="K71">
        <f t="shared" si="11"/>
        <v>0</v>
      </c>
      <c r="L71">
        <f t="shared" si="12"/>
        <v>0</v>
      </c>
      <c r="M71" t="str">
        <f t="shared" si="13"/>
        <v>C</v>
      </c>
    </row>
    <row r="72" spans="1:13" x14ac:dyDescent="0.45">
      <c r="A72">
        <v>71</v>
      </c>
      <c r="B72">
        <v>21.2</v>
      </c>
      <c r="C72">
        <v>16</v>
      </c>
      <c r="D72" t="s">
        <v>5</v>
      </c>
      <c r="E72">
        <v>3</v>
      </c>
      <c r="F72">
        <v>71</v>
      </c>
      <c r="G72" t="str">
        <f t="shared" si="8"/>
        <v>C</v>
      </c>
      <c r="H72">
        <f t="shared" si="14"/>
        <v>3</v>
      </c>
      <c r="I72">
        <f t="shared" si="9"/>
        <v>0</v>
      </c>
      <c r="J72">
        <f t="shared" si="10"/>
        <v>8</v>
      </c>
      <c r="K72">
        <f t="shared" si="11"/>
        <v>0</v>
      </c>
      <c r="L72">
        <f t="shared" si="12"/>
        <v>0</v>
      </c>
      <c r="M72" t="str">
        <f t="shared" si="13"/>
        <v>C</v>
      </c>
    </row>
    <row r="73" spans="1:13" x14ac:dyDescent="0.45">
      <c r="A73">
        <v>72</v>
      </c>
      <c r="B73">
        <v>17.3</v>
      </c>
      <c r="C73">
        <v>8</v>
      </c>
      <c r="D73" t="s">
        <v>5</v>
      </c>
      <c r="E73">
        <v>3</v>
      </c>
      <c r="F73">
        <v>72</v>
      </c>
      <c r="G73" t="str">
        <f t="shared" si="8"/>
        <v>C</v>
      </c>
      <c r="H73">
        <f t="shared" si="14"/>
        <v>3</v>
      </c>
      <c r="I73">
        <f t="shared" si="9"/>
        <v>0</v>
      </c>
      <c r="J73">
        <f t="shared" si="10"/>
        <v>9</v>
      </c>
      <c r="K73">
        <f t="shared" si="11"/>
        <v>0</v>
      </c>
      <c r="L73">
        <f t="shared" si="12"/>
        <v>0</v>
      </c>
      <c r="M73" t="str">
        <f t="shared" si="13"/>
        <v>C</v>
      </c>
    </row>
    <row r="74" spans="1:13" x14ac:dyDescent="0.45">
      <c r="A74">
        <v>73</v>
      </c>
      <c r="B74">
        <v>13.7</v>
      </c>
      <c r="C74">
        <v>19</v>
      </c>
      <c r="D74" t="s">
        <v>5</v>
      </c>
      <c r="E74">
        <v>4</v>
      </c>
      <c r="F74">
        <v>73</v>
      </c>
      <c r="G74" t="str">
        <f t="shared" si="8"/>
        <v>C</v>
      </c>
      <c r="H74">
        <f t="shared" si="14"/>
        <v>4</v>
      </c>
      <c r="I74">
        <f t="shared" si="9"/>
        <v>0</v>
      </c>
      <c r="J74">
        <f t="shared" si="10"/>
        <v>10</v>
      </c>
      <c r="K74">
        <f t="shared" si="11"/>
        <v>0</v>
      </c>
      <c r="L74">
        <f t="shared" si="12"/>
        <v>0</v>
      </c>
      <c r="M74" t="str">
        <f t="shared" si="13"/>
        <v>C</v>
      </c>
    </row>
    <row r="75" spans="1:13" x14ac:dyDescent="0.45">
      <c r="A75">
        <v>74</v>
      </c>
      <c r="B75">
        <v>11.3</v>
      </c>
      <c r="C75">
        <v>5</v>
      </c>
      <c r="D75" t="s">
        <v>5</v>
      </c>
      <c r="E75">
        <v>4</v>
      </c>
      <c r="F75">
        <v>74</v>
      </c>
      <c r="G75" t="str">
        <f t="shared" si="8"/>
        <v>C</v>
      </c>
      <c r="H75">
        <f t="shared" si="14"/>
        <v>4</v>
      </c>
      <c r="I75">
        <f t="shared" si="9"/>
        <v>0</v>
      </c>
      <c r="J75">
        <f t="shared" si="10"/>
        <v>11</v>
      </c>
      <c r="K75">
        <f t="shared" si="11"/>
        <v>0</v>
      </c>
      <c r="L75">
        <f t="shared" si="12"/>
        <v>0</v>
      </c>
      <c r="M75" t="str">
        <f t="shared" si="13"/>
        <v>C</v>
      </c>
    </row>
    <row r="76" spans="1:13" x14ac:dyDescent="0.45">
      <c r="A76">
        <v>75</v>
      </c>
      <c r="B76">
        <v>10.5</v>
      </c>
      <c r="C76">
        <v>2</v>
      </c>
      <c r="D76" t="s">
        <v>5</v>
      </c>
      <c r="E76">
        <v>4</v>
      </c>
      <c r="F76">
        <v>75</v>
      </c>
      <c r="G76" t="str">
        <f t="shared" si="8"/>
        <v>C</v>
      </c>
      <c r="H76">
        <f t="shared" si="14"/>
        <v>4</v>
      </c>
      <c r="I76">
        <f t="shared" si="9"/>
        <v>0</v>
      </c>
      <c r="J76">
        <f t="shared" si="10"/>
        <v>12</v>
      </c>
      <c r="K76">
        <f t="shared" si="11"/>
        <v>0</v>
      </c>
      <c r="L76">
        <f t="shared" si="12"/>
        <v>0</v>
      </c>
      <c r="M76" t="str">
        <f t="shared" si="13"/>
        <v>C</v>
      </c>
    </row>
    <row r="77" spans="1:13" x14ac:dyDescent="0.45">
      <c r="A77">
        <v>76</v>
      </c>
      <c r="B77">
        <v>11</v>
      </c>
      <c r="C77">
        <v>22</v>
      </c>
      <c r="D77" t="s">
        <v>5</v>
      </c>
      <c r="E77">
        <v>5</v>
      </c>
      <c r="F77">
        <v>76</v>
      </c>
      <c r="G77" t="str">
        <f t="shared" si="8"/>
        <v>C</v>
      </c>
      <c r="H77">
        <f t="shared" si="14"/>
        <v>5</v>
      </c>
      <c r="I77">
        <f t="shared" si="9"/>
        <v>0</v>
      </c>
      <c r="J77">
        <f t="shared" si="10"/>
        <v>13</v>
      </c>
      <c r="K77">
        <f t="shared" si="11"/>
        <v>0</v>
      </c>
      <c r="L77">
        <f t="shared" si="12"/>
        <v>0</v>
      </c>
      <c r="M77" t="str">
        <f t="shared" si="13"/>
        <v>C</v>
      </c>
    </row>
    <row r="78" spans="1:13" x14ac:dyDescent="0.45">
      <c r="A78">
        <v>77</v>
      </c>
      <c r="B78">
        <v>12.5</v>
      </c>
      <c r="C78">
        <v>0</v>
      </c>
      <c r="D78">
        <v>0</v>
      </c>
      <c r="E78">
        <v>0</v>
      </c>
      <c r="F78">
        <v>77</v>
      </c>
      <c r="G78">
        <f t="shared" si="8"/>
        <v>0</v>
      </c>
      <c r="H78">
        <f t="shared" si="14"/>
        <v>0</v>
      </c>
      <c r="I78">
        <f t="shared" si="9"/>
        <v>1</v>
      </c>
      <c r="J78">
        <f t="shared" si="10"/>
        <v>1</v>
      </c>
      <c r="K78">
        <f t="shared" si="11"/>
        <v>0</v>
      </c>
      <c r="L78">
        <f t="shared" si="12"/>
        <v>0</v>
      </c>
      <c r="M78" t="str">
        <f t="shared" si="13"/>
        <v>C</v>
      </c>
    </row>
    <row r="79" spans="1:13" x14ac:dyDescent="0.45">
      <c r="A79">
        <v>78</v>
      </c>
      <c r="B79">
        <v>14</v>
      </c>
      <c r="C79">
        <v>2</v>
      </c>
      <c r="D79" t="s">
        <v>5</v>
      </c>
      <c r="E79">
        <v>1</v>
      </c>
      <c r="F79">
        <v>78</v>
      </c>
      <c r="G79" t="str">
        <f t="shared" si="8"/>
        <v>C</v>
      </c>
      <c r="H79">
        <f t="shared" si="14"/>
        <v>1</v>
      </c>
      <c r="I79">
        <f t="shared" si="9"/>
        <v>0</v>
      </c>
      <c r="J79">
        <f t="shared" si="10"/>
        <v>1</v>
      </c>
      <c r="K79">
        <f t="shared" si="11"/>
        <v>1</v>
      </c>
      <c r="L79">
        <f t="shared" si="12"/>
        <v>0</v>
      </c>
      <c r="M79" t="str">
        <f t="shared" si="13"/>
        <v>C</v>
      </c>
    </row>
    <row r="80" spans="1:13" x14ac:dyDescent="0.45">
      <c r="A80">
        <v>79</v>
      </c>
      <c r="B80">
        <v>14.7</v>
      </c>
      <c r="C80">
        <v>4</v>
      </c>
      <c r="D80" t="s">
        <v>5</v>
      </c>
      <c r="E80">
        <v>1</v>
      </c>
      <c r="F80">
        <v>79</v>
      </c>
      <c r="G80" t="str">
        <f t="shared" si="8"/>
        <v>C</v>
      </c>
      <c r="H80">
        <f t="shared" si="14"/>
        <v>1</v>
      </c>
      <c r="I80">
        <f t="shared" si="9"/>
        <v>0</v>
      </c>
      <c r="J80">
        <f t="shared" si="10"/>
        <v>2</v>
      </c>
      <c r="K80">
        <f t="shared" si="11"/>
        <v>0</v>
      </c>
      <c r="L80">
        <f t="shared" si="12"/>
        <v>0</v>
      </c>
      <c r="M80" t="str">
        <f t="shared" si="13"/>
        <v>C</v>
      </c>
    </row>
    <row r="81" spans="1:13" x14ac:dyDescent="0.45">
      <c r="A81">
        <v>80</v>
      </c>
      <c r="B81">
        <v>14.1</v>
      </c>
      <c r="C81">
        <v>5</v>
      </c>
      <c r="D81" t="s">
        <v>6</v>
      </c>
      <c r="E81">
        <v>1</v>
      </c>
      <c r="F81">
        <v>80</v>
      </c>
      <c r="G81" t="str">
        <f t="shared" si="8"/>
        <v>C</v>
      </c>
      <c r="H81">
        <f t="shared" si="14"/>
        <v>1</v>
      </c>
      <c r="I81">
        <f t="shared" si="9"/>
        <v>0</v>
      </c>
      <c r="J81">
        <f t="shared" si="10"/>
        <v>3</v>
      </c>
      <c r="K81">
        <f t="shared" si="11"/>
        <v>0</v>
      </c>
      <c r="L81">
        <f t="shared" si="12"/>
        <v>0</v>
      </c>
      <c r="M81" t="str">
        <f t="shared" si="13"/>
        <v>C</v>
      </c>
    </row>
    <row r="82" spans="1:13" x14ac:dyDescent="0.45">
      <c r="A82">
        <v>81</v>
      </c>
      <c r="B82">
        <v>11.9</v>
      </c>
      <c r="C82">
        <v>8</v>
      </c>
      <c r="D82" t="s">
        <v>5</v>
      </c>
      <c r="E82">
        <v>2</v>
      </c>
      <c r="F82">
        <v>81</v>
      </c>
      <c r="G82" t="str">
        <f t="shared" si="8"/>
        <v>C</v>
      </c>
      <c r="H82">
        <f t="shared" si="14"/>
        <v>2</v>
      </c>
      <c r="I82">
        <f t="shared" si="9"/>
        <v>0</v>
      </c>
      <c r="J82">
        <f t="shared" si="10"/>
        <v>4</v>
      </c>
      <c r="K82">
        <f t="shared" si="11"/>
        <v>0</v>
      </c>
      <c r="L82">
        <f t="shared" si="12"/>
        <v>1</v>
      </c>
      <c r="M82" t="str">
        <f t="shared" si="13"/>
        <v>C</v>
      </c>
    </row>
    <row r="83" spans="1:13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v>82</v>
      </c>
      <c r="G83" t="str">
        <f t="shared" si="8"/>
        <v>C</v>
      </c>
      <c r="H83">
        <f t="shared" si="14"/>
        <v>2</v>
      </c>
      <c r="I83">
        <f t="shared" si="9"/>
        <v>0</v>
      </c>
      <c r="J83">
        <f t="shared" si="10"/>
        <v>5</v>
      </c>
      <c r="K83">
        <f t="shared" si="11"/>
        <v>0</v>
      </c>
      <c r="L83">
        <f t="shared" si="12"/>
        <v>0</v>
      </c>
      <c r="M83" t="str">
        <f t="shared" si="13"/>
        <v>S</v>
      </c>
    </row>
    <row r="84" spans="1:13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v>83</v>
      </c>
      <c r="G84" t="str">
        <f t="shared" si="8"/>
        <v>C</v>
      </c>
      <c r="H84">
        <f t="shared" si="14"/>
        <v>2</v>
      </c>
      <c r="I84">
        <f t="shared" si="9"/>
        <v>0</v>
      </c>
      <c r="J84">
        <f t="shared" si="10"/>
        <v>6</v>
      </c>
      <c r="K84">
        <f t="shared" si="11"/>
        <v>0</v>
      </c>
      <c r="L84">
        <f t="shared" si="12"/>
        <v>0</v>
      </c>
      <c r="M84" t="str">
        <f t="shared" si="13"/>
        <v>S</v>
      </c>
    </row>
    <row r="85" spans="1:13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v>84</v>
      </c>
      <c r="G85" t="str">
        <f t="shared" si="8"/>
        <v>C</v>
      </c>
      <c r="H85">
        <f t="shared" si="14"/>
        <v>3</v>
      </c>
      <c r="I85">
        <f t="shared" si="9"/>
        <v>0</v>
      </c>
      <c r="J85">
        <f t="shared" si="10"/>
        <v>7</v>
      </c>
      <c r="K85">
        <f t="shared" si="11"/>
        <v>0</v>
      </c>
      <c r="L85">
        <f t="shared" si="12"/>
        <v>0</v>
      </c>
      <c r="M85" t="str">
        <f t="shared" si="13"/>
        <v>S</v>
      </c>
    </row>
    <row r="86" spans="1:13" x14ac:dyDescent="0.45">
      <c r="A86">
        <v>85</v>
      </c>
      <c r="B86">
        <v>0.5</v>
      </c>
      <c r="C86">
        <v>5</v>
      </c>
      <c r="D86" t="s">
        <v>5</v>
      </c>
      <c r="E86">
        <v>3</v>
      </c>
      <c r="F86">
        <v>85</v>
      </c>
      <c r="G86" t="str">
        <f t="shared" si="8"/>
        <v>C</v>
      </c>
      <c r="H86">
        <f t="shared" si="14"/>
        <v>3</v>
      </c>
      <c r="I86">
        <f t="shared" si="9"/>
        <v>0</v>
      </c>
      <c r="J86">
        <f t="shared" si="10"/>
        <v>8</v>
      </c>
      <c r="K86">
        <f t="shared" si="11"/>
        <v>0</v>
      </c>
      <c r="L86">
        <f t="shared" si="12"/>
        <v>0</v>
      </c>
      <c r="M86" t="str">
        <f t="shared" si="13"/>
        <v>S</v>
      </c>
    </row>
    <row r="87" spans="1:13" x14ac:dyDescent="0.45">
      <c r="A87">
        <v>86</v>
      </c>
      <c r="B87">
        <v>0.6</v>
      </c>
      <c r="C87">
        <v>13</v>
      </c>
      <c r="D87" t="s">
        <v>5</v>
      </c>
      <c r="E87">
        <v>3</v>
      </c>
      <c r="F87">
        <v>86</v>
      </c>
      <c r="G87" t="str">
        <f t="shared" si="8"/>
        <v>C</v>
      </c>
      <c r="H87">
        <f t="shared" si="14"/>
        <v>3</v>
      </c>
      <c r="I87">
        <f t="shared" si="9"/>
        <v>0</v>
      </c>
      <c r="J87">
        <f t="shared" si="10"/>
        <v>9</v>
      </c>
      <c r="K87">
        <f t="shared" si="11"/>
        <v>0</v>
      </c>
      <c r="L87">
        <f t="shared" si="12"/>
        <v>0</v>
      </c>
      <c r="M87" t="str">
        <f t="shared" si="13"/>
        <v>S</v>
      </c>
    </row>
    <row r="88" spans="1:13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v>87</v>
      </c>
      <c r="G88" t="str">
        <f t="shared" si="8"/>
        <v>C</v>
      </c>
      <c r="H88">
        <f t="shared" si="14"/>
        <v>4</v>
      </c>
      <c r="I88">
        <f t="shared" si="9"/>
        <v>0</v>
      </c>
      <c r="J88">
        <f t="shared" si="10"/>
        <v>10</v>
      </c>
      <c r="K88">
        <f t="shared" si="11"/>
        <v>0</v>
      </c>
      <c r="L88">
        <f t="shared" si="12"/>
        <v>0</v>
      </c>
      <c r="M88" t="str">
        <f t="shared" si="13"/>
        <v>S</v>
      </c>
    </row>
    <row r="89" spans="1:13" x14ac:dyDescent="0.45">
      <c r="A89">
        <v>88</v>
      </c>
      <c r="B89">
        <v>5</v>
      </c>
      <c r="C89">
        <v>9</v>
      </c>
      <c r="D89" t="s">
        <v>5</v>
      </c>
      <c r="E89">
        <v>4</v>
      </c>
      <c r="F89">
        <v>88</v>
      </c>
      <c r="G89" t="str">
        <f t="shared" si="8"/>
        <v>C</v>
      </c>
      <c r="H89">
        <f t="shared" si="14"/>
        <v>4</v>
      </c>
      <c r="I89">
        <f t="shared" si="9"/>
        <v>0</v>
      </c>
      <c r="J89">
        <f t="shared" si="10"/>
        <v>11</v>
      </c>
      <c r="K89">
        <f t="shared" si="11"/>
        <v>0</v>
      </c>
      <c r="L89">
        <f t="shared" si="12"/>
        <v>0</v>
      </c>
      <c r="M89" t="str">
        <f t="shared" si="13"/>
        <v>S</v>
      </c>
    </row>
    <row r="90" spans="1:13" x14ac:dyDescent="0.45">
      <c r="A90">
        <v>89</v>
      </c>
      <c r="B90">
        <v>7.9</v>
      </c>
      <c r="C90">
        <v>24</v>
      </c>
      <c r="D90" t="s">
        <v>5</v>
      </c>
      <c r="E90">
        <v>4</v>
      </c>
      <c r="F90">
        <v>89</v>
      </c>
      <c r="G90" t="str">
        <f t="shared" si="8"/>
        <v>C</v>
      </c>
      <c r="H90">
        <f t="shared" si="14"/>
        <v>4</v>
      </c>
      <c r="I90">
        <f t="shared" si="9"/>
        <v>0</v>
      </c>
      <c r="J90">
        <f t="shared" si="10"/>
        <v>12</v>
      </c>
      <c r="K90">
        <f t="shared" si="11"/>
        <v>0</v>
      </c>
      <c r="L90">
        <f t="shared" si="12"/>
        <v>0</v>
      </c>
      <c r="M90" t="str">
        <f t="shared" si="13"/>
        <v>S</v>
      </c>
    </row>
    <row r="91" spans="1:13" x14ac:dyDescent="0.45">
      <c r="A91">
        <v>90</v>
      </c>
      <c r="B91">
        <v>10</v>
      </c>
      <c r="C91">
        <v>15</v>
      </c>
      <c r="D91" t="s">
        <v>5</v>
      </c>
      <c r="E91">
        <v>5</v>
      </c>
      <c r="F91">
        <v>90</v>
      </c>
      <c r="G91" t="str">
        <f t="shared" si="8"/>
        <v>C</v>
      </c>
      <c r="H91">
        <f t="shared" si="14"/>
        <v>5</v>
      </c>
      <c r="I91">
        <f t="shared" si="9"/>
        <v>0</v>
      </c>
      <c r="J91">
        <f t="shared" si="10"/>
        <v>13</v>
      </c>
      <c r="K91">
        <f t="shared" si="11"/>
        <v>0</v>
      </c>
      <c r="L91">
        <f t="shared" si="12"/>
        <v>0</v>
      </c>
      <c r="M91" t="str">
        <f t="shared" si="13"/>
        <v>C</v>
      </c>
    </row>
    <row r="92" spans="1:13" x14ac:dyDescent="0.45">
      <c r="A92">
        <v>91</v>
      </c>
      <c r="B92">
        <v>10.9</v>
      </c>
      <c r="C92">
        <v>29</v>
      </c>
      <c r="D92" t="s">
        <v>5</v>
      </c>
      <c r="E92">
        <v>5</v>
      </c>
      <c r="F92">
        <v>91</v>
      </c>
      <c r="G92" t="str">
        <f t="shared" si="8"/>
        <v>C</v>
      </c>
      <c r="H92">
        <f t="shared" si="14"/>
        <v>5</v>
      </c>
      <c r="I92">
        <f t="shared" si="9"/>
        <v>0</v>
      </c>
      <c r="J92">
        <f t="shared" si="10"/>
        <v>14</v>
      </c>
      <c r="K92">
        <f t="shared" si="11"/>
        <v>0</v>
      </c>
      <c r="L92">
        <f t="shared" si="12"/>
        <v>0</v>
      </c>
      <c r="M92" t="str">
        <f t="shared" si="13"/>
        <v>C</v>
      </c>
    </row>
    <row r="93" spans="1:13" x14ac:dyDescent="0.45">
      <c r="A93">
        <v>92</v>
      </c>
      <c r="B93">
        <v>10.3</v>
      </c>
      <c r="C93">
        <v>0</v>
      </c>
      <c r="D93">
        <v>0</v>
      </c>
      <c r="E93">
        <v>0</v>
      </c>
      <c r="F93">
        <v>92</v>
      </c>
      <c r="G93">
        <f t="shared" si="8"/>
        <v>0</v>
      </c>
      <c r="H93">
        <f t="shared" si="14"/>
        <v>0</v>
      </c>
      <c r="I93">
        <f t="shared" si="9"/>
        <v>1</v>
      </c>
      <c r="J93">
        <f t="shared" si="10"/>
        <v>1</v>
      </c>
      <c r="K93">
        <f t="shared" si="11"/>
        <v>0</v>
      </c>
      <c r="L93">
        <f t="shared" si="12"/>
        <v>0</v>
      </c>
      <c r="M93" t="str">
        <f t="shared" si="13"/>
        <v>C</v>
      </c>
    </row>
    <row r="94" spans="1:13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v>93</v>
      </c>
      <c r="G94" t="str">
        <f t="shared" si="8"/>
        <v>S</v>
      </c>
      <c r="H94">
        <f t="shared" si="14"/>
        <v>1</v>
      </c>
      <c r="I94">
        <f t="shared" si="9"/>
        <v>0</v>
      </c>
      <c r="J94">
        <f t="shared" si="10"/>
        <v>1</v>
      </c>
      <c r="K94">
        <f t="shared" si="11"/>
        <v>1</v>
      </c>
      <c r="L94">
        <f t="shared" si="12"/>
        <v>0</v>
      </c>
      <c r="M94" t="str">
        <f t="shared" si="13"/>
        <v>S</v>
      </c>
    </row>
    <row r="95" spans="1:13" x14ac:dyDescent="0.45">
      <c r="A95">
        <v>94</v>
      </c>
      <c r="B95">
        <v>6.7</v>
      </c>
      <c r="C95">
        <v>3</v>
      </c>
      <c r="D95" t="s">
        <v>6</v>
      </c>
      <c r="E95">
        <v>1</v>
      </c>
      <c r="F95">
        <v>94</v>
      </c>
      <c r="G95" t="str">
        <f t="shared" si="8"/>
        <v>S</v>
      </c>
      <c r="H95">
        <f t="shared" si="14"/>
        <v>1</v>
      </c>
      <c r="I95">
        <f t="shared" si="9"/>
        <v>0</v>
      </c>
      <c r="J95">
        <f t="shared" si="10"/>
        <v>2</v>
      </c>
      <c r="K95">
        <f t="shared" si="11"/>
        <v>0</v>
      </c>
      <c r="L95">
        <f t="shared" si="12"/>
        <v>0</v>
      </c>
      <c r="M95" t="str">
        <f t="shared" si="13"/>
        <v>S</v>
      </c>
    </row>
    <row r="96" spans="1:13" x14ac:dyDescent="0.45">
      <c r="A96">
        <v>95</v>
      </c>
      <c r="B96">
        <v>5.3</v>
      </c>
      <c r="C96">
        <v>6</v>
      </c>
      <c r="D96" t="s">
        <v>6</v>
      </c>
      <c r="E96">
        <v>1</v>
      </c>
      <c r="F96">
        <v>95</v>
      </c>
      <c r="G96" t="str">
        <f t="shared" si="8"/>
        <v>S</v>
      </c>
      <c r="H96">
        <f t="shared" si="14"/>
        <v>1</v>
      </c>
      <c r="I96">
        <f t="shared" si="9"/>
        <v>0</v>
      </c>
      <c r="J96">
        <f t="shared" si="10"/>
        <v>3</v>
      </c>
      <c r="K96">
        <f t="shared" si="11"/>
        <v>0</v>
      </c>
      <c r="L96">
        <f t="shared" si="12"/>
        <v>0</v>
      </c>
      <c r="M96" t="str">
        <f t="shared" si="13"/>
        <v>S</v>
      </c>
    </row>
    <row r="97" spans="1:13" x14ac:dyDescent="0.45">
      <c r="A97">
        <v>96</v>
      </c>
      <c r="B97">
        <v>5.2</v>
      </c>
      <c r="C97">
        <v>3</v>
      </c>
      <c r="D97" t="s">
        <v>6</v>
      </c>
      <c r="E97">
        <v>2</v>
      </c>
      <c r="F97">
        <v>96</v>
      </c>
      <c r="G97" t="str">
        <f t="shared" si="8"/>
        <v>S</v>
      </c>
      <c r="H97">
        <f t="shared" si="14"/>
        <v>2</v>
      </c>
      <c r="I97">
        <f t="shared" si="9"/>
        <v>0</v>
      </c>
      <c r="J97">
        <f t="shared" si="10"/>
        <v>4</v>
      </c>
      <c r="K97">
        <f t="shared" si="11"/>
        <v>0</v>
      </c>
      <c r="L97">
        <f t="shared" si="12"/>
        <v>1</v>
      </c>
      <c r="M97" t="str">
        <f t="shared" si="13"/>
        <v>S</v>
      </c>
    </row>
    <row r="98" spans="1:13" x14ac:dyDescent="0.45">
      <c r="A98">
        <v>97</v>
      </c>
      <c r="B98">
        <v>6.8</v>
      </c>
      <c r="C98">
        <v>2</v>
      </c>
      <c r="D98" t="s">
        <v>6</v>
      </c>
      <c r="E98">
        <v>2</v>
      </c>
      <c r="F98">
        <v>97</v>
      </c>
      <c r="G98" t="str">
        <f t="shared" si="8"/>
        <v>S</v>
      </c>
      <c r="H98">
        <f t="shared" si="14"/>
        <v>2</v>
      </c>
      <c r="I98">
        <f t="shared" si="9"/>
        <v>0</v>
      </c>
      <c r="J98">
        <f t="shared" si="10"/>
        <v>5</v>
      </c>
      <c r="K98">
        <f t="shared" si="11"/>
        <v>0</v>
      </c>
      <c r="L98">
        <f t="shared" si="12"/>
        <v>0</v>
      </c>
      <c r="M98" t="str">
        <f t="shared" si="13"/>
        <v>S</v>
      </c>
    </row>
    <row r="99" spans="1:13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v>98</v>
      </c>
      <c r="G99" t="str">
        <f t="shared" si="8"/>
        <v>S</v>
      </c>
      <c r="H99">
        <f t="shared" si="14"/>
        <v>2</v>
      </c>
      <c r="I99">
        <f t="shared" si="9"/>
        <v>0</v>
      </c>
      <c r="J99">
        <f t="shared" si="10"/>
        <v>6</v>
      </c>
      <c r="K99">
        <f t="shared" si="11"/>
        <v>0</v>
      </c>
      <c r="L99">
        <f t="shared" si="12"/>
        <v>0</v>
      </c>
      <c r="M99" t="str">
        <f t="shared" si="13"/>
        <v>S</v>
      </c>
    </row>
    <row r="100" spans="1:13" x14ac:dyDescent="0.45">
      <c r="A100">
        <v>99</v>
      </c>
      <c r="B100">
        <v>13.7</v>
      </c>
      <c r="C100">
        <v>8</v>
      </c>
      <c r="D100" t="s">
        <v>6</v>
      </c>
      <c r="E100">
        <v>3</v>
      </c>
      <c r="F100">
        <v>99</v>
      </c>
      <c r="G100" t="str">
        <f t="shared" si="8"/>
        <v>S</v>
      </c>
      <c r="H100">
        <f t="shared" si="14"/>
        <v>3</v>
      </c>
      <c r="I100">
        <f t="shared" si="9"/>
        <v>0</v>
      </c>
      <c r="J100">
        <f t="shared" si="10"/>
        <v>7</v>
      </c>
      <c r="K100">
        <f t="shared" si="11"/>
        <v>0</v>
      </c>
      <c r="L100">
        <f t="shared" si="12"/>
        <v>0</v>
      </c>
      <c r="M100" t="str">
        <f t="shared" si="13"/>
        <v>C</v>
      </c>
    </row>
    <row r="101" spans="1:13" x14ac:dyDescent="0.45">
      <c r="A101">
        <v>100</v>
      </c>
      <c r="B101">
        <v>17.7</v>
      </c>
      <c r="C101">
        <v>6</v>
      </c>
      <c r="D101" t="s">
        <v>6</v>
      </c>
      <c r="E101">
        <v>3</v>
      </c>
      <c r="F101">
        <v>100</v>
      </c>
      <c r="G101" t="str">
        <f t="shared" si="8"/>
        <v>S</v>
      </c>
      <c r="H101">
        <f t="shared" si="14"/>
        <v>3</v>
      </c>
      <c r="I101">
        <f t="shared" si="9"/>
        <v>0</v>
      </c>
      <c r="J101">
        <f t="shared" si="10"/>
        <v>8</v>
      </c>
      <c r="K101">
        <f t="shared" si="11"/>
        <v>0</v>
      </c>
      <c r="L101">
        <f t="shared" si="12"/>
        <v>0</v>
      </c>
      <c r="M101" t="str">
        <f t="shared" si="13"/>
        <v>C</v>
      </c>
    </row>
    <row r="102" spans="1:13" x14ac:dyDescent="0.45">
      <c r="A102">
        <v>101</v>
      </c>
      <c r="B102">
        <v>20.8</v>
      </c>
      <c r="C102">
        <v>5</v>
      </c>
      <c r="D102" t="s">
        <v>6</v>
      </c>
      <c r="E102">
        <v>3</v>
      </c>
      <c r="F102">
        <v>101</v>
      </c>
      <c r="G102" t="str">
        <f t="shared" si="8"/>
        <v>S</v>
      </c>
      <c r="H102">
        <f t="shared" si="14"/>
        <v>3</v>
      </c>
      <c r="I102">
        <f t="shared" si="9"/>
        <v>0</v>
      </c>
      <c r="J102">
        <f t="shared" si="10"/>
        <v>9</v>
      </c>
      <c r="K102">
        <f t="shared" si="11"/>
        <v>0</v>
      </c>
      <c r="L102">
        <f t="shared" si="12"/>
        <v>0</v>
      </c>
      <c r="M102" t="str">
        <f t="shared" si="13"/>
        <v>C</v>
      </c>
    </row>
    <row r="103" spans="1:13" x14ac:dyDescent="0.45">
      <c r="A103">
        <v>102</v>
      </c>
      <c r="B103">
        <v>22.4</v>
      </c>
      <c r="C103">
        <v>20</v>
      </c>
      <c r="D103" t="s">
        <v>6</v>
      </c>
      <c r="E103">
        <v>4</v>
      </c>
      <c r="F103">
        <v>102</v>
      </c>
      <c r="G103" t="str">
        <f t="shared" si="8"/>
        <v>S</v>
      </c>
      <c r="H103">
        <f t="shared" si="14"/>
        <v>4</v>
      </c>
      <c r="I103">
        <f t="shared" si="9"/>
        <v>0</v>
      </c>
      <c r="J103">
        <f t="shared" si="10"/>
        <v>10</v>
      </c>
      <c r="K103">
        <f t="shared" si="11"/>
        <v>0</v>
      </c>
      <c r="L103">
        <f t="shared" si="12"/>
        <v>0</v>
      </c>
      <c r="M103" t="str">
        <f t="shared" si="13"/>
        <v>C</v>
      </c>
    </row>
    <row r="104" spans="1:13" x14ac:dyDescent="0.45">
      <c r="A104">
        <v>103</v>
      </c>
      <c r="B104">
        <v>22.5</v>
      </c>
      <c r="C104">
        <v>17</v>
      </c>
      <c r="D104" t="s">
        <v>6</v>
      </c>
      <c r="E104">
        <v>4</v>
      </c>
      <c r="F104">
        <v>103</v>
      </c>
      <c r="G104" t="str">
        <f t="shared" si="8"/>
        <v>S</v>
      </c>
      <c r="H104">
        <f t="shared" si="14"/>
        <v>4</v>
      </c>
      <c r="I104">
        <f t="shared" si="9"/>
        <v>0</v>
      </c>
      <c r="J104">
        <f t="shared" si="10"/>
        <v>11</v>
      </c>
      <c r="K104">
        <f t="shared" si="11"/>
        <v>0</v>
      </c>
      <c r="L104">
        <f t="shared" si="12"/>
        <v>0</v>
      </c>
      <c r="M104" t="str">
        <f t="shared" si="13"/>
        <v>C</v>
      </c>
    </row>
    <row r="105" spans="1:13" x14ac:dyDescent="0.45">
      <c r="A105">
        <v>104</v>
      </c>
      <c r="B105">
        <v>21.2</v>
      </c>
      <c r="C105">
        <v>11</v>
      </c>
      <c r="D105" t="s">
        <v>6</v>
      </c>
      <c r="E105">
        <v>4</v>
      </c>
      <c r="F105">
        <v>104</v>
      </c>
      <c r="G105" t="str">
        <f t="shared" si="8"/>
        <v>S</v>
      </c>
      <c r="H105">
        <f t="shared" si="14"/>
        <v>4</v>
      </c>
      <c r="I105">
        <f t="shared" si="9"/>
        <v>0</v>
      </c>
      <c r="J105">
        <f t="shared" si="10"/>
        <v>12</v>
      </c>
      <c r="K105">
        <f t="shared" si="11"/>
        <v>0</v>
      </c>
      <c r="L105">
        <f t="shared" si="12"/>
        <v>0</v>
      </c>
      <c r="M105" t="str">
        <f t="shared" si="13"/>
        <v>C</v>
      </c>
    </row>
    <row r="106" spans="1:13" x14ac:dyDescent="0.45">
      <c r="A106">
        <v>105</v>
      </c>
      <c r="B106">
        <v>19.5</v>
      </c>
      <c r="C106">
        <v>27</v>
      </c>
      <c r="D106" t="s">
        <v>6</v>
      </c>
      <c r="E106">
        <v>5</v>
      </c>
      <c r="F106">
        <v>105</v>
      </c>
      <c r="G106" t="str">
        <f t="shared" si="8"/>
        <v>S</v>
      </c>
      <c r="H106">
        <f t="shared" si="14"/>
        <v>5</v>
      </c>
      <c r="I106">
        <f t="shared" si="9"/>
        <v>0</v>
      </c>
      <c r="J106">
        <f t="shared" si="10"/>
        <v>13</v>
      </c>
      <c r="K106">
        <f t="shared" si="11"/>
        <v>0</v>
      </c>
      <c r="L106">
        <f t="shared" si="12"/>
        <v>0</v>
      </c>
      <c r="M106" t="str">
        <f t="shared" si="13"/>
        <v>C</v>
      </c>
    </row>
    <row r="107" spans="1:13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v>106</v>
      </c>
      <c r="G107">
        <f t="shared" si="8"/>
        <v>0</v>
      </c>
      <c r="H107">
        <f t="shared" si="14"/>
        <v>0</v>
      </c>
      <c r="I107">
        <f t="shared" si="9"/>
        <v>1</v>
      </c>
      <c r="J107">
        <f t="shared" si="10"/>
        <v>1</v>
      </c>
      <c r="K107">
        <f t="shared" si="11"/>
        <v>0</v>
      </c>
      <c r="L107">
        <f t="shared" si="12"/>
        <v>0</v>
      </c>
      <c r="M107" t="str">
        <f t="shared" si="13"/>
        <v>C</v>
      </c>
    </row>
    <row r="108" spans="1:13" x14ac:dyDescent="0.45">
      <c r="A108">
        <v>107</v>
      </c>
      <c r="B108">
        <v>17.8</v>
      </c>
      <c r="C108">
        <v>5</v>
      </c>
      <c r="D108" t="s">
        <v>5</v>
      </c>
      <c r="E108">
        <v>1</v>
      </c>
      <c r="F108">
        <v>107</v>
      </c>
      <c r="G108" t="str">
        <f t="shared" si="8"/>
        <v>C</v>
      </c>
      <c r="H108">
        <f t="shared" si="14"/>
        <v>1</v>
      </c>
      <c r="I108">
        <f t="shared" si="9"/>
        <v>0</v>
      </c>
      <c r="J108">
        <f t="shared" si="10"/>
        <v>1</v>
      </c>
      <c r="K108">
        <f t="shared" si="11"/>
        <v>1</v>
      </c>
      <c r="L108">
        <f t="shared" si="12"/>
        <v>0</v>
      </c>
      <c r="M108" t="str">
        <f t="shared" si="13"/>
        <v>C</v>
      </c>
    </row>
    <row r="109" spans="1:13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v>108</v>
      </c>
      <c r="G109" t="str">
        <f t="shared" si="8"/>
        <v>C</v>
      </c>
      <c r="H109">
        <f t="shared" si="14"/>
        <v>1</v>
      </c>
      <c r="I109">
        <f t="shared" si="9"/>
        <v>0</v>
      </c>
      <c r="J109">
        <f t="shared" si="10"/>
        <v>2</v>
      </c>
      <c r="K109">
        <f t="shared" si="11"/>
        <v>0</v>
      </c>
      <c r="L109">
        <f t="shared" si="12"/>
        <v>0</v>
      </c>
      <c r="M109" t="str">
        <f t="shared" si="13"/>
        <v>C</v>
      </c>
    </row>
    <row r="110" spans="1:13" x14ac:dyDescent="0.45">
      <c r="A110">
        <v>109</v>
      </c>
      <c r="B110">
        <v>21.3</v>
      </c>
      <c r="C110">
        <v>1</v>
      </c>
      <c r="D110" t="s">
        <v>5</v>
      </c>
      <c r="E110">
        <v>1</v>
      </c>
      <c r="F110">
        <v>109</v>
      </c>
      <c r="G110" t="str">
        <f t="shared" si="8"/>
        <v>C</v>
      </c>
      <c r="H110">
        <f t="shared" si="14"/>
        <v>1</v>
      </c>
      <c r="I110">
        <f t="shared" si="9"/>
        <v>0</v>
      </c>
      <c r="J110">
        <f t="shared" si="10"/>
        <v>3</v>
      </c>
      <c r="K110">
        <f t="shared" si="11"/>
        <v>0</v>
      </c>
      <c r="L110">
        <f t="shared" si="12"/>
        <v>0</v>
      </c>
      <c r="M110" t="str">
        <f t="shared" si="13"/>
        <v>C</v>
      </c>
    </row>
    <row r="111" spans="1:13" x14ac:dyDescent="0.45">
      <c r="A111">
        <v>110</v>
      </c>
      <c r="B111">
        <v>24.5</v>
      </c>
      <c r="C111">
        <v>7</v>
      </c>
      <c r="D111" t="s">
        <v>5</v>
      </c>
      <c r="E111">
        <v>2</v>
      </c>
      <c r="F111">
        <v>110</v>
      </c>
      <c r="G111" t="str">
        <f t="shared" si="8"/>
        <v>C</v>
      </c>
      <c r="H111">
        <f t="shared" si="14"/>
        <v>2</v>
      </c>
      <c r="I111">
        <f t="shared" si="9"/>
        <v>0</v>
      </c>
      <c r="J111">
        <f t="shared" si="10"/>
        <v>4</v>
      </c>
      <c r="K111">
        <f t="shared" si="11"/>
        <v>0</v>
      </c>
      <c r="L111">
        <f t="shared" si="12"/>
        <v>1</v>
      </c>
      <c r="M111" t="str">
        <f t="shared" si="13"/>
        <v>C</v>
      </c>
    </row>
    <row r="112" spans="1:13" x14ac:dyDescent="0.45">
      <c r="A112">
        <v>111</v>
      </c>
      <c r="B112">
        <v>27.5</v>
      </c>
      <c r="C112">
        <v>12</v>
      </c>
      <c r="D112" t="s">
        <v>5</v>
      </c>
      <c r="E112">
        <v>2</v>
      </c>
      <c r="F112">
        <v>111</v>
      </c>
      <c r="G112" t="str">
        <f t="shared" si="8"/>
        <v>C</v>
      </c>
      <c r="H112">
        <f t="shared" si="14"/>
        <v>2</v>
      </c>
      <c r="I112">
        <f t="shared" si="9"/>
        <v>0</v>
      </c>
      <c r="J112">
        <f t="shared" si="10"/>
        <v>5</v>
      </c>
      <c r="K112">
        <f t="shared" si="11"/>
        <v>0</v>
      </c>
      <c r="L112">
        <f t="shared" si="12"/>
        <v>0</v>
      </c>
      <c r="M112" t="str">
        <f t="shared" si="13"/>
        <v>C</v>
      </c>
    </row>
    <row r="113" spans="1:13" x14ac:dyDescent="0.45">
      <c r="A113">
        <v>112</v>
      </c>
      <c r="B113">
        <v>29.5</v>
      </c>
      <c r="C113">
        <v>6</v>
      </c>
      <c r="D113" t="s">
        <v>5</v>
      </c>
      <c r="E113">
        <v>2</v>
      </c>
      <c r="F113">
        <v>112</v>
      </c>
      <c r="G113" t="str">
        <f t="shared" si="8"/>
        <v>C</v>
      </c>
      <c r="H113">
        <f t="shared" si="14"/>
        <v>2</v>
      </c>
      <c r="I113">
        <f t="shared" si="9"/>
        <v>0</v>
      </c>
      <c r="J113">
        <f t="shared" si="10"/>
        <v>6</v>
      </c>
      <c r="K113">
        <f t="shared" si="11"/>
        <v>0</v>
      </c>
      <c r="L113">
        <f t="shared" si="12"/>
        <v>0</v>
      </c>
      <c r="M113" t="str">
        <f t="shared" si="13"/>
        <v>C</v>
      </c>
    </row>
    <row r="114" spans="1:13" x14ac:dyDescent="0.45">
      <c r="A114">
        <v>113</v>
      </c>
      <c r="B114">
        <v>29.9</v>
      </c>
      <c r="C114">
        <v>5</v>
      </c>
      <c r="D114" t="s">
        <v>5</v>
      </c>
      <c r="E114">
        <v>3</v>
      </c>
      <c r="F114">
        <v>113</v>
      </c>
      <c r="G114" t="str">
        <f t="shared" si="8"/>
        <v>C</v>
      </c>
      <c r="H114">
        <f t="shared" si="14"/>
        <v>3</v>
      </c>
      <c r="I114">
        <f t="shared" si="9"/>
        <v>0</v>
      </c>
      <c r="J114">
        <f t="shared" si="10"/>
        <v>7</v>
      </c>
      <c r="K114">
        <f t="shared" si="11"/>
        <v>0</v>
      </c>
      <c r="L114">
        <f t="shared" si="12"/>
        <v>0</v>
      </c>
      <c r="M114" t="str">
        <f t="shared" si="13"/>
        <v>C</v>
      </c>
    </row>
    <row r="115" spans="1:13" x14ac:dyDescent="0.45">
      <c r="A115">
        <v>114</v>
      </c>
      <c r="B115">
        <v>28.6</v>
      </c>
      <c r="C115">
        <v>6</v>
      </c>
      <c r="D115" t="s">
        <v>5</v>
      </c>
      <c r="E115">
        <v>3</v>
      </c>
      <c r="F115">
        <v>114</v>
      </c>
      <c r="G115" t="str">
        <f t="shared" si="8"/>
        <v>C</v>
      </c>
      <c r="H115">
        <f t="shared" si="14"/>
        <v>3</v>
      </c>
      <c r="I115">
        <f t="shared" si="9"/>
        <v>0</v>
      </c>
      <c r="J115">
        <f t="shared" si="10"/>
        <v>8</v>
      </c>
      <c r="K115">
        <f t="shared" si="11"/>
        <v>0</v>
      </c>
      <c r="L115">
        <f t="shared" si="12"/>
        <v>0</v>
      </c>
      <c r="M115" t="str">
        <f t="shared" si="13"/>
        <v>C</v>
      </c>
    </row>
    <row r="116" spans="1:13" x14ac:dyDescent="0.45">
      <c r="A116">
        <v>115</v>
      </c>
      <c r="B116">
        <v>25.9</v>
      </c>
      <c r="C116">
        <v>6</v>
      </c>
      <c r="D116" t="s">
        <v>5</v>
      </c>
      <c r="E116">
        <v>3</v>
      </c>
      <c r="F116">
        <v>115</v>
      </c>
      <c r="G116" t="str">
        <f t="shared" si="8"/>
        <v>C</v>
      </c>
      <c r="H116">
        <f t="shared" si="14"/>
        <v>3</v>
      </c>
      <c r="I116">
        <f t="shared" si="9"/>
        <v>0</v>
      </c>
      <c r="J116">
        <f t="shared" si="10"/>
        <v>9</v>
      </c>
      <c r="K116">
        <f t="shared" si="11"/>
        <v>0</v>
      </c>
      <c r="L116">
        <f t="shared" si="12"/>
        <v>0</v>
      </c>
      <c r="M116" t="str">
        <f t="shared" si="13"/>
        <v>C</v>
      </c>
    </row>
    <row r="117" spans="1:13" x14ac:dyDescent="0.45">
      <c r="A117">
        <v>116</v>
      </c>
      <c r="B117">
        <v>22.6</v>
      </c>
      <c r="C117">
        <v>23</v>
      </c>
      <c r="D117" t="s">
        <v>5</v>
      </c>
      <c r="E117">
        <v>4</v>
      </c>
      <c r="F117">
        <v>116</v>
      </c>
      <c r="G117" t="str">
        <f t="shared" si="8"/>
        <v>C</v>
      </c>
      <c r="H117">
        <f t="shared" si="14"/>
        <v>4</v>
      </c>
      <c r="I117">
        <f t="shared" si="9"/>
        <v>0</v>
      </c>
      <c r="J117">
        <f t="shared" si="10"/>
        <v>10</v>
      </c>
      <c r="K117">
        <f t="shared" si="11"/>
        <v>0</v>
      </c>
      <c r="L117">
        <f t="shared" si="12"/>
        <v>0</v>
      </c>
      <c r="M117" t="str">
        <f t="shared" si="13"/>
        <v>C</v>
      </c>
    </row>
    <row r="118" spans="1:13" x14ac:dyDescent="0.45">
      <c r="A118">
        <v>117</v>
      </c>
      <c r="B118">
        <v>19.7</v>
      </c>
      <c r="C118">
        <v>16</v>
      </c>
      <c r="D118" t="s">
        <v>5</v>
      </c>
      <c r="E118">
        <v>4</v>
      </c>
      <c r="F118">
        <v>117</v>
      </c>
      <c r="G118" t="str">
        <f t="shared" si="8"/>
        <v>C</v>
      </c>
      <c r="H118">
        <f t="shared" si="14"/>
        <v>4</v>
      </c>
      <c r="I118">
        <f t="shared" si="9"/>
        <v>0</v>
      </c>
      <c r="J118">
        <f t="shared" si="10"/>
        <v>11</v>
      </c>
      <c r="K118">
        <f t="shared" si="11"/>
        <v>0</v>
      </c>
      <c r="L118">
        <f t="shared" si="12"/>
        <v>0</v>
      </c>
      <c r="M118" t="str">
        <f t="shared" si="13"/>
        <v>C</v>
      </c>
    </row>
    <row r="119" spans="1:13" x14ac:dyDescent="0.45">
      <c r="A119">
        <v>118</v>
      </c>
      <c r="B119">
        <v>17.8</v>
      </c>
      <c r="C119">
        <v>1</v>
      </c>
      <c r="D119" t="s">
        <v>5</v>
      </c>
      <c r="E119">
        <v>4</v>
      </c>
      <c r="F119">
        <v>118</v>
      </c>
      <c r="G119" t="str">
        <f t="shared" si="8"/>
        <v>C</v>
      </c>
      <c r="H119">
        <f t="shared" si="14"/>
        <v>4</v>
      </c>
      <c r="I119">
        <f t="shared" si="9"/>
        <v>0</v>
      </c>
      <c r="J119">
        <f t="shared" si="10"/>
        <v>12</v>
      </c>
      <c r="K119">
        <f t="shared" si="11"/>
        <v>0</v>
      </c>
      <c r="L119">
        <f t="shared" si="12"/>
        <v>0</v>
      </c>
      <c r="M119" t="str">
        <f t="shared" si="13"/>
        <v>C</v>
      </c>
    </row>
    <row r="120" spans="1:13" x14ac:dyDescent="0.45">
      <c r="A120">
        <v>119</v>
      </c>
      <c r="B120">
        <v>17.3</v>
      </c>
      <c r="C120">
        <v>27</v>
      </c>
      <c r="D120" t="s">
        <v>5</v>
      </c>
      <c r="E120">
        <v>5</v>
      </c>
      <c r="F120">
        <v>119</v>
      </c>
      <c r="G120" t="str">
        <f t="shared" si="8"/>
        <v>C</v>
      </c>
      <c r="H120">
        <f t="shared" si="14"/>
        <v>5</v>
      </c>
      <c r="I120">
        <f t="shared" si="9"/>
        <v>0</v>
      </c>
      <c r="J120">
        <f t="shared" si="10"/>
        <v>13</v>
      </c>
      <c r="K120">
        <f t="shared" si="11"/>
        <v>0</v>
      </c>
      <c r="L120">
        <f t="shared" si="12"/>
        <v>0</v>
      </c>
      <c r="M120" t="str">
        <f t="shared" si="13"/>
        <v>C</v>
      </c>
    </row>
    <row r="121" spans="1:13" x14ac:dyDescent="0.45">
      <c r="A121">
        <v>120</v>
      </c>
      <c r="B121">
        <v>18.2</v>
      </c>
      <c r="C121">
        <v>0</v>
      </c>
      <c r="D121">
        <v>0</v>
      </c>
      <c r="E121">
        <v>0</v>
      </c>
      <c r="F121">
        <v>120</v>
      </c>
      <c r="G121">
        <f t="shared" si="8"/>
        <v>0</v>
      </c>
      <c r="H121">
        <f t="shared" si="14"/>
        <v>0</v>
      </c>
      <c r="I121">
        <f t="shared" si="9"/>
        <v>1</v>
      </c>
      <c r="J121">
        <f t="shared" si="10"/>
        <v>1</v>
      </c>
      <c r="K121">
        <f t="shared" si="11"/>
        <v>0</v>
      </c>
      <c r="L121">
        <f t="shared" si="12"/>
        <v>0</v>
      </c>
      <c r="M121" t="str">
        <f t="shared" si="13"/>
        <v>C</v>
      </c>
    </row>
    <row r="122" spans="1:13" x14ac:dyDescent="0.45">
      <c r="A122">
        <v>121</v>
      </c>
      <c r="B122">
        <v>19.8</v>
      </c>
      <c r="C122">
        <v>1</v>
      </c>
      <c r="D122" t="s">
        <v>5</v>
      </c>
      <c r="E122">
        <v>1</v>
      </c>
      <c r="F122">
        <v>121</v>
      </c>
      <c r="G122" t="str">
        <f t="shared" si="8"/>
        <v>C</v>
      </c>
      <c r="H122">
        <f t="shared" si="14"/>
        <v>1</v>
      </c>
      <c r="I122">
        <f t="shared" si="9"/>
        <v>0</v>
      </c>
      <c r="J122">
        <f t="shared" si="10"/>
        <v>1</v>
      </c>
      <c r="K122">
        <f t="shared" si="11"/>
        <v>1</v>
      </c>
      <c r="L122">
        <f t="shared" si="12"/>
        <v>0</v>
      </c>
      <c r="M122" t="str">
        <f t="shared" si="13"/>
        <v>C</v>
      </c>
    </row>
    <row r="123" spans="1:13" x14ac:dyDescent="0.45">
      <c r="A123">
        <v>122</v>
      </c>
      <c r="B123">
        <v>21.4</v>
      </c>
      <c r="C123">
        <v>1</v>
      </c>
      <c r="D123" t="s">
        <v>5</v>
      </c>
      <c r="E123">
        <v>1</v>
      </c>
      <c r="F123">
        <v>122</v>
      </c>
      <c r="G123" t="str">
        <f t="shared" si="8"/>
        <v>C</v>
      </c>
      <c r="H123">
        <f t="shared" si="14"/>
        <v>1</v>
      </c>
      <c r="I123">
        <f t="shared" si="9"/>
        <v>0</v>
      </c>
      <c r="J123">
        <f t="shared" si="10"/>
        <v>2</v>
      </c>
      <c r="K123">
        <f t="shared" si="11"/>
        <v>0</v>
      </c>
      <c r="L123">
        <f t="shared" si="12"/>
        <v>0</v>
      </c>
      <c r="M123" t="str">
        <f t="shared" si="13"/>
        <v>C</v>
      </c>
    </row>
    <row r="124" spans="1:13" x14ac:dyDescent="0.45">
      <c r="A124">
        <v>123</v>
      </c>
      <c r="B124">
        <v>22</v>
      </c>
      <c r="C124">
        <v>6</v>
      </c>
      <c r="D124" t="s">
        <v>5</v>
      </c>
      <c r="E124">
        <v>1</v>
      </c>
      <c r="F124">
        <v>123</v>
      </c>
      <c r="G124" t="str">
        <f t="shared" si="8"/>
        <v>C</v>
      </c>
      <c r="H124">
        <f t="shared" si="14"/>
        <v>1</v>
      </c>
      <c r="I124">
        <f t="shared" si="9"/>
        <v>0</v>
      </c>
      <c r="J124">
        <f t="shared" si="10"/>
        <v>3</v>
      </c>
      <c r="K124">
        <f t="shared" si="11"/>
        <v>0</v>
      </c>
      <c r="L124">
        <f t="shared" si="12"/>
        <v>0</v>
      </c>
      <c r="M124" t="str">
        <f t="shared" si="13"/>
        <v>C</v>
      </c>
    </row>
    <row r="125" spans="1:13" x14ac:dyDescent="0.45">
      <c r="A125">
        <v>124</v>
      </c>
      <c r="B125">
        <v>21.2</v>
      </c>
      <c r="C125">
        <v>9</v>
      </c>
      <c r="D125" t="s">
        <v>5</v>
      </c>
      <c r="E125">
        <v>2</v>
      </c>
      <c r="F125">
        <v>124</v>
      </c>
      <c r="G125" t="str">
        <f t="shared" si="8"/>
        <v>C</v>
      </c>
      <c r="H125">
        <f t="shared" si="14"/>
        <v>2</v>
      </c>
      <c r="I125">
        <f t="shared" si="9"/>
        <v>0</v>
      </c>
      <c r="J125">
        <f t="shared" si="10"/>
        <v>4</v>
      </c>
      <c r="K125">
        <f t="shared" si="11"/>
        <v>0</v>
      </c>
      <c r="L125">
        <f t="shared" si="12"/>
        <v>1</v>
      </c>
      <c r="M125" t="str">
        <f t="shared" si="13"/>
        <v>C</v>
      </c>
    </row>
    <row r="126" spans="1:13" x14ac:dyDescent="0.45">
      <c r="A126">
        <v>125</v>
      </c>
      <c r="B126">
        <v>18.8</v>
      </c>
      <c r="C126">
        <v>7</v>
      </c>
      <c r="D126" t="s">
        <v>5</v>
      </c>
      <c r="E126">
        <v>2</v>
      </c>
      <c r="F126">
        <v>125</v>
      </c>
      <c r="G126" t="str">
        <f t="shared" si="8"/>
        <v>C</v>
      </c>
      <c r="H126">
        <f t="shared" si="14"/>
        <v>2</v>
      </c>
      <c r="I126">
        <f t="shared" si="9"/>
        <v>0</v>
      </c>
      <c r="J126">
        <f t="shared" si="10"/>
        <v>5</v>
      </c>
      <c r="K126">
        <f t="shared" si="11"/>
        <v>0</v>
      </c>
      <c r="L126">
        <f t="shared" si="12"/>
        <v>0</v>
      </c>
      <c r="M126" t="str">
        <f t="shared" si="13"/>
        <v>C</v>
      </c>
    </row>
    <row r="127" spans="1:13" x14ac:dyDescent="0.45">
      <c r="A127">
        <v>126</v>
      </c>
      <c r="B127">
        <v>15.2</v>
      </c>
      <c r="C127">
        <v>12</v>
      </c>
      <c r="D127" t="s">
        <v>5</v>
      </c>
      <c r="E127">
        <v>2</v>
      </c>
      <c r="F127">
        <v>126</v>
      </c>
      <c r="G127" t="str">
        <f t="shared" si="8"/>
        <v>C</v>
      </c>
      <c r="H127">
        <f t="shared" si="14"/>
        <v>2</v>
      </c>
      <c r="I127">
        <f t="shared" si="9"/>
        <v>0</v>
      </c>
      <c r="J127">
        <f t="shared" si="10"/>
        <v>6</v>
      </c>
      <c r="K127">
        <f t="shared" si="11"/>
        <v>0</v>
      </c>
      <c r="L127">
        <f t="shared" si="12"/>
        <v>0</v>
      </c>
      <c r="M127" t="str">
        <f t="shared" si="13"/>
        <v>C</v>
      </c>
    </row>
    <row r="128" spans="1:13" x14ac:dyDescent="0.45">
      <c r="A128">
        <v>127</v>
      </c>
      <c r="B128">
        <v>11.1</v>
      </c>
      <c r="C128">
        <v>15</v>
      </c>
      <c r="D128" t="s">
        <v>5</v>
      </c>
      <c r="E128">
        <v>3</v>
      </c>
      <c r="F128">
        <v>127</v>
      </c>
      <c r="G128" t="str">
        <f t="shared" si="8"/>
        <v>C</v>
      </c>
      <c r="H128">
        <f t="shared" si="14"/>
        <v>3</v>
      </c>
      <c r="I128">
        <f t="shared" si="9"/>
        <v>0</v>
      </c>
      <c r="J128">
        <f t="shared" si="10"/>
        <v>7</v>
      </c>
      <c r="K128">
        <f t="shared" si="11"/>
        <v>0</v>
      </c>
      <c r="L128">
        <f t="shared" si="12"/>
        <v>0</v>
      </c>
      <c r="M128" t="str">
        <f t="shared" si="13"/>
        <v>C</v>
      </c>
    </row>
    <row r="129" spans="1:13" x14ac:dyDescent="0.45">
      <c r="A129">
        <v>128</v>
      </c>
      <c r="B129">
        <v>7.5</v>
      </c>
      <c r="C129">
        <v>10</v>
      </c>
      <c r="D129" t="s">
        <v>5</v>
      </c>
      <c r="E129">
        <v>3</v>
      </c>
      <c r="F129">
        <v>128</v>
      </c>
      <c r="G129" t="str">
        <f t="shared" si="8"/>
        <v>C</v>
      </c>
      <c r="H129">
        <f t="shared" si="14"/>
        <v>3</v>
      </c>
      <c r="I129">
        <f t="shared" si="9"/>
        <v>0</v>
      </c>
      <c r="J129">
        <f t="shared" si="10"/>
        <v>8</v>
      </c>
      <c r="K129">
        <f t="shared" si="11"/>
        <v>0</v>
      </c>
      <c r="L129">
        <f t="shared" si="12"/>
        <v>0</v>
      </c>
      <c r="M129" t="str">
        <f t="shared" si="13"/>
        <v>S</v>
      </c>
    </row>
    <row r="130" spans="1:13" x14ac:dyDescent="0.45">
      <c r="A130">
        <v>129</v>
      </c>
      <c r="B130">
        <v>5.2</v>
      </c>
      <c r="C130">
        <v>5</v>
      </c>
      <c r="D130" t="s">
        <v>5</v>
      </c>
      <c r="E130">
        <v>3</v>
      </c>
      <c r="F130">
        <v>129</v>
      </c>
      <c r="G130" t="str">
        <f t="shared" si="8"/>
        <v>C</v>
      </c>
      <c r="H130">
        <f t="shared" si="14"/>
        <v>3</v>
      </c>
      <c r="I130">
        <f t="shared" si="9"/>
        <v>0</v>
      </c>
      <c r="J130">
        <f t="shared" si="10"/>
        <v>9</v>
      </c>
      <c r="K130">
        <f t="shared" si="11"/>
        <v>0</v>
      </c>
      <c r="L130">
        <f t="shared" si="12"/>
        <v>0</v>
      </c>
      <c r="M130" t="str">
        <f t="shared" si="13"/>
        <v>S</v>
      </c>
    </row>
    <row r="131" spans="1:13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v>130</v>
      </c>
      <c r="G131" t="str">
        <f t="shared" si="8"/>
        <v>C</v>
      </c>
      <c r="H131">
        <f t="shared" si="14"/>
        <v>4</v>
      </c>
      <c r="I131">
        <f t="shared" si="9"/>
        <v>0</v>
      </c>
      <c r="J131">
        <f t="shared" si="10"/>
        <v>10</v>
      </c>
      <c r="K131">
        <f t="shared" si="11"/>
        <v>0</v>
      </c>
      <c r="L131">
        <f t="shared" si="12"/>
        <v>0</v>
      </c>
      <c r="M131" t="str">
        <f t="shared" si="13"/>
        <v>S</v>
      </c>
    </row>
    <row r="132" spans="1:13" x14ac:dyDescent="0.45">
      <c r="A132">
        <v>131</v>
      </c>
      <c r="B132">
        <v>5.5</v>
      </c>
      <c r="C132">
        <v>11</v>
      </c>
      <c r="D132" t="s">
        <v>5</v>
      </c>
      <c r="E132">
        <v>4</v>
      </c>
      <c r="F132">
        <v>131</v>
      </c>
      <c r="G132" t="str">
        <f t="shared" ref="G132:G195" si="15">IF(I132=1,0, IF(K132=1,M132,G131))</f>
        <v>C</v>
      </c>
      <c r="H132">
        <f t="shared" si="14"/>
        <v>4</v>
      </c>
      <c r="I132">
        <f t="shared" ref="I132:I195" si="16">IF(AND(H131=5,C131&gt;=20),1,0)</f>
        <v>0</v>
      </c>
      <c r="J132">
        <f t="shared" ref="J132:J195" si="17">IF(G132=G131,J131+1,1)</f>
        <v>11</v>
      </c>
      <c r="K132">
        <f t="shared" ref="K132:K195" si="18">IF(AND(G131=0,H131=0),1,0)</f>
        <v>0</v>
      </c>
      <c r="L132">
        <f t="shared" ref="L132:L195" si="19">IF(J131=3,1,0)</f>
        <v>0</v>
      </c>
      <c r="M132" t="str">
        <f t="shared" ref="M132:M195" si="20">IF(B132&lt;10,"S","C")</f>
        <v>S</v>
      </c>
    </row>
    <row r="133" spans="1:13" x14ac:dyDescent="0.45">
      <c r="A133">
        <v>132</v>
      </c>
      <c r="B133">
        <v>7.3</v>
      </c>
      <c r="C133">
        <v>23</v>
      </c>
      <c r="D133" t="s">
        <v>5</v>
      </c>
      <c r="E133">
        <v>4</v>
      </c>
      <c r="F133">
        <v>132</v>
      </c>
      <c r="G133" t="str">
        <f t="shared" si="15"/>
        <v>C</v>
      </c>
      <c r="H133">
        <f t="shared" si="14"/>
        <v>4</v>
      </c>
      <c r="I133">
        <f t="shared" si="16"/>
        <v>0</v>
      </c>
      <c r="J133">
        <f t="shared" si="17"/>
        <v>12</v>
      </c>
      <c r="K133">
        <f t="shared" si="18"/>
        <v>0</v>
      </c>
      <c r="L133">
        <f t="shared" si="19"/>
        <v>0</v>
      </c>
      <c r="M133" t="str">
        <f t="shared" si="20"/>
        <v>S</v>
      </c>
    </row>
    <row r="134" spans="1:13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v>133</v>
      </c>
      <c r="G134" t="str">
        <f t="shared" si="15"/>
        <v>C</v>
      </c>
      <c r="H134">
        <f t="shared" si="14"/>
        <v>5</v>
      </c>
      <c r="I134">
        <f t="shared" si="16"/>
        <v>0</v>
      </c>
      <c r="J134">
        <f t="shared" si="17"/>
        <v>13</v>
      </c>
      <c r="K134">
        <f t="shared" si="18"/>
        <v>0</v>
      </c>
      <c r="L134">
        <f t="shared" si="19"/>
        <v>0</v>
      </c>
      <c r="M134" t="str">
        <f t="shared" si="20"/>
        <v>S</v>
      </c>
    </row>
    <row r="135" spans="1:13" x14ac:dyDescent="0.45">
      <c r="A135">
        <v>134</v>
      </c>
      <c r="B135">
        <v>10.5</v>
      </c>
      <c r="C135">
        <v>21</v>
      </c>
      <c r="D135" t="s">
        <v>5</v>
      </c>
      <c r="E135">
        <v>5</v>
      </c>
      <c r="F135">
        <v>134</v>
      </c>
      <c r="G135" t="str">
        <f t="shared" si="15"/>
        <v>C</v>
      </c>
      <c r="H135">
        <f t="shared" ref="H135:H198" si="21">IF(I135=1,0,IF(K135=1,1,IF(MOD(J134,3)=0, IF(H134+1&gt;5,5,H134+1),H134)))</f>
        <v>5</v>
      </c>
      <c r="I135">
        <f t="shared" si="16"/>
        <v>0</v>
      </c>
      <c r="J135">
        <f t="shared" si="17"/>
        <v>14</v>
      </c>
      <c r="K135">
        <f t="shared" si="18"/>
        <v>0</v>
      </c>
      <c r="L135">
        <f t="shared" si="19"/>
        <v>0</v>
      </c>
      <c r="M135" t="str">
        <f t="shared" si="20"/>
        <v>C</v>
      </c>
    </row>
    <row r="136" spans="1:13" x14ac:dyDescent="0.45">
      <c r="A136">
        <v>135</v>
      </c>
      <c r="B136">
        <v>10.4</v>
      </c>
      <c r="C136">
        <v>0</v>
      </c>
      <c r="D136">
        <v>0</v>
      </c>
      <c r="E136">
        <v>0</v>
      </c>
      <c r="F136">
        <v>135</v>
      </c>
      <c r="G136">
        <f t="shared" si="15"/>
        <v>0</v>
      </c>
      <c r="H136">
        <f t="shared" si="21"/>
        <v>0</v>
      </c>
      <c r="I136">
        <f t="shared" si="16"/>
        <v>1</v>
      </c>
      <c r="J136">
        <f t="shared" si="17"/>
        <v>1</v>
      </c>
      <c r="K136">
        <f t="shared" si="18"/>
        <v>0</v>
      </c>
      <c r="L136">
        <f t="shared" si="19"/>
        <v>0</v>
      </c>
      <c r="M136" t="str">
        <f t="shared" si="20"/>
        <v>C</v>
      </c>
    </row>
    <row r="137" spans="1:13" x14ac:dyDescent="0.45">
      <c r="A137">
        <v>136</v>
      </c>
      <c r="B137">
        <v>9</v>
      </c>
      <c r="C137">
        <v>4</v>
      </c>
      <c r="D137" t="s">
        <v>6</v>
      </c>
      <c r="E137">
        <v>1</v>
      </c>
      <c r="F137">
        <v>136</v>
      </c>
      <c r="G137" t="str">
        <f t="shared" si="15"/>
        <v>S</v>
      </c>
      <c r="H137">
        <f t="shared" si="21"/>
        <v>1</v>
      </c>
      <c r="I137">
        <f t="shared" si="16"/>
        <v>0</v>
      </c>
      <c r="J137">
        <f t="shared" si="17"/>
        <v>1</v>
      </c>
      <c r="K137">
        <f t="shared" si="18"/>
        <v>1</v>
      </c>
      <c r="L137">
        <f t="shared" si="19"/>
        <v>0</v>
      </c>
      <c r="M137" t="str">
        <f t="shared" si="20"/>
        <v>S</v>
      </c>
    </row>
    <row r="138" spans="1:13" x14ac:dyDescent="0.45">
      <c r="A138">
        <v>137</v>
      </c>
      <c r="B138">
        <v>6.4</v>
      </c>
      <c r="C138">
        <v>3</v>
      </c>
      <c r="D138" t="s">
        <v>6</v>
      </c>
      <c r="E138">
        <v>1</v>
      </c>
      <c r="F138">
        <v>137</v>
      </c>
      <c r="G138" t="str">
        <f t="shared" si="15"/>
        <v>S</v>
      </c>
      <c r="H138">
        <f t="shared" si="21"/>
        <v>1</v>
      </c>
      <c r="I138">
        <f t="shared" si="16"/>
        <v>0</v>
      </c>
      <c r="J138">
        <f t="shared" si="17"/>
        <v>2</v>
      </c>
      <c r="K138">
        <f t="shared" si="18"/>
        <v>0</v>
      </c>
      <c r="L138">
        <f t="shared" si="19"/>
        <v>0</v>
      </c>
      <c r="M138" t="str">
        <f t="shared" si="20"/>
        <v>S</v>
      </c>
    </row>
    <row r="139" spans="1:13" x14ac:dyDescent="0.45">
      <c r="A139">
        <v>138</v>
      </c>
      <c r="B139">
        <v>3.6</v>
      </c>
      <c r="C139">
        <v>3</v>
      </c>
      <c r="D139" t="s">
        <v>6</v>
      </c>
      <c r="E139">
        <v>1</v>
      </c>
      <c r="F139">
        <v>138</v>
      </c>
      <c r="G139" t="str">
        <f t="shared" si="15"/>
        <v>S</v>
      </c>
      <c r="H139">
        <f t="shared" si="21"/>
        <v>1</v>
      </c>
      <c r="I139">
        <f t="shared" si="16"/>
        <v>0</v>
      </c>
      <c r="J139">
        <f t="shared" si="17"/>
        <v>3</v>
      </c>
      <c r="K139">
        <f t="shared" si="18"/>
        <v>0</v>
      </c>
      <c r="L139">
        <f t="shared" si="19"/>
        <v>0</v>
      </c>
      <c r="M139" t="str">
        <f t="shared" si="20"/>
        <v>S</v>
      </c>
    </row>
    <row r="140" spans="1:13" x14ac:dyDescent="0.45">
      <c r="A140">
        <v>139</v>
      </c>
      <c r="B140">
        <v>1.4</v>
      </c>
      <c r="C140">
        <v>4</v>
      </c>
      <c r="D140" t="s">
        <v>6</v>
      </c>
      <c r="E140">
        <v>2</v>
      </c>
      <c r="F140">
        <v>139</v>
      </c>
      <c r="G140" t="str">
        <f t="shared" si="15"/>
        <v>S</v>
      </c>
      <c r="H140">
        <f t="shared" si="21"/>
        <v>2</v>
      </c>
      <c r="I140">
        <f t="shared" si="16"/>
        <v>0</v>
      </c>
      <c r="J140">
        <f t="shared" si="17"/>
        <v>4</v>
      </c>
      <c r="K140">
        <f t="shared" si="18"/>
        <v>0</v>
      </c>
      <c r="L140">
        <f t="shared" si="19"/>
        <v>1</v>
      </c>
      <c r="M140" t="str">
        <f t="shared" si="20"/>
        <v>S</v>
      </c>
    </row>
    <row r="141" spans="1:13" x14ac:dyDescent="0.45">
      <c r="A141">
        <v>140</v>
      </c>
      <c r="B141">
        <v>0.5</v>
      </c>
      <c r="C141">
        <v>5</v>
      </c>
      <c r="D141" t="s">
        <v>6</v>
      </c>
      <c r="E141">
        <v>2</v>
      </c>
      <c r="F141">
        <v>140</v>
      </c>
      <c r="G141" t="str">
        <f t="shared" si="15"/>
        <v>S</v>
      </c>
      <c r="H141">
        <f t="shared" si="21"/>
        <v>2</v>
      </c>
      <c r="I141">
        <f t="shared" si="16"/>
        <v>0</v>
      </c>
      <c r="J141">
        <f t="shared" si="17"/>
        <v>5</v>
      </c>
      <c r="K141">
        <f t="shared" si="18"/>
        <v>0</v>
      </c>
      <c r="L141">
        <f t="shared" si="19"/>
        <v>0</v>
      </c>
      <c r="M141" t="str">
        <f t="shared" si="20"/>
        <v>S</v>
      </c>
    </row>
    <row r="142" spans="1:13" x14ac:dyDescent="0.45">
      <c r="A142">
        <v>141</v>
      </c>
      <c r="B142">
        <v>1.4</v>
      </c>
      <c r="C142">
        <v>1</v>
      </c>
      <c r="D142" t="s">
        <v>6</v>
      </c>
      <c r="E142">
        <v>2</v>
      </c>
      <c r="F142">
        <v>141</v>
      </c>
      <c r="G142" t="str">
        <f t="shared" si="15"/>
        <v>S</v>
      </c>
      <c r="H142">
        <f t="shared" si="21"/>
        <v>2</v>
      </c>
      <c r="I142">
        <f t="shared" si="16"/>
        <v>0</v>
      </c>
      <c r="J142">
        <f t="shared" si="17"/>
        <v>6</v>
      </c>
      <c r="K142">
        <f t="shared" si="18"/>
        <v>0</v>
      </c>
      <c r="L142">
        <f t="shared" si="19"/>
        <v>0</v>
      </c>
      <c r="M142" t="str">
        <f t="shared" si="20"/>
        <v>S</v>
      </c>
    </row>
    <row r="143" spans="1:13" x14ac:dyDescent="0.45">
      <c r="A143">
        <v>142</v>
      </c>
      <c r="B143">
        <v>3.9</v>
      </c>
      <c r="C143">
        <v>3</v>
      </c>
      <c r="D143" t="s">
        <v>6</v>
      </c>
      <c r="E143">
        <v>3</v>
      </c>
      <c r="F143">
        <v>142</v>
      </c>
      <c r="G143" t="str">
        <f t="shared" si="15"/>
        <v>S</v>
      </c>
      <c r="H143">
        <f t="shared" si="21"/>
        <v>3</v>
      </c>
      <c r="I143">
        <f t="shared" si="16"/>
        <v>0</v>
      </c>
      <c r="J143">
        <f t="shared" si="17"/>
        <v>7</v>
      </c>
      <c r="K143">
        <f t="shared" si="18"/>
        <v>0</v>
      </c>
      <c r="L143">
        <f t="shared" si="19"/>
        <v>0</v>
      </c>
      <c r="M143" t="str">
        <f t="shared" si="20"/>
        <v>S</v>
      </c>
    </row>
    <row r="144" spans="1:13" x14ac:dyDescent="0.45">
      <c r="A144">
        <v>143</v>
      </c>
      <c r="B144">
        <v>7.3</v>
      </c>
      <c r="C144">
        <v>13</v>
      </c>
      <c r="D144" t="s">
        <v>6</v>
      </c>
      <c r="E144">
        <v>3</v>
      </c>
      <c r="F144">
        <v>143</v>
      </c>
      <c r="G144" t="str">
        <f t="shared" si="15"/>
        <v>S</v>
      </c>
      <c r="H144">
        <f t="shared" si="21"/>
        <v>3</v>
      </c>
      <c r="I144">
        <f t="shared" si="16"/>
        <v>0</v>
      </c>
      <c r="J144">
        <f t="shared" si="17"/>
        <v>8</v>
      </c>
      <c r="K144">
        <f t="shared" si="18"/>
        <v>0</v>
      </c>
      <c r="L144">
        <f t="shared" si="19"/>
        <v>0</v>
      </c>
      <c r="M144" t="str">
        <f t="shared" si="20"/>
        <v>S</v>
      </c>
    </row>
    <row r="145" spans="1:13" x14ac:dyDescent="0.45">
      <c r="A145">
        <v>144</v>
      </c>
      <c r="B145">
        <v>10.9</v>
      </c>
      <c r="C145">
        <v>12</v>
      </c>
      <c r="D145" t="s">
        <v>6</v>
      </c>
      <c r="E145">
        <v>3</v>
      </c>
      <c r="F145">
        <v>144</v>
      </c>
      <c r="G145" t="str">
        <f t="shared" si="15"/>
        <v>S</v>
      </c>
      <c r="H145">
        <f t="shared" si="21"/>
        <v>3</v>
      </c>
      <c r="I145">
        <f t="shared" si="16"/>
        <v>0</v>
      </c>
      <c r="J145">
        <f t="shared" si="17"/>
        <v>9</v>
      </c>
      <c r="K145">
        <f t="shared" si="18"/>
        <v>0</v>
      </c>
      <c r="L145">
        <f t="shared" si="19"/>
        <v>0</v>
      </c>
      <c r="M145" t="str">
        <f t="shared" si="20"/>
        <v>C</v>
      </c>
    </row>
    <row r="146" spans="1:13" x14ac:dyDescent="0.45">
      <c r="A146">
        <v>145</v>
      </c>
      <c r="B146">
        <v>13.7</v>
      </c>
      <c r="C146">
        <v>9</v>
      </c>
      <c r="D146" t="s">
        <v>6</v>
      </c>
      <c r="E146">
        <v>4</v>
      </c>
      <c r="F146">
        <v>145</v>
      </c>
      <c r="G146" t="str">
        <f t="shared" si="15"/>
        <v>S</v>
      </c>
      <c r="H146">
        <f t="shared" si="21"/>
        <v>4</v>
      </c>
      <c r="I146">
        <f t="shared" si="16"/>
        <v>0</v>
      </c>
      <c r="J146">
        <f t="shared" si="17"/>
        <v>10</v>
      </c>
      <c r="K146">
        <f t="shared" si="18"/>
        <v>0</v>
      </c>
      <c r="L146">
        <f t="shared" si="19"/>
        <v>0</v>
      </c>
      <c r="M146" t="str">
        <f t="shared" si="20"/>
        <v>C</v>
      </c>
    </row>
    <row r="147" spans="1:13" x14ac:dyDescent="0.45">
      <c r="A147">
        <v>146</v>
      </c>
      <c r="B147">
        <v>15.1</v>
      </c>
      <c r="C147">
        <v>21</v>
      </c>
      <c r="D147" t="s">
        <v>6</v>
      </c>
      <c r="E147">
        <v>4</v>
      </c>
      <c r="F147">
        <v>146</v>
      </c>
      <c r="G147" t="str">
        <f t="shared" si="15"/>
        <v>S</v>
      </c>
      <c r="H147">
        <f t="shared" si="21"/>
        <v>4</v>
      </c>
      <c r="I147">
        <f t="shared" si="16"/>
        <v>0</v>
      </c>
      <c r="J147">
        <f t="shared" si="17"/>
        <v>11</v>
      </c>
      <c r="K147">
        <f t="shared" si="18"/>
        <v>0</v>
      </c>
      <c r="L147">
        <f t="shared" si="19"/>
        <v>0</v>
      </c>
      <c r="M147" t="str">
        <f t="shared" si="20"/>
        <v>C</v>
      </c>
    </row>
    <row r="148" spans="1:13" x14ac:dyDescent="0.45">
      <c r="A148">
        <v>147</v>
      </c>
      <c r="B148">
        <v>15.1</v>
      </c>
      <c r="C148">
        <v>14</v>
      </c>
      <c r="D148" t="s">
        <v>6</v>
      </c>
      <c r="E148">
        <v>4</v>
      </c>
      <c r="F148">
        <v>147</v>
      </c>
      <c r="G148" t="str">
        <f t="shared" si="15"/>
        <v>S</v>
      </c>
      <c r="H148">
        <f t="shared" si="21"/>
        <v>4</v>
      </c>
      <c r="I148">
        <f t="shared" si="16"/>
        <v>0</v>
      </c>
      <c r="J148">
        <f t="shared" si="17"/>
        <v>12</v>
      </c>
      <c r="K148">
        <f t="shared" si="18"/>
        <v>0</v>
      </c>
      <c r="L148">
        <f t="shared" si="19"/>
        <v>0</v>
      </c>
      <c r="M148" t="str">
        <f t="shared" si="20"/>
        <v>C</v>
      </c>
    </row>
    <row r="149" spans="1:13" x14ac:dyDescent="0.45">
      <c r="A149">
        <v>148</v>
      </c>
      <c r="B149">
        <v>13.9</v>
      </c>
      <c r="C149">
        <v>11</v>
      </c>
      <c r="D149" t="s">
        <v>6</v>
      </c>
      <c r="E149">
        <v>5</v>
      </c>
      <c r="F149">
        <v>148</v>
      </c>
      <c r="G149" t="str">
        <f t="shared" si="15"/>
        <v>S</v>
      </c>
      <c r="H149">
        <f t="shared" si="21"/>
        <v>5</v>
      </c>
      <c r="I149">
        <f t="shared" si="16"/>
        <v>0</v>
      </c>
      <c r="J149">
        <f t="shared" si="17"/>
        <v>13</v>
      </c>
      <c r="K149">
        <f t="shared" si="18"/>
        <v>0</v>
      </c>
      <c r="L149">
        <f t="shared" si="19"/>
        <v>0</v>
      </c>
      <c r="M149" t="str">
        <f t="shared" si="20"/>
        <v>C</v>
      </c>
    </row>
    <row r="150" spans="1:13" x14ac:dyDescent="0.45">
      <c r="A150">
        <v>149</v>
      </c>
      <c r="B150">
        <v>12.3</v>
      </c>
      <c r="C150">
        <v>20</v>
      </c>
      <c r="D150" t="s">
        <v>6</v>
      </c>
      <c r="E150">
        <v>5</v>
      </c>
      <c r="F150">
        <v>149</v>
      </c>
      <c r="G150" t="str">
        <f t="shared" si="15"/>
        <v>S</v>
      </c>
      <c r="H150">
        <f t="shared" si="21"/>
        <v>5</v>
      </c>
      <c r="I150">
        <f t="shared" si="16"/>
        <v>0</v>
      </c>
      <c r="J150">
        <f t="shared" si="17"/>
        <v>14</v>
      </c>
      <c r="K150">
        <f t="shared" si="18"/>
        <v>0</v>
      </c>
      <c r="L150">
        <f t="shared" si="19"/>
        <v>0</v>
      </c>
      <c r="M150" t="str">
        <f t="shared" si="20"/>
        <v>C</v>
      </c>
    </row>
    <row r="151" spans="1:13" x14ac:dyDescent="0.45">
      <c r="A151">
        <v>150</v>
      </c>
      <c r="B151">
        <v>11.2</v>
      </c>
      <c r="C151">
        <v>0</v>
      </c>
      <c r="D151">
        <v>0</v>
      </c>
      <c r="E151">
        <v>0</v>
      </c>
      <c r="F151">
        <v>150</v>
      </c>
      <c r="G151">
        <f t="shared" si="15"/>
        <v>0</v>
      </c>
      <c r="H151">
        <f t="shared" si="21"/>
        <v>0</v>
      </c>
      <c r="I151">
        <f t="shared" si="16"/>
        <v>1</v>
      </c>
      <c r="J151">
        <f t="shared" si="17"/>
        <v>1</v>
      </c>
      <c r="K151">
        <f t="shared" si="18"/>
        <v>0</v>
      </c>
      <c r="L151">
        <f t="shared" si="19"/>
        <v>0</v>
      </c>
      <c r="M151" t="str">
        <f t="shared" si="20"/>
        <v>C</v>
      </c>
    </row>
    <row r="152" spans="1:13" x14ac:dyDescent="0.45">
      <c r="A152">
        <v>151</v>
      </c>
      <c r="B152">
        <v>11.3</v>
      </c>
      <c r="C152">
        <v>6</v>
      </c>
      <c r="D152" t="s">
        <v>5</v>
      </c>
      <c r="E152">
        <v>1</v>
      </c>
      <c r="F152">
        <v>151</v>
      </c>
      <c r="G152" t="str">
        <f t="shared" si="15"/>
        <v>C</v>
      </c>
      <c r="H152">
        <f t="shared" si="21"/>
        <v>1</v>
      </c>
      <c r="I152">
        <f t="shared" si="16"/>
        <v>0</v>
      </c>
      <c r="J152">
        <f t="shared" si="17"/>
        <v>1</v>
      </c>
      <c r="K152">
        <f t="shared" si="18"/>
        <v>1</v>
      </c>
      <c r="L152">
        <f t="shared" si="19"/>
        <v>0</v>
      </c>
      <c r="M152" t="str">
        <f t="shared" si="20"/>
        <v>C</v>
      </c>
    </row>
    <row r="153" spans="1:13" x14ac:dyDescent="0.45">
      <c r="A153">
        <v>152</v>
      </c>
      <c r="B153">
        <v>12.9</v>
      </c>
      <c r="C153">
        <v>3</v>
      </c>
      <c r="D153" t="s">
        <v>5</v>
      </c>
      <c r="E153">
        <v>1</v>
      </c>
      <c r="F153">
        <v>152</v>
      </c>
      <c r="G153" t="str">
        <f t="shared" si="15"/>
        <v>C</v>
      </c>
      <c r="H153">
        <f t="shared" si="21"/>
        <v>1</v>
      </c>
      <c r="I153">
        <f t="shared" si="16"/>
        <v>0</v>
      </c>
      <c r="J153">
        <f t="shared" si="17"/>
        <v>2</v>
      </c>
      <c r="K153">
        <f t="shared" si="18"/>
        <v>0</v>
      </c>
      <c r="L153">
        <f t="shared" si="19"/>
        <v>0</v>
      </c>
      <c r="M153" t="str">
        <f t="shared" si="20"/>
        <v>C</v>
      </c>
    </row>
    <row r="154" spans="1:13" x14ac:dyDescent="0.45">
      <c r="A154">
        <v>153</v>
      </c>
      <c r="B154">
        <v>16</v>
      </c>
      <c r="C154">
        <v>6</v>
      </c>
      <c r="D154" t="s">
        <v>5</v>
      </c>
      <c r="E154">
        <v>1</v>
      </c>
      <c r="F154">
        <v>153</v>
      </c>
      <c r="G154" t="str">
        <f t="shared" si="15"/>
        <v>C</v>
      </c>
      <c r="H154">
        <f t="shared" si="21"/>
        <v>1</v>
      </c>
      <c r="I154">
        <f t="shared" si="16"/>
        <v>0</v>
      </c>
      <c r="J154">
        <f t="shared" si="17"/>
        <v>3</v>
      </c>
      <c r="K154">
        <f t="shared" si="18"/>
        <v>0</v>
      </c>
      <c r="L154">
        <f t="shared" si="19"/>
        <v>0</v>
      </c>
      <c r="M154" t="str">
        <f t="shared" si="20"/>
        <v>C</v>
      </c>
    </row>
    <row r="155" spans="1:13" x14ac:dyDescent="0.45">
      <c r="A155">
        <v>154</v>
      </c>
      <c r="B155">
        <v>19.8</v>
      </c>
      <c r="C155">
        <v>2</v>
      </c>
      <c r="D155" t="s">
        <v>5</v>
      </c>
      <c r="E155">
        <v>2</v>
      </c>
      <c r="F155">
        <v>154</v>
      </c>
      <c r="G155" t="str">
        <f t="shared" si="15"/>
        <v>C</v>
      </c>
      <c r="H155">
        <f t="shared" si="21"/>
        <v>2</v>
      </c>
      <c r="I155">
        <f t="shared" si="16"/>
        <v>0</v>
      </c>
      <c r="J155">
        <f t="shared" si="17"/>
        <v>4</v>
      </c>
      <c r="K155">
        <f t="shared" si="18"/>
        <v>0</v>
      </c>
      <c r="L155">
        <f t="shared" si="19"/>
        <v>1</v>
      </c>
      <c r="M155" t="str">
        <f t="shared" si="20"/>
        <v>C</v>
      </c>
    </row>
    <row r="156" spans="1:13" x14ac:dyDescent="0.45">
      <c r="A156">
        <v>155</v>
      </c>
      <c r="B156">
        <v>23.6</v>
      </c>
      <c r="C156">
        <v>11</v>
      </c>
      <c r="D156" t="s">
        <v>5</v>
      </c>
      <c r="E156">
        <v>2</v>
      </c>
      <c r="F156">
        <v>155</v>
      </c>
      <c r="G156" t="str">
        <f t="shared" si="15"/>
        <v>C</v>
      </c>
      <c r="H156">
        <f t="shared" si="21"/>
        <v>2</v>
      </c>
      <c r="I156">
        <f t="shared" si="16"/>
        <v>0</v>
      </c>
      <c r="J156">
        <f t="shared" si="17"/>
        <v>5</v>
      </c>
      <c r="K156">
        <f t="shared" si="18"/>
        <v>0</v>
      </c>
      <c r="L156">
        <f t="shared" si="19"/>
        <v>0</v>
      </c>
      <c r="M156" t="str">
        <f t="shared" si="20"/>
        <v>C</v>
      </c>
    </row>
    <row r="157" spans="1:13" x14ac:dyDescent="0.45">
      <c r="A157">
        <v>156</v>
      </c>
      <c r="B157">
        <v>26.4</v>
      </c>
      <c r="C157">
        <v>11</v>
      </c>
      <c r="D157" t="s">
        <v>5</v>
      </c>
      <c r="E157">
        <v>2</v>
      </c>
      <c r="F157">
        <v>156</v>
      </c>
      <c r="G157" t="str">
        <f t="shared" si="15"/>
        <v>C</v>
      </c>
      <c r="H157">
        <f t="shared" si="21"/>
        <v>2</v>
      </c>
      <c r="I157">
        <f t="shared" si="16"/>
        <v>0</v>
      </c>
      <c r="J157">
        <f t="shared" si="17"/>
        <v>6</v>
      </c>
      <c r="K157">
        <f t="shared" si="18"/>
        <v>0</v>
      </c>
      <c r="L157">
        <f t="shared" si="19"/>
        <v>0</v>
      </c>
      <c r="M157" t="str">
        <f t="shared" si="20"/>
        <v>C</v>
      </c>
    </row>
    <row r="158" spans="1:13" x14ac:dyDescent="0.45">
      <c r="A158">
        <v>157</v>
      </c>
      <c r="B158">
        <v>27.7</v>
      </c>
      <c r="C158">
        <v>5</v>
      </c>
      <c r="D158" t="s">
        <v>5</v>
      </c>
      <c r="E158">
        <v>3</v>
      </c>
      <c r="F158">
        <v>157</v>
      </c>
      <c r="G158" t="str">
        <f t="shared" si="15"/>
        <v>C</v>
      </c>
      <c r="H158">
        <f t="shared" si="21"/>
        <v>3</v>
      </c>
      <c r="I158">
        <f t="shared" si="16"/>
        <v>0</v>
      </c>
      <c r="J158">
        <f t="shared" si="17"/>
        <v>7</v>
      </c>
      <c r="K158">
        <f t="shared" si="18"/>
        <v>0</v>
      </c>
      <c r="L158">
        <f t="shared" si="19"/>
        <v>0</v>
      </c>
      <c r="M158" t="str">
        <f t="shared" si="20"/>
        <v>C</v>
      </c>
    </row>
    <row r="159" spans="1:13" x14ac:dyDescent="0.45">
      <c r="A159">
        <v>158</v>
      </c>
      <c r="B159">
        <v>27.2</v>
      </c>
      <c r="C159">
        <v>18</v>
      </c>
      <c r="D159" t="s">
        <v>5</v>
      </c>
      <c r="E159">
        <v>3</v>
      </c>
      <c r="F159">
        <v>158</v>
      </c>
      <c r="G159" t="str">
        <f t="shared" si="15"/>
        <v>C</v>
      </c>
      <c r="H159">
        <f t="shared" si="21"/>
        <v>3</v>
      </c>
      <c r="I159">
        <f t="shared" si="16"/>
        <v>0</v>
      </c>
      <c r="J159">
        <f t="shared" si="17"/>
        <v>8</v>
      </c>
      <c r="K159">
        <f t="shared" si="18"/>
        <v>0</v>
      </c>
      <c r="L159">
        <f t="shared" si="19"/>
        <v>0</v>
      </c>
      <c r="M159" t="str">
        <f t="shared" si="20"/>
        <v>C</v>
      </c>
    </row>
    <row r="160" spans="1:13" x14ac:dyDescent="0.45">
      <c r="A160">
        <v>159</v>
      </c>
      <c r="B160">
        <v>25.5</v>
      </c>
      <c r="C160">
        <v>5</v>
      </c>
      <c r="D160" t="s">
        <v>5</v>
      </c>
      <c r="E160">
        <v>3</v>
      </c>
      <c r="F160">
        <v>159</v>
      </c>
      <c r="G160" t="str">
        <f t="shared" si="15"/>
        <v>C</v>
      </c>
      <c r="H160">
        <f t="shared" si="21"/>
        <v>3</v>
      </c>
      <c r="I160">
        <f t="shared" si="16"/>
        <v>0</v>
      </c>
      <c r="J160">
        <f t="shared" si="17"/>
        <v>9</v>
      </c>
      <c r="K160">
        <f t="shared" si="18"/>
        <v>0</v>
      </c>
      <c r="L160">
        <f t="shared" si="19"/>
        <v>0</v>
      </c>
      <c r="M160" t="str">
        <f t="shared" si="20"/>
        <v>C</v>
      </c>
    </row>
    <row r="161" spans="1:13" x14ac:dyDescent="0.45">
      <c r="A161">
        <v>160</v>
      </c>
      <c r="B161">
        <v>23.1</v>
      </c>
      <c r="C161">
        <v>8</v>
      </c>
      <c r="D161" t="s">
        <v>5</v>
      </c>
      <c r="E161">
        <v>4</v>
      </c>
      <c r="F161">
        <v>160</v>
      </c>
      <c r="G161" t="str">
        <f t="shared" si="15"/>
        <v>C</v>
      </c>
      <c r="H161">
        <f t="shared" si="21"/>
        <v>4</v>
      </c>
      <c r="I161">
        <f t="shared" si="16"/>
        <v>0</v>
      </c>
      <c r="J161">
        <f t="shared" si="17"/>
        <v>10</v>
      </c>
      <c r="K161">
        <f t="shared" si="18"/>
        <v>0</v>
      </c>
      <c r="L161">
        <f t="shared" si="19"/>
        <v>0</v>
      </c>
      <c r="M161" t="str">
        <f t="shared" si="20"/>
        <v>C</v>
      </c>
    </row>
    <row r="162" spans="1:13" x14ac:dyDescent="0.45">
      <c r="A162">
        <v>161</v>
      </c>
      <c r="B162">
        <v>21</v>
      </c>
      <c r="C162">
        <v>22</v>
      </c>
      <c r="D162" t="s">
        <v>5</v>
      </c>
      <c r="E162">
        <v>4</v>
      </c>
      <c r="F162">
        <v>161</v>
      </c>
      <c r="G162" t="str">
        <f t="shared" si="15"/>
        <v>C</v>
      </c>
      <c r="H162">
        <f t="shared" si="21"/>
        <v>4</v>
      </c>
      <c r="I162">
        <f t="shared" si="16"/>
        <v>0</v>
      </c>
      <c r="J162">
        <f t="shared" si="17"/>
        <v>11</v>
      </c>
      <c r="K162">
        <f t="shared" si="18"/>
        <v>0</v>
      </c>
      <c r="L162">
        <f t="shared" si="19"/>
        <v>0</v>
      </c>
      <c r="M162" t="str">
        <f t="shared" si="20"/>
        <v>C</v>
      </c>
    </row>
    <row r="163" spans="1:13" x14ac:dyDescent="0.45">
      <c r="A163">
        <v>162</v>
      </c>
      <c r="B163">
        <v>20</v>
      </c>
      <c r="C163">
        <v>19</v>
      </c>
      <c r="D163" t="s">
        <v>5</v>
      </c>
      <c r="E163">
        <v>4</v>
      </c>
      <c r="F163">
        <v>162</v>
      </c>
      <c r="G163" t="str">
        <f t="shared" si="15"/>
        <v>C</v>
      </c>
      <c r="H163">
        <f t="shared" si="21"/>
        <v>4</v>
      </c>
      <c r="I163">
        <f t="shared" si="16"/>
        <v>0</v>
      </c>
      <c r="J163">
        <f t="shared" si="17"/>
        <v>12</v>
      </c>
      <c r="K163">
        <f t="shared" si="18"/>
        <v>0</v>
      </c>
      <c r="L163">
        <f t="shared" si="19"/>
        <v>0</v>
      </c>
      <c r="M163" t="str">
        <f t="shared" si="20"/>
        <v>C</v>
      </c>
    </row>
    <row r="164" spans="1:13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v>163</v>
      </c>
      <c r="G164" t="str">
        <f t="shared" si="15"/>
        <v>C</v>
      </c>
      <c r="H164">
        <f t="shared" si="21"/>
        <v>5</v>
      </c>
      <c r="I164">
        <f t="shared" si="16"/>
        <v>0</v>
      </c>
      <c r="J164">
        <f t="shared" si="17"/>
        <v>13</v>
      </c>
      <c r="K164">
        <f t="shared" si="18"/>
        <v>0</v>
      </c>
      <c r="L164">
        <f t="shared" si="19"/>
        <v>0</v>
      </c>
      <c r="M164" t="str">
        <f t="shared" si="20"/>
        <v>C</v>
      </c>
    </row>
    <row r="165" spans="1:13" x14ac:dyDescent="0.45">
      <c r="A165">
        <v>164</v>
      </c>
      <c r="B165">
        <v>22.1</v>
      </c>
      <c r="C165">
        <v>0</v>
      </c>
      <c r="D165">
        <v>0</v>
      </c>
      <c r="E165">
        <v>0</v>
      </c>
      <c r="F165">
        <v>164</v>
      </c>
      <c r="G165">
        <f t="shared" si="15"/>
        <v>0</v>
      </c>
      <c r="H165">
        <f t="shared" si="21"/>
        <v>0</v>
      </c>
      <c r="I165">
        <f t="shared" si="16"/>
        <v>1</v>
      </c>
      <c r="J165">
        <f t="shared" si="17"/>
        <v>1</v>
      </c>
      <c r="K165">
        <f t="shared" si="18"/>
        <v>0</v>
      </c>
      <c r="L165">
        <f t="shared" si="19"/>
        <v>0</v>
      </c>
      <c r="M165" t="str">
        <f t="shared" si="20"/>
        <v>C</v>
      </c>
    </row>
    <row r="166" spans="1:13" x14ac:dyDescent="0.45">
      <c r="A166">
        <v>165</v>
      </c>
      <c r="B166">
        <v>24.5</v>
      </c>
      <c r="C166">
        <v>1</v>
      </c>
      <c r="D166" t="s">
        <v>6</v>
      </c>
      <c r="E166">
        <v>1</v>
      </c>
      <c r="F166">
        <v>165</v>
      </c>
      <c r="G166" t="str">
        <f t="shared" si="15"/>
        <v>C</v>
      </c>
      <c r="H166">
        <f t="shared" si="21"/>
        <v>1</v>
      </c>
      <c r="I166">
        <f t="shared" si="16"/>
        <v>0</v>
      </c>
      <c r="J166">
        <f t="shared" si="17"/>
        <v>1</v>
      </c>
      <c r="K166">
        <f t="shared" si="18"/>
        <v>1</v>
      </c>
      <c r="L166">
        <f t="shared" si="19"/>
        <v>0</v>
      </c>
      <c r="M166" t="str">
        <f t="shared" si="20"/>
        <v>C</v>
      </c>
    </row>
    <row r="167" spans="1:13" x14ac:dyDescent="0.45">
      <c r="A167">
        <v>166</v>
      </c>
      <c r="B167">
        <v>26.8</v>
      </c>
      <c r="C167">
        <v>2</v>
      </c>
      <c r="D167" t="s">
        <v>6</v>
      </c>
      <c r="E167">
        <v>1</v>
      </c>
      <c r="F167">
        <v>166</v>
      </c>
      <c r="G167" t="str">
        <f t="shared" si="15"/>
        <v>C</v>
      </c>
      <c r="H167">
        <f t="shared" si="21"/>
        <v>1</v>
      </c>
      <c r="I167">
        <f t="shared" si="16"/>
        <v>0</v>
      </c>
      <c r="J167">
        <f t="shared" si="17"/>
        <v>2</v>
      </c>
      <c r="K167">
        <f t="shared" si="18"/>
        <v>0</v>
      </c>
      <c r="L167">
        <f t="shared" si="19"/>
        <v>0</v>
      </c>
      <c r="M167" t="str">
        <f t="shared" si="20"/>
        <v>C</v>
      </c>
    </row>
    <row r="168" spans="1:13" x14ac:dyDescent="0.45">
      <c r="A168">
        <v>167</v>
      </c>
      <c r="B168">
        <v>28</v>
      </c>
      <c r="C168">
        <v>4</v>
      </c>
      <c r="D168" t="s">
        <v>6</v>
      </c>
      <c r="E168">
        <v>1</v>
      </c>
      <c r="F168">
        <v>167</v>
      </c>
      <c r="G168" t="str">
        <f t="shared" si="15"/>
        <v>C</v>
      </c>
      <c r="H168">
        <f t="shared" si="21"/>
        <v>1</v>
      </c>
      <c r="I168">
        <f t="shared" si="16"/>
        <v>0</v>
      </c>
      <c r="J168">
        <f t="shared" si="17"/>
        <v>3</v>
      </c>
      <c r="K168">
        <f t="shared" si="18"/>
        <v>0</v>
      </c>
      <c r="L168">
        <f t="shared" si="19"/>
        <v>0</v>
      </c>
      <c r="M168" t="str">
        <f t="shared" si="20"/>
        <v>C</v>
      </c>
    </row>
    <row r="169" spans="1:13" x14ac:dyDescent="0.45">
      <c r="A169">
        <v>168</v>
      </c>
      <c r="B169">
        <v>27.7</v>
      </c>
      <c r="C169">
        <v>8</v>
      </c>
      <c r="D169" t="s">
        <v>6</v>
      </c>
      <c r="E169">
        <v>2</v>
      </c>
      <c r="F169">
        <v>168</v>
      </c>
      <c r="G169" t="str">
        <f t="shared" si="15"/>
        <v>C</v>
      </c>
      <c r="H169">
        <f t="shared" si="21"/>
        <v>2</v>
      </c>
      <c r="I169">
        <f t="shared" si="16"/>
        <v>0</v>
      </c>
      <c r="J169">
        <f t="shared" si="17"/>
        <v>4</v>
      </c>
      <c r="K169">
        <f t="shared" si="18"/>
        <v>0</v>
      </c>
      <c r="L169">
        <f t="shared" si="19"/>
        <v>1</v>
      </c>
      <c r="M169" t="str">
        <f t="shared" si="20"/>
        <v>C</v>
      </c>
    </row>
    <row r="170" spans="1:13" x14ac:dyDescent="0.45">
      <c r="A170">
        <v>169</v>
      </c>
      <c r="B170">
        <v>25.6</v>
      </c>
      <c r="C170">
        <v>4</v>
      </c>
      <c r="D170" t="s">
        <v>6</v>
      </c>
      <c r="E170">
        <v>2</v>
      </c>
      <c r="F170">
        <v>169</v>
      </c>
      <c r="G170" t="str">
        <f t="shared" si="15"/>
        <v>C</v>
      </c>
      <c r="H170">
        <f t="shared" si="21"/>
        <v>2</v>
      </c>
      <c r="I170">
        <f t="shared" si="16"/>
        <v>0</v>
      </c>
      <c r="J170">
        <f t="shared" si="17"/>
        <v>5</v>
      </c>
      <c r="K170">
        <f t="shared" si="18"/>
        <v>0</v>
      </c>
      <c r="L170">
        <f t="shared" si="19"/>
        <v>0</v>
      </c>
      <c r="M170" t="str">
        <f t="shared" si="20"/>
        <v>C</v>
      </c>
    </row>
    <row r="171" spans="1:13" x14ac:dyDescent="0.45">
      <c r="A171">
        <v>170</v>
      </c>
      <c r="B171">
        <v>22.3</v>
      </c>
      <c r="C171">
        <v>7</v>
      </c>
      <c r="D171" t="s">
        <v>6</v>
      </c>
      <c r="E171">
        <v>2</v>
      </c>
      <c r="F171">
        <v>170</v>
      </c>
      <c r="G171" t="str">
        <f t="shared" si="15"/>
        <v>C</v>
      </c>
      <c r="H171">
        <f t="shared" si="21"/>
        <v>2</v>
      </c>
      <c r="I171">
        <f t="shared" si="16"/>
        <v>0</v>
      </c>
      <c r="J171">
        <f t="shared" si="17"/>
        <v>6</v>
      </c>
      <c r="K171">
        <f t="shared" si="18"/>
        <v>0</v>
      </c>
      <c r="L171">
        <f t="shared" si="19"/>
        <v>0</v>
      </c>
      <c r="M171" t="str">
        <f t="shared" si="20"/>
        <v>C</v>
      </c>
    </row>
    <row r="172" spans="1:13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v>171</v>
      </c>
      <c r="G172" t="str">
        <f t="shared" si="15"/>
        <v>C</v>
      </c>
      <c r="H172">
        <f t="shared" si="21"/>
        <v>3</v>
      </c>
      <c r="I172">
        <f t="shared" si="16"/>
        <v>0</v>
      </c>
      <c r="J172">
        <f t="shared" si="17"/>
        <v>7</v>
      </c>
      <c r="K172">
        <f t="shared" si="18"/>
        <v>0</v>
      </c>
      <c r="L172">
        <f t="shared" si="19"/>
        <v>0</v>
      </c>
      <c r="M172" t="str">
        <f t="shared" si="20"/>
        <v>C</v>
      </c>
    </row>
    <row r="173" spans="1:13" x14ac:dyDescent="0.45">
      <c r="A173">
        <v>172</v>
      </c>
      <c r="B173">
        <v>14.9</v>
      </c>
      <c r="C173">
        <v>18</v>
      </c>
      <c r="D173" t="s">
        <v>6</v>
      </c>
      <c r="E173">
        <v>3</v>
      </c>
      <c r="F173">
        <v>172</v>
      </c>
      <c r="G173" t="str">
        <f t="shared" si="15"/>
        <v>C</v>
      </c>
      <c r="H173">
        <f t="shared" si="21"/>
        <v>3</v>
      </c>
      <c r="I173">
        <f t="shared" si="16"/>
        <v>0</v>
      </c>
      <c r="J173">
        <f t="shared" si="17"/>
        <v>8</v>
      </c>
      <c r="K173">
        <f t="shared" si="18"/>
        <v>0</v>
      </c>
      <c r="L173">
        <f t="shared" si="19"/>
        <v>0</v>
      </c>
      <c r="M173" t="str">
        <f t="shared" si="20"/>
        <v>C</v>
      </c>
    </row>
    <row r="174" spans="1:13" x14ac:dyDescent="0.45">
      <c r="A174">
        <v>173</v>
      </c>
      <c r="B174">
        <v>12.5</v>
      </c>
      <c r="C174">
        <v>6</v>
      </c>
      <c r="D174" t="s">
        <v>6</v>
      </c>
      <c r="E174">
        <v>3</v>
      </c>
      <c r="F174">
        <v>173</v>
      </c>
      <c r="G174" t="str">
        <f t="shared" si="15"/>
        <v>C</v>
      </c>
      <c r="H174">
        <f t="shared" si="21"/>
        <v>3</v>
      </c>
      <c r="I174">
        <f t="shared" si="16"/>
        <v>0</v>
      </c>
      <c r="J174">
        <f t="shared" si="17"/>
        <v>9</v>
      </c>
      <c r="K174">
        <f t="shared" si="18"/>
        <v>0</v>
      </c>
      <c r="L174">
        <f t="shared" si="19"/>
        <v>0</v>
      </c>
      <c r="M174" t="str">
        <f t="shared" si="20"/>
        <v>C</v>
      </c>
    </row>
    <row r="175" spans="1:13" x14ac:dyDescent="0.45">
      <c r="A175">
        <v>174</v>
      </c>
      <c r="B175">
        <v>11.7</v>
      </c>
      <c r="C175">
        <v>20</v>
      </c>
      <c r="D175" t="s">
        <v>6</v>
      </c>
      <c r="E175">
        <v>4</v>
      </c>
      <c r="F175">
        <v>174</v>
      </c>
      <c r="G175" t="str">
        <f t="shared" si="15"/>
        <v>C</v>
      </c>
      <c r="H175">
        <f t="shared" si="21"/>
        <v>4</v>
      </c>
      <c r="I175">
        <f t="shared" si="16"/>
        <v>0</v>
      </c>
      <c r="J175">
        <f t="shared" si="17"/>
        <v>10</v>
      </c>
      <c r="K175">
        <f t="shared" si="18"/>
        <v>0</v>
      </c>
      <c r="L175">
        <f t="shared" si="19"/>
        <v>0</v>
      </c>
      <c r="M175" t="str">
        <f t="shared" si="20"/>
        <v>C</v>
      </c>
    </row>
    <row r="176" spans="1:13" x14ac:dyDescent="0.45">
      <c r="A176">
        <v>175</v>
      </c>
      <c r="B176">
        <v>12.3</v>
      </c>
      <c r="C176">
        <v>14</v>
      </c>
      <c r="D176" t="s">
        <v>6</v>
      </c>
      <c r="E176">
        <v>4</v>
      </c>
      <c r="F176">
        <v>175</v>
      </c>
      <c r="G176" t="str">
        <f t="shared" si="15"/>
        <v>C</v>
      </c>
      <c r="H176">
        <f t="shared" si="21"/>
        <v>4</v>
      </c>
      <c r="I176">
        <f t="shared" si="16"/>
        <v>0</v>
      </c>
      <c r="J176">
        <f t="shared" si="17"/>
        <v>11</v>
      </c>
      <c r="K176">
        <f t="shared" si="18"/>
        <v>0</v>
      </c>
      <c r="L176">
        <f t="shared" si="19"/>
        <v>0</v>
      </c>
      <c r="M176" t="str">
        <f t="shared" si="20"/>
        <v>C</v>
      </c>
    </row>
    <row r="177" spans="1:13" x14ac:dyDescent="0.45">
      <c r="A177">
        <v>176</v>
      </c>
      <c r="B177">
        <v>13.7</v>
      </c>
      <c r="C177">
        <v>22</v>
      </c>
      <c r="D177" t="s">
        <v>6</v>
      </c>
      <c r="E177">
        <v>4</v>
      </c>
      <c r="F177">
        <v>176</v>
      </c>
      <c r="G177" t="str">
        <f t="shared" si="15"/>
        <v>C</v>
      </c>
      <c r="H177">
        <f t="shared" si="21"/>
        <v>4</v>
      </c>
      <c r="I177">
        <f t="shared" si="16"/>
        <v>0</v>
      </c>
      <c r="J177">
        <f t="shared" si="17"/>
        <v>12</v>
      </c>
      <c r="K177">
        <f t="shared" si="18"/>
        <v>0</v>
      </c>
      <c r="L177">
        <f t="shared" si="19"/>
        <v>0</v>
      </c>
      <c r="M177" t="str">
        <f t="shared" si="20"/>
        <v>C</v>
      </c>
    </row>
    <row r="178" spans="1:13" x14ac:dyDescent="0.45">
      <c r="A178">
        <v>177</v>
      </c>
      <c r="B178">
        <v>15.2</v>
      </c>
      <c r="C178">
        <v>23</v>
      </c>
      <c r="D178" t="s">
        <v>6</v>
      </c>
      <c r="E178">
        <v>5</v>
      </c>
      <c r="F178">
        <v>177</v>
      </c>
      <c r="G178" t="str">
        <f t="shared" si="15"/>
        <v>C</v>
      </c>
      <c r="H178">
        <f t="shared" si="21"/>
        <v>5</v>
      </c>
      <c r="I178">
        <f t="shared" si="16"/>
        <v>0</v>
      </c>
      <c r="J178">
        <f t="shared" si="17"/>
        <v>13</v>
      </c>
      <c r="K178">
        <f t="shared" si="18"/>
        <v>0</v>
      </c>
      <c r="L178">
        <f t="shared" si="19"/>
        <v>0</v>
      </c>
      <c r="M178" t="str">
        <f t="shared" si="20"/>
        <v>C</v>
      </c>
    </row>
    <row r="179" spans="1:13" x14ac:dyDescent="0.45">
      <c r="A179">
        <v>178</v>
      </c>
      <c r="B179">
        <v>15.9</v>
      </c>
      <c r="C179">
        <v>0</v>
      </c>
      <c r="D179">
        <v>0</v>
      </c>
      <c r="E179">
        <v>0</v>
      </c>
      <c r="F179">
        <v>178</v>
      </c>
      <c r="G179">
        <f t="shared" si="15"/>
        <v>0</v>
      </c>
      <c r="H179">
        <f t="shared" si="21"/>
        <v>0</v>
      </c>
      <c r="I179">
        <f t="shared" si="16"/>
        <v>1</v>
      </c>
      <c r="J179">
        <f t="shared" si="17"/>
        <v>1</v>
      </c>
      <c r="K179">
        <f t="shared" si="18"/>
        <v>0</v>
      </c>
      <c r="L179">
        <f t="shared" si="19"/>
        <v>0</v>
      </c>
      <c r="M179" t="str">
        <f t="shared" si="20"/>
        <v>C</v>
      </c>
    </row>
    <row r="180" spans="1:13" x14ac:dyDescent="0.45">
      <c r="A180">
        <v>179</v>
      </c>
      <c r="B180">
        <v>15.1</v>
      </c>
      <c r="C180">
        <v>1</v>
      </c>
      <c r="D180" t="s">
        <v>5</v>
      </c>
      <c r="E180">
        <v>1</v>
      </c>
      <c r="F180">
        <v>179</v>
      </c>
      <c r="G180" t="str">
        <f t="shared" si="15"/>
        <v>C</v>
      </c>
      <c r="H180">
        <f t="shared" si="21"/>
        <v>1</v>
      </c>
      <c r="I180">
        <f t="shared" si="16"/>
        <v>0</v>
      </c>
      <c r="J180">
        <f t="shared" si="17"/>
        <v>1</v>
      </c>
      <c r="K180">
        <f t="shared" si="18"/>
        <v>1</v>
      </c>
      <c r="L180">
        <f t="shared" si="19"/>
        <v>0</v>
      </c>
      <c r="M180" t="str">
        <f t="shared" si="20"/>
        <v>C</v>
      </c>
    </row>
    <row r="181" spans="1:13" x14ac:dyDescent="0.45">
      <c r="A181">
        <v>180</v>
      </c>
      <c r="B181">
        <v>12.9</v>
      </c>
      <c r="C181">
        <v>1</v>
      </c>
      <c r="D181" t="s">
        <v>5</v>
      </c>
      <c r="E181">
        <v>1</v>
      </c>
      <c r="F181">
        <v>180</v>
      </c>
      <c r="G181" t="str">
        <f t="shared" si="15"/>
        <v>C</v>
      </c>
      <c r="H181">
        <f t="shared" si="21"/>
        <v>1</v>
      </c>
      <c r="I181">
        <f t="shared" si="16"/>
        <v>0</v>
      </c>
      <c r="J181">
        <f t="shared" si="17"/>
        <v>2</v>
      </c>
      <c r="K181">
        <f t="shared" si="18"/>
        <v>0</v>
      </c>
      <c r="L181">
        <f t="shared" si="19"/>
        <v>0</v>
      </c>
      <c r="M181" t="str">
        <f t="shared" si="20"/>
        <v>C</v>
      </c>
    </row>
    <row r="182" spans="1:13" x14ac:dyDescent="0.45">
      <c r="A182">
        <v>181</v>
      </c>
      <c r="B182">
        <v>9.6</v>
      </c>
      <c r="C182">
        <v>1</v>
      </c>
      <c r="D182" t="s">
        <v>5</v>
      </c>
      <c r="E182">
        <v>1</v>
      </c>
      <c r="F182">
        <v>181</v>
      </c>
      <c r="G182" t="str">
        <f t="shared" si="15"/>
        <v>C</v>
      </c>
      <c r="H182">
        <f t="shared" si="21"/>
        <v>1</v>
      </c>
      <c r="I182">
        <f t="shared" si="16"/>
        <v>0</v>
      </c>
      <c r="J182">
        <f t="shared" si="17"/>
        <v>3</v>
      </c>
      <c r="K182">
        <f t="shared" si="18"/>
        <v>0</v>
      </c>
      <c r="L182">
        <f t="shared" si="19"/>
        <v>0</v>
      </c>
      <c r="M182" t="str">
        <f t="shared" si="20"/>
        <v>S</v>
      </c>
    </row>
    <row r="183" spans="1:13" x14ac:dyDescent="0.45">
      <c r="A183">
        <v>182</v>
      </c>
      <c r="B183">
        <v>5.9</v>
      </c>
      <c r="C183">
        <v>2</v>
      </c>
      <c r="D183" t="s">
        <v>5</v>
      </c>
      <c r="E183">
        <v>2</v>
      </c>
      <c r="F183">
        <v>182</v>
      </c>
      <c r="G183" t="str">
        <f t="shared" si="15"/>
        <v>C</v>
      </c>
      <c r="H183">
        <f t="shared" si="21"/>
        <v>2</v>
      </c>
      <c r="I183">
        <f t="shared" si="16"/>
        <v>0</v>
      </c>
      <c r="J183">
        <f t="shared" si="17"/>
        <v>4</v>
      </c>
      <c r="K183">
        <f t="shared" si="18"/>
        <v>0</v>
      </c>
      <c r="L183">
        <f t="shared" si="19"/>
        <v>1</v>
      </c>
      <c r="M183" t="str">
        <f t="shared" si="20"/>
        <v>S</v>
      </c>
    </row>
    <row r="184" spans="1:13" x14ac:dyDescent="0.45">
      <c r="A184">
        <v>183</v>
      </c>
      <c r="B184">
        <v>2.8</v>
      </c>
      <c r="C184">
        <v>6</v>
      </c>
      <c r="D184" t="s">
        <v>5</v>
      </c>
      <c r="E184">
        <v>2</v>
      </c>
      <c r="F184">
        <v>183</v>
      </c>
      <c r="G184" t="str">
        <f t="shared" si="15"/>
        <v>C</v>
      </c>
      <c r="H184">
        <f t="shared" si="21"/>
        <v>2</v>
      </c>
      <c r="I184">
        <f t="shared" si="16"/>
        <v>0</v>
      </c>
      <c r="J184">
        <f t="shared" si="17"/>
        <v>5</v>
      </c>
      <c r="K184">
        <f t="shared" si="18"/>
        <v>0</v>
      </c>
      <c r="L184">
        <f t="shared" si="19"/>
        <v>0</v>
      </c>
      <c r="M184" t="str">
        <f t="shared" si="20"/>
        <v>S</v>
      </c>
    </row>
    <row r="185" spans="1:13" x14ac:dyDescent="0.45">
      <c r="A185">
        <v>184</v>
      </c>
      <c r="B185">
        <v>1</v>
      </c>
      <c r="C185">
        <v>9</v>
      </c>
      <c r="D185" t="s">
        <v>5</v>
      </c>
      <c r="E185">
        <v>2</v>
      </c>
      <c r="F185">
        <v>184</v>
      </c>
      <c r="G185" t="str">
        <f t="shared" si="15"/>
        <v>C</v>
      </c>
      <c r="H185">
        <f t="shared" si="21"/>
        <v>2</v>
      </c>
      <c r="I185">
        <f t="shared" si="16"/>
        <v>0</v>
      </c>
      <c r="J185">
        <f t="shared" si="17"/>
        <v>6</v>
      </c>
      <c r="K185">
        <f t="shared" si="18"/>
        <v>0</v>
      </c>
      <c r="L185">
        <f t="shared" si="19"/>
        <v>0</v>
      </c>
      <c r="M185" t="str">
        <f t="shared" si="20"/>
        <v>S</v>
      </c>
    </row>
    <row r="186" spans="1:13" x14ac:dyDescent="0.45">
      <c r="A186">
        <v>185</v>
      </c>
      <c r="B186">
        <v>0.9</v>
      </c>
      <c r="C186">
        <v>6</v>
      </c>
      <c r="D186" t="s">
        <v>5</v>
      </c>
      <c r="E186">
        <v>3</v>
      </c>
      <c r="F186">
        <v>185</v>
      </c>
      <c r="G186" t="str">
        <f t="shared" si="15"/>
        <v>C</v>
      </c>
      <c r="H186">
        <f t="shared" si="21"/>
        <v>3</v>
      </c>
      <c r="I186">
        <f t="shared" si="16"/>
        <v>0</v>
      </c>
      <c r="J186">
        <f t="shared" si="17"/>
        <v>7</v>
      </c>
      <c r="K186">
        <f t="shared" si="18"/>
        <v>0</v>
      </c>
      <c r="L186">
        <f t="shared" si="19"/>
        <v>0</v>
      </c>
      <c r="M186" t="str">
        <f t="shared" si="20"/>
        <v>S</v>
      </c>
    </row>
    <row r="187" spans="1:13" x14ac:dyDescent="0.45">
      <c r="A187">
        <v>186</v>
      </c>
      <c r="B187">
        <v>2.5</v>
      </c>
      <c r="C187">
        <v>1</v>
      </c>
      <c r="D187" t="s">
        <v>5</v>
      </c>
      <c r="E187">
        <v>3</v>
      </c>
      <c r="F187">
        <v>186</v>
      </c>
      <c r="G187" t="str">
        <f t="shared" si="15"/>
        <v>C</v>
      </c>
      <c r="H187">
        <f t="shared" si="21"/>
        <v>3</v>
      </c>
      <c r="I187">
        <f t="shared" si="16"/>
        <v>0</v>
      </c>
      <c r="J187">
        <f t="shared" si="17"/>
        <v>8</v>
      </c>
      <c r="K187">
        <f t="shared" si="18"/>
        <v>0</v>
      </c>
      <c r="L187">
        <f t="shared" si="19"/>
        <v>0</v>
      </c>
      <c r="M187" t="str">
        <f t="shared" si="20"/>
        <v>S</v>
      </c>
    </row>
    <row r="188" spans="1:13" x14ac:dyDescent="0.45">
      <c r="A188">
        <v>187</v>
      </c>
      <c r="B188">
        <v>5</v>
      </c>
      <c r="C188">
        <v>3</v>
      </c>
      <c r="D188" t="s">
        <v>5</v>
      </c>
      <c r="E188">
        <v>3</v>
      </c>
      <c r="F188">
        <v>187</v>
      </c>
      <c r="G188" t="str">
        <f t="shared" si="15"/>
        <v>C</v>
      </c>
      <c r="H188">
        <f t="shared" si="21"/>
        <v>3</v>
      </c>
      <c r="I188">
        <f t="shared" si="16"/>
        <v>0</v>
      </c>
      <c r="J188">
        <f t="shared" si="17"/>
        <v>9</v>
      </c>
      <c r="K188">
        <f t="shared" si="18"/>
        <v>0</v>
      </c>
      <c r="L188">
        <f t="shared" si="19"/>
        <v>0</v>
      </c>
      <c r="M188" t="str">
        <f t="shared" si="20"/>
        <v>S</v>
      </c>
    </row>
    <row r="189" spans="1:13" x14ac:dyDescent="0.45">
      <c r="A189">
        <v>188</v>
      </c>
      <c r="B189">
        <v>7.7</v>
      </c>
      <c r="C189">
        <v>7</v>
      </c>
      <c r="D189" t="s">
        <v>5</v>
      </c>
      <c r="E189">
        <v>4</v>
      </c>
      <c r="F189">
        <v>188</v>
      </c>
      <c r="G189" t="str">
        <f t="shared" si="15"/>
        <v>C</v>
      </c>
      <c r="H189">
        <f t="shared" si="21"/>
        <v>4</v>
      </c>
      <c r="I189">
        <f t="shared" si="16"/>
        <v>0</v>
      </c>
      <c r="J189">
        <f t="shared" si="17"/>
        <v>10</v>
      </c>
      <c r="K189">
        <f t="shared" si="18"/>
        <v>0</v>
      </c>
      <c r="L189">
        <f t="shared" si="19"/>
        <v>0</v>
      </c>
      <c r="M189" t="str">
        <f t="shared" si="20"/>
        <v>S</v>
      </c>
    </row>
    <row r="190" spans="1:13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v>189</v>
      </c>
      <c r="G190" t="str">
        <f t="shared" si="15"/>
        <v>C</v>
      </c>
      <c r="H190">
        <f t="shared" si="21"/>
        <v>4</v>
      </c>
      <c r="I190">
        <f t="shared" si="16"/>
        <v>0</v>
      </c>
      <c r="J190">
        <f t="shared" si="17"/>
        <v>11</v>
      </c>
      <c r="K190">
        <f t="shared" si="18"/>
        <v>0</v>
      </c>
      <c r="L190">
        <f t="shared" si="19"/>
        <v>0</v>
      </c>
      <c r="M190" t="str">
        <f t="shared" si="20"/>
        <v>S</v>
      </c>
    </row>
    <row r="191" spans="1:13" x14ac:dyDescent="0.45">
      <c r="A191">
        <v>190</v>
      </c>
      <c r="B191">
        <v>10.4</v>
      </c>
      <c r="C191">
        <v>3</v>
      </c>
      <c r="D191" t="s">
        <v>5</v>
      </c>
      <c r="E191">
        <v>4</v>
      </c>
      <c r="F191">
        <v>190</v>
      </c>
      <c r="G191" t="str">
        <f t="shared" si="15"/>
        <v>C</v>
      </c>
      <c r="H191">
        <f t="shared" si="21"/>
        <v>4</v>
      </c>
      <c r="I191">
        <f t="shared" si="16"/>
        <v>0</v>
      </c>
      <c r="J191">
        <f t="shared" si="17"/>
        <v>12</v>
      </c>
      <c r="K191">
        <f t="shared" si="18"/>
        <v>0</v>
      </c>
      <c r="L191">
        <f t="shared" si="19"/>
        <v>0</v>
      </c>
      <c r="M191" t="str">
        <f t="shared" si="20"/>
        <v>C</v>
      </c>
    </row>
    <row r="192" spans="1:13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v>191</v>
      </c>
      <c r="G192" t="str">
        <f t="shared" si="15"/>
        <v>C</v>
      </c>
      <c r="H192">
        <f t="shared" si="21"/>
        <v>5</v>
      </c>
      <c r="I192">
        <f t="shared" si="16"/>
        <v>0</v>
      </c>
      <c r="J192">
        <f t="shared" si="17"/>
        <v>13</v>
      </c>
      <c r="K192">
        <f t="shared" si="18"/>
        <v>0</v>
      </c>
      <c r="L192">
        <f t="shared" si="19"/>
        <v>0</v>
      </c>
      <c r="M192" t="str">
        <f t="shared" si="20"/>
        <v>S</v>
      </c>
    </row>
    <row r="193" spans="1:13" x14ac:dyDescent="0.45">
      <c r="A193">
        <v>192</v>
      </c>
      <c r="B193">
        <v>8</v>
      </c>
      <c r="C193">
        <v>0</v>
      </c>
      <c r="D193">
        <v>0</v>
      </c>
      <c r="E193">
        <v>0</v>
      </c>
      <c r="F193">
        <v>192</v>
      </c>
      <c r="G193">
        <f t="shared" si="15"/>
        <v>0</v>
      </c>
      <c r="H193">
        <f t="shared" si="21"/>
        <v>0</v>
      </c>
      <c r="I193">
        <f t="shared" si="16"/>
        <v>1</v>
      </c>
      <c r="J193">
        <f t="shared" si="17"/>
        <v>1</v>
      </c>
      <c r="K193">
        <f t="shared" si="18"/>
        <v>0</v>
      </c>
      <c r="L193">
        <f t="shared" si="19"/>
        <v>0</v>
      </c>
      <c r="M193" t="str">
        <f t="shared" si="20"/>
        <v>S</v>
      </c>
    </row>
    <row r="194" spans="1:13" x14ac:dyDescent="0.45">
      <c r="A194">
        <v>193</v>
      </c>
      <c r="B194">
        <v>5.9</v>
      </c>
      <c r="C194">
        <v>3</v>
      </c>
      <c r="D194" t="s">
        <v>6</v>
      </c>
      <c r="E194">
        <v>1</v>
      </c>
      <c r="F194">
        <v>193</v>
      </c>
      <c r="G194" t="str">
        <f t="shared" si="15"/>
        <v>S</v>
      </c>
      <c r="H194">
        <f t="shared" si="21"/>
        <v>1</v>
      </c>
      <c r="I194">
        <f t="shared" si="16"/>
        <v>0</v>
      </c>
      <c r="J194">
        <f t="shared" si="17"/>
        <v>1</v>
      </c>
      <c r="K194">
        <f t="shared" si="18"/>
        <v>1</v>
      </c>
      <c r="L194">
        <f t="shared" si="19"/>
        <v>0</v>
      </c>
      <c r="M194" t="str">
        <f t="shared" si="20"/>
        <v>S</v>
      </c>
    </row>
    <row r="195" spans="1:13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v>194</v>
      </c>
      <c r="G195" t="str">
        <f t="shared" si="15"/>
        <v>S</v>
      </c>
      <c r="H195">
        <f t="shared" si="21"/>
        <v>1</v>
      </c>
      <c r="I195">
        <f t="shared" si="16"/>
        <v>0</v>
      </c>
      <c r="J195">
        <f t="shared" si="17"/>
        <v>2</v>
      </c>
      <c r="K195">
        <f t="shared" si="18"/>
        <v>0</v>
      </c>
      <c r="L195">
        <f t="shared" si="19"/>
        <v>0</v>
      </c>
      <c r="M195" t="str">
        <f t="shared" si="20"/>
        <v>S</v>
      </c>
    </row>
    <row r="196" spans="1:13" x14ac:dyDescent="0.45">
      <c r="A196">
        <v>195</v>
      </c>
      <c r="B196">
        <v>4.2</v>
      </c>
      <c r="C196">
        <v>6</v>
      </c>
      <c r="D196" t="s">
        <v>6</v>
      </c>
      <c r="E196">
        <v>1</v>
      </c>
      <c r="F196">
        <v>195</v>
      </c>
      <c r="G196" t="str">
        <f t="shared" ref="G196:G259" si="22">IF(I196=1,0, IF(K196=1,M196,G195))</f>
        <v>S</v>
      </c>
      <c r="H196">
        <f t="shared" si="21"/>
        <v>1</v>
      </c>
      <c r="I196">
        <f t="shared" ref="I196:I259" si="23">IF(AND(H195=5,C195&gt;=20),1,0)</f>
        <v>0</v>
      </c>
      <c r="J196">
        <f t="shared" ref="J196:J259" si="24">IF(G196=G195,J195+1,1)</f>
        <v>3</v>
      </c>
      <c r="K196">
        <f t="shared" ref="K196:K259" si="25">IF(AND(G195=0,H195=0),1,0)</f>
        <v>0</v>
      </c>
      <c r="L196">
        <f t="shared" ref="L196:L259" si="26">IF(J195=3,1,0)</f>
        <v>0</v>
      </c>
      <c r="M196" t="str">
        <f t="shared" ref="M196:M259" si="27">IF(B196&lt;10,"S","C")</f>
        <v>S</v>
      </c>
    </row>
    <row r="197" spans="1:13" x14ac:dyDescent="0.45">
      <c r="A197">
        <v>196</v>
      </c>
      <c r="B197">
        <v>5.6</v>
      </c>
      <c r="C197">
        <v>8</v>
      </c>
      <c r="D197" t="s">
        <v>6</v>
      </c>
      <c r="E197">
        <v>2</v>
      </c>
      <c r="F197">
        <v>196</v>
      </c>
      <c r="G197" t="str">
        <f t="shared" si="22"/>
        <v>S</v>
      </c>
      <c r="H197">
        <f t="shared" si="21"/>
        <v>2</v>
      </c>
      <c r="I197">
        <f t="shared" si="23"/>
        <v>0</v>
      </c>
      <c r="J197">
        <f t="shared" si="24"/>
        <v>4</v>
      </c>
      <c r="K197">
        <f t="shared" si="25"/>
        <v>0</v>
      </c>
      <c r="L197">
        <f t="shared" si="26"/>
        <v>1</v>
      </c>
      <c r="M197" t="str">
        <f t="shared" si="27"/>
        <v>S</v>
      </c>
    </row>
    <row r="198" spans="1:13" x14ac:dyDescent="0.45">
      <c r="A198">
        <v>197</v>
      </c>
      <c r="B198">
        <v>8.6</v>
      </c>
      <c r="C198">
        <v>12</v>
      </c>
      <c r="D198" t="s">
        <v>6</v>
      </c>
      <c r="E198">
        <v>2</v>
      </c>
      <c r="F198">
        <v>197</v>
      </c>
      <c r="G198" t="str">
        <f t="shared" si="22"/>
        <v>S</v>
      </c>
      <c r="H198">
        <f t="shared" si="21"/>
        <v>2</v>
      </c>
      <c r="I198">
        <f t="shared" si="23"/>
        <v>0</v>
      </c>
      <c r="J198">
        <f t="shared" si="24"/>
        <v>5</v>
      </c>
      <c r="K198">
        <f t="shared" si="25"/>
        <v>0</v>
      </c>
      <c r="L198">
        <f t="shared" si="26"/>
        <v>0</v>
      </c>
      <c r="M198" t="str">
        <f t="shared" si="27"/>
        <v>S</v>
      </c>
    </row>
    <row r="199" spans="1:13" x14ac:dyDescent="0.45">
      <c r="A199">
        <v>198</v>
      </c>
      <c r="B199">
        <v>12.5</v>
      </c>
      <c r="C199">
        <v>9</v>
      </c>
      <c r="D199" t="s">
        <v>6</v>
      </c>
      <c r="E199">
        <v>2</v>
      </c>
      <c r="F199">
        <v>198</v>
      </c>
      <c r="G199" t="str">
        <f t="shared" si="22"/>
        <v>S</v>
      </c>
      <c r="H199">
        <f t="shared" ref="H199:H262" si="28">IF(I199=1,0,IF(K199=1,1,IF(MOD(J198,3)=0, IF(H198+1&gt;5,5,H198+1),H198)))</f>
        <v>2</v>
      </c>
      <c r="I199">
        <f t="shared" si="23"/>
        <v>0</v>
      </c>
      <c r="J199">
        <f t="shared" si="24"/>
        <v>6</v>
      </c>
      <c r="K199">
        <f t="shared" si="25"/>
        <v>0</v>
      </c>
      <c r="L199">
        <f t="shared" si="26"/>
        <v>0</v>
      </c>
      <c r="M199" t="str">
        <f t="shared" si="27"/>
        <v>C</v>
      </c>
    </row>
    <row r="200" spans="1:13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v>199</v>
      </c>
      <c r="G200" t="str">
        <f t="shared" si="22"/>
        <v>S</v>
      </c>
      <c r="H200">
        <f t="shared" si="28"/>
        <v>3</v>
      </c>
      <c r="I200">
        <f t="shared" si="23"/>
        <v>0</v>
      </c>
      <c r="J200">
        <f t="shared" si="24"/>
        <v>7</v>
      </c>
      <c r="K200">
        <f t="shared" si="25"/>
        <v>0</v>
      </c>
      <c r="L200">
        <f t="shared" si="26"/>
        <v>0</v>
      </c>
      <c r="M200" t="str">
        <f t="shared" si="27"/>
        <v>C</v>
      </c>
    </row>
    <row r="201" spans="1:13" x14ac:dyDescent="0.45">
      <c r="A201">
        <v>200</v>
      </c>
      <c r="B201">
        <v>19.5</v>
      </c>
      <c r="C201">
        <v>12</v>
      </c>
      <c r="D201" t="s">
        <v>6</v>
      </c>
      <c r="E201">
        <v>3</v>
      </c>
      <c r="F201">
        <v>200</v>
      </c>
      <c r="G201" t="str">
        <f t="shared" si="22"/>
        <v>S</v>
      </c>
      <c r="H201">
        <f t="shared" si="28"/>
        <v>3</v>
      </c>
      <c r="I201">
        <f t="shared" si="23"/>
        <v>0</v>
      </c>
      <c r="J201">
        <f t="shared" si="24"/>
        <v>8</v>
      </c>
      <c r="K201">
        <f t="shared" si="25"/>
        <v>0</v>
      </c>
      <c r="L201">
        <f t="shared" si="26"/>
        <v>0</v>
      </c>
      <c r="M201" t="str">
        <f t="shared" si="27"/>
        <v>C</v>
      </c>
    </row>
    <row r="202" spans="1:13" x14ac:dyDescent="0.45">
      <c r="A202">
        <v>201</v>
      </c>
      <c r="B202">
        <v>21.2</v>
      </c>
      <c r="C202">
        <v>1</v>
      </c>
      <c r="D202" t="s">
        <v>6</v>
      </c>
      <c r="E202">
        <v>3</v>
      </c>
      <c r="F202">
        <v>201</v>
      </c>
      <c r="G202" t="str">
        <f t="shared" si="22"/>
        <v>S</v>
      </c>
      <c r="H202">
        <f t="shared" si="28"/>
        <v>3</v>
      </c>
      <c r="I202">
        <f t="shared" si="23"/>
        <v>0</v>
      </c>
      <c r="J202">
        <f t="shared" si="24"/>
        <v>9</v>
      </c>
      <c r="K202">
        <f t="shared" si="25"/>
        <v>0</v>
      </c>
      <c r="L202">
        <f t="shared" si="26"/>
        <v>0</v>
      </c>
      <c r="M202" t="str">
        <f t="shared" si="27"/>
        <v>C</v>
      </c>
    </row>
    <row r="203" spans="1:13" x14ac:dyDescent="0.45">
      <c r="A203">
        <v>202</v>
      </c>
      <c r="B203">
        <v>21.3</v>
      </c>
      <c r="C203">
        <v>11</v>
      </c>
      <c r="D203" t="s">
        <v>6</v>
      </c>
      <c r="E203">
        <v>4</v>
      </c>
      <c r="F203">
        <v>202</v>
      </c>
      <c r="G203" t="str">
        <f t="shared" si="22"/>
        <v>S</v>
      </c>
      <c r="H203">
        <f t="shared" si="28"/>
        <v>4</v>
      </c>
      <c r="I203">
        <f t="shared" si="23"/>
        <v>0</v>
      </c>
      <c r="J203">
        <f t="shared" si="24"/>
        <v>10</v>
      </c>
      <c r="K203">
        <f t="shared" si="25"/>
        <v>0</v>
      </c>
      <c r="L203">
        <f t="shared" si="26"/>
        <v>0</v>
      </c>
      <c r="M203" t="str">
        <f t="shared" si="27"/>
        <v>C</v>
      </c>
    </row>
    <row r="204" spans="1:13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v>203</v>
      </c>
      <c r="G204" t="str">
        <f t="shared" si="22"/>
        <v>S</v>
      </c>
      <c r="H204">
        <f t="shared" si="28"/>
        <v>4</v>
      </c>
      <c r="I204">
        <f t="shared" si="23"/>
        <v>0</v>
      </c>
      <c r="J204">
        <f t="shared" si="24"/>
        <v>11</v>
      </c>
      <c r="K204">
        <f t="shared" si="25"/>
        <v>0</v>
      </c>
      <c r="L204">
        <f t="shared" si="26"/>
        <v>0</v>
      </c>
      <c r="M204" t="str">
        <f t="shared" si="27"/>
        <v>C</v>
      </c>
    </row>
    <row r="205" spans="1:13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v>204</v>
      </c>
      <c r="G205" t="str">
        <f t="shared" si="22"/>
        <v>S</v>
      </c>
      <c r="H205">
        <f t="shared" si="28"/>
        <v>4</v>
      </c>
      <c r="I205">
        <f t="shared" si="23"/>
        <v>0</v>
      </c>
      <c r="J205">
        <f t="shared" si="24"/>
        <v>12</v>
      </c>
      <c r="K205">
        <f t="shared" si="25"/>
        <v>0</v>
      </c>
      <c r="L205">
        <f t="shared" si="26"/>
        <v>0</v>
      </c>
      <c r="M205" t="str">
        <f t="shared" si="27"/>
        <v>C</v>
      </c>
    </row>
    <row r="206" spans="1:13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v>205</v>
      </c>
      <c r="G206" t="str">
        <f t="shared" si="22"/>
        <v>S</v>
      </c>
      <c r="H206">
        <f t="shared" si="28"/>
        <v>5</v>
      </c>
      <c r="I206">
        <f t="shared" si="23"/>
        <v>0</v>
      </c>
      <c r="J206">
        <f t="shared" si="24"/>
        <v>13</v>
      </c>
      <c r="K206">
        <f t="shared" si="25"/>
        <v>0</v>
      </c>
      <c r="L206">
        <f t="shared" si="26"/>
        <v>0</v>
      </c>
      <c r="M206" t="str">
        <f t="shared" si="27"/>
        <v>C</v>
      </c>
    </row>
    <row r="207" spans="1:13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v>206</v>
      </c>
      <c r="G207" t="str">
        <f t="shared" si="22"/>
        <v>S</v>
      </c>
      <c r="H207">
        <f t="shared" si="28"/>
        <v>5</v>
      </c>
      <c r="I207">
        <f t="shared" si="23"/>
        <v>0</v>
      </c>
      <c r="J207">
        <f t="shared" si="24"/>
        <v>14</v>
      </c>
      <c r="K207">
        <f t="shared" si="25"/>
        <v>0</v>
      </c>
      <c r="L207">
        <f t="shared" si="26"/>
        <v>0</v>
      </c>
      <c r="M207" t="str">
        <f t="shared" si="27"/>
        <v>C</v>
      </c>
    </row>
    <row r="208" spans="1:13" x14ac:dyDescent="0.45">
      <c r="A208">
        <v>207</v>
      </c>
      <c r="B208">
        <v>18.2</v>
      </c>
      <c r="C208">
        <v>17</v>
      </c>
      <c r="D208" t="s">
        <v>6</v>
      </c>
      <c r="E208">
        <v>5</v>
      </c>
      <c r="F208">
        <v>207</v>
      </c>
      <c r="G208" t="str">
        <f t="shared" si="22"/>
        <v>S</v>
      </c>
      <c r="H208">
        <f t="shared" si="28"/>
        <v>5</v>
      </c>
      <c r="I208">
        <f t="shared" si="23"/>
        <v>0</v>
      </c>
      <c r="J208">
        <f t="shared" si="24"/>
        <v>15</v>
      </c>
      <c r="K208">
        <f t="shared" si="25"/>
        <v>0</v>
      </c>
      <c r="L208">
        <f t="shared" si="26"/>
        <v>0</v>
      </c>
      <c r="M208" t="str">
        <f t="shared" si="27"/>
        <v>C</v>
      </c>
    </row>
    <row r="209" spans="1:13" x14ac:dyDescent="0.45">
      <c r="A209">
        <v>208</v>
      </c>
      <c r="B209">
        <v>20.7</v>
      </c>
      <c r="C209">
        <v>18</v>
      </c>
      <c r="D209" t="s">
        <v>6</v>
      </c>
      <c r="E209">
        <v>5</v>
      </c>
      <c r="F209">
        <v>208</v>
      </c>
      <c r="G209" t="str">
        <f t="shared" si="22"/>
        <v>S</v>
      </c>
      <c r="H209">
        <f t="shared" si="28"/>
        <v>5</v>
      </c>
      <c r="I209">
        <f t="shared" si="23"/>
        <v>0</v>
      </c>
      <c r="J209">
        <f t="shared" si="24"/>
        <v>16</v>
      </c>
      <c r="K209">
        <f t="shared" si="25"/>
        <v>0</v>
      </c>
      <c r="L209">
        <f t="shared" si="26"/>
        <v>0</v>
      </c>
      <c r="M209" t="str">
        <f t="shared" si="27"/>
        <v>C</v>
      </c>
    </row>
    <row r="210" spans="1:13" x14ac:dyDescent="0.45">
      <c r="A210">
        <v>209</v>
      </c>
      <c r="B210">
        <v>24</v>
      </c>
      <c r="C210">
        <v>13</v>
      </c>
      <c r="D210" t="s">
        <v>6</v>
      </c>
      <c r="E210">
        <v>5</v>
      </c>
      <c r="F210">
        <v>209</v>
      </c>
      <c r="G210" t="str">
        <f t="shared" si="22"/>
        <v>S</v>
      </c>
      <c r="H210">
        <f t="shared" si="28"/>
        <v>5</v>
      </c>
      <c r="I210">
        <f t="shared" si="23"/>
        <v>0</v>
      </c>
      <c r="J210">
        <f t="shared" si="24"/>
        <v>17</v>
      </c>
      <c r="K210">
        <f t="shared" si="25"/>
        <v>0</v>
      </c>
      <c r="L210">
        <f t="shared" si="26"/>
        <v>0</v>
      </c>
      <c r="M210" t="str">
        <f t="shared" si="27"/>
        <v>C</v>
      </c>
    </row>
    <row r="211" spans="1:13" x14ac:dyDescent="0.45">
      <c r="A211">
        <v>210</v>
      </c>
      <c r="B211">
        <v>27.2</v>
      </c>
      <c r="C211">
        <v>27</v>
      </c>
      <c r="D211" t="s">
        <v>6</v>
      </c>
      <c r="E211">
        <v>5</v>
      </c>
      <c r="F211">
        <v>210</v>
      </c>
      <c r="G211" t="str">
        <f t="shared" si="22"/>
        <v>S</v>
      </c>
      <c r="H211">
        <f t="shared" si="28"/>
        <v>5</v>
      </c>
      <c r="I211">
        <f t="shared" si="23"/>
        <v>0</v>
      </c>
      <c r="J211">
        <f t="shared" si="24"/>
        <v>18</v>
      </c>
      <c r="K211">
        <f t="shared" si="25"/>
        <v>0</v>
      </c>
      <c r="L211">
        <f t="shared" si="26"/>
        <v>0</v>
      </c>
      <c r="M211" t="str">
        <f t="shared" si="27"/>
        <v>C</v>
      </c>
    </row>
    <row r="212" spans="1:13" x14ac:dyDescent="0.45">
      <c r="A212">
        <v>211</v>
      </c>
      <c r="B212">
        <v>29.4</v>
      </c>
      <c r="C212">
        <v>0</v>
      </c>
      <c r="D212">
        <v>0</v>
      </c>
      <c r="E212">
        <v>0</v>
      </c>
      <c r="F212">
        <v>211</v>
      </c>
      <c r="G212">
        <f t="shared" si="22"/>
        <v>0</v>
      </c>
      <c r="H212">
        <f t="shared" si="28"/>
        <v>0</v>
      </c>
      <c r="I212">
        <f t="shared" si="23"/>
        <v>1</v>
      </c>
      <c r="J212">
        <f t="shared" si="24"/>
        <v>1</v>
      </c>
      <c r="K212">
        <f t="shared" si="25"/>
        <v>0</v>
      </c>
      <c r="L212">
        <f t="shared" si="26"/>
        <v>0</v>
      </c>
      <c r="M212" t="str">
        <f t="shared" si="27"/>
        <v>C</v>
      </c>
    </row>
    <row r="213" spans="1:13" x14ac:dyDescent="0.45">
      <c r="A213">
        <v>212</v>
      </c>
      <c r="B213">
        <v>29.9</v>
      </c>
      <c r="C213">
        <v>2</v>
      </c>
      <c r="D213" t="s">
        <v>5</v>
      </c>
      <c r="E213">
        <v>1</v>
      </c>
      <c r="F213">
        <v>212</v>
      </c>
      <c r="G213" t="str">
        <f t="shared" si="22"/>
        <v>C</v>
      </c>
      <c r="H213">
        <f t="shared" si="28"/>
        <v>1</v>
      </c>
      <c r="I213">
        <f t="shared" si="23"/>
        <v>0</v>
      </c>
      <c r="J213">
        <f t="shared" si="24"/>
        <v>1</v>
      </c>
      <c r="K213">
        <f t="shared" si="25"/>
        <v>1</v>
      </c>
      <c r="L213">
        <f t="shared" si="26"/>
        <v>0</v>
      </c>
      <c r="M213" t="str">
        <f t="shared" si="27"/>
        <v>C</v>
      </c>
    </row>
    <row r="214" spans="1:13" x14ac:dyDescent="0.45">
      <c r="A214">
        <v>213</v>
      </c>
      <c r="B214">
        <v>28.8</v>
      </c>
      <c r="C214">
        <v>4</v>
      </c>
      <c r="D214" t="s">
        <v>5</v>
      </c>
      <c r="E214">
        <v>1</v>
      </c>
      <c r="F214">
        <v>213</v>
      </c>
      <c r="G214" t="str">
        <f t="shared" si="22"/>
        <v>C</v>
      </c>
      <c r="H214">
        <f t="shared" si="28"/>
        <v>1</v>
      </c>
      <c r="I214">
        <f t="shared" si="23"/>
        <v>0</v>
      </c>
      <c r="J214">
        <f t="shared" si="24"/>
        <v>2</v>
      </c>
      <c r="K214">
        <f t="shared" si="25"/>
        <v>0</v>
      </c>
      <c r="L214">
        <f t="shared" si="26"/>
        <v>0</v>
      </c>
      <c r="M214" t="str">
        <f t="shared" si="27"/>
        <v>C</v>
      </c>
    </row>
    <row r="215" spans="1:13" x14ac:dyDescent="0.45">
      <c r="A215">
        <v>214</v>
      </c>
      <c r="B215">
        <v>26.2</v>
      </c>
      <c r="C215">
        <v>2</v>
      </c>
      <c r="D215" t="s">
        <v>5</v>
      </c>
      <c r="E215">
        <v>1</v>
      </c>
      <c r="F215">
        <v>214</v>
      </c>
      <c r="G215" t="str">
        <f t="shared" si="22"/>
        <v>C</v>
      </c>
      <c r="H215">
        <f t="shared" si="28"/>
        <v>1</v>
      </c>
      <c r="I215">
        <f t="shared" si="23"/>
        <v>0</v>
      </c>
      <c r="J215">
        <f t="shared" si="24"/>
        <v>3</v>
      </c>
      <c r="K215">
        <f t="shared" si="25"/>
        <v>0</v>
      </c>
      <c r="L215">
        <f t="shared" si="26"/>
        <v>0</v>
      </c>
      <c r="M215" t="str">
        <f t="shared" si="27"/>
        <v>C</v>
      </c>
    </row>
    <row r="216" spans="1:13" x14ac:dyDescent="0.45">
      <c r="A216">
        <v>215</v>
      </c>
      <c r="B216">
        <v>23.1</v>
      </c>
      <c r="C216">
        <v>11</v>
      </c>
      <c r="D216" t="s">
        <v>5</v>
      </c>
      <c r="E216">
        <v>1</v>
      </c>
      <c r="F216">
        <v>215</v>
      </c>
      <c r="G216" t="str">
        <f t="shared" si="22"/>
        <v>C</v>
      </c>
      <c r="H216">
        <f t="shared" si="28"/>
        <v>2</v>
      </c>
      <c r="I216">
        <f t="shared" si="23"/>
        <v>0</v>
      </c>
      <c r="J216">
        <f t="shared" si="24"/>
        <v>4</v>
      </c>
      <c r="K216">
        <f t="shared" si="25"/>
        <v>0</v>
      </c>
      <c r="L216">
        <f t="shared" si="26"/>
        <v>1</v>
      </c>
      <c r="M216" t="str">
        <f t="shared" si="27"/>
        <v>C</v>
      </c>
    </row>
    <row r="217" spans="1:13" x14ac:dyDescent="0.45">
      <c r="A217">
        <v>216</v>
      </c>
      <c r="B217">
        <v>20.3</v>
      </c>
      <c r="C217">
        <v>1</v>
      </c>
      <c r="D217" t="s">
        <v>5</v>
      </c>
      <c r="E217">
        <v>2</v>
      </c>
      <c r="F217">
        <v>216</v>
      </c>
      <c r="G217" t="str">
        <f t="shared" si="22"/>
        <v>C</v>
      </c>
      <c r="H217">
        <f t="shared" si="28"/>
        <v>2</v>
      </c>
      <c r="I217">
        <f t="shared" si="23"/>
        <v>0</v>
      </c>
      <c r="J217">
        <f t="shared" si="24"/>
        <v>5</v>
      </c>
      <c r="K217">
        <f t="shared" si="25"/>
        <v>0</v>
      </c>
      <c r="L217">
        <f t="shared" si="26"/>
        <v>0</v>
      </c>
      <c r="M217" t="str">
        <f t="shared" si="27"/>
        <v>C</v>
      </c>
    </row>
    <row r="218" spans="1:13" x14ac:dyDescent="0.45">
      <c r="A218">
        <v>217</v>
      </c>
      <c r="B218">
        <v>18.5</v>
      </c>
      <c r="C218">
        <v>7</v>
      </c>
      <c r="D218" t="s">
        <v>5</v>
      </c>
      <c r="E218">
        <v>2</v>
      </c>
      <c r="F218">
        <v>217</v>
      </c>
      <c r="G218" t="str">
        <f t="shared" si="22"/>
        <v>C</v>
      </c>
      <c r="H218">
        <f t="shared" si="28"/>
        <v>2</v>
      </c>
      <c r="I218">
        <f t="shared" si="23"/>
        <v>0</v>
      </c>
      <c r="J218">
        <f t="shared" si="24"/>
        <v>6</v>
      </c>
      <c r="K218">
        <f t="shared" si="25"/>
        <v>0</v>
      </c>
      <c r="L218">
        <f t="shared" si="26"/>
        <v>0</v>
      </c>
      <c r="M218" t="str">
        <f t="shared" si="27"/>
        <v>C</v>
      </c>
    </row>
    <row r="219" spans="1:13" x14ac:dyDescent="0.45">
      <c r="A219">
        <v>218</v>
      </c>
      <c r="B219">
        <v>18.2</v>
      </c>
      <c r="C219">
        <v>10</v>
      </c>
      <c r="D219" t="s">
        <v>5</v>
      </c>
      <c r="E219">
        <v>3</v>
      </c>
      <c r="F219">
        <v>218</v>
      </c>
      <c r="G219" t="str">
        <f t="shared" si="22"/>
        <v>C</v>
      </c>
      <c r="H219">
        <f t="shared" si="28"/>
        <v>3</v>
      </c>
      <c r="I219">
        <f t="shared" si="23"/>
        <v>0</v>
      </c>
      <c r="J219">
        <f t="shared" si="24"/>
        <v>7</v>
      </c>
      <c r="K219">
        <f t="shared" si="25"/>
        <v>0</v>
      </c>
      <c r="L219">
        <f t="shared" si="26"/>
        <v>0</v>
      </c>
      <c r="M219" t="str">
        <f t="shared" si="27"/>
        <v>C</v>
      </c>
    </row>
    <row r="220" spans="1:13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v>219</v>
      </c>
      <c r="G220" t="str">
        <f t="shared" si="22"/>
        <v>C</v>
      </c>
      <c r="H220">
        <f t="shared" si="28"/>
        <v>3</v>
      </c>
      <c r="I220">
        <f t="shared" si="23"/>
        <v>0</v>
      </c>
      <c r="J220">
        <f t="shared" si="24"/>
        <v>8</v>
      </c>
      <c r="K220">
        <f t="shared" si="25"/>
        <v>0</v>
      </c>
      <c r="L220">
        <f t="shared" si="26"/>
        <v>0</v>
      </c>
      <c r="M220" t="str">
        <f t="shared" si="27"/>
        <v>C</v>
      </c>
    </row>
    <row r="221" spans="1:13" x14ac:dyDescent="0.45">
      <c r="A221">
        <v>220</v>
      </c>
      <c r="B221">
        <v>20.9</v>
      </c>
      <c r="C221">
        <v>1</v>
      </c>
      <c r="D221" t="s">
        <v>5</v>
      </c>
      <c r="E221">
        <v>3</v>
      </c>
      <c r="F221">
        <v>220</v>
      </c>
      <c r="G221" t="str">
        <f t="shared" si="22"/>
        <v>C</v>
      </c>
      <c r="H221">
        <f t="shared" si="28"/>
        <v>3</v>
      </c>
      <c r="I221">
        <f t="shared" si="23"/>
        <v>0</v>
      </c>
      <c r="J221">
        <f t="shared" si="24"/>
        <v>9</v>
      </c>
      <c r="K221">
        <f t="shared" si="25"/>
        <v>0</v>
      </c>
      <c r="L221">
        <f t="shared" si="26"/>
        <v>0</v>
      </c>
      <c r="M221" t="str">
        <f t="shared" si="27"/>
        <v>C</v>
      </c>
    </row>
    <row r="222" spans="1:13" x14ac:dyDescent="0.45">
      <c r="A222">
        <v>221</v>
      </c>
      <c r="B222">
        <v>22.5</v>
      </c>
      <c r="C222">
        <v>4</v>
      </c>
      <c r="D222" t="s">
        <v>5</v>
      </c>
      <c r="E222">
        <v>4</v>
      </c>
      <c r="F222">
        <v>221</v>
      </c>
      <c r="G222" t="str">
        <f t="shared" si="22"/>
        <v>C</v>
      </c>
      <c r="H222">
        <f t="shared" si="28"/>
        <v>4</v>
      </c>
      <c r="I222">
        <f t="shared" si="23"/>
        <v>0</v>
      </c>
      <c r="J222">
        <f t="shared" si="24"/>
        <v>10</v>
      </c>
      <c r="K222">
        <f t="shared" si="25"/>
        <v>0</v>
      </c>
      <c r="L222">
        <f t="shared" si="26"/>
        <v>0</v>
      </c>
      <c r="M222" t="str">
        <f t="shared" si="27"/>
        <v>C</v>
      </c>
    </row>
    <row r="223" spans="1:13" x14ac:dyDescent="0.45">
      <c r="A223">
        <v>222</v>
      </c>
      <c r="B223">
        <v>23.2</v>
      </c>
      <c r="C223">
        <v>12</v>
      </c>
      <c r="D223" t="s">
        <v>5</v>
      </c>
      <c r="E223">
        <v>4</v>
      </c>
      <c r="F223">
        <v>222</v>
      </c>
      <c r="G223" t="str">
        <f t="shared" si="22"/>
        <v>C</v>
      </c>
      <c r="H223">
        <f t="shared" si="28"/>
        <v>4</v>
      </c>
      <c r="I223">
        <f t="shared" si="23"/>
        <v>0</v>
      </c>
      <c r="J223">
        <f t="shared" si="24"/>
        <v>11</v>
      </c>
      <c r="K223">
        <f t="shared" si="25"/>
        <v>0</v>
      </c>
      <c r="L223">
        <f t="shared" si="26"/>
        <v>0</v>
      </c>
      <c r="M223" t="str">
        <f t="shared" si="27"/>
        <v>C</v>
      </c>
    </row>
    <row r="224" spans="1:13" x14ac:dyDescent="0.45">
      <c r="A224">
        <v>223</v>
      </c>
      <c r="B224">
        <v>22.4</v>
      </c>
      <c r="C224">
        <v>7</v>
      </c>
      <c r="D224" t="s">
        <v>5</v>
      </c>
      <c r="E224">
        <v>4</v>
      </c>
      <c r="F224">
        <v>223</v>
      </c>
      <c r="G224" t="str">
        <f t="shared" si="22"/>
        <v>C</v>
      </c>
      <c r="H224">
        <f t="shared" si="28"/>
        <v>4</v>
      </c>
      <c r="I224">
        <f t="shared" si="23"/>
        <v>0</v>
      </c>
      <c r="J224">
        <f t="shared" si="24"/>
        <v>12</v>
      </c>
      <c r="K224">
        <f t="shared" si="25"/>
        <v>0</v>
      </c>
      <c r="L224">
        <f t="shared" si="26"/>
        <v>0</v>
      </c>
      <c r="M224" t="str">
        <f t="shared" si="27"/>
        <v>C</v>
      </c>
    </row>
    <row r="225" spans="1:13" x14ac:dyDescent="0.45">
      <c r="A225">
        <v>224</v>
      </c>
      <c r="B225">
        <v>20</v>
      </c>
      <c r="C225">
        <v>16</v>
      </c>
      <c r="D225" t="s">
        <v>5</v>
      </c>
      <c r="E225">
        <v>5</v>
      </c>
      <c r="F225">
        <v>224</v>
      </c>
      <c r="G225" t="str">
        <f t="shared" si="22"/>
        <v>C</v>
      </c>
      <c r="H225">
        <f t="shared" si="28"/>
        <v>5</v>
      </c>
      <c r="I225">
        <f t="shared" si="23"/>
        <v>0</v>
      </c>
      <c r="J225">
        <f t="shared" si="24"/>
        <v>13</v>
      </c>
      <c r="K225">
        <f t="shared" si="25"/>
        <v>0</v>
      </c>
      <c r="L225">
        <f t="shared" si="26"/>
        <v>0</v>
      </c>
      <c r="M225" t="str">
        <f t="shared" si="27"/>
        <v>C</v>
      </c>
    </row>
    <row r="226" spans="1:13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v>225</v>
      </c>
      <c r="G226" t="str">
        <f t="shared" si="22"/>
        <v>C</v>
      </c>
      <c r="H226">
        <f t="shared" si="28"/>
        <v>5</v>
      </c>
      <c r="I226">
        <f t="shared" si="23"/>
        <v>0</v>
      </c>
      <c r="J226">
        <f t="shared" si="24"/>
        <v>14</v>
      </c>
      <c r="K226">
        <f t="shared" si="25"/>
        <v>0</v>
      </c>
      <c r="L226">
        <f t="shared" si="26"/>
        <v>0</v>
      </c>
      <c r="M226" t="str">
        <f t="shared" si="27"/>
        <v>C</v>
      </c>
    </row>
    <row r="227" spans="1:13" x14ac:dyDescent="0.45">
      <c r="A227">
        <v>226</v>
      </c>
      <c r="B227">
        <v>12.3</v>
      </c>
      <c r="C227">
        <v>0</v>
      </c>
      <c r="D227">
        <v>0</v>
      </c>
      <c r="E227">
        <v>0</v>
      </c>
      <c r="F227">
        <v>226</v>
      </c>
      <c r="G227">
        <f t="shared" si="22"/>
        <v>0</v>
      </c>
      <c r="H227">
        <f t="shared" si="28"/>
        <v>0</v>
      </c>
      <c r="I227">
        <f t="shared" si="23"/>
        <v>1</v>
      </c>
      <c r="J227">
        <f t="shared" si="24"/>
        <v>1</v>
      </c>
      <c r="K227">
        <f t="shared" si="25"/>
        <v>0</v>
      </c>
      <c r="L227">
        <f t="shared" si="26"/>
        <v>0</v>
      </c>
      <c r="M227" t="str">
        <f t="shared" si="27"/>
        <v>C</v>
      </c>
    </row>
    <row r="228" spans="1:13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v>227</v>
      </c>
      <c r="G228" t="str">
        <f t="shared" si="22"/>
        <v>S</v>
      </c>
      <c r="H228">
        <f t="shared" si="28"/>
        <v>1</v>
      </c>
      <c r="I228">
        <f t="shared" si="23"/>
        <v>0</v>
      </c>
      <c r="J228">
        <f t="shared" si="24"/>
        <v>1</v>
      </c>
      <c r="K228">
        <f t="shared" si="25"/>
        <v>1</v>
      </c>
      <c r="L228">
        <f t="shared" si="26"/>
        <v>0</v>
      </c>
      <c r="M228" t="str">
        <f t="shared" si="27"/>
        <v>S</v>
      </c>
    </row>
    <row r="229" spans="1:13" x14ac:dyDescent="0.45">
      <c r="A229">
        <v>228</v>
      </c>
      <c r="B229">
        <v>6.4</v>
      </c>
      <c r="C229">
        <v>1</v>
      </c>
      <c r="D229" t="s">
        <v>6</v>
      </c>
      <c r="E229">
        <v>1</v>
      </c>
      <c r="F229">
        <v>228</v>
      </c>
      <c r="G229" t="str">
        <f t="shared" si="22"/>
        <v>S</v>
      </c>
      <c r="H229">
        <f t="shared" si="28"/>
        <v>1</v>
      </c>
      <c r="I229">
        <f t="shared" si="23"/>
        <v>0</v>
      </c>
      <c r="J229">
        <f t="shared" si="24"/>
        <v>2</v>
      </c>
      <c r="K229">
        <f t="shared" si="25"/>
        <v>0</v>
      </c>
      <c r="L229">
        <f t="shared" si="26"/>
        <v>0</v>
      </c>
      <c r="M229" t="str">
        <f t="shared" si="27"/>
        <v>S</v>
      </c>
    </row>
    <row r="230" spans="1:13" x14ac:dyDescent="0.45">
      <c r="A230">
        <v>229</v>
      </c>
      <c r="B230">
        <v>5.6</v>
      </c>
      <c r="C230">
        <v>6</v>
      </c>
      <c r="D230" t="s">
        <v>6</v>
      </c>
      <c r="E230">
        <v>1</v>
      </c>
      <c r="F230">
        <v>229</v>
      </c>
      <c r="G230" t="str">
        <f t="shared" si="22"/>
        <v>S</v>
      </c>
      <c r="H230">
        <f t="shared" si="28"/>
        <v>1</v>
      </c>
      <c r="I230">
        <f t="shared" si="23"/>
        <v>0</v>
      </c>
      <c r="J230">
        <f t="shared" si="24"/>
        <v>3</v>
      </c>
      <c r="K230">
        <f t="shared" si="25"/>
        <v>0</v>
      </c>
      <c r="L230">
        <f t="shared" si="26"/>
        <v>0</v>
      </c>
      <c r="M230" t="str">
        <f t="shared" si="27"/>
        <v>S</v>
      </c>
    </row>
    <row r="231" spans="1:13" x14ac:dyDescent="0.45">
      <c r="A231">
        <v>230</v>
      </c>
      <c r="B231">
        <v>6.4</v>
      </c>
      <c r="C231">
        <v>12</v>
      </c>
      <c r="D231" t="s">
        <v>6</v>
      </c>
      <c r="E231">
        <v>2</v>
      </c>
      <c r="F231">
        <v>230</v>
      </c>
      <c r="G231" t="str">
        <f t="shared" si="22"/>
        <v>S</v>
      </c>
      <c r="H231">
        <f t="shared" si="28"/>
        <v>2</v>
      </c>
      <c r="I231">
        <f t="shared" si="23"/>
        <v>0</v>
      </c>
      <c r="J231">
        <f t="shared" si="24"/>
        <v>4</v>
      </c>
      <c r="K231">
        <f t="shared" si="25"/>
        <v>0</v>
      </c>
      <c r="L231">
        <f t="shared" si="26"/>
        <v>1</v>
      </c>
      <c r="M231" t="str">
        <f t="shared" si="27"/>
        <v>S</v>
      </c>
    </row>
    <row r="232" spans="1:13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v>231</v>
      </c>
      <c r="G232" t="str">
        <f t="shared" si="22"/>
        <v>S</v>
      </c>
      <c r="H232">
        <f t="shared" si="28"/>
        <v>2</v>
      </c>
      <c r="I232">
        <f t="shared" si="23"/>
        <v>0</v>
      </c>
      <c r="J232">
        <f t="shared" si="24"/>
        <v>5</v>
      </c>
      <c r="K232">
        <f t="shared" si="25"/>
        <v>0</v>
      </c>
      <c r="L232">
        <f t="shared" si="26"/>
        <v>0</v>
      </c>
      <c r="M232" t="str">
        <f t="shared" si="27"/>
        <v>S</v>
      </c>
    </row>
    <row r="233" spans="1:13" x14ac:dyDescent="0.45">
      <c r="A233">
        <v>232</v>
      </c>
      <c r="B233">
        <v>10</v>
      </c>
      <c r="C233">
        <v>12</v>
      </c>
      <c r="D233" t="s">
        <v>6</v>
      </c>
      <c r="E233">
        <v>2</v>
      </c>
      <c r="F233">
        <v>232</v>
      </c>
      <c r="G233" t="str">
        <f t="shared" si="22"/>
        <v>S</v>
      </c>
      <c r="H233">
        <f t="shared" si="28"/>
        <v>2</v>
      </c>
      <c r="I233">
        <f t="shared" si="23"/>
        <v>0</v>
      </c>
      <c r="J233">
        <f t="shared" si="24"/>
        <v>6</v>
      </c>
      <c r="K233">
        <f t="shared" si="25"/>
        <v>0</v>
      </c>
      <c r="L233">
        <f t="shared" si="26"/>
        <v>0</v>
      </c>
      <c r="M233" t="str">
        <f t="shared" si="27"/>
        <v>C</v>
      </c>
    </row>
    <row r="234" spans="1:13" x14ac:dyDescent="0.45">
      <c r="A234">
        <v>233</v>
      </c>
      <c r="B234">
        <v>11.1</v>
      </c>
      <c r="C234">
        <v>17</v>
      </c>
      <c r="D234" t="s">
        <v>6</v>
      </c>
      <c r="E234">
        <v>3</v>
      </c>
      <c r="F234">
        <v>233</v>
      </c>
      <c r="G234" t="str">
        <f t="shared" si="22"/>
        <v>S</v>
      </c>
      <c r="H234">
        <f t="shared" si="28"/>
        <v>3</v>
      </c>
      <c r="I234">
        <f t="shared" si="23"/>
        <v>0</v>
      </c>
      <c r="J234">
        <f t="shared" si="24"/>
        <v>7</v>
      </c>
      <c r="K234">
        <f t="shared" si="25"/>
        <v>0</v>
      </c>
      <c r="L234">
        <f t="shared" si="26"/>
        <v>0</v>
      </c>
      <c r="M234" t="str">
        <f t="shared" si="27"/>
        <v>C</v>
      </c>
    </row>
    <row r="235" spans="1:13" x14ac:dyDescent="0.45">
      <c r="A235">
        <v>234</v>
      </c>
      <c r="B235">
        <v>10.9</v>
      </c>
      <c r="C235">
        <v>16</v>
      </c>
      <c r="D235" t="s">
        <v>6</v>
      </c>
      <c r="E235">
        <v>3</v>
      </c>
      <c r="F235">
        <v>234</v>
      </c>
      <c r="G235" t="str">
        <f t="shared" si="22"/>
        <v>S</v>
      </c>
      <c r="H235">
        <f t="shared" si="28"/>
        <v>3</v>
      </c>
      <c r="I235">
        <f t="shared" si="23"/>
        <v>0</v>
      </c>
      <c r="J235">
        <f t="shared" si="24"/>
        <v>8</v>
      </c>
      <c r="K235">
        <f t="shared" si="25"/>
        <v>0</v>
      </c>
      <c r="L235">
        <f t="shared" si="26"/>
        <v>0</v>
      </c>
      <c r="M235" t="str">
        <f t="shared" si="27"/>
        <v>C</v>
      </c>
    </row>
    <row r="236" spans="1:13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v>235</v>
      </c>
      <c r="G236" t="str">
        <f t="shared" si="22"/>
        <v>S</v>
      </c>
      <c r="H236">
        <f t="shared" si="28"/>
        <v>3</v>
      </c>
      <c r="I236">
        <f t="shared" si="23"/>
        <v>0</v>
      </c>
      <c r="J236">
        <f t="shared" si="24"/>
        <v>9</v>
      </c>
      <c r="K236">
        <f t="shared" si="25"/>
        <v>0</v>
      </c>
      <c r="L236">
        <f t="shared" si="26"/>
        <v>0</v>
      </c>
      <c r="M236" t="str">
        <f t="shared" si="27"/>
        <v>S</v>
      </c>
    </row>
    <row r="237" spans="1:13" x14ac:dyDescent="0.45">
      <c r="A237">
        <v>236</v>
      </c>
      <c r="B237">
        <v>6.6</v>
      </c>
      <c r="C237">
        <v>21</v>
      </c>
      <c r="D237" t="s">
        <v>6</v>
      </c>
      <c r="E237">
        <v>4</v>
      </c>
      <c r="F237">
        <v>236</v>
      </c>
      <c r="G237" t="str">
        <f t="shared" si="22"/>
        <v>S</v>
      </c>
      <c r="H237">
        <f t="shared" si="28"/>
        <v>4</v>
      </c>
      <c r="I237">
        <f t="shared" si="23"/>
        <v>0</v>
      </c>
      <c r="J237">
        <f t="shared" si="24"/>
        <v>10</v>
      </c>
      <c r="K237">
        <f t="shared" si="25"/>
        <v>0</v>
      </c>
      <c r="L237">
        <f t="shared" si="26"/>
        <v>0</v>
      </c>
      <c r="M237" t="str">
        <f t="shared" si="27"/>
        <v>S</v>
      </c>
    </row>
    <row r="238" spans="1:13" x14ac:dyDescent="0.45">
      <c r="A238">
        <v>237</v>
      </c>
      <c r="B238">
        <v>3.6</v>
      </c>
      <c r="C238">
        <v>18</v>
      </c>
      <c r="D238" t="s">
        <v>6</v>
      </c>
      <c r="E238">
        <v>4</v>
      </c>
      <c r="F238">
        <v>237</v>
      </c>
      <c r="G238" t="str">
        <f t="shared" si="22"/>
        <v>S</v>
      </c>
      <c r="H238">
        <f t="shared" si="28"/>
        <v>4</v>
      </c>
      <c r="I238">
        <f t="shared" si="23"/>
        <v>0</v>
      </c>
      <c r="J238">
        <f t="shared" si="24"/>
        <v>11</v>
      </c>
      <c r="K238">
        <f t="shared" si="25"/>
        <v>0</v>
      </c>
      <c r="L238">
        <f t="shared" si="26"/>
        <v>0</v>
      </c>
      <c r="M238" t="str">
        <f t="shared" si="27"/>
        <v>S</v>
      </c>
    </row>
    <row r="239" spans="1:13" x14ac:dyDescent="0.45">
      <c r="A239">
        <v>238</v>
      </c>
      <c r="B239">
        <v>1.2</v>
      </c>
      <c r="C239">
        <v>13</v>
      </c>
      <c r="D239" t="s">
        <v>6</v>
      </c>
      <c r="E239">
        <v>4</v>
      </c>
      <c r="F239">
        <v>238</v>
      </c>
      <c r="G239" t="str">
        <f t="shared" si="22"/>
        <v>S</v>
      </c>
      <c r="H239">
        <f t="shared" si="28"/>
        <v>4</v>
      </c>
      <c r="I239">
        <f t="shared" si="23"/>
        <v>0</v>
      </c>
      <c r="J239">
        <f t="shared" si="24"/>
        <v>12</v>
      </c>
      <c r="K239">
        <f t="shared" si="25"/>
        <v>0</v>
      </c>
      <c r="L239">
        <f t="shared" si="26"/>
        <v>0</v>
      </c>
      <c r="M239" t="str">
        <f t="shared" si="27"/>
        <v>S</v>
      </c>
    </row>
    <row r="240" spans="1:13" x14ac:dyDescent="0.45">
      <c r="A240">
        <v>239</v>
      </c>
      <c r="B240">
        <v>0.2</v>
      </c>
      <c r="C240">
        <v>29</v>
      </c>
      <c r="D240" t="s">
        <v>6</v>
      </c>
      <c r="E240">
        <v>5</v>
      </c>
      <c r="F240">
        <v>239</v>
      </c>
      <c r="G240" t="str">
        <f t="shared" si="22"/>
        <v>S</v>
      </c>
      <c r="H240">
        <f t="shared" si="28"/>
        <v>5</v>
      </c>
      <c r="I240">
        <f t="shared" si="23"/>
        <v>0</v>
      </c>
      <c r="J240">
        <f t="shared" si="24"/>
        <v>13</v>
      </c>
      <c r="K240">
        <f t="shared" si="25"/>
        <v>0</v>
      </c>
      <c r="L240">
        <f t="shared" si="26"/>
        <v>0</v>
      </c>
      <c r="M240" t="str">
        <f t="shared" si="27"/>
        <v>S</v>
      </c>
    </row>
    <row r="241" spans="1:13" x14ac:dyDescent="0.45">
      <c r="A241">
        <v>240</v>
      </c>
      <c r="B241">
        <v>0.9</v>
      </c>
      <c r="C241">
        <v>0</v>
      </c>
      <c r="D241">
        <v>0</v>
      </c>
      <c r="E241">
        <v>0</v>
      </c>
      <c r="F241">
        <v>240</v>
      </c>
      <c r="G241">
        <f t="shared" si="22"/>
        <v>0</v>
      </c>
      <c r="H241">
        <f t="shared" si="28"/>
        <v>0</v>
      </c>
      <c r="I241">
        <f t="shared" si="23"/>
        <v>1</v>
      </c>
      <c r="J241">
        <f t="shared" si="24"/>
        <v>1</v>
      </c>
      <c r="K241">
        <f t="shared" si="25"/>
        <v>0</v>
      </c>
      <c r="L241">
        <f t="shared" si="26"/>
        <v>0</v>
      </c>
      <c r="M241" t="str">
        <f t="shared" si="27"/>
        <v>S</v>
      </c>
    </row>
    <row r="242" spans="1:13" x14ac:dyDescent="0.45">
      <c r="A242">
        <v>241</v>
      </c>
      <c r="B242">
        <v>3.2</v>
      </c>
      <c r="C242">
        <v>6</v>
      </c>
      <c r="D242" t="s">
        <v>6</v>
      </c>
      <c r="E242">
        <v>1</v>
      </c>
      <c r="F242">
        <v>241</v>
      </c>
      <c r="G242" t="str">
        <f t="shared" si="22"/>
        <v>S</v>
      </c>
      <c r="H242">
        <f t="shared" si="28"/>
        <v>1</v>
      </c>
      <c r="I242">
        <f t="shared" si="23"/>
        <v>0</v>
      </c>
      <c r="J242">
        <f t="shared" si="24"/>
        <v>1</v>
      </c>
      <c r="K242">
        <f t="shared" si="25"/>
        <v>1</v>
      </c>
      <c r="L242">
        <f t="shared" si="26"/>
        <v>0</v>
      </c>
      <c r="M242" t="str">
        <f t="shared" si="27"/>
        <v>S</v>
      </c>
    </row>
    <row r="243" spans="1:13" x14ac:dyDescent="0.45">
      <c r="A243">
        <v>242</v>
      </c>
      <c r="B243">
        <v>6.6</v>
      </c>
      <c r="C243">
        <v>5</v>
      </c>
      <c r="D243" t="s">
        <v>6</v>
      </c>
      <c r="E243">
        <v>1</v>
      </c>
      <c r="F243">
        <v>242</v>
      </c>
      <c r="G243" t="str">
        <f t="shared" si="22"/>
        <v>S</v>
      </c>
      <c r="H243">
        <f t="shared" si="28"/>
        <v>1</v>
      </c>
      <c r="I243">
        <f t="shared" si="23"/>
        <v>0</v>
      </c>
      <c r="J243">
        <f t="shared" si="24"/>
        <v>2</v>
      </c>
      <c r="K243">
        <f t="shared" si="25"/>
        <v>0</v>
      </c>
      <c r="L243">
        <f t="shared" si="26"/>
        <v>0</v>
      </c>
      <c r="M243" t="str">
        <f t="shared" si="27"/>
        <v>S</v>
      </c>
    </row>
    <row r="244" spans="1:13" x14ac:dyDescent="0.45">
      <c r="A244">
        <v>243</v>
      </c>
      <c r="B244">
        <v>10</v>
      </c>
      <c r="C244">
        <v>2</v>
      </c>
      <c r="D244" t="s">
        <v>6</v>
      </c>
      <c r="E244">
        <v>1</v>
      </c>
      <c r="F244">
        <v>243</v>
      </c>
      <c r="G244" t="str">
        <f t="shared" si="22"/>
        <v>S</v>
      </c>
      <c r="H244">
        <f t="shared" si="28"/>
        <v>1</v>
      </c>
      <c r="I244">
        <f t="shared" si="23"/>
        <v>0</v>
      </c>
      <c r="J244">
        <f t="shared" si="24"/>
        <v>3</v>
      </c>
      <c r="K244">
        <f t="shared" si="25"/>
        <v>0</v>
      </c>
      <c r="L244">
        <f t="shared" si="26"/>
        <v>0</v>
      </c>
      <c r="M244" t="str">
        <f t="shared" si="27"/>
        <v>C</v>
      </c>
    </row>
    <row r="245" spans="1:13" x14ac:dyDescent="0.45">
      <c r="A245">
        <v>244</v>
      </c>
      <c r="B245">
        <v>12.7</v>
      </c>
      <c r="C245">
        <v>8</v>
      </c>
      <c r="D245" t="s">
        <v>6</v>
      </c>
      <c r="E245">
        <v>2</v>
      </c>
      <c r="F245">
        <v>244</v>
      </c>
      <c r="G245" t="str">
        <f t="shared" si="22"/>
        <v>S</v>
      </c>
      <c r="H245">
        <f t="shared" si="28"/>
        <v>2</v>
      </c>
      <c r="I245">
        <f t="shared" si="23"/>
        <v>0</v>
      </c>
      <c r="J245">
        <f t="shared" si="24"/>
        <v>4</v>
      </c>
      <c r="K245">
        <f t="shared" si="25"/>
        <v>0</v>
      </c>
      <c r="L245">
        <f t="shared" si="26"/>
        <v>1</v>
      </c>
      <c r="M245" t="str">
        <f t="shared" si="27"/>
        <v>C</v>
      </c>
    </row>
    <row r="246" spans="1:13" x14ac:dyDescent="0.45">
      <c r="A246">
        <v>245</v>
      </c>
      <c r="B246">
        <v>14.1</v>
      </c>
      <c r="C246">
        <v>1</v>
      </c>
      <c r="D246" t="s">
        <v>6</v>
      </c>
      <c r="E246">
        <v>2</v>
      </c>
      <c r="F246">
        <v>245</v>
      </c>
      <c r="G246" t="str">
        <f t="shared" si="22"/>
        <v>S</v>
      </c>
      <c r="H246">
        <f t="shared" si="28"/>
        <v>2</v>
      </c>
      <c r="I246">
        <f t="shared" si="23"/>
        <v>0</v>
      </c>
      <c r="J246">
        <f t="shared" si="24"/>
        <v>5</v>
      </c>
      <c r="K246">
        <f t="shared" si="25"/>
        <v>0</v>
      </c>
      <c r="L246">
        <f t="shared" si="26"/>
        <v>0</v>
      </c>
      <c r="M246" t="str">
        <f t="shared" si="27"/>
        <v>C</v>
      </c>
    </row>
    <row r="247" spans="1:13" x14ac:dyDescent="0.45">
      <c r="A247">
        <v>246</v>
      </c>
      <c r="B247">
        <v>14</v>
      </c>
      <c r="C247">
        <v>11</v>
      </c>
      <c r="D247" t="s">
        <v>6</v>
      </c>
      <c r="E247">
        <v>2</v>
      </c>
      <c r="F247">
        <v>246</v>
      </c>
      <c r="G247" t="str">
        <f t="shared" si="22"/>
        <v>S</v>
      </c>
      <c r="H247">
        <f t="shared" si="28"/>
        <v>2</v>
      </c>
      <c r="I247">
        <f t="shared" si="23"/>
        <v>0</v>
      </c>
      <c r="J247">
        <f t="shared" si="24"/>
        <v>6</v>
      </c>
      <c r="K247">
        <f t="shared" si="25"/>
        <v>0</v>
      </c>
      <c r="L247">
        <f t="shared" si="26"/>
        <v>0</v>
      </c>
      <c r="M247" t="str">
        <f t="shared" si="27"/>
        <v>C</v>
      </c>
    </row>
    <row r="248" spans="1:13" x14ac:dyDescent="0.45">
      <c r="A248">
        <v>247</v>
      </c>
      <c r="B248">
        <v>12.7</v>
      </c>
      <c r="C248">
        <v>13</v>
      </c>
      <c r="D248" t="s">
        <v>6</v>
      </c>
      <c r="E248">
        <v>3</v>
      </c>
      <c r="F248">
        <v>247</v>
      </c>
      <c r="G248" t="str">
        <f t="shared" si="22"/>
        <v>S</v>
      </c>
      <c r="H248">
        <f t="shared" si="28"/>
        <v>3</v>
      </c>
      <c r="I248">
        <f t="shared" si="23"/>
        <v>0</v>
      </c>
      <c r="J248">
        <f t="shared" si="24"/>
        <v>7</v>
      </c>
      <c r="K248">
        <f t="shared" si="25"/>
        <v>0</v>
      </c>
      <c r="L248">
        <f t="shared" si="26"/>
        <v>0</v>
      </c>
      <c r="M248" t="str">
        <f t="shared" si="27"/>
        <v>C</v>
      </c>
    </row>
    <row r="249" spans="1:13" x14ac:dyDescent="0.45">
      <c r="A249">
        <v>248</v>
      </c>
      <c r="B249">
        <v>11.1</v>
      </c>
      <c r="C249">
        <v>18</v>
      </c>
      <c r="D249" t="s">
        <v>6</v>
      </c>
      <c r="E249">
        <v>3</v>
      </c>
      <c r="F249">
        <v>248</v>
      </c>
      <c r="G249" t="str">
        <f t="shared" si="22"/>
        <v>S</v>
      </c>
      <c r="H249">
        <f t="shared" si="28"/>
        <v>3</v>
      </c>
      <c r="I249">
        <f t="shared" si="23"/>
        <v>0</v>
      </c>
      <c r="J249">
        <f t="shared" si="24"/>
        <v>8</v>
      </c>
      <c r="K249">
        <f t="shared" si="25"/>
        <v>0</v>
      </c>
      <c r="L249">
        <f t="shared" si="26"/>
        <v>0</v>
      </c>
      <c r="M249" t="str">
        <f t="shared" si="27"/>
        <v>C</v>
      </c>
    </row>
    <row r="250" spans="1:13" x14ac:dyDescent="0.45">
      <c r="A250">
        <v>249</v>
      </c>
      <c r="B250">
        <v>10</v>
      </c>
      <c r="C250">
        <v>15</v>
      </c>
      <c r="D250" t="s">
        <v>6</v>
      </c>
      <c r="E250">
        <v>3</v>
      </c>
      <c r="F250">
        <v>249</v>
      </c>
      <c r="G250" t="str">
        <f t="shared" si="22"/>
        <v>S</v>
      </c>
      <c r="H250">
        <f t="shared" si="28"/>
        <v>3</v>
      </c>
      <c r="I250">
        <f t="shared" si="23"/>
        <v>0</v>
      </c>
      <c r="J250">
        <f t="shared" si="24"/>
        <v>9</v>
      </c>
      <c r="K250">
        <f t="shared" si="25"/>
        <v>0</v>
      </c>
      <c r="L250">
        <f t="shared" si="26"/>
        <v>0</v>
      </c>
      <c r="M250" t="str">
        <f t="shared" si="27"/>
        <v>C</v>
      </c>
    </row>
    <row r="251" spans="1:13" x14ac:dyDescent="0.45">
      <c r="A251">
        <v>250</v>
      </c>
      <c r="B251">
        <v>10.1</v>
      </c>
      <c r="C251">
        <v>12</v>
      </c>
      <c r="D251" t="s">
        <v>6</v>
      </c>
      <c r="E251">
        <v>4</v>
      </c>
      <c r="F251">
        <v>250</v>
      </c>
      <c r="G251" t="str">
        <f t="shared" si="22"/>
        <v>S</v>
      </c>
      <c r="H251">
        <f t="shared" si="28"/>
        <v>4</v>
      </c>
      <c r="I251">
        <f t="shared" si="23"/>
        <v>0</v>
      </c>
      <c r="J251">
        <f t="shared" si="24"/>
        <v>10</v>
      </c>
      <c r="K251">
        <f t="shared" si="25"/>
        <v>0</v>
      </c>
      <c r="L251">
        <f t="shared" si="26"/>
        <v>0</v>
      </c>
      <c r="M251" t="str">
        <f t="shared" si="27"/>
        <v>C</v>
      </c>
    </row>
    <row r="252" spans="1:13" x14ac:dyDescent="0.45">
      <c r="A252">
        <v>251</v>
      </c>
      <c r="B252">
        <v>11.7</v>
      </c>
      <c r="C252">
        <v>2</v>
      </c>
      <c r="D252" t="s">
        <v>6</v>
      </c>
      <c r="E252">
        <v>4</v>
      </c>
      <c r="F252">
        <v>251</v>
      </c>
      <c r="G252" t="str">
        <f t="shared" si="22"/>
        <v>S</v>
      </c>
      <c r="H252">
        <f t="shared" si="28"/>
        <v>4</v>
      </c>
      <c r="I252">
        <f t="shared" si="23"/>
        <v>0</v>
      </c>
      <c r="J252">
        <f t="shared" si="24"/>
        <v>11</v>
      </c>
      <c r="K252">
        <f t="shared" si="25"/>
        <v>0</v>
      </c>
      <c r="L252">
        <f t="shared" si="26"/>
        <v>0</v>
      </c>
      <c r="M252" t="str">
        <f t="shared" si="27"/>
        <v>C</v>
      </c>
    </row>
    <row r="253" spans="1:13" x14ac:dyDescent="0.45">
      <c r="A253">
        <v>252</v>
      </c>
      <c r="B253">
        <v>14.8</v>
      </c>
      <c r="C253">
        <v>21</v>
      </c>
      <c r="D253" t="s">
        <v>6</v>
      </c>
      <c r="E253">
        <v>4</v>
      </c>
      <c r="F253">
        <v>252</v>
      </c>
      <c r="G253" t="str">
        <f t="shared" si="22"/>
        <v>S</v>
      </c>
      <c r="H253">
        <f t="shared" si="28"/>
        <v>4</v>
      </c>
      <c r="I253">
        <f t="shared" si="23"/>
        <v>0</v>
      </c>
      <c r="J253">
        <f t="shared" si="24"/>
        <v>12</v>
      </c>
      <c r="K253">
        <f t="shared" si="25"/>
        <v>0</v>
      </c>
      <c r="L253">
        <f t="shared" si="26"/>
        <v>0</v>
      </c>
      <c r="M253" t="str">
        <f t="shared" si="27"/>
        <v>C</v>
      </c>
    </row>
    <row r="254" spans="1:13" x14ac:dyDescent="0.45">
      <c r="A254">
        <v>253</v>
      </c>
      <c r="B254">
        <v>18.7</v>
      </c>
      <c r="C254">
        <v>28</v>
      </c>
      <c r="D254" t="s">
        <v>6</v>
      </c>
      <c r="E254">
        <v>5</v>
      </c>
      <c r="F254">
        <v>253</v>
      </c>
      <c r="G254" t="str">
        <f t="shared" si="22"/>
        <v>S</v>
      </c>
      <c r="H254">
        <f t="shared" si="28"/>
        <v>5</v>
      </c>
      <c r="I254">
        <f t="shared" si="23"/>
        <v>0</v>
      </c>
      <c r="J254">
        <f t="shared" si="24"/>
        <v>13</v>
      </c>
      <c r="K254">
        <f t="shared" si="25"/>
        <v>0</v>
      </c>
      <c r="L254">
        <f t="shared" si="26"/>
        <v>0</v>
      </c>
      <c r="M254" t="str">
        <f t="shared" si="27"/>
        <v>C</v>
      </c>
    </row>
    <row r="255" spans="1:13" x14ac:dyDescent="0.45">
      <c r="A255">
        <v>254</v>
      </c>
      <c r="B255">
        <v>22.5</v>
      </c>
      <c r="C255">
        <v>0</v>
      </c>
      <c r="D255">
        <v>0</v>
      </c>
      <c r="E255">
        <v>0</v>
      </c>
      <c r="F255">
        <v>254</v>
      </c>
      <c r="G255">
        <f t="shared" si="22"/>
        <v>0</v>
      </c>
      <c r="H255">
        <f t="shared" si="28"/>
        <v>0</v>
      </c>
      <c r="I255">
        <f t="shared" si="23"/>
        <v>1</v>
      </c>
      <c r="J255">
        <f t="shared" si="24"/>
        <v>1</v>
      </c>
      <c r="K255">
        <f t="shared" si="25"/>
        <v>0</v>
      </c>
      <c r="L255">
        <f t="shared" si="26"/>
        <v>0</v>
      </c>
      <c r="M255" t="str">
        <f t="shared" si="27"/>
        <v>C</v>
      </c>
    </row>
    <row r="256" spans="1:13" x14ac:dyDescent="0.45">
      <c r="A256">
        <v>255</v>
      </c>
      <c r="B256">
        <v>25.4</v>
      </c>
      <c r="C256">
        <v>3</v>
      </c>
      <c r="D256" t="s">
        <v>5</v>
      </c>
      <c r="E256">
        <v>1</v>
      </c>
      <c r="F256">
        <v>255</v>
      </c>
      <c r="G256" t="str">
        <f t="shared" si="22"/>
        <v>C</v>
      </c>
      <c r="H256">
        <f t="shared" si="28"/>
        <v>1</v>
      </c>
      <c r="I256">
        <f t="shared" si="23"/>
        <v>0</v>
      </c>
      <c r="J256">
        <f t="shared" si="24"/>
        <v>1</v>
      </c>
      <c r="K256">
        <f t="shared" si="25"/>
        <v>1</v>
      </c>
      <c r="L256">
        <f t="shared" si="26"/>
        <v>0</v>
      </c>
      <c r="M256" t="str">
        <f t="shared" si="27"/>
        <v>C</v>
      </c>
    </row>
    <row r="257" spans="1:13" x14ac:dyDescent="0.45">
      <c r="A257">
        <v>256</v>
      </c>
      <c r="B257">
        <v>26.8</v>
      </c>
      <c r="C257">
        <v>5</v>
      </c>
      <c r="D257" t="s">
        <v>5</v>
      </c>
      <c r="E257">
        <v>1</v>
      </c>
      <c r="F257">
        <v>256</v>
      </c>
      <c r="G257" t="str">
        <f t="shared" si="22"/>
        <v>C</v>
      </c>
      <c r="H257">
        <f t="shared" si="28"/>
        <v>1</v>
      </c>
      <c r="I257">
        <f t="shared" si="23"/>
        <v>0</v>
      </c>
      <c r="J257">
        <f t="shared" si="24"/>
        <v>2</v>
      </c>
      <c r="K257">
        <f t="shared" si="25"/>
        <v>0</v>
      </c>
      <c r="L257">
        <f t="shared" si="26"/>
        <v>0</v>
      </c>
      <c r="M257" t="str">
        <f t="shared" si="27"/>
        <v>C</v>
      </c>
    </row>
    <row r="258" spans="1:13" x14ac:dyDescent="0.45">
      <c r="A258">
        <v>257</v>
      </c>
      <c r="B258">
        <v>26.5</v>
      </c>
      <c r="C258">
        <v>5</v>
      </c>
      <c r="D258" t="s">
        <v>5</v>
      </c>
      <c r="E258">
        <v>1</v>
      </c>
      <c r="F258">
        <v>257</v>
      </c>
      <c r="G258" t="str">
        <f t="shared" si="22"/>
        <v>C</v>
      </c>
      <c r="H258">
        <f t="shared" si="28"/>
        <v>1</v>
      </c>
      <c r="I258">
        <f t="shared" si="23"/>
        <v>0</v>
      </c>
      <c r="J258">
        <f t="shared" si="24"/>
        <v>3</v>
      </c>
      <c r="K258">
        <f t="shared" si="25"/>
        <v>0</v>
      </c>
      <c r="L258">
        <f t="shared" si="26"/>
        <v>0</v>
      </c>
      <c r="M258" t="str">
        <f t="shared" si="27"/>
        <v>C</v>
      </c>
    </row>
    <row r="259" spans="1:13" x14ac:dyDescent="0.45">
      <c r="A259">
        <v>258</v>
      </c>
      <c r="B259">
        <v>24.9</v>
      </c>
      <c r="C259">
        <v>7</v>
      </c>
      <c r="D259" t="s">
        <v>5</v>
      </c>
      <c r="E259">
        <v>2</v>
      </c>
      <c r="F259">
        <v>258</v>
      </c>
      <c r="G259" t="str">
        <f t="shared" si="22"/>
        <v>C</v>
      </c>
      <c r="H259">
        <f t="shared" si="28"/>
        <v>2</v>
      </c>
      <c r="I259">
        <f t="shared" si="23"/>
        <v>0</v>
      </c>
      <c r="J259">
        <f t="shared" si="24"/>
        <v>4</v>
      </c>
      <c r="K259">
        <f t="shared" si="25"/>
        <v>0</v>
      </c>
      <c r="L259">
        <f t="shared" si="26"/>
        <v>1</v>
      </c>
      <c r="M259" t="str">
        <f t="shared" si="27"/>
        <v>C</v>
      </c>
    </row>
    <row r="260" spans="1:13" x14ac:dyDescent="0.45">
      <c r="A260">
        <v>259</v>
      </c>
      <c r="B260">
        <v>22.6</v>
      </c>
      <c r="C260">
        <v>1</v>
      </c>
      <c r="D260" t="s">
        <v>5</v>
      </c>
      <c r="E260">
        <v>2</v>
      </c>
      <c r="F260">
        <v>259</v>
      </c>
      <c r="G260" t="str">
        <f t="shared" ref="G260:G323" si="29">IF(I260=1,0, IF(K260=1,M260,G259))</f>
        <v>C</v>
      </c>
      <c r="H260">
        <f t="shared" si="28"/>
        <v>2</v>
      </c>
      <c r="I260">
        <f t="shared" ref="I260:I323" si="30">IF(AND(H259=5,C259&gt;=20),1,0)</f>
        <v>0</v>
      </c>
      <c r="J260">
        <f t="shared" ref="J260:J323" si="31">IF(G260=G259,J259+1,1)</f>
        <v>5</v>
      </c>
      <c r="K260">
        <f t="shared" ref="K260:K323" si="32">IF(AND(G259=0,H259=0),1,0)</f>
        <v>0</v>
      </c>
      <c r="L260">
        <f t="shared" ref="L260:L323" si="33">IF(J259=3,1,0)</f>
        <v>0</v>
      </c>
      <c r="M260" t="str">
        <f t="shared" ref="M260:M323" si="34">IF(B260&lt;10,"S","C")</f>
        <v>C</v>
      </c>
    </row>
    <row r="261" spans="1:13" x14ac:dyDescent="0.45">
      <c r="A261">
        <v>260</v>
      </c>
      <c r="B261">
        <v>20.7</v>
      </c>
      <c r="C261">
        <v>6</v>
      </c>
      <c r="D261" t="s">
        <v>5</v>
      </c>
      <c r="E261">
        <v>2</v>
      </c>
      <c r="F261">
        <v>260</v>
      </c>
      <c r="G261" t="str">
        <f t="shared" si="29"/>
        <v>C</v>
      </c>
      <c r="H261">
        <f t="shared" si="28"/>
        <v>2</v>
      </c>
      <c r="I261">
        <f t="shared" si="30"/>
        <v>0</v>
      </c>
      <c r="J261">
        <f t="shared" si="31"/>
        <v>6</v>
      </c>
      <c r="K261">
        <f t="shared" si="32"/>
        <v>0</v>
      </c>
      <c r="L261">
        <f t="shared" si="33"/>
        <v>0</v>
      </c>
      <c r="M261" t="str">
        <f t="shared" si="34"/>
        <v>C</v>
      </c>
    </row>
    <row r="262" spans="1:13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v>261</v>
      </c>
      <c r="G262" t="str">
        <f t="shared" si="29"/>
        <v>C</v>
      </c>
      <c r="H262">
        <f t="shared" si="28"/>
        <v>3</v>
      </c>
      <c r="I262">
        <f t="shared" si="30"/>
        <v>0</v>
      </c>
      <c r="J262">
        <f t="shared" si="31"/>
        <v>7</v>
      </c>
      <c r="K262">
        <f t="shared" si="32"/>
        <v>0</v>
      </c>
      <c r="L262">
        <f t="shared" si="33"/>
        <v>0</v>
      </c>
      <c r="M262" t="str">
        <f t="shared" si="34"/>
        <v>C</v>
      </c>
    </row>
    <row r="263" spans="1:13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v>262</v>
      </c>
      <c r="G263" t="str">
        <f t="shared" si="29"/>
        <v>C</v>
      </c>
      <c r="H263">
        <f t="shared" ref="H263:H326" si="35">IF(I263=1,0,IF(K263=1,1,IF(MOD(J262,3)=0, IF(H262+1&gt;5,5,H262+1),H262)))</f>
        <v>3</v>
      </c>
      <c r="I263">
        <f t="shared" si="30"/>
        <v>0</v>
      </c>
      <c r="J263">
        <f t="shared" si="31"/>
        <v>8</v>
      </c>
      <c r="K263">
        <f t="shared" si="32"/>
        <v>0</v>
      </c>
      <c r="L263">
        <f t="shared" si="33"/>
        <v>0</v>
      </c>
      <c r="M263" t="str">
        <f t="shared" si="34"/>
        <v>C</v>
      </c>
    </row>
    <row r="264" spans="1:13" x14ac:dyDescent="0.45">
      <c r="A264">
        <v>263</v>
      </c>
      <c r="B264">
        <v>22.3</v>
      </c>
      <c r="C264">
        <v>16</v>
      </c>
      <c r="D264" t="s">
        <v>5</v>
      </c>
      <c r="E264">
        <v>3</v>
      </c>
      <c r="F264">
        <v>263</v>
      </c>
      <c r="G264" t="str">
        <f t="shared" si="29"/>
        <v>C</v>
      </c>
      <c r="H264">
        <f t="shared" si="35"/>
        <v>3</v>
      </c>
      <c r="I264">
        <f t="shared" si="30"/>
        <v>0</v>
      </c>
      <c r="J264">
        <f t="shared" si="31"/>
        <v>9</v>
      </c>
      <c r="K264">
        <f t="shared" si="32"/>
        <v>0</v>
      </c>
      <c r="L264">
        <f t="shared" si="33"/>
        <v>0</v>
      </c>
      <c r="M264" t="str">
        <f t="shared" si="34"/>
        <v>C</v>
      </c>
    </row>
    <row r="265" spans="1:13" x14ac:dyDescent="0.45">
      <c r="A265">
        <v>264</v>
      </c>
      <c r="B265">
        <v>24.8</v>
      </c>
      <c r="C265">
        <v>9</v>
      </c>
      <c r="D265" t="s">
        <v>5</v>
      </c>
      <c r="E265">
        <v>4</v>
      </c>
      <c r="F265">
        <v>264</v>
      </c>
      <c r="G265" t="str">
        <f t="shared" si="29"/>
        <v>C</v>
      </c>
      <c r="H265">
        <f t="shared" si="35"/>
        <v>4</v>
      </c>
      <c r="I265">
        <f t="shared" si="30"/>
        <v>0</v>
      </c>
      <c r="J265">
        <f t="shared" si="31"/>
        <v>10</v>
      </c>
      <c r="K265">
        <f t="shared" si="32"/>
        <v>0</v>
      </c>
      <c r="L265">
        <f t="shared" si="33"/>
        <v>0</v>
      </c>
      <c r="M265" t="str">
        <f t="shared" si="34"/>
        <v>C</v>
      </c>
    </row>
    <row r="266" spans="1:13" x14ac:dyDescent="0.45">
      <c r="A266">
        <v>265</v>
      </c>
      <c r="B266">
        <v>27.2</v>
      </c>
      <c r="C266">
        <v>18</v>
      </c>
      <c r="D266" t="s">
        <v>5</v>
      </c>
      <c r="E266">
        <v>4</v>
      </c>
      <c r="F266">
        <v>265</v>
      </c>
      <c r="G266" t="str">
        <f t="shared" si="29"/>
        <v>C</v>
      </c>
      <c r="H266">
        <f t="shared" si="35"/>
        <v>4</v>
      </c>
      <c r="I266">
        <f t="shared" si="30"/>
        <v>0</v>
      </c>
      <c r="J266">
        <f t="shared" si="31"/>
        <v>11</v>
      </c>
      <c r="K266">
        <f t="shared" si="32"/>
        <v>0</v>
      </c>
      <c r="L266">
        <f t="shared" si="33"/>
        <v>0</v>
      </c>
      <c r="M266" t="str">
        <f t="shared" si="34"/>
        <v>C</v>
      </c>
    </row>
    <row r="267" spans="1:13" x14ac:dyDescent="0.45">
      <c r="A267">
        <v>266</v>
      </c>
      <c r="B267">
        <v>28.6</v>
      </c>
      <c r="C267">
        <v>4</v>
      </c>
      <c r="D267" t="s">
        <v>5</v>
      </c>
      <c r="E267">
        <v>4</v>
      </c>
      <c r="F267">
        <v>266</v>
      </c>
      <c r="G267" t="str">
        <f t="shared" si="29"/>
        <v>C</v>
      </c>
      <c r="H267">
        <f t="shared" si="35"/>
        <v>4</v>
      </c>
      <c r="I267">
        <f t="shared" si="30"/>
        <v>0</v>
      </c>
      <c r="J267">
        <f t="shared" si="31"/>
        <v>12</v>
      </c>
      <c r="K267">
        <f t="shared" si="32"/>
        <v>0</v>
      </c>
      <c r="L267">
        <f t="shared" si="33"/>
        <v>0</v>
      </c>
      <c r="M267" t="str">
        <f t="shared" si="34"/>
        <v>C</v>
      </c>
    </row>
    <row r="268" spans="1:13" x14ac:dyDescent="0.45">
      <c r="A268">
        <v>267</v>
      </c>
      <c r="B268">
        <v>28.4</v>
      </c>
      <c r="C268">
        <v>22</v>
      </c>
      <c r="D268" t="s">
        <v>5</v>
      </c>
      <c r="E268">
        <v>5</v>
      </c>
      <c r="F268">
        <v>267</v>
      </c>
      <c r="G268" t="str">
        <f t="shared" si="29"/>
        <v>C</v>
      </c>
      <c r="H268">
        <f t="shared" si="35"/>
        <v>5</v>
      </c>
      <c r="I268">
        <f t="shared" si="30"/>
        <v>0</v>
      </c>
      <c r="J268">
        <f t="shared" si="31"/>
        <v>13</v>
      </c>
      <c r="K268">
        <f t="shared" si="32"/>
        <v>0</v>
      </c>
      <c r="L268">
        <f t="shared" si="33"/>
        <v>0</v>
      </c>
      <c r="M268" t="str">
        <f t="shared" si="34"/>
        <v>C</v>
      </c>
    </row>
    <row r="269" spans="1:13" x14ac:dyDescent="0.45">
      <c r="A269">
        <v>268</v>
      </c>
      <c r="B269">
        <v>26.5</v>
      </c>
      <c r="C269">
        <v>0</v>
      </c>
      <c r="D269">
        <v>0</v>
      </c>
      <c r="E269">
        <v>0</v>
      </c>
      <c r="F269">
        <v>268</v>
      </c>
      <c r="G269">
        <f t="shared" si="29"/>
        <v>0</v>
      </c>
      <c r="H269">
        <f t="shared" si="35"/>
        <v>0</v>
      </c>
      <c r="I269">
        <f t="shared" si="30"/>
        <v>1</v>
      </c>
      <c r="J269">
        <f t="shared" si="31"/>
        <v>1</v>
      </c>
      <c r="K269">
        <f t="shared" si="32"/>
        <v>0</v>
      </c>
      <c r="L269">
        <f t="shared" si="33"/>
        <v>0</v>
      </c>
      <c r="M269" t="str">
        <f t="shared" si="34"/>
        <v>C</v>
      </c>
    </row>
    <row r="270" spans="1:13" x14ac:dyDescent="0.45">
      <c r="A270">
        <v>269</v>
      </c>
      <c r="B270">
        <v>23.3</v>
      </c>
      <c r="C270">
        <v>4</v>
      </c>
      <c r="D270" t="s">
        <v>5</v>
      </c>
      <c r="E270">
        <v>1</v>
      </c>
      <c r="F270">
        <v>269</v>
      </c>
      <c r="G270" t="str">
        <f t="shared" si="29"/>
        <v>C</v>
      </c>
      <c r="H270">
        <f t="shared" si="35"/>
        <v>1</v>
      </c>
      <c r="I270">
        <f t="shared" si="30"/>
        <v>0</v>
      </c>
      <c r="J270">
        <f t="shared" si="31"/>
        <v>1</v>
      </c>
      <c r="K270">
        <f t="shared" si="32"/>
        <v>1</v>
      </c>
      <c r="L270">
        <f t="shared" si="33"/>
        <v>0</v>
      </c>
      <c r="M270" t="str">
        <f t="shared" si="34"/>
        <v>C</v>
      </c>
    </row>
    <row r="271" spans="1:13" x14ac:dyDescent="0.45">
      <c r="A271">
        <v>270</v>
      </c>
      <c r="B271">
        <v>19.5</v>
      </c>
      <c r="C271">
        <v>6</v>
      </c>
      <c r="D271" t="s">
        <v>5</v>
      </c>
      <c r="E271">
        <v>1</v>
      </c>
      <c r="F271">
        <v>270</v>
      </c>
      <c r="G271" t="str">
        <f t="shared" si="29"/>
        <v>C</v>
      </c>
      <c r="H271">
        <f t="shared" si="35"/>
        <v>1</v>
      </c>
      <c r="I271">
        <f t="shared" si="30"/>
        <v>0</v>
      </c>
      <c r="J271">
        <f t="shared" si="31"/>
        <v>2</v>
      </c>
      <c r="K271">
        <f t="shared" si="32"/>
        <v>0</v>
      </c>
      <c r="L271">
        <f t="shared" si="33"/>
        <v>0</v>
      </c>
      <c r="M271" t="str">
        <f t="shared" si="34"/>
        <v>C</v>
      </c>
    </row>
    <row r="272" spans="1:13" x14ac:dyDescent="0.45">
      <c r="A272">
        <v>271</v>
      </c>
      <c r="B272">
        <v>16</v>
      </c>
      <c r="C272">
        <v>6</v>
      </c>
      <c r="D272" t="s">
        <v>5</v>
      </c>
      <c r="E272">
        <v>1</v>
      </c>
      <c r="F272">
        <v>271</v>
      </c>
      <c r="G272" t="str">
        <f t="shared" si="29"/>
        <v>C</v>
      </c>
      <c r="H272">
        <f t="shared" si="35"/>
        <v>1</v>
      </c>
      <c r="I272">
        <f t="shared" si="30"/>
        <v>0</v>
      </c>
      <c r="J272">
        <f t="shared" si="31"/>
        <v>3</v>
      </c>
      <c r="K272">
        <f t="shared" si="32"/>
        <v>0</v>
      </c>
      <c r="L272">
        <f t="shared" si="33"/>
        <v>0</v>
      </c>
      <c r="M272" t="str">
        <f t="shared" si="34"/>
        <v>C</v>
      </c>
    </row>
    <row r="273" spans="1:13" x14ac:dyDescent="0.45">
      <c r="A273">
        <v>272</v>
      </c>
      <c r="B273">
        <v>13.7</v>
      </c>
      <c r="C273">
        <v>9</v>
      </c>
      <c r="D273" t="s">
        <v>5</v>
      </c>
      <c r="E273">
        <v>2</v>
      </c>
      <c r="F273">
        <v>272</v>
      </c>
      <c r="G273" t="str">
        <f t="shared" si="29"/>
        <v>C</v>
      </c>
      <c r="H273">
        <f t="shared" si="35"/>
        <v>2</v>
      </c>
      <c r="I273">
        <f t="shared" si="30"/>
        <v>0</v>
      </c>
      <c r="J273">
        <f t="shared" si="31"/>
        <v>4</v>
      </c>
      <c r="K273">
        <f t="shared" si="32"/>
        <v>0</v>
      </c>
      <c r="L273">
        <f t="shared" si="33"/>
        <v>1</v>
      </c>
      <c r="M273" t="str">
        <f t="shared" si="34"/>
        <v>C</v>
      </c>
    </row>
    <row r="274" spans="1:13" x14ac:dyDescent="0.45">
      <c r="A274">
        <v>273</v>
      </c>
      <c r="B274">
        <v>12.9</v>
      </c>
      <c r="C274">
        <v>7</v>
      </c>
      <c r="D274" t="s">
        <v>5</v>
      </c>
      <c r="E274">
        <v>2</v>
      </c>
      <c r="F274">
        <v>273</v>
      </c>
      <c r="G274" t="str">
        <f t="shared" si="29"/>
        <v>C</v>
      </c>
      <c r="H274">
        <f t="shared" si="35"/>
        <v>2</v>
      </c>
      <c r="I274">
        <f t="shared" si="30"/>
        <v>0</v>
      </c>
      <c r="J274">
        <f t="shared" si="31"/>
        <v>5</v>
      </c>
      <c r="K274">
        <f t="shared" si="32"/>
        <v>0</v>
      </c>
      <c r="L274">
        <f t="shared" si="33"/>
        <v>0</v>
      </c>
      <c r="M274" t="str">
        <f t="shared" si="34"/>
        <v>C</v>
      </c>
    </row>
    <row r="275" spans="1:13" x14ac:dyDescent="0.45">
      <c r="A275">
        <v>274</v>
      </c>
      <c r="B275">
        <v>13.5</v>
      </c>
      <c r="C275">
        <v>1</v>
      </c>
      <c r="D275" t="s">
        <v>5</v>
      </c>
      <c r="E275">
        <v>2</v>
      </c>
      <c r="F275">
        <v>274</v>
      </c>
      <c r="G275" t="str">
        <f t="shared" si="29"/>
        <v>C</v>
      </c>
      <c r="H275">
        <f t="shared" si="35"/>
        <v>2</v>
      </c>
      <c r="I275">
        <f t="shared" si="30"/>
        <v>0</v>
      </c>
      <c r="J275">
        <f t="shared" si="31"/>
        <v>6</v>
      </c>
      <c r="K275">
        <f t="shared" si="32"/>
        <v>0</v>
      </c>
      <c r="L275">
        <f t="shared" si="33"/>
        <v>0</v>
      </c>
      <c r="M275" t="str">
        <f t="shared" si="34"/>
        <v>C</v>
      </c>
    </row>
    <row r="276" spans="1:13" x14ac:dyDescent="0.45">
      <c r="A276">
        <v>275</v>
      </c>
      <c r="B276">
        <v>15</v>
      </c>
      <c r="C276">
        <v>18</v>
      </c>
      <c r="D276" t="s">
        <v>5</v>
      </c>
      <c r="E276">
        <v>3</v>
      </c>
      <c r="F276">
        <v>275</v>
      </c>
      <c r="G276" t="str">
        <f t="shared" si="29"/>
        <v>C</v>
      </c>
      <c r="H276">
        <f t="shared" si="35"/>
        <v>3</v>
      </c>
      <c r="I276">
        <f t="shared" si="30"/>
        <v>0</v>
      </c>
      <c r="J276">
        <f t="shared" si="31"/>
        <v>7</v>
      </c>
      <c r="K276">
        <f t="shared" si="32"/>
        <v>0</v>
      </c>
      <c r="L276">
        <f t="shared" si="33"/>
        <v>0</v>
      </c>
      <c r="M276" t="str">
        <f t="shared" si="34"/>
        <v>C</v>
      </c>
    </row>
    <row r="277" spans="1:13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v>276</v>
      </c>
      <c r="G277" t="str">
        <f t="shared" si="29"/>
        <v>C</v>
      </c>
      <c r="H277">
        <f t="shared" si="35"/>
        <v>3</v>
      </c>
      <c r="I277">
        <f t="shared" si="30"/>
        <v>0</v>
      </c>
      <c r="J277">
        <f t="shared" si="31"/>
        <v>8</v>
      </c>
      <c r="K277">
        <f t="shared" si="32"/>
        <v>0</v>
      </c>
      <c r="L277">
        <f t="shared" si="33"/>
        <v>0</v>
      </c>
      <c r="M277" t="str">
        <f t="shared" si="34"/>
        <v>C</v>
      </c>
    </row>
    <row r="278" spans="1:13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v>277</v>
      </c>
      <c r="G278" t="str">
        <f t="shared" si="29"/>
        <v>C</v>
      </c>
      <c r="H278">
        <f t="shared" si="35"/>
        <v>3</v>
      </c>
      <c r="I278">
        <f t="shared" si="30"/>
        <v>0</v>
      </c>
      <c r="J278">
        <f t="shared" si="31"/>
        <v>9</v>
      </c>
      <c r="K278">
        <f t="shared" si="32"/>
        <v>0</v>
      </c>
      <c r="L278">
        <f t="shared" si="33"/>
        <v>0</v>
      </c>
      <c r="M278" t="str">
        <f t="shared" si="34"/>
        <v>C</v>
      </c>
    </row>
    <row r="279" spans="1:13" x14ac:dyDescent="0.45">
      <c r="A279">
        <v>278</v>
      </c>
      <c r="B279">
        <v>16.3</v>
      </c>
      <c r="C279">
        <v>10</v>
      </c>
      <c r="D279" t="s">
        <v>5</v>
      </c>
      <c r="E279">
        <v>4</v>
      </c>
      <c r="F279">
        <v>278</v>
      </c>
      <c r="G279" t="str">
        <f t="shared" si="29"/>
        <v>C</v>
      </c>
      <c r="H279">
        <f t="shared" si="35"/>
        <v>4</v>
      </c>
      <c r="I279">
        <f t="shared" si="30"/>
        <v>0</v>
      </c>
      <c r="J279">
        <f t="shared" si="31"/>
        <v>10</v>
      </c>
      <c r="K279">
        <f t="shared" si="32"/>
        <v>0</v>
      </c>
      <c r="L279">
        <f t="shared" si="33"/>
        <v>0</v>
      </c>
      <c r="M279" t="str">
        <f t="shared" si="34"/>
        <v>C</v>
      </c>
    </row>
    <row r="280" spans="1:13" x14ac:dyDescent="0.45">
      <c r="A280">
        <v>279</v>
      </c>
      <c r="B280">
        <v>14</v>
      </c>
      <c r="C280">
        <v>6</v>
      </c>
      <c r="D280" t="s">
        <v>5</v>
      </c>
      <c r="E280">
        <v>4</v>
      </c>
      <c r="F280">
        <v>279</v>
      </c>
      <c r="G280" t="str">
        <f t="shared" si="29"/>
        <v>C</v>
      </c>
      <c r="H280">
        <f t="shared" si="35"/>
        <v>4</v>
      </c>
      <c r="I280">
        <f t="shared" si="30"/>
        <v>0</v>
      </c>
      <c r="J280">
        <f t="shared" si="31"/>
        <v>11</v>
      </c>
      <c r="K280">
        <f t="shared" si="32"/>
        <v>0</v>
      </c>
      <c r="L280">
        <f t="shared" si="33"/>
        <v>0</v>
      </c>
      <c r="M280" t="str">
        <f t="shared" si="34"/>
        <v>C</v>
      </c>
    </row>
    <row r="281" spans="1:13" x14ac:dyDescent="0.45">
      <c r="A281">
        <v>280</v>
      </c>
      <c r="B281">
        <v>10.5</v>
      </c>
      <c r="C281">
        <v>20</v>
      </c>
      <c r="D281" t="s">
        <v>5</v>
      </c>
      <c r="E281">
        <v>4</v>
      </c>
      <c r="F281">
        <v>280</v>
      </c>
      <c r="G281" t="str">
        <f t="shared" si="29"/>
        <v>C</v>
      </c>
      <c r="H281">
        <f t="shared" si="35"/>
        <v>4</v>
      </c>
      <c r="I281">
        <f t="shared" si="30"/>
        <v>0</v>
      </c>
      <c r="J281">
        <f t="shared" si="31"/>
        <v>12</v>
      </c>
      <c r="K281">
        <f t="shared" si="32"/>
        <v>0</v>
      </c>
      <c r="L281">
        <f t="shared" si="33"/>
        <v>0</v>
      </c>
      <c r="M281" t="str">
        <f t="shared" si="34"/>
        <v>C</v>
      </c>
    </row>
    <row r="282" spans="1:13" x14ac:dyDescent="0.45">
      <c r="A282">
        <v>281</v>
      </c>
      <c r="B282">
        <v>6.7</v>
      </c>
      <c r="C282">
        <v>17</v>
      </c>
      <c r="D282" t="s">
        <v>5</v>
      </c>
      <c r="E282">
        <v>5</v>
      </c>
      <c r="F282">
        <v>281</v>
      </c>
      <c r="G282" t="str">
        <f t="shared" si="29"/>
        <v>C</v>
      </c>
      <c r="H282">
        <f t="shared" si="35"/>
        <v>5</v>
      </c>
      <c r="I282">
        <f t="shared" si="30"/>
        <v>0</v>
      </c>
      <c r="J282">
        <f t="shared" si="31"/>
        <v>13</v>
      </c>
      <c r="K282">
        <f t="shared" si="32"/>
        <v>0</v>
      </c>
      <c r="L282">
        <f t="shared" si="33"/>
        <v>0</v>
      </c>
      <c r="M282" t="str">
        <f t="shared" si="34"/>
        <v>S</v>
      </c>
    </row>
    <row r="283" spans="1:13" x14ac:dyDescent="0.45">
      <c r="A283">
        <v>282</v>
      </c>
      <c r="B283">
        <v>3.5</v>
      </c>
      <c r="C283">
        <v>13</v>
      </c>
      <c r="D283" t="s">
        <v>5</v>
      </c>
      <c r="E283">
        <v>5</v>
      </c>
      <c r="F283">
        <v>282</v>
      </c>
      <c r="G283" t="str">
        <f t="shared" si="29"/>
        <v>C</v>
      </c>
      <c r="H283">
        <f t="shared" si="35"/>
        <v>5</v>
      </c>
      <c r="I283">
        <f t="shared" si="30"/>
        <v>0</v>
      </c>
      <c r="J283">
        <f t="shared" si="31"/>
        <v>14</v>
      </c>
      <c r="K283">
        <f t="shared" si="32"/>
        <v>0</v>
      </c>
      <c r="L283">
        <f t="shared" si="33"/>
        <v>0</v>
      </c>
      <c r="M283" t="str">
        <f t="shared" si="34"/>
        <v>S</v>
      </c>
    </row>
    <row r="284" spans="1:13" x14ac:dyDescent="0.45">
      <c r="A284">
        <v>283</v>
      </c>
      <c r="B284">
        <v>1.6</v>
      </c>
      <c r="C284">
        <v>18</v>
      </c>
      <c r="D284" t="s">
        <v>5</v>
      </c>
      <c r="E284">
        <v>5</v>
      </c>
      <c r="F284">
        <v>283</v>
      </c>
      <c r="G284" t="str">
        <f t="shared" si="29"/>
        <v>C</v>
      </c>
      <c r="H284">
        <f t="shared" si="35"/>
        <v>5</v>
      </c>
      <c r="I284">
        <f t="shared" si="30"/>
        <v>0</v>
      </c>
      <c r="J284">
        <f t="shared" si="31"/>
        <v>15</v>
      </c>
      <c r="K284">
        <f t="shared" si="32"/>
        <v>0</v>
      </c>
      <c r="L284">
        <f t="shared" si="33"/>
        <v>0</v>
      </c>
      <c r="M284" t="str">
        <f t="shared" si="34"/>
        <v>S</v>
      </c>
    </row>
    <row r="285" spans="1:13" x14ac:dyDescent="0.45">
      <c r="A285">
        <v>284</v>
      </c>
      <c r="B285">
        <v>1.4</v>
      </c>
      <c r="C285">
        <v>20</v>
      </c>
      <c r="D285" t="s">
        <v>5</v>
      </c>
      <c r="E285">
        <v>5</v>
      </c>
      <c r="F285">
        <v>284</v>
      </c>
      <c r="G285" t="str">
        <f t="shared" si="29"/>
        <v>C</v>
      </c>
      <c r="H285">
        <f t="shared" si="35"/>
        <v>5</v>
      </c>
      <c r="I285">
        <f t="shared" si="30"/>
        <v>0</v>
      </c>
      <c r="J285">
        <f t="shared" si="31"/>
        <v>16</v>
      </c>
      <c r="K285">
        <f t="shared" si="32"/>
        <v>0</v>
      </c>
      <c r="L285">
        <f t="shared" si="33"/>
        <v>0</v>
      </c>
      <c r="M285" t="str">
        <f t="shared" si="34"/>
        <v>S</v>
      </c>
    </row>
    <row r="286" spans="1:13" x14ac:dyDescent="0.45">
      <c r="A286">
        <v>285</v>
      </c>
      <c r="B286">
        <v>2.8</v>
      </c>
      <c r="C286">
        <v>0</v>
      </c>
      <c r="D286">
        <v>0</v>
      </c>
      <c r="E286">
        <v>0</v>
      </c>
      <c r="F286">
        <v>285</v>
      </c>
      <c r="G286">
        <f t="shared" si="29"/>
        <v>0</v>
      </c>
      <c r="H286">
        <f t="shared" si="35"/>
        <v>0</v>
      </c>
      <c r="I286">
        <f t="shared" si="30"/>
        <v>1</v>
      </c>
      <c r="J286">
        <f t="shared" si="31"/>
        <v>1</v>
      </c>
      <c r="K286">
        <f t="shared" si="32"/>
        <v>0</v>
      </c>
      <c r="L286">
        <f t="shared" si="33"/>
        <v>0</v>
      </c>
      <c r="M286" t="str">
        <f t="shared" si="34"/>
        <v>S</v>
      </c>
    </row>
    <row r="287" spans="1:13" x14ac:dyDescent="0.45">
      <c r="A287">
        <v>286</v>
      </c>
      <c r="B287">
        <v>5.2</v>
      </c>
      <c r="C287">
        <v>6</v>
      </c>
      <c r="D287" t="s">
        <v>6</v>
      </c>
      <c r="E287">
        <v>1</v>
      </c>
      <c r="F287">
        <v>286</v>
      </c>
      <c r="G287" t="str">
        <f t="shared" si="29"/>
        <v>S</v>
      </c>
      <c r="H287">
        <f t="shared" si="35"/>
        <v>1</v>
      </c>
      <c r="I287">
        <f t="shared" si="30"/>
        <v>0</v>
      </c>
      <c r="J287">
        <f t="shared" si="31"/>
        <v>1</v>
      </c>
      <c r="K287">
        <f t="shared" si="32"/>
        <v>1</v>
      </c>
      <c r="L287">
        <f t="shared" si="33"/>
        <v>0</v>
      </c>
      <c r="M287" t="str">
        <f t="shared" si="34"/>
        <v>S</v>
      </c>
    </row>
    <row r="288" spans="1:13" x14ac:dyDescent="0.45">
      <c r="A288">
        <v>287</v>
      </c>
      <c r="B288">
        <v>7.7</v>
      </c>
      <c r="C288">
        <v>5</v>
      </c>
      <c r="D288" t="s">
        <v>6</v>
      </c>
      <c r="E288">
        <v>1</v>
      </c>
      <c r="F288">
        <v>287</v>
      </c>
      <c r="G288" t="str">
        <f t="shared" si="29"/>
        <v>S</v>
      </c>
      <c r="H288">
        <f t="shared" si="35"/>
        <v>1</v>
      </c>
      <c r="I288">
        <f t="shared" si="30"/>
        <v>0</v>
      </c>
      <c r="J288">
        <f t="shared" si="31"/>
        <v>2</v>
      </c>
      <c r="K288">
        <f t="shared" si="32"/>
        <v>0</v>
      </c>
      <c r="L288">
        <f t="shared" si="33"/>
        <v>0</v>
      </c>
      <c r="M288" t="str">
        <f t="shared" si="34"/>
        <v>S</v>
      </c>
    </row>
    <row r="289" spans="1:13" x14ac:dyDescent="0.45">
      <c r="A289">
        <v>288</v>
      </c>
      <c r="B289">
        <v>9.6</v>
      </c>
      <c r="C289">
        <v>1</v>
      </c>
      <c r="D289" t="s">
        <v>6</v>
      </c>
      <c r="E289">
        <v>1</v>
      </c>
      <c r="F289">
        <v>288</v>
      </c>
      <c r="G289" t="str">
        <f t="shared" si="29"/>
        <v>S</v>
      </c>
      <c r="H289">
        <f t="shared" si="35"/>
        <v>1</v>
      </c>
      <c r="I289">
        <f t="shared" si="30"/>
        <v>0</v>
      </c>
      <c r="J289">
        <f t="shared" si="31"/>
        <v>3</v>
      </c>
      <c r="K289">
        <f t="shared" si="32"/>
        <v>0</v>
      </c>
      <c r="L289">
        <f t="shared" si="33"/>
        <v>0</v>
      </c>
      <c r="M289" t="str">
        <f t="shared" si="34"/>
        <v>S</v>
      </c>
    </row>
    <row r="290" spans="1:13" x14ac:dyDescent="0.45">
      <c r="A290">
        <v>289</v>
      </c>
      <c r="B290">
        <v>10.1</v>
      </c>
      <c r="C290">
        <v>8</v>
      </c>
      <c r="D290" t="s">
        <v>6</v>
      </c>
      <c r="E290">
        <v>2</v>
      </c>
      <c r="F290">
        <v>289</v>
      </c>
      <c r="G290" t="str">
        <f t="shared" si="29"/>
        <v>S</v>
      </c>
      <c r="H290">
        <f t="shared" si="35"/>
        <v>2</v>
      </c>
      <c r="I290">
        <f t="shared" si="30"/>
        <v>0</v>
      </c>
      <c r="J290">
        <f t="shared" si="31"/>
        <v>4</v>
      </c>
      <c r="K290">
        <f t="shared" si="32"/>
        <v>0</v>
      </c>
      <c r="L290">
        <f t="shared" si="33"/>
        <v>1</v>
      </c>
      <c r="M290" t="str">
        <f t="shared" si="34"/>
        <v>C</v>
      </c>
    </row>
    <row r="291" spans="1:13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v>290</v>
      </c>
      <c r="G291" t="str">
        <f t="shared" si="29"/>
        <v>S</v>
      </c>
      <c r="H291">
        <f t="shared" si="35"/>
        <v>2</v>
      </c>
      <c r="I291">
        <f t="shared" si="30"/>
        <v>0</v>
      </c>
      <c r="J291">
        <f t="shared" si="31"/>
        <v>5</v>
      </c>
      <c r="K291">
        <f t="shared" si="32"/>
        <v>0</v>
      </c>
      <c r="L291">
        <f t="shared" si="33"/>
        <v>0</v>
      </c>
      <c r="M291" t="str">
        <f t="shared" si="34"/>
        <v>S</v>
      </c>
    </row>
    <row r="292" spans="1:13" x14ac:dyDescent="0.45">
      <c r="A292">
        <v>291</v>
      </c>
      <c r="B292">
        <v>7.4</v>
      </c>
      <c r="C292">
        <v>5</v>
      </c>
      <c r="D292" t="s">
        <v>6</v>
      </c>
      <c r="E292">
        <v>2</v>
      </c>
      <c r="F292">
        <v>291</v>
      </c>
      <c r="G292" t="str">
        <f t="shared" si="29"/>
        <v>S</v>
      </c>
      <c r="H292">
        <f t="shared" si="35"/>
        <v>2</v>
      </c>
      <c r="I292">
        <f t="shared" si="30"/>
        <v>0</v>
      </c>
      <c r="J292">
        <f t="shared" si="31"/>
        <v>6</v>
      </c>
      <c r="K292">
        <f t="shared" si="32"/>
        <v>0</v>
      </c>
      <c r="L292">
        <f t="shared" si="33"/>
        <v>0</v>
      </c>
      <c r="M292" t="str">
        <f t="shared" si="34"/>
        <v>S</v>
      </c>
    </row>
    <row r="293" spans="1:13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v>292</v>
      </c>
      <c r="G293" t="str">
        <f t="shared" si="29"/>
        <v>S</v>
      </c>
      <c r="H293">
        <f t="shared" si="35"/>
        <v>3</v>
      </c>
      <c r="I293">
        <f t="shared" si="30"/>
        <v>0</v>
      </c>
      <c r="J293">
        <f t="shared" si="31"/>
        <v>7</v>
      </c>
      <c r="K293">
        <f t="shared" si="32"/>
        <v>0</v>
      </c>
      <c r="L293">
        <f t="shared" si="33"/>
        <v>0</v>
      </c>
      <c r="M293" t="str">
        <f t="shared" si="34"/>
        <v>S</v>
      </c>
    </row>
    <row r="294" spans="1:13" x14ac:dyDescent="0.45">
      <c r="A294">
        <v>293</v>
      </c>
      <c r="B294">
        <v>3.5</v>
      </c>
      <c r="C294">
        <v>9</v>
      </c>
      <c r="D294" t="s">
        <v>6</v>
      </c>
      <c r="E294">
        <v>3</v>
      </c>
      <c r="F294">
        <v>293</v>
      </c>
      <c r="G294" t="str">
        <f t="shared" si="29"/>
        <v>S</v>
      </c>
      <c r="H294">
        <f t="shared" si="35"/>
        <v>3</v>
      </c>
      <c r="I294">
        <f t="shared" si="30"/>
        <v>0</v>
      </c>
      <c r="J294">
        <f t="shared" si="31"/>
        <v>8</v>
      </c>
      <c r="K294">
        <f t="shared" si="32"/>
        <v>0</v>
      </c>
      <c r="L294">
        <f t="shared" si="33"/>
        <v>0</v>
      </c>
      <c r="M294" t="str">
        <f t="shared" si="34"/>
        <v>S</v>
      </c>
    </row>
    <row r="295" spans="1:13" x14ac:dyDescent="0.45">
      <c r="A295">
        <v>294</v>
      </c>
      <c r="B295">
        <v>3.2</v>
      </c>
      <c r="C295">
        <v>4</v>
      </c>
      <c r="D295" t="s">
        <v>6</v>
      </c>
      <c r="E295">
        <v>3</v>
      </c>
      <c r="F295">
        <v>294</v>
      </c>
      <c r="G295" t="str">
        <f t="shared" si="29"/>
        <v>S</v>
      </c>
      <c r="H295">
        <f t="shared" si="35"/>
        <v>3</v>
      </c>
      <c r="I295">
        <f t="shared" si="30"/>
        <v>0</v>
      </c>
      <c r="J295">
        <f t="shared" si="31"/>
        <v>9</v>
      </c>
      <c r="K295">
        <f t="shared" si="32"/>
        <v>0</v>
      </c>
      <c r="L295">
        <f t="shared" si="33"/>
        <v>0</v>
      </c>
      <c r="M295" t="str">
        <f t="shared" si="34"/>
        <v>S</v>
      </c>
    </row>
    <row r="296" spans="1:13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v>295</v>
      </c>
      <c r="G296" t="str">
        <f t="shared" si="29"/>
        <v>S</v>
      </c>
      <c r="H296">
        <f t="shared" si="35"/>
        <v>4</v>
      </c>
      <c r="I296">
        <f t="shared" si="30"/>
        <v>0</v>
      </c>
      <c r="J296">
        <f t="shared" si="31"/>
        <v>10</v>
      </c>
      <c r="K296">
        <f t="shared" si="32"/>
        <v>0</v>
      </c>
      <c r="L296">
        <f t="shared" si="33"/>
        <v>0</v>
      </c>
      <c r="M296" t="str">
        <f t="shared" si="34"/>
        <v>S</v>
      </c>
    </row>
    <row r="297" spans="1:13" x14ac:dyDescent="0.45">
      <c r="A297">
        <v>296</v>
      </c>
      <c r="B297">
        <v>7.5</v>
      </c>
      <c r="C297">
        <v>21</v>
      </c>
      <c r="D297" t="s">
        <v>6</v>
      </c>
      <c r="E297">
        <v>4</v>
      </c>
      <c r="F297">
        <v>296</v>
      </c>
      <c r="G297" t="str">
        <f t="shared" si="29"/>
        <v>S</v>
      </c>
      <c r="H297">
        <f t="shared" si="35"/>
        <v>4</v>
      </c>
      <c r="I297">
        <f t="shared" si="30"/>
        <v>0</v>
      </c>
      <c r="J297">
        <f t="shared" si="31"/>
        <v>11</v>
      </c>
      <c r="K297">
        <f t="shared" si="32"/>
        <v>0</v>
      </c>
      <c r="L297">
        <f t="shared" si="33"/>
        <v>0</v>
      </c>
      <c r="M297" t="str">
        <f t="shared" si="34"/>
        <v>S</v>
      </c>
    </row>
    <row r="298" spans="1:13" x14ac:dyDescent="0.45">
      <c r="A298">
        <v>297</v>
      </c>
      <c r="B298">
        <v>11.3</v>
      </c>
      <c r="C298">
        <v>8</v>
      </c>
      <c r="D298" t="s">
        <v>6</v>
      </c>
      <c r="E298">
        <v>5</v>
      </c>
      <c r="F298">
        <v>297</v>
      </c>
      <c r="G298" t="str">
        <f t="shared" si="29"/>
        <v>S</v>
      </c>
      <c r="H298">
        <f t="shared" si="35"/>
        <v>4</v>
      </c>
      <c r="I298">
        <f t="shared" si="30"/>
        <v>0</v>
      </c>
      <c r="J298">
        <f t="shared" si="31"/>
        <v>12</v>
      </c>
      <c r="K298">
        <f t="shared" si="32"/>
        <v>0</v>
      </c>
      <c r="L298">
        <f t="shared" si="33"/>
        <v>0</v>
      </c>
      <c r="M298" t="str">
        <f t="shared" si="34"/>
        <v>C</v>
      </c>
    </row>
    <row r="299" spans="1:13" x14ac:dyDescent="0.45">
      <c r="A299">
        <v>298</v>
      </c>
      <c r="B299">
        <v>15.2</v>
      </c>
      <c r="C299">
        <v>23</v>
      </c>
      <c r="D299" t="s">
        <v>6</v>
      </c>
      <c r="E299">
        <v>5</v>
      </c>
      <c r="F299">
        <v>298</v>
      </c>
      <c r="G299" t="str">
        <f t="shared" si="29"/>
        <v>S</v>
      </c>
      <c r="H299">
        <f t="shared" si="35"/>
        <v>5</v>
      </c>
      <c r="I299">
        <f t="shared" si="30"/>
        <v>0</v>
      </c>
      <c r="J299">
        <f t="shared" si="31"/>
        <v>13</v>
      </c>
      <c r="K299">
        <f t="shared" si="32"/>
        <v>0</v>
      </c>
      <c r="L299">
        <f t="shared" si="33"/>
        <v>0</v>
      </c>
      <c r="M299" t="str">
        <f t="shared" si="34"/>
        <v>C</v>
      </c>
    </row>
    <row r="300" spans="1:13" x14ac:dyDescent="0.45">
      <c r="A300">
        <v>299</v>
      </c>
      <c r="B300">
        <v>18.3</v>
      </c>
      <c r="C300">
        <v>0</v>
      </c>
      <c r="D300">
        <v>0</v>
      </c>
      <c r="E300">
        <v>0</v>
      </c>
      <c r="F300">
        <v>299</v>
      </c>
      <c r="G300">
        <f t="shared" si="29"/>
        <v>0</v>
      </c>
      <c r="H300">
        <f t="shared" si="35"/>
        <v>0</v>
      </c>
      <c r="I300">
        <f t="shared" si="30"/>
        <v>1</v>
      </c>
      <c r="J300">
        <f t="shared" si="31"/>
        <v>1</v>
      </c>
      <c r="K300">
        <f t="shared" si="32"/>
        <v>0</v>
      </c>
      <c r="L300">
        <f t="shared" si="33"/>
        <v>0</v>
      </c>
      <c r="M300" t="str">
        <f t="shared" si="34"/>
        <v>C</v>
      </c>
    </row>
    <row r="301" spans="1:13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v>300</v>
      </c>
      <c r="G301" t="str">
        <f t="shared" si="29"/>
        <v>C</v>
      </c>
      <c r="H301">
        <f t="shared" si="35"/>
        <v>1</v>
      </c>
      <c r="I301">
        <f t="shared" si="30"/>
        <v>0</v>
      </c>
      <c r="J301">
        <f t="shared" si="31"/>
        <v>1</v>
      </c>
      <c r="K301">
        <f t="shared" si="32"/>
        <v>1</v>
      </c>
      <c r="L301">
        <f t="shared" si="33"/>
        <v>0</v>
      </c>
      <c r="M301" t="str">
        <f t="shared" si="34"/>
        <v>C</v>
      </c>
    </row>
    <row r="302" spans="1:13" x14ac:dyDescent="0.45">
      <c r="A302">
        <v>301</v>
      </c>
      <c r="B302">
        <v>20</v>
      </c>
      <c r="C302">
        <v>4</v>
      </c>
      <c r="D302">
        <v>0</v>
      </c>
      <c r="E302">
        <v>0</v>
      </c>
      <c r="F302">
        <v>301</v>
      </c>
      <c r="G302" t="str">
        <f t="shared" si="29"/>
        <v>C</v>
      </c>
      <c r="H302">
        <f t="shared" si="35"/>
        <v>1</v>
      </c>
      <c r="I302">
        <f t="shared" si="30"/>
        <v>0</v>
      </c>
      <c r="J302">
        <f t="shared" si="31"/>
        <v>2</v>
      </c>
      <c r="K302">
        <f t="shared" si="32"/>
        <v>0</v>
      </c>
      <c r="L302">
        <f t="shared" si="33"/>
        <v>0</v>
      </c>
      <c r="M302" t="str">
        <f t="shared" si="34"/>
        <v>C</v>
      </c>
    </row>
    <row r="303" spans="1:13" x14ac:dyDescent="0.4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v>302</v>
      </c>
      <c r="G303" t="str">
        <f t="shared" si="29"/>
        <v>C</v>
      </c>
      <c r="H303">
        <f t="shared" si="35"/>
        <v>1</v>
      </c>
      <c r="I303">
        <f t="shared" si="30"/>
        <v>0</v>
      </c>
      <c r="J303">
        <f t="shared" si="31"/>
        <v>3</v>
      </c>
      <c r="K303">
        <f t="shared" si="32"/>
        <v>0</v>
      </c>
      <c r="L303">
        <f t="shared" si="33"/>
        <v>0</v>
      </c>
      <c r="M303" t="str">
        <f t="shared" si="34"/>
        <v>C</v>
      </c>
    </row>
    <row r="304" spans="1:13" x14ac:dyDescent="0.45">
      <c r="A304">
        <v>303</v>
      </c>
      <c r="B304">
        <v>17.3</v>
      </c>
      <c r="C304">
        <v>2</v>
      </c>
      <c r="D304">
        <v>0</v>
      </c>
      <c r="E304">
        <v>0</v>
      </c>
      <c r="F304">
        <v>303</v>
      </c>
      <c r="G304" t="str">
        <f t="shared" si="29"/>
        <v>C</v>
      </c>
      <c r="H304">
        <f t="shared" si="35"/>
        <v>2</v>
      </c>
      <c r="I304">
        <f t="shared" si="30"/>
        <v>0</v>
      </c>
      <c r="J304">
        <f t="shared" si="31"/>
        <v>4</v>
      </c>
      <c r="K304">
        <f t="shared" si="32"/>
        <v>0</v>
      </c>
      <c r="L304">
        <f t="shared" si="33"/>
        <v>1</v>
      </c>
      <c r="M304" t="str">
        <f t="shared" si="34"/>
        <v>C</v>
      </c>
    </row>
    <row r="305" spans="1:13" x14ac:dyDescent="0.45">
      <c r="A305">
        <v>304</v>
      </c>
      <c r="B305">
        <v>16</v>
      </c>
      <c r="C305">
        <v>7</v>
      </c>
      <c r="D305">
        <v>0</v>
      </c>
      <c r="E305">
        <v>0</v>
      </c>
      <c r="F305">
        <v>304</v>
      </c>
      <c r="G305" t="str">
        <f t="shared" si="29"/>
        <v>C</v>
      </c>
      <c r="H305">
        <f t="shared" si="35"/>
        <v>2</v>
      </c>
      <c r="I305">
        <f t="shared" si="30"/>
        <v>0</v>
      </c>
      <c r="J305">
        <f t="shared" si="31"/>
        <v>5</v>
      </c>
      <c r="K305">
        <f t="shared" si="32"/>
        <v>0</v>
      </c>
      <c r="L305">
        <f t="shared" si="33"/>
        <v>0</v>
      </c>
      <c r="M305" t="str">
        <f t="shared" si="34"/>
        <v>C</v>
      </c>
    </row>
    <row r="306" spans="1:13" x14ac:dyDescent="0.45">
      <c r="A306">
        <v>305</v>
      </c>
      <c r="B306">
        <v>15.9</v>
      </c>
      <c r="C306">
        <v>4</v>
      </c>
      <c r="D306">
        <v>0</v>
      </c>
      <c r="E306">
        <v>0</v>
      </c>
      <c r="F306">
        <v>305</v>
      </c>
      <c r="G306" t="str">
        <f t="shared" si="29"/>
        <v>C</v>
      </c>
      <c r="H306">
        <f t="shared" si="35"/>
        <v>2</v>
      </c>
      <c r="I306">
        <f t="shared" si="30"/>
        <v>0</v>
      </c>
      <c r="J306">
        <f t="shared" si="31"/>
        <v>6</v>
      </c>
      <c r="K306">
        <f t="shared" si="32"/>
        <v>0</v>
      </c>
      <c r="L306">
        <f t="shared" si="33"/>
        <v>0</v>
      </c>
      <c r="M306" t="str">
        <f t="shared" si="34"/>
        <v>C</v>
      </c>
    </row>
    <row r="307" spans="1:13" x14ac:dyDescent="0.45">
      <c r="A307">
        <v>306</v>
      </c>
      <c r="B307">
        <v>17.3</v>
      </c>
      <c r="C307">
        <v>17</v>
      </c>
      <c r="D307">
        <v>0</v>
      </c>
      <c r="E307">
        <v>0</v>
      </c>
      <c r="F307">
        <v>306</v>
      </c>
      <c r="G307" t="str">
        <f t="shared" si="29"/>
        <v>C</v>
      </c>
      <c r="H307">
        <f t="shared" si="35"/>
        <v>3</v>
      </c>
      <c r="I307">
        <f t="shared" si="30"/>
        <v>0</v>
      </c>
      <c r="J307">
        <f t="shared" si="31"/>
        <v>7</v>
      </c>
      <c r="K307">
        <f t="shared" si="32"/>
        <v>0</v>
      </c>
      <c r="L307">
        <f t="shared" si="33"/>
        <v>0</v>
      </c>
      <c r="M307" t="str">
        <f t="shared" si="34"/>
        <v>C</v>
      </c>
    </row>
    <row r="308" spans="1:13" x14ac:dyDescent="0.45">
      <c r="A308">
        <v>307</v>
      </c>
      <c r="B308">
        <v>20</v>
      </c>
      <c r="C308">
        <v>14</v>
      </c>
      <c r="D308">
        <v>0</v>
      </c>
      <c r="E308">
        <v>0</v>
      </c>
      <c r="F308">
        <v>307</v>
      </c>
      <c r="G308" t="str">
        <f t="shared" si="29"/>
        <v>C</v>
      </c>
      <c r="H308">
        <f t="shared" si="35"/>
        <v>3</v>
      </c>
      <c r="I308">
        <f t="shared" si="30"/>
        <v>0</v>
      </c>
      <c r="J308">
        <f t="shared" si="31"/>
        <v>8</v>
      </c>
      <c r="K308">
        <f t="shared" si="32"/>
        <v>0</v>
      </c>
      <c r="L308">
        <f t="shared" si="33"/>
        <v>0</v>
      </c>
      <c r="M308" t="str">
        <f t="shared" si="34"/>
        <v>C</v>
      </c>
    </row>
    <row r="309" spans="1:13" x14ac:dyDescent="0.45">
      <c r="A309">
        <v>308</v>
      </c>
      <c r="B309">
        <v>23.4</v>
      </c>
      <c r="C309">
        <v>9</v>
      </c>
      <c r="D309">
        <v>0</v>
      </c>
      <c r="E309">
        <v>0</v>
      </c>
      <c r="F309">
        <v>308</v>
      </c>
      <c r="G309" t="str">
        <f t="shared" si="29"/>
        <v>C</v>
      </c>
      <c r="H309">
        <f t="shared" si="35"/>
        <v>3</v>
      </c>
      <c r="I309">
        <f t="shared" si="30"/>
        <v>0</v>
      </c>
      <c r="J309">
        <f t="shared" si="31"/>
        <v>9</v>
      </c>
      <c r="K309">
        <f t="shared" si="32"/>
        <v>0</v>
      </c>
      <c r="L309">
        <f t="shared" si="33"/>
        <v>0</v>
      </c>
      <c r="M309" t="str">
        <f t="shared" si="34"/>
        <v>C</v>
      </c>
    </row>
    <row r="310" spans="1:13" x14ac:dyDescent="0.45">
      <c r="A310">
        <v>309</v>
      </c>
      <c r="B310">
        <v>26.8</v>
      </c>
      <c r="C310">
        <v>6</v>
      </c>
      <c r="D310">
        <v>0</v>
      </c>
      <c r="E310">
        <v>0</v>
      </c>
      <c r="F310">
        <v>309</v>
      </c>
      <c r="G310" t="str">
        <f t="shared" si="29"/>
        <v>C</v>
      </c>
      <c r="H310">
        <f t="shared" si="35"/>
        <v>4</v>
      </c>
      <c r="I310">
        <f t="shared" si="30"/>
        <v>0</v>
      </c>
      <c r="J310">
        <f t="shared" si="31"/>
        <v>10</v>
      </c>
      <c r="K310">
        <f t="shared" si="32"/>
        <v>0</v>
      </c>
      <c r="L310">
        <f t="shared" si="33"/>
        <v>0</v>
      </c>
      <c r="M310" t="str">
        <f t="shared" si="34"/>
        <v>C</v>
      </c>
    </row>
    <row r="311" spans="1:13" x14ac:dyDescent="0.45">
      <c r="A311">
        <v>310</v>
      </c>
      <c r="B311">
        <v>29.1</v>
      </c>
      <c r="C311">
        <v>16</v>
      </c>
      <c r="D311">
        <v>0</v>
      </c>
      <c r="E311">
        <v>0</v>
      </c>
      <c r="F311">
        <v>310</v>
      </c>
      <c r="G311" t="str">
        <f t="shared" si="29"/>
        <v>C</v>
      </c>
      <c r="H311">
        <f t="shared" si="35"/>
        <v>4</v>
      </c>
      <c r="I311">
        <f t="shared" si="30"/>
        <v>0</v>
      </c>
      <c r="J311">
        <f t="shared" si="31"/>
        <v>11</v>
      </c>
      <c r="K311">
        <f t="shared" si="32"/>
        <v>0</v>
      </c>
      <c r="L311">
        <f t="shared" si="33"/>
        <v>0</v>
      </c>
      <c r="M311" t="str">
        <f t="shared" si="34"/>
        <v>C</v>
      </c>
    </row>
    <row r="312" spans="1:13" x14ac:dyDescent="0.45">
      <c r="A312">
        <v>311</v>
      </c>
      <c r="B312">
        <v>29.8</v>
      </c>
      <c r="C312">
        <v>2</v>
      </c>
      <c r="D312">
        <v>0</v>
      </c>
      <c r="E312">
        <v>0</v>
      </c>
      <c r="F312">
        <v>311</v>
      </c>
      <c r="G312" t="str">
        <f t="shared" si="29"/>
        <v>C</v>
      </c>
      <c r="H312">
        <f t="shared" si="35"/>
        <v>4</v>
      </c>
      <c r="I312">
        <f t="shared" si="30"/>
        <v>0</v>
      </c>
      <c r="J312">
        <f t="shared" si="31"/>
        <v>12</v>
      </c>
      <c r="K312">
        <f t="shared" si="32"/>
        <v>0</v>
      </c>
      <c r="L312">
        <f t="shared" si="33"/>
        <v>0</v>
      </c>
      <c r="M312" t="str">
        <f t="shared" si="34"/>
        <v>C</v>
      </c>
    </row>
    <row r="313" spans="1:13" x14ac:dyDescent="0.45">
      <c r="A313">
        <v>312</v>
      </c>
      <c r="B313">
        <v>28.8</v>
      </c>
      <c r="C313">
        <v>25</v>
      </c>
      <c r="D313">
        <v>0</v>
      </c>
      <c r="E313">
        <v>0</v>
      </c>
      <c r="F313">
        <v>312</v>
      </c>
      <c r="G313" t="str">
        <f t="shared" si="29"/>
        <v>C</v>
      </c>
      <c r="H313">
        <f t="shared" si="35"/>
        <v>5</v>
      </c>
      <c r="I313">
        <f t="shared" si="30"/>
        <v>0</v>
      </c>
      <c r="J313">
        <f t="shared" si="31"/>
        <v>13</v>
      </c>
      <c r="K313">
        <f t="shared" si="32"/>
        <v>0</v>
      </c>
      <c r="L313">
        <f t="shared" si="33"/>
        <v>0</v>
      </c>
      <c r="M313" t="str">
        <f t="shared" si="34"/>
        <v>C</v>
      </c>
    </row>
    <row r="314" spans="1:13" x14ac:dyDescent="0.45">
      <c r="A314">
        <v>313</v>
      </c>
      <c r="B314">
        <v>26.4</v>
      </c>
      <c r="C314">
        <v>0</v>
      </c>
      <c r="D314">
        <v>0</v>
      </c>
      <c r="E314">
        <v>0</v>
      </c>
      <c r="F314">
        <v>313</v>
      </c>
      <c r="G314">
        <f t="shared" si="29"/>
        <v>0</v>
      </c>
      <c r="H314">
        <f t="shared" si="35"/>
        <v>0</v>
      </c>
      <c r="I314">
        <f t="shared" si="30"/>
        <v>1</v>
      </c>
      <c r="J314">
        <f t="shared" si="31"/>
        <v>1</v>
      </c>
      <c r="K314">
        <f t="shared" si="32"/>
        <v>0</v>
      </c>
      <c r="L314">
        <f t="shared" si="33"/>
        <v>0</v>
      </c>
      <c r="M314" t="str">
        <f t="shared" si="34"/>
        <v>C</v>
      </c>
    </row>
    <row r="315" spans="1:13" x14ac:dyDescent="0.45">
      <c r="A315">
        <v>314</v>
      </c>
      <c r="B315">
        <v>23.4</v>
      </c>
      <c r="C315">
        <v>3</v>
      </c>
      <c r="D315">
        <v>0</v>
      </c>
      <c r="E315">
        <v>0</v>
      </c>
      <c r="F315">
        <v>314</v>
      </c>
      <c r="G315" t="str">
        <f t="shared" si="29"/>
        <v>C</v>
      </c>
      <c r="H315">
        <f t="shared" si="35"/>
        <v>1</v>
      </c>
      <c r="I315">
        <f t="shared" si="30"/>
        <v>0</v>
      </c>
      <c r="J315">
        <f t="shared" si="31"/>
        <v>1</v>
      </c>
      <c r="K315">
        <f t="shared" si="32"/>
        <v>1</v>
      </c>
      <c r="L315">
        <f t="shared" si="33"/>
        <v>0</v>
      </c>
      <c r="M315" t="str">
        <f t="shared" si="34"/>
        <v>C</v>
      </c>
    </row>
    <row r="316" spans="1:13" x14ac:dyDescent="0.45">
      <c r="A316">
        <v>315</v>
      </c>
      <c r="B316">
        <v>20.7</v>
      </c>
      <c r="C316">
        <v>4</v>
      </c>
      <c r="D316">
        <v>0</v>
      </c>
      <c r="E316">
        <v>0</v>
      </c>
      <c r="F316">
        <v>315</v>
      </c>
      <c r="G316" t="str">
        <f t="shared" si="29"/>
        <v>C</v>
      </c>
      <c r="H316">
        <f t="shared" si="35"/>
        <v>1</v>
      </c>
      <c r="I316">
        <f t="shared" si="30"/>
        <v>0</v>
      </c>
      <c r="J316">
        <f t="shared" si="31"/>
        <v>2</v>
      </c>
      <c r="K316">
        <f t="shared" si="32"/>
        <v>0</v>
      </c>
      <c r="L316">
        <f t="shared" si="33"/>
        <v>0</v>
      </c>
      <c r="M316" t="str">
        <f t="shared" si="34"/>
        <v>C</v>
      </c>
    </row>
    <row r="317" spans="1:13" x14ac:dyDescent="0.4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v>316</v>
      </c>
      <c r="G317" t="str">
        <f t="shared" si="29"/>
        <v>C</v>
      </c>
      <c r="H317">
        <f t="shared" si="35"/>
        <v>1</v>
      </c>
      <c r="I317">
        <f t="shared" si="30"/>
        <v>0</v>
      </c>
      <c r="J317">
        <f t="shared" si="31"/>
        <v>3</v>
      </c>
      <c r="K317">
        <f t="shared" si="32"/>
        <v>0</v>
      </c>
      <c r="L317">
        <f t="shared" si="33"/>
        <v>0</v>
      </c>
      <c r="M317" t="str">
        <f t="shared" si="34"/>
        <v>C</v>
      </c>
    </row>
    <row r="318" spans="1:13" x14ac:dyDescent="0.4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v>317</v>
      </c>
      <c r="G318" t="str">
        <f t="shared" si="29"/>
        <v>C</v>
      </c>
      <c r="H318">
        <f t="shared" si="35"/>
        <v>2</v>
      </c>
      <c r="I318">
        <f t="shared" si="30"/>
        <v>0</v>
      </c>
      <c r="J318">
        <f t="shared" si="31"/>
        <v>4</v>
      </c>
      <c r="K318">
        <f t="shared" si="32"/>
        <v>0</v>
      </c>
      <c r="L318">
        <f t="shared" si="33"/>
        <v>1</v>
      </c>
      <c r="M318" t="str">
        <f t="shared" si="34"/>
        <v>C</v>
      </c>
    </row>
    <row r="319" spans="1:13" x14ac:dyDescent="0.45">
      <c r="A319">
        <v>318</v>
      </c>
      <c r="B319">
        <v>20</v>
      </c>
      <c r="C319">
        <v>5</v>
      </c>
      <c r="D319">
        <v>0</v>
      </c>
      <c r="E319">
        <v>0</v>
      </c>
      <c r="F319">
        <v>318</v>
      </c>
      <c r="G319" t="str">
        <f t="shared" si="29"/>
        <v>C</v>
      </c>
      <c r="H319">
        <f t="shared" si="35"/>
        <v>2</v>
      </c>
      <c r="I319">
        <f t="shared" si="30"/>
        <v>0</v>
      </c>
      <c r="J319">
        <f t="shared" si="31"/>
        <v>5</v>
      </c>
      <c r="K319">
        <f t="shared" si="32"/>
        <v>0</v>
      </c>
      <c r="L319">
        <f t="shared" si="33"/>
        <v>0</v>
      </c>
      <c r="M319" t="str">
        <f t="shared" si="34"/>
        <v>C</v>
      </c>
    </row>
    <row r="320" spans="1:13" x14ac:dyDescent="0.45">
      <c r="A320">
        <v>319</v>
      </c>
      <c r="B320">
        <v>21.8</v>
      </c>
      <c r="C320">
        <v>4</v>
      </c>
      <c r="D320">
        <v>0</v>
      </c>
      <c r="E320">
        <v>0</v>
      </c>
      <c r="F320">
        <v>319</v>
      </c>
      <c r="G320" t="str">
        <f t="shared" si="29"/>
        <v>C</v>
      </c>
      <c r="H320">
        <f t="shared" si="35"/>
        <v>2</v>
      </c>
      <c r="I320">
        <f t="shared" si="30"/>
        <v>0</v>
      </c>
      <c r="J320">
        <f t="shared" si="31"/>
        <v>6</v>
      </c>
      <c r="K320">
        <f t="shared" si="32"/>
        <v>0</v>
      </c>
      <c r="L320">
        <f t="shared" si="33"/>
        <v>0</v>
      </c>
      <c r="M320" t="str">
        <f t="shared" si="34"/>
        <v>C</v>
      </c>
    </row>
    <row r="321" spans="1:13" x14ac:dyDescent="0.45">
      <c r="A321">
        <v>320</v>
      </c>
      <c r="B321">
        <v>23.6</v>
      </c>
      <c r="C321">
        <v>7</v>
      </c>
      <c r="D321">
        <v>0</v>
      </c>
      <c r="E321">
        <v>0</v>
      </c>
      <c r="F321">
        <v>320</v>
      </c>
      <c r="G321" t="str">
        <f t="shared" si="29"/>
        <v>C</v>
      </c>
      <c r="H321">
        <f t="shared" si="35"/>
        <v>3</v>
      </c>
      <c r="I321">
        <f t="shared" si="30"/>
        <v>0</v>
      </c>
      <c r="J321">
        <f t="shared" si="31"/>
        <v>7</v>
      </c>
      <c r="K321">
        <f t="shared" si="32"/>
        <v>0</v>
      </c>
      <c r="L321">
        <f t="shared" si="33"/>
        <v>0</v>
      </c>
      <c r="M321" t="str">
        <f t="shared" si="34"/>
        <v>C</v>
      </c>
    </row>
    <row r="322" spans="1:13" x14ac:dyDescent="0.45">
      <c r="A322">
        <v>321</v>
      </c>
      <c r="B322">
        <v>24.4</v>
      </c>
      <c r="C322">
        <v>12</v>
      </c>
      <c r="D322">
        <v>0</v>
      </c>
      <c r="E322">
        <v>0</v>
      </c>
      <c r="F322">
        <v>321</v>
      </c>
      <c r="G322" t="str">
        <f t="shared" si="29"/>
        <v>C</v>
      </c>
      <c r="H322">
        <f t="shared" si="35"/>
        <v>3</v>
      </c>
      <c r="I322">
        <f t="shared" si="30"/>
        <v>0</v>
      </c>
      <c r="J322">
        <f t="shared" si="31"/>
        <v>8</v>
      </c>
      <c r="K322">
        <f t="shared" si="32"/>
        <v>0</v>
      </c>
      <c r="L322">
        <f t="shared" si="33"/>
        <v>0</v>
      </c>
      <c r="M322" t="str">
        <f t="shared" si="34"/>
        <v>C</v>
      </c>
    </row>
    <row r="323" spans="1:13" x14ac:dyDescent="0.45">
      <c r="A323">
        <v>322</v>
      </c>
      <c r="B323">
        <v>23.6</v>
      </c>
      <c r="C323">
        <v>5</v>
      </c>
      <c r="D323">
        <v>0</v>
      </c>
      <c r="E323">
        <v>0</v>
      </c>
      <c r="F323">
        <v>322</v>
      </c>
      <c r="G323" t="str">
        <f t="shared" si="29"/>
        <v>C</v>
      </c>
      <c r="H323">
        <f t="shared" si="35"/>
        <v>3</v>
      </c>
      <c r="I323">
        <f t="shared" si="30"/>
        <v>0</v>
      </c>
      <c r="J323">
        <f t="shared" si="31"/>
        <v>9</v>
      </c>
      <c r="K323">
        <f t="shared" si="32"/>
        <v>0</v>
      </c>
      <c r="L323">
        <f t="shared" si="33"/>
        <v>0</v>
      </c>
      <c r="M323" t="str">
        <f t="shared" si="34"/>
        <v>C</v>
      </c>
    </row>
    <row r="324" spans="1:13" x14ac:dyDescent="0.45">
      <c r="A324">
        <v>323</v>
      </c>
      <c r="B324">
        <v>21.3</v>
      </c>
      <c r="C324">
        <v>3</v>
      </c>
      <c r="D324">
        <v>0</v>
      </c>
      <c r="E324">
        <v>0</v>
      </c>
      <c r="F324">
        <v>323</v>
      </c>
      <c r="G324" t="str">
        <f t="shared" ref="G324:G387" si="36">IF(I324=1,0, IF(K324=1,M324,G323))</f>
        <v>C</v>
      </c>
      <c r="H324">
        <f t="shared" si="35"/>
        <v>4</v>
      </c>
      <c r="I324">
        <f t="shared" ref="I324:I387" si="37">IF(AND(H323=5,C323&gt;=20),1,0)</f>
        <v>0</v>
      </c>
      <c r="J324">
        <f t="shared" ref="J324:J387" si="38">IF(G324=G323,J323+1,1)</f>
        <v>10</v>
      </c>
      <c r="K324">
        <f t="shared" ref="K324:K387" si="39">IF(AND(G323=0,H323=0),1,0)</f>
        <v>0</v>
      </c>
      <c r="L324">
        <f t="shared" ref="L324:L387" si="40">IF(J323=3,1,0)</f>
        <v>0</v>
      </c>
      <c r="M324" t="str">
        <f t="shared" ref="M324:M387" si="41">IF(B324&lt;10,"S","C")</f>
        <v>C</v>
      </c>
    </row>
    <row r="325" spans="1:13" x14ac:dyDescent="0.45">
      <c r="A325">
        <v>324</v>
      </c>
      <c r="B325">
        <v>17.7</v>
      </c>
      <c r="C325">
        <v>21</v>
      </c>
      <c r="D325">
        <v>0</v>
      </c>
      <c r="E325">
        <v>0</v>
      </c>
      <c r="F325">
        <v>324</v>
      </c>
      <c r="G325" t="str">
        <f t="shared" si="36"/>
        <v>C</v>
      </c>
      <c r="H325">
        <f t="shared" si="35"/>
        <v>4</v>
      </c>
      <c r="I325">
        <f t="shared" si="37"/>
        <v>0</v>
      </c>
      <c r="J325">
        <f t="shared" si="38"/>
        <v>11</v>
      </c>
      <c r="K325">
        <f t="shared" si="39"/>
        <v>0</v>
      </c>
      <c r="L325">
        <f t="shared" si="40"/>
        <v>0</v>
      </c>
      <c r="M325" t="str">
        <f t="shared" si="41"/>
        <v>C</v>
      </c>
    </row>
    <row r="326" spans="1:13" x14ac:dyDescent="0.45">
      <c r="A326">
        <v>325</v>
      </c>
      <c r="B326">
        <v>13.6</v>
      </c>
      <c r="C326">
        <v>18</v>
      </c>
      <c r="D326">
        <v>0</v>
      </c>
      <c r="E326">
        <v>0</v>
      </c>
      <c r="F326">
        <v>325</v>
      </c>
      <c r="G326" t="str">
        <f t="shared" si="36"/>
        <v>C</v>
      </c>
      <c r="H326">
        <f t="shared" si="35"/>
        <v>4</v>
      </c>
      <c r="I326">
        <f t="shared" si="37"/>
        <v>0</v>
      </c>
      <c r="J326">
        <f t="shared" si="38"/>
        <v>12</v>
      </c>
      <c r="K326">
        <f t="shared" si="39"/>
        <v>0</v>
      </c>
      <c r="L326">
        <f t="shared" si="40"/>
        <v>0</v>
      </c>
      <c r="M326" t="str">
        <f t="shared" si="41"/>
        <v>C</v>
      </c>
    </row>
    <row r="327" spans="1:13" x14ac:dyDescent="0.45">
      <c r="A327">
        <v>326</v>
      </c>
      <c r="B327">
        <v>10</v>
      </c>
      <c r="C327">
        <v>13</v>
      </c>
      <c r="D327">
        <v>0</v>
      </c>
      <c r="E327">
        <v>0</v>
      </c>
      <c r="F327">
        <v>326</v>
      </c>
      <c r="G327" t="str">
        <f t="shared" si="36"/>
        <v>C</v>
      </c>
      <c r="H327">
        <f t="shared" ref="H327:H390" si="42">IF(I327=1,0,IF(K327=1,1,IF(MOD(J326,3)=0, IF(H326+1&gt;5,5,H326+1),H326)))</f>
        <v>5</v>
      </c>
      <c r="I327">
        <f t="shared" si="37"/>
        <v>0</v>
      </c>
      <c r="J327">
        <f t="shared" si="38"/>
        <v>13</v>
      </c>
      <c r="K327">
        <f t="shared" si="39"/>
        <v>0</v>
      </c>
      <c r="L327">
        <f t="shared" si="40"/>
        <v>0</v>
      </c>
      <c r="M327" t="str">
        <f t="shared" si="41"/>
        <v>C</v>
      </c>
    </row>
    <row r="328" spans="1:13" x14ac:dyDescent="0.45">
      <c r="A328">
        <v>327</v>
      </c>
      <c r="B328">
        <v>7.6</v>
      </c>
      <c r="C328">
        <v>28</v>
      </c>
      <c r="D328">
        <v>0</v>
      </c>
      <c r="E328">
        <v>0</v>
      </c>
      <c r="F328">
        <v>327</v>
      </c>
      <c r="G328" t="str">
        <f t="shared" si="36"/>
        <v>C</v>
      </c>
      <c r="H328">
        <f t="shared" si="42"/>
        <v>5</v>
      </c>
      <c r="I328">
        <f t="shared" si="37"/>
        <v>0</v>
      </c>
      <c r="J328">
        <f t="shared" si="38"/>
        <v>14</v>
      </c>
      <c r="K328">
        <f t="shared" si="39"/>
        <v>0</v>
      </c>
      <c r="L328">
        <f t="shared" si="40"/>
        <v>0</v>
      </c>
      <c r="M328" t="str">
        <f t="shared" si="41"/>
        <v>S</v>
      </c>
    </row>
    <row r="329" spans="1:13" x14ac:dyDescent="0.45">
      <c r="A329">
        <v>328</v>
      </c>
      <c r="B329">
        <v>6.8</v>
      </c>
      <c r="C329">
        <v>0</v>
      </c>
      <c r="D329">
        <v>0</v>
      </c>
      <c r="E329">
        <v>0</v>
      </c>
      <c r="F329">
        <v>328</v>
      </c>
      <c r="G329">
        <f t="shared" si="36"/>
        <v>0</v>
      </c>
      <c r="H329">
        <f t="shared" si="42"/>
        <v>0</v>
      </c>
      <c r="I329">
        <f t="shared" si="37"/>
        <v>1</v>
      </c>
      <c r="J329">
        <f t="shared" si="38"/>
        <v>1</v>
      </c>
      <c r="K329">
        <f t="shared" si="39"/>
        <v>0</v>
      </c>
      <c r="L329">
        <f t="shared" si="40"/>
        <v>0</v>
      </c>
      <c r="M329" t="str">
        <f t="shared" si="41"/>
        <v>S</v>
      </c>
    </row>
    <row r="330" spans="1:13" x14ac:dyDescent="0.45">
      <c r="A330">
        <v>329</v>
      </c>
      <c r="B330">
        <v>7.5</v>
      </c>
      <c r="C330">
        <v>2</v>
      </c>
      <c r="D330">
        <v>0</v>
      </c>
      <c r="E330">
        <v>0</v>
      </c>
      <c r="F330">
        <v>329</v>
      </c>
      <c r="G330" t="str">
        <f t="shared" si="36"/>
        <v>S</v>
      </c>
      <c r="H330">
        <f t="shared" si="42"/>
        <v>1</v>
      </c>
      <c r="I330">
        <f t="shared" si="37"/>
        <v>0</v>
      </c>
      <c r="J330">
        <f t="shared" si="38"/>
        <v>1</v>
      </c>
      <c r="K330">
        <f t="shared" si="39"/>
        <v>1</v>
      </c>
      <c r="L330">
        <f t="shared" si="40"/>
        <v>0</v>
      </c>
      <c r="M330" t="str">
        <f t="shared" si="41"/>
        <v>S</v>
      </c>
    </row>
    <row r="331" spans="1:13" x14ac:dyDescent="0.45">
      <c r="A331">
        <v>330</v>
      </c>
      <c r="B331">
        <v>9.1</v>
      </c>
      <c r="C331">
        <v>2</v>
      </c>
      <c r="D331">
        <v>0</v>
      </c>
      <c r="E331">
        <v>0</v>
      </c>
      <c r="F331">
        <v>330</v>
      </c>
      <c r="G331" t="str">
        <f t="shared" si="36"/>
        <v>S</v>
      </c>
      <c r="H331">
        <f t="shared" si="42"/>
        <v>1</v>
      </c>
      <c r="I331">
        <f t="shared" si="37"/>
        <v>0</v>
      </c>
      <c r="J331">
        <f t="shared" si="38"/>
        <v>2</v>
      </c>
      <c r="K331">
        <f t="shared" si="39"/>
        <v>0</v>
      </c>
      <c r="L331">
        <f t="shared" si="40"/>
        <v>0</v>
      </c>
      <c r="M331" t="str">
        <f t="shared" si="41"/>
        <v>S</v>
      </c>
    </row>
    <row r="332" spans="1:13" x14ac:dyDescent="0.45">
      <c r="A332">
        <v>331</v>
      </c>
      <c r="B332">
        <v>10.9</v>
      </c>
      <c r="C332">
        <v>6</v>
      </c>
      <c r="D332">
        <v>0</v>
      </c>
      <c r="E332">
        <v>0</v>
      </c>
      <c r="F332">
        <v>331</v>
      </c>
      <c r="G332" t="str">
        <f t="shared" si="36"/>
        <v>S</v>
      </c>
      <c r="H332">
        <f t="shared" si="42"/>
        <v>1</v>
      </c>
      <c r="I332">
        <f t="shared" si="37"/>
        <v>0</v>
      </c>
      <c r="J332">
        <f t="shared" si="38"/>
        <v>3</v>
      </c>
      <c r="K332">
        <f t="shared" si="39"/>
        <v>0</v>
      </c>
      <c r="L332">
        <f t="shared" si="40"/>
        <v>0</v>
      </c>
      <c r="M332" t="str">
        <f t="shared" si="41"/>
        <v>C</v>
      </c>
    </row>
    <row r="333" spans="1:13" x14ac:dyDescent="0.45">
      <c r="A333">
        <v>332</v>
      </c>
      <c r="B333">
        <v>11.8</v>
      </c>
      <c r="C333">
        <v>11</v>
      </c>
      <c r="D333">
        <v>0</v>
      </c>
      <c r="E333">
        <v>0</v>
      </c>
      <c r="F333">
        <v>332</v>
      </c>
      <c r="G333" t="str">
        <f t="shared" si="36"/>
        <v>S</v>
      </c>
      <c r="H333">
        <f t="shared" si="42"/>
        <v>2</v>
      </c>
      <c r="I333">
        <f t="shared" si="37"/>
        <v>0</v>
      </c>
      <c r="J333">
        <f t="shared" si="38"/>
        <v>4</v>
      </c>
      <c r="K333">
        <f t="shared" si="39"/>
        <v>0</v>
      </c>
      <c r="L333">
        <f t="shared" si="40"/>
        <v>1</v>
      </c>
      <c r="M333" t="str">
        <f t="shared" si="41"/>
        <v>C</v>
      </c>
    </row>
    <row r="334" spans="1:13" x14ac:dyDescent="0.45">
      <c r="A334">
        <v>333</v>
      </c>
      <c r="B334">
        <v>11.5</v>
      </c>
      <c r="C334">
        <v>9</v>
      </c>
      <c r="D334">
        <v>0</v>
      </c>
      <c r="E334">
        <v>0</v>
      </c>
      <c r="F334">
        <v>333</v>
      </c>
      <c r="G334" t="str">
        <f t="shared" si="36"/>
        <v>S</v>
      </c>
      <c r="H334">
        <f t="shared" si="42"/>
        <v>2</v>
      </c>
      <c r="I334">
        <f t="shared" si="37"/>
        <v>0</v>
      </c>
      <c r="J334">
        <f t="shared" si="38"/>
        <v>5</v>
      </c>
      <c r="K334">
        <f t="shared" si="39"/>
        <v>0</v>
      </c>
      <c r="L334">
        <f t="shared" si="40"/>
        <v>0</v>
      </c>
      <c r="M334" t="str">
        <f t="shared" si="41"/>
        <v>C</v>
      </c>
    </row>
    <row r="335" spans="1:13" x14ac:dyDescent="0.4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v>334</v>
      </c>
      <c r="G335" t="str">
        <f t="shared" si="36"/>
        <v>S</v>
      </c>
      <c r="H335">
        <f t="shared" si="42"/>
        <v>2</v>
      </c>
      <c r="I335">
        <f t="shared" si="37"/>
        <v>0</v>
      </c>
      <c r="J335">
        <f t="shared" si="38"/>
        <v>6</v>
      </c>
      <c r="K335">
        <f t="shared" si="39"/>
        <v>0</v>
      </c>
      <c r="L335">
        <f t="shared" si="40"/>
        <v>0</v>
      </c>
      <c r="M335" t="str">
        <f t="shared" si="41"/>
        <v>S</v>
      </c>
    </row>
    <row r="336" spans="1:13" x14ac:dyDescent="0.45">
      <c r="A336">
        <v>335</v>
      </c>
      <c r="B336">
        <v>6.9</v>
      </c>
      <c r="C336">
        <v>17</v>
      </c>
      <c r="D336">
        <v>0</v>
      </c>
      <c r="E336">
        <v>0</v>
      </c>
      <c r="F336">
        <v>335</v>
      </c>
      <c r="G336" t="str">
        <f t="shared" si="36"/>
        <v>S</v>
      </c>
      <c r="H336">
        <f t="shared" si="42"/>
        <v>3</v>
      </c>
      <c r="I336">
        <f t="shared" si="37"/>
        <v>0</v>
      </c>
      <c r="J336">
        <f t="shared" si="38"/>
        <v>7</v>
      </c>
      <c r="K336">
        <f t="shared" si="39"/>
        <v>0</v>
      </c>
      <c r="L336">
        <f t="shared" si="40"/>
        <v>0</v>
      </c>
      <c r="M336" t="str">
        <f t="shared" si="41"/>
        <v>S</v>
      </c>
    </row>
    <row r="337" spans="1:13" x14ac:dyDescent="0.45">
      <c r="A337">
        <v>336</v>
      </c>
      <c r="B337">
        <v>3.8</v>
      </c>
      <c r="C337">
        <v>1</v>
      </c>
      <c r="D337">
        <v>0</v>
      </c>
      <c r="E337">
        <v>0</v>
      </c>
      <c r="F337">
        <v>336</v>
      </c>
      <c r="G337" t="str">
        <f t="shared" si="36"/>
        <v>S</v>
      </c>
      <c r="H337">
        <f t="shared" si="42"/>
        <v>3</v>
      </c>
      <c r="I337">
        <f t="shared" si="37"/>
        <v>0</v>
      </c>
      <c r="J337">
        <f t="shared" si="38"/>
        <v>8</v>
      </c>
      <c r="K337">
        <f t="shared" si="39"/>
        <v>0</v>
      </c>
      <c r="L337">
        <f t="shared" si="40"/>
        <v>0</v>
      </c>
      <c r="M337" t="str">
        <f t="shared" si="41"/>
        <v>S</v>
      </c>
    </row>
    <row r="338" spans="1:13" x14ac:dyDescent="0.45">
      <c r="A338">
        <v>337</v>
      </c>
      <c r="B338">
        <v>1.2</v>
      </c>
      <c r="C338">
        <v>2</v>
      </c>
      <c r="D338">
        <v>0</v>
      </c>
      <c r="E338">
        <v>0</v>
      </c>
      <c r="F338">
        <v>337</v>
      </c>
      <c r="G338" t="str">
        <f t="shared" si="36"/>
        <v>S</v>
      </c>
      <c r="H338">
        <f t="shared" si="42"/>
        <v>3</v>
      </c>
      <c r="I338">
        <f t="shared" si="37"/>
        <v>0</v>
      </c>
      <c r="J338">
        <f t="shared" si="38"/>
        <v>9</v>
      </c>
      <c r="K338">
        <f t="shared" si="39"/>
        <v>0</v>
      </c>
      <c r="L338">
        <f t="shared" si="40"/>
        <v>0</v>
      </c>
      <c r="M338" t="str">
        <f t="shared" si="41"/>
        <v>S</v>
      </c>
    </row>
    <row r="339" spans="1:13" x14ac:dyDescent="0.45">
      <c r="A339">
        <v>338</v>
      </c>
      <c r="B339">
        <v>0.1</v>
      </c>
      <c r="C339">
        <v>15</v>
      </c>
      <c r="D339">
        <v>0</v>
      </c>
      <c r="E339">
        <v>0</v>
      </c>
      <c r="F339">
        <v>338</v>
      </c>
      <c r="G339" t="str">
        <f t="shared" si="36"/>
        <v>S</v>
      </c>
      <c r="H339">
        <f t="shared" si="42"/>
        <v>4</v>
      </c>
      <c r="I339">
        <f t="shared" si="37"/>
        <v>0</v>
      </c>
      <c r="J339">
        <f t="shared" si="38"/>
        <v>10</v>
      </c>
      <c r="K339">
        <f t="shared" si="39"/>
        <v>0</v>
      </c>
      <c r="L339">
        <f t="shared" si="40"/>
        <v>0</v>
      </c>
      <c r="M339" t="str">
        <f t="shared" si="41"/>
        <v>S</v>
      </c>
    </row>
    <row r="340" spans="1:13" x14ac:dyDescent="0.45">
      <c r="A340">
        <v>339</v>
      </c>
      <c r="B340">
        <v>0.6</v>
      </c>
      <c r="C340">
        <v>21</v>
      </c>
      <c r="D340">
        <v>0</v>
      </c>
      <c r="E340">
        <v>0</v>
      </c>
      <c r="F340">
        <v>339</v>
      </c>
      <c r="G340" t="str">
        <f t="shared" si="36"/>
        <v>S</v>
      </c>
      <c r="H340">
        <f t="shared" si="42"/>
        <v>4</v>
      </c>
      <c r="I340">
        <f t="shared" si="37"/>
        <v>0</v>
      </c>
      <c r="J340">
        <f t="shared" si="38"/>
        <v>11</v>
      </c>
      <c r="K340">
        <f t="shared" si="39"/>
        <v>0</v>
      </c>
      <c r="L340">
        <f t="shared" si="40"/>
        <v>0</v>
      </c>
      <c r="M340" t="str">
        <f t="shared" si="41"/>
        <v>S</v>
      </c>
    </row>
    <row r="341" spans="1:13" x14ac:dyDescent="0.45">
      <c r="A341">
        <v>340</v>
      </c>
      <c r="B341">
        <v>2.8</v>
      </c>
      <c r="C341">
        <v>8</v>
      </c>
      <c r="D341">
        <v>0</v>
      </c>
      <c r="E341">
        <v>0</v>
      </c>
      <c r="F341">
        <v>340</v>
      </c>
      <c r="G341" t="str">
        <f t="shared" si="36"/>
        <v>S</v>
      </c>
      <c r="H341">
        <f t="shared" si="42"/>
        <v>4</v>
      </c>
      <c r="I341">
        <f t="shared" si="37"/>
        <v>0</v>
      </c>
      <c r="J341">
        <f t="shared" si="38"/>
        <v>12</v>
      </c>
      <c r="K341">
        <f t="shared" si="39"/>
        <v>0</v>
      </c>
      <c r="L341">
        <f t="shared" si="40"/>
        <v>0</v>
      </c>
      <c r="M341" t="str">
        <f t="shared" si="41"/>
        <v>S</v>
      </c>
    </row>
    <row r="342" spans="1:13" x14ac:dyDescent="0.45">
      <c r="A342">
        <v>341</v>
      </c>
      <c r="B342">
        <v>6</v>
      </c>
      <c r="C342">
        <v>27</v>
      </c>
      <c r="D342">
        <v>0</v>
      </c>
      <c r="E342">
        <v>0</v>
      </c>
      <c r="F342">
        <v>341</v>
      </c>
      <c r="G342" t="str">
        <f t="shared" si="36"/>
        <v>S</v>
      </c>
      <c r="H342">
        <f t="shared" si="42"/>
        <v>5</v>
      </c>
      <c r="I342">
        <f t="shared" si="37"/>
        <v>0</v>
      </c>
      <c r="J342">
        <f t="shared" si="38"/>
        <v>13</v>
      </c>
      <c r="K342">
        <f t="shared" si="39"/>
        <v>0</v>
      </c>
      <c r="L342">
        <f t="shared" si="40"/>
        <v>0</v>
      </c>
      <c r="M342" t="str">
        <f t="shared" si="41"/>
        <v>S</v>
      </c>
    </row>
    <row r="343" spans="1:13" x14ac:dyDescent="0.4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v>342</v>
      </c>
      <c r="G343">
        <f t="shared" si="36"/>
        <v>0</v>
      </c>
      <c r="H343">
        <f t="shared" si="42"/>
        <v>0</v>
      </c>
      <c r="I343">
        <f t="shared" si="37"/>
        <v>1</v>
      </c>
      <c r="J343">
        <f t="shared" si="38"/>
        <v>1</v>
      </c>
      <c r="K343">
        <f t="shared" si="39"/>
        <v>0</v>
      </c>
      <c r="L343">
        <f t="shared" si="40"/>
        <v>0</v>
      </c>
      <c r="M343" t="str">
        <f t="shared" si="41"/>
        <v>S</v>
      </c>
    </row>
    <row r="344" spans="1:13" x14ac:dyDescent="0.45">
      <c r="A344">
        <v>343</v>
      </c>
      <c r="B344">
        <v>11.8</v>
      </c>
      <c r="C344">
        <v>1</v>
      </c>
      <c r="D344">
        <v>0</v>
      </c>
      <c r="E344">
        <v>0</v>
      </c>
      <c r="F344">
        <v>343</v>
      </c>
      <c r="G344" t="str">
        <f t="shared" si="36"/>
        <v>C</v>
      </c>
      <c r="H344">
        <f t="shared" si="42"/>
        <v>1</v>
      </c>
      <c r="I344">
        <f t="shared" si="37"/>
        <v>0</v>
      </c>
      <c r="J344">
        <f t="shared" si="38"/>
        <v>1</v>
      </c>
      <c r="K344">
        <f t="shared" si="39"/>
        <v>1</v>
      </c>
      <c r="L344">
        <f t="shared" si="40"/>
        <v>0</v>
      </c>
      <c r="M344" t="str">
        <f t="shared" si="41"/>
        <v>C</v>
      </c>
    </row>
    <row r="345" spans="1:13" x14ac:dyDescent="0.45">
      <c r="A345">
        <v>344</v>
      </c>
      <c r="B345">
        <v>13.1</v>
      </c>
      <c r="C345">
        <v>4</v>
      </c>
      <c r="D345">
        <v>0</v>
      </c>
      <c r="E345">
        <v>0</v>
      </c>
      <c r="F345">
        <v>344</v>
      </c>
      <c r="G345" t="str">
        <f t="shared" si="36"/>
        <v>C</v>
      </c>
      <c r="H345">
        <f t="shared" si="42"/>
        <v>1</v>
      </c>
      <c r="I345">
        <f t="shared" si="37"/>
        <v>0</v>
      </c>
      <c r="J345">
        <f t="shared" si="38"/>
        <v>2</v>
      </c>
      <c r="K345">
        <f t="shared" si="39"/>
        <v>0</v>
      </c>
      <c r="L345">
        <f t="shared" si="40"/>
        <v>0</v>
      </c>
      <c r="M345" t="str">
        <f t="shared" si="41"/>
        <v>C</v>
      </c>
    </row>
    <row r="346" spans="1:13" x14ac:dyDescent="0.45">
      <c r="A346">
        <v>345</v>
      </c>
      <c r="B346">
        <v>12.9</v>
      </c>
      <c r="C346">
        <v>1</v>
      </c>
      <c r="D346">
        <v>0</v>
      </c>
      <c r="E346">
        <v>0</v>
      </c>
      <c r="F346">
        <v>345</v>
      </c>
      <c r="G346" t="str">
        <f t="shared" si="36"/>
        <v>C</v>
      </c>
      <c r="H346">
        <f t="shared" si="42"/>
        <v>1</v>
      </c>
      <c r="I346">
        <f t="shared" si="37"/>
        <v>0</v>
      </c>
      <c r="J346">
        <f t="shared" si="38"/>
        <v>3</v>
      </c>
      <c r="K346">
        <f t="shared" si="39"/>
        <v>0</v>
      </c>
      <c r="L346">
        <f t="shared" si="40"/>
        <v>0</v>
      </c>
      <c r="M346" t="str">
        <f t="shared" si="41"/>
        <v>C</v>
      </c>
    </row>
    <row r="347" spans="1:13" x14ac:dyDescent="0.45">
      <c r="A347">
        <v>346</v>
      </c>
      <c r="B347">
        <v>11.6</v>
      </c>
      <c r="C347">
        <v>2</v>
      </c>
      <c r="D347">
        <v>0</v>
      </c>
      <c r="E347">
        <v>0</v>
      </c>
      <c r="F347">
        <v>346</v>
      </c>
      <c r="G347" t="str">
        <f t="shared" si="36"/>
        <v>C</v>
      </c>
      <c r="H347">
        <f t="shared" si="42"/>
        <v>2</v>
      </c>
      <c r="I347">
        <f t="shared" si="37"/>
        <v>0</v>
      </c>
      <c r="J347">
        <f t="shared" si="38"/>
        <v>4</v>
      </c>
      <c r="K347">
        <f t="shared" si="39"/>
        <v>0</v>
      </c>
      <c r="L347">
        <f t="shared" si="40"/>
        <v>1</v>
      </c>
      <c r="M347" t="str">
        <f t="shared" si="41"/>
        <v>C</v>
      </c>
    </row>
    <row r="348" spans="1:13" x14ac:dyDescent="0.45">
      <c r="A348">
        <v>347</v>
      </c>
      <c r="B348">
        <v>9.9</v>
      </c>
      <c r="C348">
        <v>3</v>
      </c>
      <c r="D348">
        <v>0</v>
      </c>
      <c r="E348">
        <v>0</v>
      </c>
      <c r="F348">
        <v>347</v>
      </c>
      <c r="G348" t="str">
        <f t="shared" si="36"/>
        <v>C</v>
      </c>
      <c r="H348">
        <f t="shared" si="42"/>
        <v>2</v>
      </c>
      <c r="I348">
        <f t="shared" si="37"/>
        <v>0</v>
      </c>
      <c r="J348">
        <f t="shared" si="38"/>
        <v>5</v>
      </c>
      <c r="K348">
        <f t="shared" si="39"/>
        <v>0</v>
      </c>
      <c r="L348">
        <f t="shared" si="40"/>
        <v>0</v>
      </c>
      <c r="M348" t="str">
        <f t="shared" si="41"/>
        <v>S</v>
      </c>
    </row>
    <row r="349" spans="1:13" x14ac:dyDescent="0.4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v>348</v>
      </c>
      <c r="G349" t="str">
        <f t="shared" si="36"/>
        <v>C</v>
      </c>
      <c r="H349">
        <f t="shared" si="42"/>
        <v>2</v>
      </c>
      <c r="I349">
        <f t="shared" si="37"/>
        <v>0</v>
      </c>
      <c r="J349">
        <f t="shared" si="38"/>
        <v>6</v>
      </c>
      <c r="K349">
        <f t="shared" si="39"/>
        <v>0</v>
      </c>
      <c r="L349">
        <f t="shared" si="40"/>
        <v>0</v>
      </c>
      <c r="M349" t="str">
        <f t="shared" si="41"/>
        <v>S</v>
      </c>
    </row>
    <row r="350" spans="1:13" x14ac:dyDescent="0.4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v>349</v>
      </c>
      <c r="G350" t="str">
        <f t="shared" si="36"/>
        <v>C</v>
      </c>
      <c r="H350">
        <f t="shared" si="42"/>
        <v>3</v>
      </c>
      <c r="I350">
        <f t="shared" si="37"/>
        <v>0</v>
      </c>
      <c r="J350">
        <f t="shared" si="38"/>
        <v>7</v>
      </c>
      <c r="K350">
        <f t="shared" si="39"/>
        <v>0</v>
      </c>
      <c r="L350">
        <f t="shared" si="40"/>
        <v>0</v>
      </c>
      <c r="M350" t="str">
        <f t="shared" si="41"/>
        <v>S</v>
      </c>
    </row>
    <row r="351" spans="1:13" x14ac:dyDescent="0.45">
      <c r="A351">
        <v>350</v>
      </c>
      <c r="B351">
        <v>10.5</v>
      </c>
      <c r="C351">
        <v>15</v>
      </c>
      <c r="D351">
        <v>0</v>
      </c>
      <c r="E351">
        <v>0</v>
      </c>
      <c r="F351">
        <v>350</v>
      </c>
      <c r="G351" t="str">
        <f t="shared" si="36"/>
        <v>C</v>
      </c>
      <c r="H351">
        <f t="shared" si="42"/>
        <v>3</v>
      </c>
      <c r="I351">
        <f t="shared" si="37"/>
        <v>0</v>
      </c>
      <c r="J351">
        <f t="shared" si="38"/>
        <v>8</v>
      </c>
      <c r="K351">
        <f t="shared" si="39"/>
        <v>0</v>
      </c>
      <c r="L351">
        <f t="shared" si="40"/>
        <v>0</v>
      </c>
      <c r="M351" t="str">
        <f t="shared" si="41"/>
        <v>C</v>
      </c>
    </row>
    <row r="352" spans="1:13" x14ac:dyDescent="0.45">
      <c r="A352">
        <v>351</v>
      </c>
      <c r="B352">
        <v>13.5</v>
      </c>
      <c r="C352">
        <v>1</v>
      </c>
      <c r="D352">
        <v>0</v>
      </c>
      <c r="E352">
        <v>0</v>
      </c>
      <c r="F352">
        <v>351</v>
      </c>
      <c r="G352" t="str">
        <f t="shared" si="36"/>
        <v>C</v>
      </c>
      <c r="H352">
        <f t="shared" si="42"/>
        <v>3</v>
      </c>
      <c r="I352">
        <f t="shared" si="37"/>
        <v>0</v>
      </c>
      <c r="J352">
        <f t="shared" si="38"/>
        <v>9</v>
      </c>
      <c r="K352">
        <f t="shared" si="39"/>
        <v>0</v>
      </c>
      <c r="L352">
        <f t="shared" si="40"/>
        <v>0</v>
      </c>
      <c r="M352" t="str">
        <f t="shared" si="41"/>
        <v>C</v>
      </c>
    </row>
    <row r="353" spans="1:13" x14ac:dyDescent="0.45">
      <c r="A353">
        <v>352</v>
      </c>
      <c r="B353">
        <v>17.5</v>
      </c>
      <c r="C353">
        <v>22</v>
      </c>
      <c r="D353">
        <v>0</v>
      </c>
      <c r="E353">
        <v>0</v>
      </c>
      <c r="F353">
        <v>352</v>
      </c>
      <c r="G353" t="str">
        <f t="shared" si="36"/>
        <v>C</v>
      </c>
      <c r="H353">
        <f t="shared" si="42"/>
        <v>4</v>
      </c>
      <c r="I353">
        <f t="shared" si="37"/>
        <v>0</v>
      </c>
      <c r="J353">
        <f t="shared" si="38"/>
        <v>10</v>
      </c>
      <c r="K353">
        <f t="shared" si="39"/>
        <v>0</v>
      </c>
      <c r="L353">
        <f t="shared" si="40"/>
        <v>0</v>
      </c>
      <c r="M353" t="str">
        <f t="shared" si="41"/>
        <v>C</v>
      </c>
    </row>
    <row r="354" spans="1:13" x14ac:dyDescent="0.45">
      <c r="A354">
        <v>353</v>
      </c>
      <c r="B354">
        <v>21.4</v>
      </c>
      <c r="C354">
        <v>4</v>
      </c>
      <c r="D354">
        <v>0</v>
      </c>
      <c r="E354">
        <v>0</v>
      </c>
      <c r="F354">
        <v>353</v>
      </c>
      <c r="G354" t="str">
        <f t="shared" si="36"/>
        <v>C</v>
      </c>
      <c r="H354">
        <f t="shared" si="42"/>
        <v>4</v>
      </c>
      <c r="I354">
        <f t="shared" si="37"/>
        <v>0</v>
      </c>
      <c r="J354">
        <f t="shared" si="38"/>
        <v>11</v>
      </c>
      <c r="K354">
        <f t="shared" si="39"/>
        <v>0</v>
      </c>
      <c r="L354">
        <f t="shared" si="40"/>
        <v>0</v>
      </c>
      <c r="M354" t="str">
        <f t="shared" si="41"/>
        <v>C</v>
      </c>
    </row>
    <row r="355" spans="1:13" x14ac:dyDescent="0.45">
      <c r="A355">
        <v>354</v>
      </c>
      <c r="B355">
        <v>24.4</v>
      </c>
      <c r="C355">
        <v>4</v>
      </c>
      <c r="D355">
        <v>0</v>
      </c>
      <c r="E355">
        <v>0</v>
      </c>
      <c r="F355">
        <v>354</v>
      </c>
      <c r="G355" t="str">
        <f t="shared" si="36"/>
        <v>C</v>
      </c>
      <c r="H355">
        <f t="shared" si="42"/>
        <v>4</v>
      </c>
      <c r="I355">
        <f t="shared" si="37"/>
        <v>0</v>
      </c>
      <c r="J355">
        <f t="shared" si="38"/>
        <v>12</v>
      </c>
      <c r="K355">
        <f t="shared" si="39"/>
        <v>0</v>
      </c>
      <c r="L355">
        <f t="shared" si="40"/>
        <v>0</v>
      </c>
      <c r="M355" t="str">
        <f t="shared" si="41"/>
        <v>C</v>
      </c>
    </row>
    <row r="356" spans="1:13" x14ac:dyDescent="0.45">
      <c r="A356">
        <v>355</v>
      </c>
      <c r="B356">
        <v>25.8</v>
      </c>
      <c r="C356">
        <v>11</v>
      </c>
      <c r="D356">
        <v>0</v>
      </c>
      <c r="E356">
        <v>0</v>
      </c>
      <c r="F356">
        <v>355</v>
      </c>
      <c r="G356" t="str">
        <f t="shared" si="36"/>
        <v>C</v>
      </c>
      <c r="H356">
        <f t="shared" si="42"/>
        <v>5</v>
      </c>
      <c r="I356">
        <f t="shared" si="37"/>
        <v>0</v>
      </c>
      <c r="J356">
        <f t="shared" si="38"/>
        <v>13</v>
      </c>
      <c r="K356">
        <f t="shared" si="39"/>
        <v>0</v>
      </c>
      <c r="L356">
        <f t="shared" si="40"/>
        <v>0</v>
      </c>
      <c r="M356" t="str">
        <f t="shared" si="41"/>
        <v>C</v>
      </c>
    </row>
    <row r="357" spans="1:13" x14ac:dyDescent="0.45">
      <c r="A357">
        <v>356</v>
      </c>
      <c r="B357">
        <v>25.6</v>
      </c>
      <c r="C357">
        <v>25</v>
      </c>
      <c r="D357">
        <v>0</v>
      </c>
      <c r="E357">
        <v>0</v>
      </c>
      <c r="F357">
        <v>356</v>
      </c>
      <c r="G357" t="str">
        <f t="shared" si="36"/>
        <v>C</v>
      </c>
      <c r="H357">
        <f t="shared" si="42"/>
        <v>5</v>
      </c>
      <c r="I357">
        <f t="shared" si="37"/>
        <v>0</v>
      </c>
      <c r="J357">
        <f t="shared" si="38"/>
        <v>14</v>
      </c>
      <c r="K357">
        <f t="shared" si="39"/>
        <v>0</v>
      </c>
      <c r="L357">
        <f t="shared" si="40"/>
        <v>0</v>
      </c>
      <c r="M357" t="str">
        <f t="shared" si="41"/>
        <v>C</v>
      </c>
    </row>
    <row r="358" spans="1:13" x14ac:dyDescent="0.45">
      <c r="A358">
        <v>357</v>
      </c>
      <c r="B358">
        <v>24.1</v>
      </c>
      <c r="C358">
        <v>0</v>
      </c>
      <c r="D358">
        <v>0</v>
      </c>
      <c r="E358">
        <v>0</v>
      </c>
      <c r="F358">
        <v>357</v>
      </c>
      <c r="G358">
        <f t="shared" si="36"/>
        <v>0</v>
      </c>
      <c r="H358">
        <f t="shared" si="42"/>
        <v>0</v>
      </c>
      <c r="I358">
        <f t="shared" si="37"/>
        <v>1</v>
      </c>
      <c r="J358">
        <f t="shared" si="38"/>
        <v>1</v>
      </c>
      <c r="K358">
        <f t="shared" si="39"/>
        <v>0</v>
      </c>
      <c r="L358">
        <f t="shared" si="40"/>
        <v>0</v>
      </c>
      <c r="M358" t="str">
        <f t="shared" si="41"/>
        <v>C</v>
      </c>
    </row>
    <row r="359" spans="1:13" x14ac:dyDescent="0.45">
      <c r="A359">
        <v>358</v>
      </c>
      <c r="B359">
        <v>22</v>
      </c>
      <c r="C359">
        <v>4</v>
      </c>
      <c r="D359">
        <v>0</v>
      </c>
      <c r="E359">
        <v>0</v>
      </c>
      <c r="F359">
        <v>358</v>
      </c>
      <c r="G359" t="str">
        <f t="shared" si="36"/>
        <v>C</v>
      </c>
      <c r="H359">
        <f t="shared" si="42"/>
        <v>1</v>
      </c>
      <c r="I359">
        <f t="shared" si="37"/>
        <v>0</v>
      </c>
      <c r="J359">
        <f t="shared" si="38"/>
        <v>1</v>
      </c>
      <c r="K359">
        <f t="shared" si="39"/>
        <v>1</v>
      </c>
      <c r="L359">
        <f t="shared" si="40"/>
        <v>0</v>
      </c>
      <c r="M359" t="str">
        <f t="shared" si="41"/>
        <v>C</v>
      </c>
    </row>
    <row r="360" spans="1:13" x14ac:dyDescent="0.45">
      <c r="A360">
        <v>359</v>
      </c>
      <c r="B360">
        <v>20.3</v>
      </c>
      <c r="C360">
        <v>4</v>
      </c>
      <c r="D360">
        <v>0</v>
      </c>
      <c r="E360">
        <v>0</v>
      </c>
      <c r="F360">
        <v>359</v>
      </c>
      <c r="G360" t="str">
        <f t="shared" si="36"/>
        <v>C</v>
      </c>
      <c r="H360">
        <f t="shared" si="42"/>
        <v>1</v>
      </c>
      <c r="I360">
        <f t="shared" si="37"/>
        <v>0</v>
      </c>
      <c r="J360">
        <f t="shared" si="38"/>
        <v>2</v>
      </c>
      <c r="K360">
        <f t="shared" si="39"/>
        <v>0</v>
      </c>
      <c r="L360">
        <f t="shared" si="40"/>
        <v>0</v>
      </c>
      <c r="M360" t="str">
        <f t="shared" si="41"/>
        <v>C</v>
      </c>
    </row>
    <row r="361" spans="1:13" x14ac:dyDescent="0.4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v>360</v>
      </c>
      <c r="G361" t="str">
        <f t="shared" si="36"/>
        <v>C</v>
      </c>
      <c r="H361">
        <f t="shared" si="42"/>
        <v>1</v>
      </c>
      <c r="I361">
        <f t="shared" si="37"/>
        <v>0</v>
      </c>
      <c r="J361">
        <f t="shared" si="38"/>
        <v>3</v>
      </c>
      <c r="K361">
        <f t="shared" si="39"/>
        <v>0</v>
      </c>
      <c r="L361">
        <f t="shared" si="40"/>
        <v>0</v>
      </c>
      <c r="M361" t="str">
        <f t="shared" si="41"/>
        <v>C</v>
      </c>
    </row>
    <row r="362" spans="1:13" x14ac:dyDescent="0.45">
      <c r="A362">
        <v>361</v>
      </c>
      <c r="B362">
        <v>20.3</v>
      </c>
      <c r="C362">
        <v>11</v>
      </c>
      <c r="D362">
        <v>0</v>
      </c>
      <c r="E362">
        <v>0</v>
      </c>
      <c r="F362">
        <v>361</v>
      </c>
      <c r="G362" t="str">
        <f t="shared" si="36"/>
        <v>C</v>
      </c>
      <c r="H362">
        <f t="shared" si="42"/>
        <v>2</v>
      </c>
      <c r="I362">
        <f t="shared" si="37"/>
        <v>0</v>
      </c>
      <c r="J362">
        <f t="shared" si="38"/>
        <v>4</v>
      </c>
      <c r="K362">
        <f t="shared" si="39"/>
        <v>0</v>
      </c>
      <c r="L362">
        <f t="shared" si="40"/>
        <v>1</v>
      </c>
      <c r="M362" t="str">
        <f t="shared" si="41"/>
        <v>C</v>
      </c>
    </row>
    <row r="363" spans="1:13" x14ac:dyDescent="0.45">
      <c r="A363">
        <v>362</v>
      </c>
      <c r="B363">
        <v>22.3</v>
      </c>
      <c r="C363">
        <v>12</v>
      </c>
      <c r="D363">
        <v>0</v>
      </c>
      <c r="E363">
        <v>0</v>
      </c>
      <c r="F363">
        <v>362</v>
      </c>
      <c r="G363" t="str">
        <f t="shared" si="36"/>
        <v>C</v>
      </c>
      <c r="H363">
        <f t="shared" si="42"/>
        <v>2</v>
      </c>
      <c r="I363">
        <f t="shared" si="37"/>
        <v>0</v>
      </c>
      <c r="J363">
        <f t="shared" si="38"/>
        <v>5</v>
      </c>
      <c r="K363">
        <f t="shared" si="39"/>
        <v>0</v>
      </c>
      <c r="L363">
        <f t="shared" si="40"/>
        <v>0</v>
      </c>
      <c r="M363" t="str">
        <f t="shared" si="41"/>
        <v>C</v>
      </c>
    </row>
    <row r="364" spans="1:13" x14ac:dyDescent="0.45">
      <c r="A364">
        <v>363</v>
      </c>
      <c r="B364">
        <v>25</v>
      </c>
      <c r="C364">
        <v>2</v>
      </c>
      <c r="D364">
        <v>0</v>
      </c>
      <c r="E364">
        <v>0</v>
      </c>
      <c r="F364">
        <v>363</v>
      </c>
      <c r="G364" t="str">
        <f t="shared" si="36"/>
        <v>C</v>
      </c>
      <c r="H364">
        <f t="shared" si="42"/>
        <v>2</v>
      </c>
      <c r="I364">
        <f t="shared" si="37"/>
        <v>0</v>
      </c>
      <c r="J364">
        <f t="shared" si="38"/>
        <v>6</v>
      </c>
      <c r="K364">
        <f t="shared" si="39"/>
        <v>0</v>
      </c>
      <c r="L364">
        <f t="shared" si="40"/>
        <v>0</v>
      </c>
      <c r="M364" t="str">
        <f t="shared" si="41"/>
        <v>C</v>
      </c>
    </row>
    <row r="365" spans="1:13" x14ac:dyDescent="0.45">
      <c r="A365">
        <v>364</v>
      </c>
      <c r="B365">
        <v>27.5</v>
      </c>
      <c r="C365">
        <v>4</v>
      </c>
      <c r="D365">
        <v>0</v>
      </c>
      <c r="E365">
        <v>0</v>
      </c>
      <c r="F365">
        <v>364</v>
      </c>
      <c r="G365" t="str">
        <f t="shared" si="36"/>
        <v>C</v>
      </c>
      <c r="H365">
        <f t="shared" si="42"/>
        <v>3</v>
      </c>
      <c r="I365">
        <f t="shared" si="37"/>
        <v>0</v>
      </c>
      <c r="J365">
        <f t="shared" si="38"/>
        <v>7</v>
      </c>
      <c r="K365">
        <f t="shared" si="39"/>
        <v>0</v>
      </c>
      <c r="L365">
        <f t="shared" si="40"/>
        <v>0</v>
      </c>
      <c r="M365" t="str">
        <f t="shared" si="41"/>
        <v>C</v>
      </c>
    </row>
    <row r="366" spans="1:13" x14ac:dyDescent="0.45">
      <c r="A366">
        <v>365</v>
      </c>
      <c r="B366">
        <v>29.1</v>
      </c>
      <c r="C366">
        <v>18</v>
      </c>
      <c r="D366">
        <v>0</v>
      </c>
      <c r="E366">
        <v>0</v>
      </c>
      <c r="F366">
        <v>365</v>
      </c>
      <c r="G366" t="str">
        <f t="shared" si="36"/>
        <v>C</v>
      </c>
      <c r="H366">
        <f t="shared" si="42"/>
        <v>3</v>
      </c>
      <c r="I366">
        <f t="shared" si="37"/>
        <v>0</v>
      </c>
      <c r="J366">
        <f t="shared" si="38"/>
        <v>8</v>
      </c>
      <c r="K366">
        <f t="shared" si="39"/>
        <v>0</v>
      </c>
      <c r="L366">
        <f t="shared" si="40"/>
        <v>0</v>
      </c>
      <c r="M366" t="str">
        <f t="shared" si="41"/>
        <v>C</v>
      </c>
    </row>
    <row r="367" spans="1:13" x14ac:dyDescent="0.45">
      <c r="A367">
        <v>366</v>
      </c>
      <c r="B367">
        <v>29</v>
      </c>
      <c r="C367">
        <v>2</v>
      </c>
      <c r="D367">
        <v>0</v>
      </c>
      <c r="E367">
        <v>0</v>
      </c>
      <c r="F367">
        <v>366</v>
      </c>
      <c r="G367" t="str">
        <f t="shared" si="36"/>
        <v>C</v>
      </c>
      <c r="H367">
        <f t="shared" si="42"/>
        <v>3</v>
      </c>
      <c r="I367">
        <f t="shared" si="37"/>
        <v>0</v>
      </c>
      <c r="J367">
        <f t="shared" si="38"/>
        <v>9</v>
      </c>
      <c r="K367">
        <f t="shared" si="39"/>
        <v>0</v>
      </c>
      <c r="L367">
        <f t="shared" si="40"/>
        <v>0</v>
      </c>
      <c r="M367" t="str">
        <f t="shared" si="41"/>
        <v>C</v>
      </c>
    </row>
    <row r="368" spans="1:13" x14ac:dyDescent="0.45">
      <c r="A368">
        <v>367</v>
      </c>
      <c r="B368">
        <v>27.2</v>
      </c>
      <c r="C368">
        <v>19</v>
      </c>
      <c r="D368">
        <v>0</v>
      </c>
      <c r="E368">
        <v>0</v>
      </c>
      <c r="F368">
        <v>367</v>
      </c>
      <c r="G368" t="str">
        <f t="shared" si="36"/>
        <v>C</v>
      </c>
      <c r="H368">
        <f t="shared" si="42"/>
        <v>4</v>
      </c>
      <c r="I368">
        <f t="shared" si="37"/>
        <v>0</v>
      </c>
      <c r="J368">
        <f t="shared" si="38"/>
        <v>10</v>
      </c>
      <c r="K368">
        <f t="shared" si="39"/>
        <v>0</v>
      </c>
      <c r="L368">
        <f t="shared" si="40"/>
        <v>0</v>
      </c>
      <c r="M368" t="str">
        <f t="shared" si="41"/>
        <v>C</v>
      </c>
    </row>
    <row r="369" spans="1:13" x14ac:dyDescent="0.45">
      <c r="A369">
        <v>368</v>
      </c>
      <c r="B369">
        <v>24.1</v>
      </c>
      <c r="C369">
        <v>16</v>
      </c>
      <c r="D369">
        <v>0</v>
      </c>
      <c r="E369">
        <v>0</v>
      </c>
      <c r="F369">
        <v>368</v>
      </c>
      <c r="G369" t="str">
        <f t="shared" si="36"/>
        <v>C</v>
      </c>
      <c r="H369">
        <f t="shared" si="42"/>
        <v>4</v>
      </c>
      <c r="I369">
        <f t="shared" si="37"/>
        <v>0</v>
      </c>
      <c r="J369">
        <f t="shared" si="38"/>
        <v>11</v>
      </c>
      <c r="K369">
        <f t="shared" si="39"/>
        <v>0</v>
      </c>
      <c r="L369">
        <f t="shared" si="40"/>
        <v>0</v>
      </c>
      <c r="M369" t="str">
        <f t="shared" si="41"/>
        <v>C</v>
      </c>
    </row>
    <row r="370" spans="1:13" x14ac:dyDescent="0.4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v>369</v>
      </c>
      <c r="G370" t="str">
        <f t="shared" si="36"/>
        <v>C</v>
      </c>
      <c r="H370">
        <f t="shared" si="42"/>
        <v>4</v>
      </c>
      <c r="I370">
        <f t="shared" si="37"/>
        <v>0</v>
      </c>
      <c r="J370">
        <f t="shared" si="38"/>
        <v>12</v>
      </c>
      <c r="K370">
        <f t="shared" si="39"/>
        <v>0</v>
      </c>
      <c r="L370">
        <f t="shared" si="40"/>
        <v>0</v>
      </c>
      <c r="M370" t="str">
        <f t="shared" si="41"/>
        <v>C</v>
      </c>
    </row>
    <row r="371" spans="1:13" x14ac:dyDescent="0.4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v>370</v>
      </c>
      <c r="G371" t="str">
        <f t="shared" si="36"/>
        <v>C</v>
      </c>
      <c r="H371">
        <f t="shared" si="42"/>
        <v>5</v>
      </c>
      <c r="I371">
        <f t="shared" si="37"/>
        <v>0</v>
      </c>
      <c r="J371">
        <f t="shared" si="38"/>
        <v>13</v>
      </c>
      <c r="K371">
        <f t="shared" si="39"/>
        <v>0</v>
      </c>
      <c r="L371">
        <f t="shared" si="40"/>
        <v>0</v>
      </c>
      <c r="M371" t="str">
        <f t="shared" si="41"/>
        <v>C</v>
      </c>
    </row>
    <row r="372" spans="1:13" x14ac:dyDescent="0.45">
      <c r="A372">
        <v>371</v>
      </c>
      <c r="B372">
        <v>14.9</v>
      </c>
      <c r="C372">
        <v>0</v>
      </c>
      <c r="D372">
        <v>0</v>
      </c>
      <c r="E372">
        <v>0</v>
      </c>
      <c r="F372">
        <v>371</v>
      </c>
      <c r="G372">
        <f t="shared" si="36"/>
        <v>0</v>
      </c>
      <c r="H372">
        <f t="shared" si="42"/>
        <v>0</v>
      </c>
      <c r="I372">
        <f t="shared" si="37"/>
        <v>1</v>
      </c>
      <c r="J372">
        <f t="shared" si="38"/>
        <v>1</v>
      </c>
      <c r="K372">
        <f t="shared" si="39"/>
        <v>0</v>
      </c>
      <c r="L372">
        <f t="shared" si="40"/>
        <v>0</v>
      </c>
      <c r="M372" t="str">
        <f t="shared" si="41"/>
        <v>C</v>
      </c>
    </row>
    <row r="373" spans="1:13" x14ac:dyDescent="0.45">
      <c r="A373">
        <v>372</v>
      </c>
      <c r="B373">
        <v>14.1</v>
      </c>
      <c r="C373">
        <v>3</v>
      </c>
      <c r="D373">
        <v>0</v>
      </c>
      <c r="E373">
        <v>0</v>
      </c>
      <c r="F373">
        <v>372</v>
      </c>
      <c r="G373" t="str">
        <f t="shared" si="36"/>
        <v>C</v>
      </c>
      <c r="H373">
        <f t="shared" si="42"/>
        <v>1</v>
      </c>
      <c r="I373">
        <f t="shared" si="37"/>
        <v>0</v>
      </c>
      <c r="J373">
        <f t="shared" si="38"/>
        <v>1</v>
      </c>
      <c r="K373">
        <f t="shared" si="39"/>
        <v>1</v>
      </c>
      <c r="L373">
        <f t="shared" si="40"/>
        <v>0</v>
      </c>
      <c r="M373" t="str">
        <f t="shared" si="41"/>
        <v>C</v>
      </c>
    </row>
    <row r="374" spans="1:13" x14ac:dyDescent="0.45">
      <c r="A374">
        <v>373</v>
      </c>
      <c r="B374">
        <v>14.8</v>
      </c>
      <c r="C374">
        <v>6</v>
      </c>
      <c r="D374">
        <v>0</v>
      </c>
      <c r="E374">
        <v>0</v>
      </c>
      <c r="F374">
        <v>373</v>
      </c>
      <c r="G374" t="str">
        <f t="shared" si="36"/>
        <v>C</v>
      </c>
      <c r="H374">
        <f t="shared" si="42"/>
        <v>1</v>
      </c>
      <c r="I374">
        <f t="shared" si="37"/>
        <v>0</v>
      </c>
      <c r="J374">
        <f t="shared" si="38"/>
        <v>2</v>
      </c>
      <c r="K374">
        <f t="shared" si="39"/>
        <v>0</v>
      </c>
      <c r="L374">
        <f t="shared" si="40"/>
        <v>0</v>
      </c>
      <c r="M374" t="str">
        <f t="shared" si="41"/>
        <v>C</v>
      </c>
    </row>
    <row r="375" spans="1:13" x14ac:dyDescent="0.45">
      <c r="A375">
        <v>374</v>
      </c>
      <c r="B375">
        <v>16.3</v>
      </c>
      <c r="C375">
        <v>6</v>
      </c>
      <c r="D375">
        <v>0</v>
      </c>
      <c r="E375">
        <v>0</v>
      </c>
      <c r="F375">
        <v>374</v>
      </c>
      <c r="G375" t="str">
        <f t="shared" si="36"/>
        <v>C</v>
      </c>
      <c r="H375">
        <f t="shared" si="42"/>
        <v>1</v>
      </c>
      <c r="I375">
        <f t="shared" si="37"/>
        <v>0</v>
      </c>
      <c r="J375">
        <f t="shared" si="38"/>
        <v>3</v>
      </c>
      <c r="K375">
        <f t="shared" si="39"/>
        <v>0</v>
      </c>
      <c r="L375">
        <f t="shared" si="40"/>
        <v>0</v>
      </c>
      <c r="M375" t="str">
        <f t="shared" si="41"/>
        <v>C</v>
      </c>
    </row>
    <row r="376" spans="1:13" x14ac:dyDescent="0.45">
      <c r="A376">
        <v>375</v>
      </c>
      <c r="B376">
        <v>17.7</v>
      </c>
      <c r="C376">
        <v>8</v>
      </c>
      <c r="D376">
        <v>0</v>
      </c>
      <c r="E376">
        <v>0</v>
      </c>
      <c r="F376">
        <v>375</v>
      </c>
      <c r="G376" t="str">
        <f t="shared" si="36"/>
        <v>C</v>
      </c>
      <c r="H376">
        <f t="shared" si="42"/>
        <v>2</v>
      </c>
      <c r="I376">
        <f t="shared" si="37"/>
        <v>0</v>
      </c>
      <c r="J376">
        <f t="shared" si="38"/>
        <v>4</v>
      </c>
      <c r="K376">
        <f t="shared" si="39"/>
        <v>0</v>
      </c>
      <c r="L376">
        <f t="shared" si="40"/>
        <v>1</v>
      </c>
      <c r="M376" t="str">
        <f t="shared" si="41"/>
        <v>C</v>
      </c>
    </row>
    <row r="377" spans="1:13" x14ac:dyDescent="0.45">
      <c r="A377">
        <v>376</v>
      </c>
      <c r="B377">
        <v>18.3</v>
      </c>
      <c r="C377">
        <v>3</v>
      </c>
      <c r="D377">
        <v>0</v>
      </c>
      <c r="E377">
        <v>0</v>
      </c>
      <c r="F377">
        <v>376</v>
      </c>
      <c r="G377" t="str">
        <f t="shared" si="36"/>
        <v>C</v>
      </c>
      <c r="H377">
        <f t="shared" si="42"/>
        <v>2</v>
      </c>
      <c r="I377">
        <f t="shared" si="37"/>
        <v>0</v>
      </c>
      <c r="J377">
        <f t="shared" si="38"/>
        <v>5</v>
      </c>
      <c r="K377">
        <f t="shared" si="39"/>
        <v>0</v>
      </c>
      <c r="L377">
        <f t="shared" si="40"/>
        <v>0</v>
      </c>
      <c r="M377" t="str">
        <f t="shared" si="41"/>
        <v>C</v>
      </c>
    </row>
    <row r="378" spans="1:13" x14ac:dyDescent="0.45">
      <c r="A378">
        <v>377</v>
      </c>
      <c r="B378">
        <v>17.5</v>
      </c>
      <c r="C378">
        <v>6</v>
      </c>
      <c r="D378">
        <v>0</v>
      </c>
      <c r="E378">
        <v>0</v>
      </c>
      <c r="F378">
        <v>377</v>
      </c>
      <c r="G378" t="str">
        <f t="shared" si="36"/>
        <v>C</v>
      </c>
      <c r="H378">
        <f t="shared" si="42"/>
        <v>2</v>
      </c>
      <c r="I378">
        <f t="shared" si="37"/>
        <v>0</v>
      </c>
      <c r="J378">
        <f t="shared" si="38"/>
        <v>6</v>
      </c>
      <c r="K378">
        <f t="shared" si="39"/>
        <v>0</v>
      </c>
      <c r="L378">
        <f t="shared" si="40"/>
        <v>0</v>
      </c>
      <c r="M378" t="str">
        <f t="shared" si="41"/>
        <v>C</v>
      </c>
    </row>
    <row r="379" spans="1:13" x14ac:dyDescent="0.45">
      <c r="A379">
        <v>378</v>
      </c>
      <c r="B379">
        <v>15.1</v>
      </c>
      <c r="C379">
        <v>7</v>
      </c>
      <c r="D379">
        <v>0</v>
      </c>
      <c r="E379">
        <v>0</v>
      </c>
      <c r="F379">
        <v>378</v>
      </c>
      <c r="G379" t="str">
        <f t="shared" si="36"/>
        <v>C</v>
      </c>
      <c r="H379">
        <f t="shared" si="42"/>
        <v>3</v>
      </c>
      <c r="I379">
        <f t="shared" si="37"/>
        <v>0</v>
      </c>
      <c r="J379">
        <f t="shared" si="38"/>
        <v>7</v>
      </c>
      <c r="K379">
        <f t="shared" si="39"/>
        <v>0</v>
      </c>
      <c r="L379">
        <f t="shared" si="40"/>
        <v>0</v>
      </c>
      <c r="M379" t="str">
        <f t="shared" si="41"/>
        <v>C</v>
      </c>
    </row>
    <row r="380" spans="1:13" x14ac:dyDescent="0.45">
      <c r="A380">
        <v>379</v>
      </c>
      <c r="B380">
        <v>11.6</v>
      </c>
      <c r="C380">
        <v>11</v>
      </c>
      <c r="D380">
        <v>0</v>
      </c>
      <c r="E380">
        <v>0</v>
      </c>
      <c r="F380">
        <v>379</v>
      </c>
      <c r="G380" t="str">
        <f t="shared" si="36"/>
        <v>C</v>
      </c>
      <c r="H380">
        <f t="shared" si="42"/>
        <v>3</v>
      </c>
      <c r="I380">
        <f t="shared" si="37"/>
        <v>0</v>
      </c>
      <c r="J380">
        <f t="shared" si="38"/>
        <v>8</v>
      </c>
      <c r="K380">
        <f t="shared" si="39"/>
        <v>0</v>
      </c>
      <c r="L380">
        <f t="shared" si="40"/>
        <v>0</v>
      </c>
      <c r="M380" t="str">
        <f t="shared" si="41"/>
        <v>C</v>
      </c>
    </row>
    <row r="381" spans="1:13" x14ac:dyDescent="0.45">
      <c r="A381">
        <v>380</v>
      </c>
      <c r="B381">
        <v>7.7</v>
      </c>
      <c r="C381">
        <v>10</v>
      </c>
      <c r="D381">
        <v>0</v>
      </c>
      <c r="E381">
        <v>0</v>
      </c>
      <c r="F381">
        <v>380</v>
      </c>
      <c r="G381" t="str">
        <f t="shared" si="36"/>
        <v>C</v>
      </c>
      <c r="H381">
        <f t="shared" si="42"/>
        <v>3</v>
      </c>
      <c r="I381">
        <f t="shared" si="37"/>
        <v>0</v>
      </c>
      <c r="J381">
        <f t="shared" si="38"/>
        <v>9</v>
      </c>
      <c r="K381">
        <f t="shared" si="39"/>
        <v>0</v>
      </c>
      <c r="L381">
        <f t="shared" si="40"/>
        <v>0</v>
      </c>
      <c r="M381" t="str">
        <f t="shared" si="41"/>
        <v>S</v>
      </c>
    </row>
    <row r="382" spans="1:13" x14ac:dyDescent="0.4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v>381</v>
      </c>
      <c r="G382" t="str">
        <f t="shared" si="36"/>
        <v>C</v>
      </c>
      <c r="H382">
        <f t="shared" si="42"/>
        <v>4</v>
      </c>
      <c r="I382">
        <f t="shared" si="37"/>
        <v>0</v>
      </c>
      <c r="J382">
        <f t="shared" si="38"/>
        <v>10</v>
      </c>
      <c r="K382">
        <f t="shared" si="39"/>
        <v>0</v>
      </c>
      <c r="L382">
        <f t="shared" si="40"/>
        <v>0</v>
      </c>
      <c r="M382" t="str">
        <f t="shared" si="41"/>
        <v>S</v>
      </c>
    </row>
    <row r="383" spans="1:13" x14ac:dyDescent="0.4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v>382</v>
      </c>
      <c r="G383" t="str">
        <f t="shared" si="36"/>
        <v>C</v>
      </c>
      <c r="H383">
        <f t="shared" si="42"/>
        <v>4</v>
      </c>
      <c r="I383">
        <f t="shared" si="37"/>
        <v>0</v>
      </c>
      <c r="J383">
        <f t="shared" si="38"/>
        <v>11</v>
      </c>
      <c r="K383">
        <f t="shared" si="39"/>
        <v>0</v>
      </c>
      <c r="L383">
        <f t="shared" si="40"/>
        <v>0</v>
      </c>
      <c r="M383" t="str">
        <f t="shared" si="41"/>
        <v>S</v>
      </c>
    </row>
    <row r="384" spans="1:13" x14ac:dyDescent="0.45">
      <c r="A384">
        <v>383</v>
      </c>
      <c r="B384">
        <v>2</v>
      </c>
      <c r="C384">
        <v>22</v>
      </c>
      <c r="D384">
        <v>0</v>
      </c>
      <c r="E384">
        <v>0</v>
      </c>
      <c r="F384">
        <v>383</v>
      </c>
      <c r="G384" t="str">
        <f t="shared" si="36"/>
        <v>C</v>
      </c>
      <c r="H384">
        <f t="shared" si="42"/>
        <v>4</v>
      </c>
      <c r="I384">
        <f t="shared" si="37"/>
        <v>0</v>
      </c>
      <c r="J384">
        <f t="shared" si="38"/>
        <v>12</v>
      </c>
      <c r="K384">
        <f t="shared" si="39"/>
        <v>0</v>
      </c>
      <c r="L384">
        <f t="shared" si="40"/>
        <v>0</v>
      </c>
      <c r="M384" t="str">
        <f t="shared" si="41"/>
        <v>S</v>
      </c>
    </row>
    <row r="385" spans="1:13" x14ac:dyDescent="0.45">
      <c r="A385">
        <v>384</v>
      </c>
      <c r="B385">
        <v>3.2</v>
      </c>
      <c r="C385">
        <v>29</v>
      </c>
      <c r="D385">
        <v>0</v>
      </c>
      <c r="E385">
        <v>0</v>
      </c>
      <c r="F385">
        <v>384</v>
      </c>
      <c r="G385" t="str">
        <f t="shared" si="36"/>
        <v>C</v>
      </c>
      <c r="H385">
        <f t="shared" si="42"/>
        <v>5</v>
      </c>
      <c r="I385">
        <f t="shared" si="37"/>
        <v>0</v>
      </c>
      <c r="J385">
        <f t="shared" si="38"/>
        <v>13</v>
      </c>
      <c r="K385">
        <f t="shared" si="39"/>
        <v>0</v>
      </c>
      <c r="L385">
        <f t="shared" si="40"/>
        <v>0</v>
      </c>
      <c r="M385" t="str">
        <f t="shared" si="41"/>
        <v>S</v>
      </c>
    </row>
    <row r="386" spans="1:13" x14ac:dyDescent="0.45">
      <c r="A386">
        <v>385</v>
      </c>
      <c r="B386">
        <v>5.5</v>
      </c>
      <c r="C386">
        <v>0</v>
      </c>
      <c r="D386">
        <v>0</v>
      </c>
      <c r="E386">
        <v>0</v>
      </c>
      <c r="F386">
        <v>385</v>
      </c>
      <c r="G386">
        <f t="shared" si="36"/>
        <v>0</v>
      </c>
      <c r="H386">
        <f t="shared" si="42"/>
        <v>0</v>
      </c>
      <c r="I386">
        <f t="shared" si="37"/>
        <v>1</v>
      </c>
      <c r="J386">
        <f t="shared" si="38"/>
        <v>1</v>
      </c>
      <c r="K386">
        <f t="shared" si="39"/>
        <v>0</v>
      </c>
      <c r="L386">
        <f t="shared" si="40"/>
        <v>0</v>
      </c>
      <c r="M386" t="str">
        <f t="shared" si="41"/>
        <v>S</v>
      </c>
    </row>
    <row r="387" spans="1:13" x14ac:dyDescent="0.45">
      <c r="A387">
        <v>386</v>
      </c>
      <c r="B387">
        <v>7.9</v>
      </c>
      <c r="C387">
        <v>1</v>
      </c>
      <c r="D387">
        <v>0</v>
      </c>
      <c r="E387">
        <v>0</v>
      </c>
      <c r="F387">
        <v>386</v>
      </c>
      <c r="G387" t="str">
        <f t="shared" si="36"/>
        <v>S</v>
      </c>
      <c r="H387">
        <f t="shared" si="42"/>
        <v>1</v>
      </c>
      <c r="I387">
        <f t="shared" si="37"/>
        <v>0</v>
      </c>
      <c r="J387">
        <f t="shared" si="38"/>
        <v>1</v>
      </c>
      <c r="K387">
        <f t="shared" si="39"/>
        <v>1</v>
      </c>
      <c r="L387">
        <f t="shared" si="40"/>
        <v>0</v>
      </c>
      <c r="M387" t="str">
        <f t="shared" si="41"/>
        <v>S</v>
      </c>
    </row>
    <row r="388" spans="1:13" x14ac:dyDescent="0.45">
      <c r="A388">
        <v>387</v>
      </c>
      <c r="B388">
        <v>9.6</v>
      </c>
      <c r="C388">
        <v>2</v>
      </c>
      <c r="D388">
        <v>0</v>
      </c>
      <c r="E388">
        <v>0</v>
      </c>
      <c r="F388">
        <v>387</v>
      </c>
      <c r="G388" t="str">
        <f t="shared" ref="G388:G451" si="43">IF(I388=1,0, IF(K388=1,M388,G387))</f>
        <v>S</v>
      </c>
      <c r="H388">
        <f t="shared" si="42"/>
        <v>1</v>
      </c>
      <c r="I388">
        <f t="shared" ref="I388:I451" si="44">IF(AND(H387=5,C387&gt;=20),1,0)</f>
        <v>0</v>
      </c>
      <c r="J388">
        <f t="shared" ref="J388:J451" si="45">IF(G388=G387,J387+1,1)</f>
        <v>2</v>
      </c>
      <c r="K388">
        <f t="shared" ref="K388:K451" si="46">IF(AND(G387=0,H387=0),1,0)</f>
        <v>0</v>
      </c>
      <c r="L388">
        <f t="shared" ref="L388:L451" si="47">IF(J387=3,1,0)</f>
        <v>0</v>
      </c>
      <c r="M388" t="str">
        <f t="shared" ref="M388:M451" si="48">IF(B388&lt;10,"S","C")</f>
        <v>S</v>
      </c>
    </row>
    <row r="389" spans="1:13" x14ac:dyDescent="0.45">
      <c r="A389">
        <v>388</v>
      </c>
      <c r="B389">
        <v>10</v>
      </c>
      <c r="C389">
        <v>3</v>
      </c>
      <c r="D389">
        <v>0</v>
      </c>
      <c r="E389">
        <v>0</v>
      </c>
      <c r="F389">
        <v>388</v>
      </c>
      <c r="G389" t="str">
        <f t="shared" si="43"/>
        <v>S</v>
      </c>
      <c r="H389">
        <f t="shared" si="42"/>
        <v>1</v>
      </c>
      <c r="I389">
        <f t="shared" si="44"/>
        <v>0</v>
      </c>
      <c r="J389">
        <f t="shared" si="45"/>
        <v>3</v>
      </c>
      <c r="K389">
        <f t="shared" si="46"/>
        <v>0</v>
      </c>
      <c r="L389">
        <f t="shared" si="47"/>
        <v>0</v>
      </c>
      <c r="M389" t="str">
        <f t="shared" si="48"/>
        <v>C</v>
      </c>
    </row>
    <row r="390" spans="1:13" x14ac:dyDescent="0.45">
      <c r="A390">
        <v>389</v>
      </c>
      <c r="B390">
        <v>9</v>
      </c>
      <c r="C390">
        <v>2</v>
      </c>
      <c r="D390">
        <v>0</v>
      </c>
      <c r="E390">
        <v>0</v>
      </c>
      <c r="F390">
        <v>389</v>
      </c>
      <c r="G390" t="str">
        <f t="shared" si="43"/>
        <v>S</v>
      </c>
      <c r="H390">
        <f t="shared" si="42"/>
        <v>2</v>
      </c>
      <c r="I390">
        <f t="shared" si="44"/>
        <v>0</v>
      </c>
      <c r="J390">
        <f t="shared" si="45"/>
        <v>4</v>
      </c>
      <c r="K390">
        <f t="shared" si="46"/>
        <v>0</v>
      </c>
      <c r="L390">
        <f t="shared" si="47"/>
        <v>1</v>
      </c>
      <c r="M390" t="str">
        <f t="shared" si="48"/>
        <v>S</v>
      </c>
    </row>
    <row r="391" spans="1:13" x14ac:dyDescent="0.45">
      <c r="A391">
        <v>390</v>
      </c>
      <c r="B391">
        <v>6.9</v>
      </c>
      <c r="C391">
        <v>10</v>
      </c>
      <c r="D391">
        <v>0</v>
      </c>
      <c r="E391">
        <v>0</v>
      </c>
      <c r="F391">
        <v>390</v>
      </c>
      <c r="G391" t="str">
        <f t="shared" si="43"/>
        <v>S</v>
      </c>
      <c r="H391">
        <f t="shared" ref="H391:H454" si="49">IF(I391=1,0,IF(K391=1,1,IF(MOD(J390,3)=0, IF(H390+1&gt;5,5,H390+1),H390)))</f>
        <v>2</v>
      </c>
      <c r="I391">
        <f t="shared" si="44"/>
        <v>0</v>
      </c>
      <c r="J391">
        <f t="shared" si="45"/>
        <v>5</v>
      </c>
      <c r="K391">
        <f t="shared" si="46"/>
        <v>0</v>
      </c>
      <c r="L391">
        <f t="shared" si="47"/>
        <v>0</v>
      </c>
      <c r="M391" t="str">
        <f t="shared" si="48"/>
        <v>S</v>
      </c>
    </row>
    <row r="392" spans="1:13" x14ac:dyDescent="0.45">
      <c r="A392">
        <v>391</v>
      </c>
      <c r="B392">
        <v>4.5</v>
      </c>
      <c r="C392">
        <v>3</v>
      </c>
      <c r="D392">
        <v>0</v>
      </c>
      <c r="E392">
        <v>0</v>
      </c>
      <c r="F392">
        <v>391</v>
      </c>
      <c r="G392" t="str">
        <f t="shared" si="43"/>
        <v>S</v>
      </c>
      <c r="H392">
        <f t="shared" si="49"/>
        <v>2</v>
      </c>
      <c r="I392">
        <f t="shared" si="44"/>
        <v>0</v>
      </c>
      <c r="J392">
        <f t="shared" si="45"/>
        <v>6</v>
      </c>
      <c r="K392">
        <f t="shared" si="46"/>
        <v>0</v>
      </c>
      <c r="L392">
        <f t="shared" si="47"/>
        <v>0</v>
      </c>
      <c r="M392" t="str">
        <f t="shared" si="48"/>
        <v>S</v>
      </c>
    </row>
    <row r="393" spans="1:13" x14ac:dyDescent="0.45">
      <c r="A393">
        <v>392</v>
      </c>
      <c r="B393">
        <v>2.8</v>
      </c>
      <c r="C393">
        <v>11</v>
      </c>
      <c r="D393">
        <v>0</v>
      </c>
      <c r="E393">
        <v>0</v>
      </c>
      <c r="F393">
        <v>392</v>
      </c>
      <c r="G393" t="str">
        <f t="shared" si="43"/>
        <v>S</v>
      </c>
      <c r="H393">
        <f t="shared" si="49"/>
        <v>3</v>
      </c>
      <c r="I393">
        <f t="shared" si="44"/>
        <v>0</v>
      </c>
      <c r="J393">
        <f t="shared" si="45"/>
        <v>7</v>
      </c>
      <c r="K393">
        <f t="shared" si="46"/>
        <v>0</v>
      </c>
      <c r="L393">
        <f t="shared" si="47"/>
        <v>0</v>
      </c>
      <c r="M393" t="str">
        <f t="shared" si="48"/>
        <v>S</v>
      </c>
    </row>
    <row r="394" spans="1:13" x14ac:dyDescent="0.4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v>393</v>
      </c>
      <c r="G394" t="str">
        <f t="shared" si="43"/>
        <v>S</v>
      </c>
      <c r="H394">
        <f t="shared" si="49"/>
        <v>3</v>
      </c>
      <c r="I394">
        <f t="shared" si="44"/>
        <v>0</v>
      </c>
      <c r="J394">
        <f t="shared" si="45"/>
        <v>8</v>
      </c>
      <c r="K394">
        <f t="shared" si="46"/>
        <v>0</v>
      </c>
      <c r="L394">
        <f t="shared" si="47"/>
        <v>0</v>
      </c>
      <c r="M394" t="str">
        <f t="shared" si="48"/>
        <v>S</v>
      </c>
    </row>
    <row r="395" spans="1:13" x14ac:dyDescent="0.45">
      <c r="A395">
        <v>394</v>
      </c>
      <c r="B395">
        <v>3.6</v>
      </c>
      <c r="C395">
        <v>1</v>
      </c>
      <c r="D395">
        <v>0</v>
      </c>
      <c r="E395">
        <v>0</v>
      </c>
      <c r="F395">
        <v>394</v>
      </c>
      <c r="G395" t="str">
        <f t="shared" si="43"/>
        <v>S</v>
      </c>
      <c r="H395">
        <f t="shared" si="49"/>
        <v>3</v>
      </c>
      <c r="I395">
        <f t="shared" si="44"/>
        <v>0</v>
      </c>
      <c r="J395">
        <f t="shared" si="45"/>
        <v>9</v>
      </c>
      <c r="K395">
        <f t="shared" si="46"/>
        <v>0</v>
      </c>
      <c r="L395">
        <f t="shared" si="47"/>
        <v>0</v>
      </c>
      <c r="M395" t="str">
        <f t="shared" si="48"/>
        <v>S</v>
      </c>
    </row>
    <row r="396" spans="1:13" x14ac:dyDescent="0.45">
      <c r="A396">
        <v>395</v>
      </c>
      <c r="B396">
        <v>6.4</v>
      </c>
      <c r="C396">
        <v>8</v>
      </c>
      <c r="D396">
        <v>0</v>
      </c>
      <c r="E396">
        <v>0</v>
      </c>
      <c r="F396">
        <v>395</v>
      </c>
      <c r="G396" t="str">
        <f t="shared" si="43"/>
        <v>S</v>
      </c>
      <c r="H396">
        <f t="shared" si="49"/>
        <v>4</v>
      </c>
      <c r="I396">
        <f t="shared" si="44"/>
        <v>0</v>
      </c>
      <c r="J396">
        <f t="shared" si="45"/>
        <v>10</v>
      </c>
      <c r="K396">
        <f t="shared" si="46"/>
        <v>0</v>
      </c>
      <c r="L396">
        <f t="shared" si="47"/>
        <v>0</v>
      </c>
      <c r="M396" t="str">
        <f t="shared" si="48"/>
        <v>S</v>
      </c>
    </row>
    <row r="397" spans="1:13" x14ac:dyDescent="0.4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v>396</v>
      </c>
      <c r="G397" t="str">
        <f t="shared" si="43"/>
        <v>S</v>
      </c>
      <c r="H397">
        <f t="shared" si="49"/>
        <v>4</v>
      </c>
      <c r="I397">
        <f t="shared" si="44"/>
        <v>0</v>
      </c>
      <c r="J397">
        <f t="shared" si="45"/>
        <v>11</v>
      </c>
      <c r="K397">
        <f t="shared" si="46"/>
        <v>0</v>
      </c>
      <c r="L397">
        <f t="shared" si="47"/>
        <v>0</v>
      </c>
      <c r="M397" t="str">
        <f t="shared" si="48"/>
        <v>C</v>
      </c>
    </row>
    <row r="398" spans="1:13" x14ac:dyDescent="0.45">
      <c r="A398">
        <v>397</v>
      </c>
      <c r="B398">
        <v>14</v>
      </c>
      <c r="C398">
        <v>23</v>
      </c>
      <c r="D398">
        <v>0</v>
      </c>
      <c r="E398">
        <v>0</v>
      </c>
      <c r="F398">
        <v>397</v>
      </c>
      <c r="G398" t="str">
        <f t="shared" si="43"/>
        <v>S</v>
      </c>
      <c r="H398">
        <f t="shared" si="49"/>
        <v>4</v>
      </c>
      <c r="I398">
        <f t="shared" si="44"/>
        <v>0</v>
      </c>
      <c r="J398">
        <f t="shared" si="45"/>
        <v>12</v>
      </c>
      <c r="K398">
        <f t="shared" si="46"/>
        <v>0</v>
      </c>
      <c r="L398">
        <f t="shared" si="47"/>
        <v>0</v>
      </c>
      <c r="M398" t="str">
        <f t="shared" si="48"/>
        <v>C</v>
      </c>
    </row>
    <row r="399" spans="1:13" x14ac:dyDescent="0.4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v>398</v>
      </c>
      <c r="G399" t="str">
        <f t="shared" si="43"/>
        <v>S</v>
      </c>
      <c r="H399">
        <f t="shared" si="49"/>
        <v>5</v>
      </c>
      <c r="I399">
        <f t="shared" si="44"/>
        <v>0</v>
      </c>
      <c r="J399">
        <f t="shared" si="45"/>
        <v>13</v>
      </c>
      <c r="K399">
        <f t="shared" si="46"/>
        <v>0</v>
      </c>
      <c r="L399">
        <f t="shared" si="47"/>
        <v>0</v>
      </c>
      <c r="M399" t="str">
        <f t="shared" si="48"/>
        <v>C</v>
      </c>
    </row>
    <row r="400" spans="1:13" x14ac:dyDescent="0.45">
      <c r="A400">
        <v>399</v>
      </c>
      <c r="B400">
        <v>18.7</v>
      </c>
      <c r="C400">
        <v>0</v>
      </c>
      <c r="D400">
        <v>0</v>
      </c>
      <c r="E400">
        <v>0</v>
      </c>
      <c r="F400">
        <v>399</v>
      </c>
      <c r="G400">
        <f t="shared" si="43"/>
        <v>0</v>
      </c>
      <c r="H400">
        <f t="shared" si="49"/>
        <v>0</v>
      </c>
      <c r="I400">
        <f t="shared" si="44"/>
        <v>1</v>
      </c>
      <c r="J400">
        <f t="shared" si="45"/>
        <v>1</v>
      </c>
      <c r="K400">
        <f t="shared" si="46"/>
        <v>0</v>
      </c>
      <c r="L400">
        <f t="shared" si="47"/>
        <v>0</v>
      </c>
      <c r="M400" t="str">
        <f t="shared" si="48"/>
        <v>C</v>
      </c>
    </row>
    <row r="401" spans="1:13" x14ac:dyDescent="0.45">
      <c r="A401">
        <v>400</v>
      </c>
      <c r="B401">
        <v>18.8</v>
      </c>
      <c r="C401">
        <v>5</v>
      </c>
      <c r="D401">
        <v>0</v>
      </c>
      <c r="E401">
        <v>0</v>
      </c>
      <c r="F401">
        <v>400</v>
      </c>
      <c r="G401" t="str">
        <f t="shared" si="43"/>
        <v>C</v>
      </c>
      <c r="H401">
        <f t="shared" si="49"/>
        <v>1</v>
      </c>
      <c r="I401">
        <f t="shared" si="44"/>
        <v>0</v>
      </c>
      <c r="J401">
        <f t="shared" si="45"/>
        <v>1</v>
      </c>
      <c r="K401">
        <f t="shared" si="46"/>
        <v>1</v>
      </c>
      <c r="L401">
        <f t="shared" si="47"/>
        <v>0</v>
      </c>
      <c r="M401" t="str">
        <f t="shared" si="48"/>
        <v>C</v>
      </c>
    </row>
    <row r="402" spans="1:13" x14ac:dyDescent="0.45">
      <c r="A402">
        <v>401</v>
      </c>
      <c r="B402">
        <v>17.7</v>
      </c>
      <c r="C402">
        <v>2</v>
      </c>
      <c r="D402">
        <v>0</v>
      </c>
      <c r="E402">
        <v>0</v>
      </c>
      <c r="F402">
        <v>401</v>
      </c>
      <c r="G402" t="str">
        <f t="shared" si="43"/>
        <v>C</v>
      </c>
      <c r="H402">
        <f t="shared" si="49"/>
        <v>1</v>
      </c>
      <c r="I402">
        <f t="shared" si="44"/>
        <v>0</v>
      </c>
      <c r="J402">
        <f t="shared" si="45"/>
        <v>2</v>
      </c>
      <c r="K402">
        <f t="shared" si="46"/>
        <v>0</v>
      </c>
      <c r="L402">
        <f t="shared" si="47"/>
        <v>0</v>
      </c>
      <c r="M402" t="str">
        <f t="shared" si="48"/>
        <v>C</v>
      </c>
    </row>
    <row r="403" spans="1:13" x14ac:dyDescent="0.4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v>402</v>
      </c>
      <c r="G403" t="str">
        <f t="shared" si="43"/>
        <v>C</v>
      </c>
      <c r="H403">
        <f t="shared" si="49"/>
        <v>1</v>
      </c>
      <c r="I403">
        <f t="shared" si="44"/>
        <v>0</v>
      </c>
      <c r="J403">
        <f t="shared" si="45"/>
        <v>3</v>
      </c>
      <c r="K403">
        <f t="shared" si="46"/>
        <v>0</v>
      </c>
      <c r="L403">
        <f t="shared" si="47"/>
        <v>0</v>
      </c>
      <c r="M403" t="str">
        <f t="shared" si="48"/>
        <v>C</v>
      </c>
    </row>
    <row r="404" spans="1:13" x14ac:dyDescent="0.45">
      <c r="A404">
        <v>403</v>
      </c>
      <c r="B404">
        <v>14.9</v>
      </c>
      <c r="C404">
        <v>7</v>
      </c>
      <c r="D404">
        <v>0</v>
      </c>
      <c r="E404">
        <v>0</v>
      </c>
      <c r="F404">
        <v>403</v>
      </c>
      <c r="G404" t="str">
        <f t="shared" si="43"/>
        <v>C</v>
      </c>
      <c r="H404">
        <f t="shared" si="49"/>
        <v>2</v>
      </c>
      <c r="I404">
        <f t="shared" si="44"/>
        <v>0</v>
      </c>
      <c r="J404">
        <f t="shared" si="45"/>
        <v>4</v>
      </c>
      <c r="K404">
        <f t="shared" si="46"/>
        <v>0</v>
      </c>
      <c r="L404">
        <f t="shared" si="47"/>
        <v>1</v>
      </c>
      <c r="M404" t="str">
        <f t="shared" si="48"/>
        <v>C</v>
      </c>
    </row>
    <row r="405" spans="1:13" x14ac:dyDescent="0.45">
      <c r="A405">
        <v>404</v>
      </c>
      <c r="B405">
        <v>14.9</v>
      </c>
      <c r="C405">
        <v>2</v>
      </c>
      <c r="D405">
        <v>0</v>
      </c>
      <c r="E405">
        <v>0</v>
      </c>
      <c r="F405">
        <v>404</v>
      </c>
      <c r="G405" t="str">
        <f t="shared" si="43"/>
        <v>C</v>
      </c>
      <c r="H405">
        <f t="shared" si="49"/>
        <v>2</v>
      </c>
      <c r="I405">
        <f t="shared" si="44"/>
        <v>0</v>
      </c>
      <c r="J405">
        <f t="shared" si="45"/>
        <v>5</v>
      </c>
      <c r="K405">
        <f t="shared" si="46"/>
        <v>0</v>
      </c>
      <c r="L405">
        <f t="shared" si="47"/>
        <v>0</v>
      </c>
      <c r="M405" t="str">
        <f t="shared" si="48"/>
        <v>C</v>
      </c>
    </row>
    <row r="406" spans="1:13" x14ac:dyDescent="0.45">
      <c r="A406">
        <v>405</v>
      </c>
      <c r="B406">
        <v>16.3</v>
      </c>
      <c r="C406">
        <v>3</v>
      </c>
      <c r="D406">
        <v>0</v>
      </c>
      <c r="E406">
        <v>0</v>
      </c>
      <c r="F406">
        <v>405</v>
      </c>
      <c r="G406" t="str">
        <f t="shared" si="43"/>
        <v>C</v>
      </c>
      <c r="H406">
        <f t="shared" si="49"/>
        <v>2</v>
      </c>
      <c r="I406">
        <f t="shared" si="44"/>
        <v>0</v>
      </c>
      <c r="J406">
        <f t="shared" si="45"/>
        <v>6</v>
      </c>
      <c r="K406">
        <f t="shared" si="46"/>
        <v>0</v>
      </c>
      <c r="L406">
        <f t="shared" si="47"/>
        <v>0</v>
      </c>
      <c r="M406" t="str">
        <f t="shared" si="48"/>
        <v>C</v>
      </c>
    </row>
    <row r="407" spans="1:13" x14ac:dyDescent="0.4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v>406</v>
      </c>
      <c r="G407" t="str">
        <f t="shared" si="43"/>
        <v>C</v>
      </c>
      <c r="H407">
        <f t="shared" si="49"/>
        <v>3</v>
      </c>
      <c r="I407">
        <f t="shared" si="44"/>
        <v>0</v>
      </c>
      <c r="J407">
        <f t="shared" si="45"/>
        <v>7</v>
      </c>
      <c r="K407">
        <f t="shared" si="46"/>
        <v>0</v>
      </c>
      <c r="L407">
        <f t="shared" si="47"/>
        <v>0</v>
      </c>
      <c r="M407" t="str">
        <f t="shared" si="48"/>
        <v>C</v>
      </c>
    </row>
    <row r="408" spans="1:13" x14ac:dyDescent="0.45">
      <c r="A408">
        <v>407</v>
      </c>
      <c r="B408">
        <v>22.7</v>
      </c>
      <c r="C408">
        <v>12</v>
      </c>
      <c r="D408">
        <v>0</v>
      </c>
      <c r="E408">
        <v>0</v>
      </c>
      <c r="F408">
        <v>407</v>
      </c>
      <c r="G408" t="str">
        <f t="shared" si="43"/>
        <v>C</v>
      </c>
      <c r="H408">
        <f t="shared" si="49"/>
        <v>3</v>
      </c>
      <c r="I408">
        <f t="shared" si="44"/>
        <v>0</v>
      </c>
      <c r="J408">
        <f t="shared" si="45"/>
        <v>8</v>
      </c>
      <c r="K408">
        <f t="shared" si="46"/>
        <v>0</v>
      </c>
      <c r="L408">
        <f t="shared" si="47"/>
        <v>0</v>
      </c>
      <c r="M408" t="str">
        <f t="shared" si="48"/>
        <v>C</v>
      </c>
    </row>
    <row r="409" spans="1:13" x14ac:dyDescent="0.45">
      <c r="A409">
        <v>408</v>
      </c>
      <c r="B409">
        <v>26.1</v>
      </c>
      <c r="C409">
        <v>9</v>
      </c>
      <c r="D409">
        <v>0</v>
      </c>
      <c r="E409">
        <v>0</v>
      </c>
      <c r="F409">
        <v>408</v>
      </c>
      <c r="G409" t="str">
        <f t="shared" si="43"/>
        <v>C</v>
      </c>
      <c r="H409">
        <f t="shared" si="49"/>
        <v>3</v>
      </c>
      <c r="I409">
        <f t="shared" si="44"/>
        <v>0</v>
      </c>
      <c r="J409">
        <f t="shared" si="45"/>
        <v>9</v>
      </c>
      <c r="K409">
        <f t="shared" si="46"/>
        <v>0</v>
      </c>
      <c r="L409">
        <f t="shared" si="47"/>
        <v>0</v>
      </c>
      <c r="M409" t="str">
        <f t="shared" si="48"/>
        <v>C</v>
      </c>
    </row>
    <row r="410" spans="1:13" x14ac:dyDescent="0.45">
      <c r="A410">
        <v>409</v>
      </c>
      <c r="B410">
        <v>28.6</v>
      </c>
      <c r="C410">
        <v>14</v>
      </c>
      <c r="D410">
        <v>0</v>
      </c>
      <c r="E410">
        <v>0</v>
      </c>
      <c r="F410">
        <v>409</v>
      </c>
      <c r="G410" t="str">
        <f t="shared" si="43"/>
        <v>C</v>
      </c>
      <c r="H410">
        <f t="shared" si="49"/>
        <v>4</v>
      </c>
      <c r="I410">
        <f t="shared" si="44"/>
        <v>0</v>
      </c>
      <c r="J410">
        <f t="shared" si="45"/>
        <v>10</v>
      </c>
      <c r="K410">
        <f t="shared" si="46"/>
        <v>0</v>
      </c>
      <c r="L410">
        <f t="shared" si="47"/>
        <v>0</v>
      </c>
      <c r="M410" t="str">
        <f t="shared" si="48"/>
        <v>C</v>
      </c>
    </row>
    <row r="411" spans="1:13" x14ac:dyDescent="0.45">
      <c r="A411">
        <v>410</v>
      </c>
      <c r="B411">
        <v>29.5</v>
      </c>
      <c r="C411">
        <v>17</v>
      </c>
      <c r="D411">
        <v>0</v>
      </c>
      <c r="E411">
        <v>0</v>
      </c>
      <c r="F411">
        <v>410</v>
      </c>
      <c r="G411" t="str">
        <f t="shared" si="43"/>
        <v>C</v>
      </c>
      <c r="H411">
        <f t="shared" si="49"/>
        <v>4</v>
      </c>
      <c r="I411">
        <f t="shared" si="44"/>
        <v>0</v>
      </c>
      <c r="J411">
        <f t="shared" si="45"/>
        <v>11</v>
      </c>
      <c r="K411">
        <f t="shared" si="46"/>
        <v>0</v>
      </c>
      <c r="L411">
        <f t="shared" si="47"/>
        <v>0</v>
      </c>
      <c r="M411" t="str">
        <f t="shared" si="48"/>
        <v>C</v>
      </c>
    </row>
    <row r="412" spans="1:13" x14ac:dyDescent="0.45">
      <c r="A412">
        <v>411</v>
      </c>
      <c r="B412">
        <v>28.6</v>
      </c>
      <c r="C412">
        <v>9</v>
      </c>
      <c r="D412">
        <v>0</v>
      </c>
      <c r="E412">
        <v>0</v>
      </c>
      <c r="F412">
        <v>411</v>
      </c>
      <c r="G412" t="str">
        <f t="shared" si="43"/>
        <v>C</v>
      </c>
      <c r="H412">
        <f t="shared" si="49"/>
        <v>4</v>
      </c>
      <c r="I412">
        <f t="shared" si="44"/>
        <v>0</v>
      </c>
      <c r="J412">
        <f t="shared" si="45"/>
        <v>12</v>
      </c>
      <c r="K412">
        <f t="shared" si="46"/>
        <v>0</v>
      </c>
      <c r="L412">
        <f t="shared" si="47"/>
        <v>0</v>
      </c>
      <c r="M412" t="str">
        <f t="shared" si="48"/>
        <v>C</v>
      </c>
    </row>
    <row r="413" spans="1:13" x14ac:dyDescent="0.45">
      <c r="A413">
        <v>412</v>
      </c>
      <c r="B413">
        <v>26.4</v>
      </c>
      <c r="C413">
        <v>28</v>
      </c>
      <c r="D413">
        <v>0</v>
      </c>
      <c r="E413">
        <v>0</v>
      </c>
      <c r="F413">
        <v>412</v>
      </c>
      <c r="G413" t="str">
        <f t="shared" si="43"/>
        <v>C</v>
      </c>
      <c r="H413">
        <f t="shared" si="49"/>
        <v>5</v>
      </c>
      <c r="I413">
        <f t="shared" si="44"/>
        <v>0</v>
      </c>
      <c r="J413">
        <f t="shared" si="45"/>
        <v>13</v>
      </c>
      <c r="K413">
        <f t="shared" si="46"/>
        <v>0</v>
      </c>
      <c r="L413">
        <f t="shared" si="47"/>
        <v>0</v>
      </c>
      <c r="M413" t="str">
        <f t="shared" si="48"/>
        <v>C</v>
      </c>
    </row>
    <row r="414" spans="1:13" x14ac:dyDescent="0.45">
      <c r="A414">
        <v>413</v>
      </c>
      <c r="B414">
        <v>23.6</v>
      </c>
      <c r="C414">
        <v>0</v>
      </c>
      <c r="D414">
        <v>0</v>
      </c>
      <c r="E414">
        <v>0</v>
      </c>
      <c r="F414">
        <v>413</v>
      </c>
      <c r="G414">
        <f t="shared" si="43"/>
        <v>0</v>
      </c>
      <c r="H414">
        <f t="shared" si="49"/>
        <v>0</v>
      </c>
      <c r="I414">
        <f t="shared" si="44"/>
        <v>1</v>
      </c>
      <c r="J414">
        <f t="shared" si="45"/>
        <v>1</v>
      </c>
      <c r="K414">
        <f t="shared" si="46"/>
        <v>0</v>
      </c>
      <c r="L414">
        <f t="shared" si="47"/>
        <v>0</v>
      </c>
      <c r="M414" t="str">
        <f t="shared" si="48"/>
        <v>C</v>
      </c>
    </row>
    <row r="415" spans="1:13" x14ac:dyDescent="0.45">
      <c r="A415">
        <v>414</v>
      </c>
      <c r="B415">
        <v>21</v>
      </c>
      <c r="C415">
        <v>1</v>
      </c>
      <c r="D415">
        <v>0</v>
      </c>
      <c r="E415">
        <v>0</v>
      </c>
      <c r="F415">
        <v>414</v>
      </c>
      <c r="G415" t="str">
        <f t="shared" si="43"/>
        <v>C</v>
      </c>
      <c r="H415">
        <f t="shared" si="49"/>
        <v>1</v>
      </c>
      <c r="I415">
        <f t="shared" si="44"/>
        <v>0</v>
      </c>
      <c r="J415">
        <f t="shared" si="45"/>
        <v>1</v>
      </c>
      <c r="K415">
        <f t="shared" si="46"/>
        <v>1</v>
      </c>
      <c r="L415">
        <f t="shared" si="47"/>
        <v>0</v>
      </c>
      <c r="M415" t="str">
        <f t="shared" si="48"/>
        <v>C</v>
      </c>
    </row>
    <row r="416" spans="1:13" x14ac:dyDescent="0.4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v>415</v>
      </c>
      <c r="G416" t="str">
        <f t="shared" si="43"/>
        <v>C</v>
      </c>
      <c r="H416">
        <f t="shared" si="49"/>
        <v>1</v>
      </c>
      <c r="I416">
        <f t="shared" si="44"/>
        <v>0</v>
      </c>
      <c r="J416">
        <f t="shared" si="45"/>
        <v>2</v>
      </c>
      <c r="K416">
        <f t="shared" si="46"/>
        <v>0</v>
      </c>
      <c r="L416">
        <f t="shared" si="47"/>
        <v>0</v>
      </c>
      <c r="M416" t="str">
        <f t="shared" si="48"/>
        <v>C</v>
      </c>
    </row>
    <row r="417" spans="1:13" x14ac:dyDescent="0.45">
      <c r="A417">
        <v>416</v>
      </c>
      <c r="B417">
        <v>19.5</v>
      </c>
      <c r="C417">
        <v>4</v>
      </c>
      <c r="D417">
        <v>0</v>
      </c>
      <c r="E417">
        <v>0</v>
      </c>
      <c r="F417">
        <v>416</v>
      </c>
      <c r="G417" t="str">
        <f t="shared" si="43"/>
        <v>C</v>
      </c>
      <c r="H417">
        <f t="shared" si="49"/>
        <v>1</v>
      </c>
      <c r="I417">
        <f t="shared" si="44"/>
        <v>0</v>
      </c>
      <c r="J417">
        <f t="shared" si="45"/>
        <v>3</v>
      </c>
      <c r="K417">
        <f t="shared" si="46"/>
        <v>0</v>
      </c>
      <c r="L417">
        <f t="shared" si="47"/>
        <v>0</v>
      </c>
      <c r="M417" t="str">
        <f t="shared" si="48"/>
        <v>C</v>
      </c>
    </row>
    <row r="418" spans="1:13" x14ac:dyDescent="0.45">
      <c r="A418">
        <v>417</v>
      </c>
      <c r="B418">
        <v>20.7</v>
      </c>
      <c r="C418">
        <v>10</v>
      </c>
      <c r="D418">
        <v>0</v>
      </c>
      <c r="E418">
        <v>0</v>
      </c>
      <c r="F418">
        <v>417</v>
      </c>
      <c r="G418" t="str">
        <f t="shared" si="43"/>
        <v>C</v>
      </c>
      <c r="H418">
        <f t="shared" si="49"/>
        <v>2</v>
      </c>
      <c r="I418">
        <f t="shared" si="44"/>
        <v>0</v>
      </c>
      <c r="J418">
        <f t="shared" si="45"/>
        <v>4</v>
      </c>
      <c r="K418">
        <f t="shared" si="46"/>
        <v>0</v>
      </c>
      <c r="L418">
        <f t="shared" si="47"/>
        <v>1</v>
      </c>
      <c r="M418" t="str">
        <f t="shared" si="48"/>
        <v>C</v>
      </c>
    </row>
    <row r="419" spans="1:13" x14ac:dyDescent="0.45">
      <c r="A419">
        <v>418</v>
      </c>
      <c r="B419">
        <v>22.7</v>
      </c>
      <c r="C419">
        <v>4</v>
      </c>
      <c r="D419">
        <v>0</v>
      </c>
      <c r="E419">
        <v>0</v>
      </c>
      <c r="F419">
        <v>418</v>
      </c>
      <c r="G419" t="str">
        <f t="shared" si="43"/>
        <v>C</v>
      </c>
      <c r="H419">
        <f t="shared" si="49"/>
        <v>2</v>
      </c>
      <c r="I419">
        <f t="shared" si="44"/>
        <v>0</v>
      </c>
      <c r="J419">
        <f t="shared" si="45"/>
        <v>5</v>
      </c>
      <c r="K419">
        <f t="shared" si="46"/>
        <v>0</v>
      </c>
      <c r="L419">
        <f t="shared" si="47"/>
        <v>0</v>
      </c>
      <c r="M419" t="str">
        <f t="shared" si="48"/>
        <v>C</v>
      </c>
    </row>
    <row r="420" spans="1:13" x14ac:dyDescent="0.45">
      <c r="A420">
        <v>419</v>
      </c>
      <c r="B420">
        <v>24.5</v>
      </c>
      <c r="C420">
        <v>5</v>
      </c>
      <c r="D420">
        <v>0</v>
      </c>
      <c r="E420">
        <v>0</v>
      </c>
      <c r="F420">
        <v>419</v>
      </c>
      <c r="G420" t="str">
        <f t="shared" si="43"/>
        <v>C</v>
      </c>
      <c r="H420">
        <f t="shared" si="49"/>
        <v>2</v>
      </c>
      <c r="I420">
        <f t="shared" si="44"/>
        <v>0</v>
      </c>
      <c r="J420">
        <f t="shared" si="45"/>
        <v>6</v>
      </c>
      <c r="K420">
        <f t="shared" si="46"/>
        <v>0</v>
      </c>
      <c r="L420">
        <f t="shared" si="47"/>
        <v>0</v>
      </c>
      <c r="M420" t="str">
        <f t="shared" si="48"/>
        <v>C</v>
      </c>
    </row>
    <row r="421" spans="1:13" x14ac:dyDescent="0.45">
      <c r="A421">
        <v>420</v>
      </c>
      <c r="B421">
        <v>25.4</v>
      </c>
      <c r="C421">
        <v>8</v>
      </c>
      <c r="D421">
        <v>0</v>
      </c>
      <c r="E421">
        <v>0</v>
      </c>
      <c r="F421">
        <v>420</v>
      </c>
      <c r="G421" t="str">
        <f t="shared" si="43"/>
        <v>C</v>
      </c>
      <c r="H421">
        <f t="shared" si="49"/>
        <v>3</v>
      </c>
      <c r="I421">
        <f t="shared" si="44"/>
        <v>0</v>
      </c>
      <c r="J421">
        <f t="shared" si="45"/>
        <v>7</v>
      </c>
      <c r="K421">
        <f t="shared" si="46"/>
        <v>0</v>
      </c>
      <c r="L421">
        <f t="shared" si="47"/>
        <v>0</v>
      </c>
      <c r="M421" t="str">
        <f t="shared" si="48"/>
        <v>C</v>
      </c>
    </row>
    <row r="422" spans="1:13" x14ac:dyDescent="0.45">
      <c r="A422">
        <v>421</v>
      </c>
      <c r="B422">
        <v>24.8</v>
      </c>
      <c r="C422">
        <v>12</v>
      </c>
      <c r="D422">
        <v>0</v>
      </c>
      <c r="E422">
        <v>0</v>
      </c>
      <c r="F422">
        <v>421</v>
      </c>
      <c r="G422" t="str">
        <f t="shared" si="43"/>
        <v>C</v>
      </c>
      <c r="H422">
        <f t="shared" si="49"/>
        <v>3</v>
      </c>
      <c r="I422">
        <f t="shared" si="44"/>
        <v>0</v>
      </c>
      <c r="J422">
        <f t="shared" si="45"/>
        <v>8</v>
      </c>
      <c r="K422">
        <f t="shared" si="46"/>
        <v>0</v>
      </c>
      <c r="L422">
        <f t="shared" si="47"/>
        <v>0</v>
      </c>
      <c r="M422" t="str">
        <f t="shared" si="48"/>
        <v>C</v>
      </c>
    </row>
    <row r="423" spans="1:13" x14ac:dyDescent="0.45">
      <c r="A423">
        <v>422</v>
      </c>
      <c r="B423">
        <v>22.5</v>
      </c>
      <c r="C423">
        <v>8</v>
      </c>
      <c r="D423">
        <v>0</v>
      </c>
      <c r="E423">
        <v>0</v>
      </c>
      <c r="F423">
        <v>422</v>
      </c>
      <c r="G423" t="str">
        <f t="shared" si="43"/>
        <v>C</v>
      </c>
      <c r="H423">
        <f t="shared" si="49"/>
        <v>3</v>
      </c>
      <c r="I423">
        <f t="shared" si="44"/>
        <v>0</v>
      </c>
      <c r="J423">
        <f t="shared" si="45"/>
        <v>9</v>
      </c>
      <c r="K423">
        <f t="shared" si="46"/>
        <v>0</v>
      </c>
      <c r="L423">
        <f t="shared" si="47"/>
        <v>0</v>
      </c>
      <c r="M423" t="str">
        <f t="shared" si="48"/>
        <v>C</v>
      </c>
    </row>
    <row r="424" spans="1:13" x14ac:dyDescent="0.4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v>423</v>
      </c>
      <c r="G424" t="str">
        <f t="shared" si="43"/>
        <v>C</v>
      </c>
      <c r="H424">
        <f t="shared" si="49"/>
        <v>4</v>
      </c>
      <c r="I424">
        <f t="shared" si="44"/>
        <v>0</v>
      </c>
      <c r="J424">
        <f t="shared" si="45"/>
        <v>10</v>
      </c>
      <c r="K424">
        <f t="shared" si="46"/>
        <v>0</v>
      </c>
      <c r="L424">
        <f t="shared" si="47"/>
        <v>0</v>
      </c>
      <c r="M424" t="str">
        <f t="shared" si="48"/>
        <v>C</v>
      </c>
    </row>
    <row r="425" spans="1:13" x14ac:dyDescent="0.45">
      <c r="A425">
        <v>424</v>
      </c>
      <c r="B425">
        <v>14.8</v>
      </c>
      <c r="C425">
        <v>8</v>
      </c>
      <c r="D425">
        <v>0</v>
      </c>
      <c r="E425">
        <v>0</v>
      </c>
      <c r="F425">
        <v>424</v>
      </c>
      <c r="G425" t="str">
        <f t="shared" si="43"/>
        <v>C</v>
      </c>
      <c r="H425">
        <f t="shared" si="49"/>
        <v>4</v>
      </c>
      <c r="I425">
        <f t="shared" si="44"/>
        <v>0</v>
      </c>
      <c r="J425">
        <f t="shared" si="45"/>
        <v>11</v>
      </c>
      <c r="K425">
        <f t="shared" si="46"/>
        <v>0</v>
      </c>
      <c r="L425">
        <f t="shared" si="47"/>
        <v>0</v>
      </c>
      <c r="M425" t="str">
        <f t="shared" si="48"/>
        <v>C</v>
      </c>
    </row>
    <row r="426" spans="1:13" x14ac:dyDescent="0.45">
      <c r="A426">
        <v>425</v>
      </c>
      <c r="B426">
        <v>11.2</v>
      </c>
      <c r="C426">
        <v>7</v>
      </c>
      <c r="D426">
        <v>0</v>
      </c>
      <c r="E426">
        <v>0</v>
      </c>
      <c r="F426">
        <v>425</v>
      </c>
      <c r="G426" t="str">
        <f t="shared" si="43"/>
        <v>C</v>
      </c>
      <c r="H426">
        <f t="shared" si="49"/>
        <v>4</v>
      </c>
      <c r="I426">
        <f t="shared" si="44"/>
        <v>0</v>
      </c>
      <c r="J426">
        <f t="shared" si="45"/>
        <v>12</v>
      </c>
      <c r="K426">
        <f t="shared" si="46"/>
        <v>0</v>
      </c>
      <c r="L426">
        <f t="shared" si="47"/>
        <v>0</v>
      </c>
      <c r="M426" t="str">
        <f t="shared" si="48"/>
        <v>C</v>
      </c>
    </row>
    <row r="427" spans="1:13" x14ac:dyDescent="0.4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v>426</v>
      </c>
      <c r="G427" t="str">
        <f t="shared" si="43"/>
        <v>C</v>
      </c>
      <c r="H427">
        <f t="shared" si="49"/>
        <v>5</v>
      </c>
      <c r="I427">
        <f t="shared" si="44"/>
        <v>0</v>
      </c>
      <c r="J427">
        <f t="shared" si="45"/>
        <v>13</v>
      </c>
      <c r="K427">
        <f t="shared" si="46"/>
        <v>0</v>
      </c>
      <c r="L427">
        <f t="shared" si="47"/>
        <v>0</v>
      </c>
      <c r="M427" t="str">
        <f t="shared" si="48"/>
        <v>S</v>
      </c>
    </row>
    <row r="428" spans="1:13" x14ac:dyDescent="0.45">
      <c r="A428">
        <v>427</v>
      </c>
      <c r="B428">
        <v>8</v>
      </c>
      <c r="C428">
        <v>0</v>
      </c>
      <c r="D428">
        <v>0</v>
      </c>
      <c r="E428">
        <v>0</v>
      </c>
      <c r="F428">
        <v>427</v>
      </c>
      <c r="G428">
        <f t="shared" si="43"/>
        <v>0</v>
      </c>
      <c r="H428">
        <f t="shared" si="49"/>
        <v>0</v>
      </c>
      <c r="I428">
        <f t="shared" si="44"/>
        <v>1</v>
      </c>
      <c r="J428">
        <f t="shared" si="45"/>
        <v>1</v>
      </c>
      <c r="K428">
        <f t="shared" si="46"/>
        <v>0</v>
      </c>
      <c r="L428">
        <f t="shared" si="47"/>
        <v>0</v>
      </c>
      <c r="M428" t="str">
        <f t="shared" si="48"/>
        <v>S</v>
      </c>
    </row>
    <row r="429" spans="1:13" x14ac:dyDescent="0.45">
      <c r="A429">
        <v>428</v>
      </c>
      <c r="B429">
        <v>8.6</v>
      </c>
      <c r="C429">
        <v>2</v>
      </c>
      <c r="D429">
        <v>0</v>
      </c>
      <c r="E429">
        <v>0</v>
      </c>
      <c r="F429">
        <v>428</v>
      </c>
      <c r="G429" t="str">
        <f t="shared" si="43"/>
        <v>S</v>
      </c>
      <c r="H429">
        <f t="shared" si="49"/>
        <v>1</v>
      </c>
      <c r="I429">
        <f t="shared" si="44"/>
        <v>0</v>
      </c>
      <c r="J429">
        <f t="shared" si="45"/>
        <v>1</v>
      </c>
      <c r="K429">
        <f t="shared" si="46"/>
        <v>1</v>
      </c>
      <c r="L429">
        <f t="shared" si="47"/>
        <v>0</v>
      </c>
      <c r="M429" t="str">
        <f t="shared" si="48"/>
        <v>S</v>
      </c>
    </row>
    <row r="430" spans="1:13" x14ac:dyDescent="0.4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v>429</v>
      </c>
      <c r="G430" t="str">
        <f t="shared" si="43"/>
        <v>S</v>
      </c>
      <c r="H430">
        <f t="shared" si="49"/>
        <v>1</v>
      </c>
      <c r="I430">
        <f t="shared" si="44"/>
        <v>0</v>
      </c>
      <c r="J430">
        <f t="shared" si="45"/>
        <v>2</v>
      </c>
      <c r="K430">
        <f t="shared" si="46"/>
        <v>0</v>
      </c>
      <c r="L430">
        <f t="shared" si="47"/>
        <v>0</v>
      </c>
      <c r="M430" t="str">
        <f t="shared" si="48"/>
        <v>C</v>
      </c>
    </row>
    <row r="431" spans="1:13" x14ac:dyDescent="0.45">
      <c r="A431">
        <v>430</v>
      </c>
      <c r="B431">
        <v>11.8</v>
      </c>
      <c r="C431">
        <v>5</v>
      </c>
      <c r="D431">
        <v>0</v>
      </c>
      <c r="E431">
        <v>0</v>
      </c>
      <c r="F431">
        <v>430</v>
      </c>
      <c r="G431" t="str">
        <f t="shared" si="43"/>
        <v>S</v>
      </c>
      <c r="H431">
        <f t="shared" si="49"/>
        <v>1</v>
      </c>
      <c r="I431">
        <f t="shared" si="44"/>
        <v>0</v>
      </c>
      <c r="J431">
        <f t="shared" si="45"/>
        <v>3</v>
      </c>
      <c r="K431">
        <f t="shared" si="46"/>
        <v>0</v>
      </c>
      <c r="L431">
        <f t="shared" si="47"/>
        <v>0</v>
      </c>
      <c r="M431" t="str">
        <f t="shared" si="48"/>
        <v>C</v>
      </c>
    </row>
    <row r="432" spans="1:13" x14ac:dyDescent="0.45">
      <c r="A432">
        <v>431</v>
      </c>
      <c r="B432">
        <v>12.7</v>
      </c>
      <c r="C432">
        <v>8</v>
      </c>
      <c r="D432">
        <v>0</v>
      </c>
      <c r="E432">
        <v>0</v>
      </c>
      <c r="F432">
        <v>431</v>
      </c>
      <c r="G432" t="str">
        <f t="shared" si="43"/>
        <v>S</v>
      </c>
      <c r="H432">
        <f t="shared" si="49"/>
        <v>2</v>
      </c>
      <c r="I432">
        <f t="shared" si="44"/>
        <v>0</v>
      </c>
      <c r="J432">
        <f t="shared" si="45"/>
        <v>4</v>
      </c>
      <c r="K432">
        <f t="shared" si="46"/>
        <v>0</v>
      </c>
      <c r="L432">
        <f t="shared" si="47"/>
        <v>1</v>
      </c>
      <c r="M432" t="str">
        <f t="shared" si="48"/>
        <v>C</v>
      </c>
    </row>
    <row r="433" spans="1:13" x14ac:dyDescent="0.45">
      <c r="A433">
        <v>432</v>
      </c>
      <c r="B433">
        <v>12.2</v>
      </c>
      <c r="C433">
        <v>6</v>
      </c>
      <c r="D433">
        <v>0</v>
      </c>
      <c r="E433">
        <v>0</v>
      </c>
      <c r="F433">
        <v>432</v>
      </c>
      <c r="G433" t="str">
        <f t="shared" si="43"/>
        <v>S</v>
      </c>
      <c r="H433">
        <f t="shared" si="49"/>
        <v>2</v>
      </c>
      <c r="I433">
        <f t="shared" si="44"/>
        <v>0</v>
      </c>
      <c r="J433">
        <f t="shared" si="45"/>
        <v>5</v>
      </c>
      <c r="K433">
        <f t="shared" si="46"/>
        <v>0</v>
      </c>
      <c r="L433">
        <f t="shared" si="47"/>
        <v>0</v>
      </c>
      <c r="M433" t="str">
        <f t="shared" si="48"/>
        <v>C</v>
      </c>
    </row>
    <row r="434" spans="1:13" x14ac:dyDescent="0.45">
      <c r="A434">
        <v>433</v>
      </c>
      <c r="B434">
        <v>10.3</v>
      </c>
      <c r="C434">
        <v>9</v>
      </c>
      <c r="D434">
        <v>0</v>
      </c>
      <c r="E434">
        <v>0</v>
      </c>
      <c r="F434">
        <v>433</v>
      </c>
      <c r="G434" t="str">
        <f t="shared" si="43"/>
        <v>S</v>
      </c>
      <c r="H434">
        <f t="shared" si="49"/>
        <v>2</v>
      </c>
      <c r="I434">
        <f t="shared" si="44"/>
        <v>0</v>
      </c>
      <c r="J434">
        <f t="shared" si="45"/>
        <v>6</v>
      </c>
      <c r="K434">
        <f t="shared" si="46"/>
        <v>0</v>
      </c>
      <c r="L434">
        <f t="shared" si="47"/>
        <v>0</v>
      </c>
      <c r="M434" t="str">
        <f t="shared" si="48"/>
        <v>C</v>
      </c>
    </row>
    <row r="435" spans="1:13" x14ac:dyDescent="0.45">
      <c r="A435">
        <v>434</v>
      </c>
      <c r="B435">
        <v>7.4</v>
      </c>
      <c r="C435">
        <v>17</v>
      </c>
      <c r="D435">
        <v>0</v>
      </c>
      <c r="E435">
        <v>0</v>
      </c>
      <c r="F435">
        <v>434</v>
      </c>
      <c r="G435" t="str">
        <f t="shared" si="43"/>
        <v>S</v>
      </c>
      <c r="H435">
        <f t="shared" si="49"/>
        <v>3</v>
      </c>
      <c r="I435">
        <f t="shared" si="44"/>
        <v>0</v>
      </c>
      <c r="J435">
        <f t="shared" si="45"/>
        <v>7</v>
      </c>
      <c r="K435">
        <f t="shared" si="46"/>
        <v>0</v>
      </c>
      <c r="L435">
        <f t="shared" si="47"/>
        <v>0</v>
      </c>
      <c r="M435" t="str">
        <f t="shared" si="48"/>
        <v>S</v>
      </c>
    </row>
    <row r="436" spans="1:13" x14ac:dyDescent="0.4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v>435</v>
      </c>
      <c r="G436" t="str">
        <f t="shared" si="43"/>
        <v>S</v>
      </c>
      <c r="H436">
        <f t="shared" si="49"/>
        <v>3</v>
      </c>
      <c r="I436">
        <f t="shared" si="44"/>
        <v>0</v>
      </c>
      <c r="J436">
        <f t="shared" si="45"/>
        <v>8</v>
      </c>
      <c r="K436">
        <f t="shared" si="46"/>
        <v>0</v>
      </c>
      <c r="L436">
        <f t="shared" si="47"/>
        <v>0</v>
      </c>
      <c r="M436" t="str">
        <f t="shared" si="48"/>
        <v>S</v>
      </c>
    </row>
    <row r="437" spans="1:13" x14ac:dyDescent="0.45">
      <c r="A437">
        <v>436</v>
      </c>
      <c r="B437">
        <v>1.4</v>
      </c>
      <c r="C437">
        <v>7</v>
      </c>
      <c r="D437">
        <v>0</v>
      </c>
      <c r="E437">
        <v>0</v>
      </c>
      <c r="F437">
        <v>436</v>
      </c>
      <c r="G437" t="str">
        <f t="shared" si="43"/>
        <v>S</v>
      </c>
      <c r="H437">
        <f t="shared" si="49"/>
        <v>3</v>
      </c>
      <c r="I437">
        <f t="shared" si="44"/>
        <v>0</v>
      </c>
      <c r="J437">
        <f t="shared" si="45"/>
        <v>9</v>
      </c>
      <c r="K437">
        <f t="shared" si="46"/>
        <v>0</v>
      </c>
      <c r="L437">
        <f t="shared" si="47"/>
        <v>0</v>
      </c>
      <c r="M437" t="str">
        <f t="shared" si="48"/>
        <v>S</v>
      </c>
    </row>
    <row r="438" spans="1:13" x14ac:dyDescent="0.45">
      <c r="A438">
        <v>437</v>
      </c>
      <c r="B438">
        <v>0.1</v>
      </c>
      <c r="C438">
        <v>24</v>
      </c>
      <c r="D438">
        <v>0</v>
      </c>
      <c r="E438">
        <v>0</v>
      </c>
      <c r="F438">
        <v>437</v>
      </c>
      <c r="G438" t="str">
        <f t="shared" si="43"/>
        <v>S</v>
      </c>
      <c r="H438">
        <f t="shared" si="49"/>
        <v>4</v>
      </c>
      <c r="I438">
        <f t="shared" si="44"/>
        <v>0</v>
      </c>
      <c r="J438">
        <f t="shared" si="45"/>
        <v>10</v>
      </c>
      <c r="K438">
        <f t="shared" si="46"/>
        <v>0</v>
      </c>
      <c r="L438">
        <f t="shared" si="47"/>
        <v>0</v>
      </c>
      <c r="M438" t="str">
        <f t="shared" si="48"/>
        <v>S</v>
      </c>
    </row>
    <row r="439" spans="1:13" x14ac:dyDescent="0.45">
      <c r="A439">
        <v>438</v>
      </c>
      <c r="B439">
        <v>0.5</v>
      </c>
      <c r="C439">
        <v>16</v>
      </c>
      <c r="D439">
        <v>0</v>
      </c>
      <c r="E439">
        <v>0</v>
      </c>
      <c r="F439">
        <v>438</v>
      </c>
      <c r="G439" t="str">
        <f t="shared" si="43"/>
        <v>S</v>
      </c>
      <c r="H439">
        <f t="shared" si="49"/>
        <v>4</v>
      </c>
      <c r="I439">
        <f t="shared" si="44"/>
        <v>0</v>
      </c>
      <c r="J439">
        <f t="shared" si="45"/>
        <v>11</v>
      </c>
      <c r="K439">
        <f t="shared" si="46"/>
        <v>0</v>
      </c>
      <c r="L439">
        <f t="shared" si="47"/>
        <v>0</v>
      </c>
      <c r="M439" t="str">
        <f t="shared" si="48"/>
        <v>S</v>
      </c>
    </row>
    <row r="440" spans="1:13" x14ac:dyDescent="0.45">
      <c r="A440">
        <v>439</v>
      </c>
      <c r="B440">
        <v>2.5</v>
      </c>
      <c r="C440">
        <v>2</v>
      </c>
      <c r="D440">
        <v>0</v>
      </c>
      <c r="E440">
        <v>0</v>
      </c>
      <c r="F440">
        <v>439</v>
      </c>
      <c r="G440" t="str">
        <f t="shared" si="43"/>
        <v>S</v>
      </c>
      <c r="H440">
        <f t="shared" si="49"/>
        <v>4</v>
      </c>
      <c r="I440">
        <f t="shared" si="44"/>
        <v>0</v>
      </c>
      <c r="J440">
        <f t="shared" si="45"/>
        <v>12</v>
      </c>
      <c r="K440">
        <f t="shared" si="46"/>
        <v>0</v>
      </c>
      <c r="L440">
        <f t="shared" si="47"/>
        <v>0</v>
      </c>
      <c r="M440" t="str">
        <f t="shared" si="48"/>
        <v>S</v>
      </c>
    </row>
    <row r="441" spans="1:13" x14ac:dyDescent="0.45">
      <c r="A441">
        <v>440</v>
      </c>
      <c r="B441">
        <v>5.5</v>
      </c>
      <c r="C441">
        <v>17</v>
      </c>
      <c r="D441">
        <v>0</v>
      </c>
      <c r="E441">
        <v>0</v>
      </c>
      <c r="F441">
        <v>440</v>
      </c>
      <c r="G441" t="str">
        <f t="shared" si="43"/>
        <v>S</v>
      </c>
      <c r="H441">
        <f t="shared" si="49"/>
        <v>5</v>
      </c>
      <c r="I441">
        <f t="shared" si="44"/>
        <v>0</v>
      </c>
      <c r="J441">
        <f t="shared" si="45"/>
        <v>13</v>
      </c>
      <c r="K441">
        <f t="shared" si="46"/>
        <v>0</v>
      </c>
      <c r="L441">
        <f t="shared" si="47"/>
        <v>0</v>
      </c>
      <c r="M441" t="str">
        <f t="shared" si="48"/>
        <v>S</v>
      </c>
    </row>
    <row r="442" spans="1:13" x14ac:dyDescent="0.4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v>441</v>
      </c>
      <c r="G442" t="str">
        <f t="shared" si="43"/>
        <v>S</v>
      </c>
      <c r="H442">
        <f t="shared" si="49"/>
        <v>5</v>
      </c>
      <c r="I442">
        <f t="shared" si="44"/>
        <v>0</v>
      </c>
      <c r="J442">
        <f t="shared" si="45"/>
        <v>14</v>
      </c>
      <c r="K442">
        <f t="shared" si="46"/>
        <v>0</v>
      </c>
      <c r="L442">
        <f t="shared" si="47"/>
        <v>0</v>
      </c>
      <c r="M442" t="str">
        <f t="shared" si="48"/>
        <v>S</v>
      </c>
    </row>
    <row r="443" spans="1:13" x14ac:dyDescent="0.45">
      <c r="A443">
        <v>442</v>
      </c>
      <c r="B443">
        <v>11.1</v>
      </c>
      <c r="C443">
        <v>0</v>
      </c>
      <c r="D443">
        <v>0</v>
      </c>
      <c r="E443">
        <v>0</v>
      </c>
      <c r="F443">
        <v>442</v>
      </c>
      <c r="G443">
        <f t="shared" si="43"/>
        <v>0</v>
      </c>
      <c r="H443">
        <f t="shared" si="49"/>
        <v>0</v>
      </c>
      <c r="I443">
        <f t="shared" si="44"/>
        <v>1</v>
      </c>
      <c r="J443">
        <f t="shared" si="45"/>
        <v>1</v>
      </c>
      <c r="K443">
        <f t="shared" si="46"/>
        <v>0</v>
      </c>
      <c r="L443">
        <f t="shared" si="47"/>
        <v>0</v>
      </c>
      <c r="M443" t="str">
        <f t="shared" si="48"/>
        <v>C</v>
      </c>
    </row>
    <row r="444" spans="1:13" x14ac:dyDescent="0.45">
      <c r="A444">
        <v>443</v>
      </c>
      <c r="B444">
        <v>12.2</v>
      </c>
      <c r="C444">
        <v>4</v>
      </c>
      <c r="D444">
        <v>0</v>
      </c>
      <c r="E444">
        <v>0</v>
      </c>
      <c r="F444">
        <v>443</v>
      </c>
      <c r="G444" t="str">
        <f t="shared" si="43"/>
        <v>C</v>
      </c>
      <c r="H444">
        <f t="shared" si="49"/>
        <v>1</v>
      </c>
      <c r="I444">
        <f t="shared" si="44"/>
        <v>0</v>
      </c>
      <c r="J444">
        <f t="shared" si="45"/>
        <v>1</v>
      </c>
      <c r="K444">
        <f t="shared" si="46"/>
        <v>1</v>
      </c>
      <c r="L444">
        <f t="shared" si="47"/>
        <v>0</v>
      </c>
      <c r="M444" t="str">
        <f t="shared" si="48"/>
        <v>C</v>
      </c>
    </row>
    <row r="445" spans="1:13" x14ac:dyDescent="0.45">
      <c r="A445">
        <v>444</v>
      </c>
      <c r="B445">
        <v>11.9</v>
      </c>
      <c r="C445">
        <v>1</v>
      </c>
      <c r="D445">
        <v>0</v>
      </c>
      <c r="E445">
        <v>0</v>
      </c>
      <c r="F445">
        <v>444</v>
      </c>
      <c r="G445" t="str">
        <f t="shared" si="43"/>
        <v>C</v>
      </c>
      <c r="H445">
        <f t="shared" si="49"/>
        <v>1</v>
      </c>
      <c r="I445">
        <f t="shared" si="44"/>
        <v>0</v>
      </c>
      <c r="J445">
        <f t="shared" si="45"/>
        <v>2</v>
      </c>
      <c r="K445">
        <f t="shared" si="46"/>
        <v>0</v>
      </c>
      <c r="L445">
        <f t="shared" si="47"/>
        <v>0</v>
      </c>
      <c r="M445" t="str">
        <f t="shared" si="48"/>
        <v>C</v>
      </c>
    </row>
    <row r="446" spans="1:13" x14ac:dyDescent="0.45">
      <c r="A446">
        <v>445</v>
      </c>
      <c r="B446">
        <v>10.5</v>
      </c>
      <c r="C446">
        <v>1</v>
      </c>
      <c r="D446">
        <v>0</v>
      </c>
      <c r="E446">
        <v>0</v>
      </c>
      <c r="F446">
        <v>445</v>
      </c>
      <c r="G446" t="str">
        <f t="shared" si="43"/>
        <v>C</v>
      </c>
      <c r="H446">
        <f t="shared" si="49"/>
        <v>1</v>
      </c>
      <c r="I446">
        <f t="shared" si="44"/>
        <v>0</v>
      </c>
      <c r="J446">
        <f t="shared" si="45"/>
        <v>3</v>
      </c>
      <c r="K446">
        <f t="shared" si="46"/>
        <v>0</v>
      </c>
      <c r="L446">
        <f t="shared" si="47"/>
        <v>0</v>
      </c>
      <c r="M446" t="str">
        <f t="shared" si="48"/>
        <v>C</v>
      </c>
    </row>
    <row r="447" spans="1:13" x14ac:dyDescent="0.4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v>446</v>
      </c>
      <c r="G447" t="str">
        <f t="shared" si="43"/>
        <v>C</v>
      </c>
      <c r="H447">
        <f t="shared" si="49"/>
        <v>2</v>
      </c>
      <c r="I447">
        <f t="shared" si="44"/>
        <v>0</v>
      </c>
      <c r="J447">
        <f t="shared" si="45"/>
        <v>4</v>
      </c>
      <c r="K447">
        <f t="shared" si="46"/>
        <v>0</v>
      </c>
      <c r="L447">
        <f t="shared" si="47"/>
        <v>1</v>
      </c>
      <c r="M447" t="str">
        <f t="shared" si="48"/>
        <v>S</v>
      </c>
    </row>
    <row r="448" spans="1:13" x14ac:dyDescent="0.45">
      <c r="A448">
        <v>447</v>
      </c>
      <c r="B448">
        <v>7.5</v>
      </c>
      <c r="C448">
        <v>10</v>
      </c>
      <c r="D448">
        <v>0</v>
      </c>
      <c r="E448">
        <v>0</v>
      </c>
      <c r="F448">
        <v>447</v>
      </c>
      <c r="G448" t="str">
        <f t="shared" si="43"/>
        <v>C</v>
      </c>
      <c r="H448">
        <f t="shared" si="49"/>
        <v>2</v>
      </c>
      <c r="I448">
        <f t="shared" si="44"/>
        <v>0</v>
      </c>
      <c r="J448">
        <f t="shared" si="45"/>
        <v>5</v>
      </c>
      <c r="K448">
        <f t="shared" si="46"/>
        <v>0</v>
      </c>
      <c r="L448">
        <f t="shared" si="47"/>
        <v>0</v>
      </c>
      <c r="M448" t="str">
        <f t="shared" si="48"/>
        <v>S</v>
      </c>
    </row>
    <row r="449" spans="1:13" x14ac:dyDescent="0.45">
      <c r="A449">
        <v>448</v>
      </c>
      <c r="B449">
        <v>7.6</v>
      </c>
      <c r="C449">
        <v>10</v>
      </c>
      <c r="D449">
        <v>0</v>
      </c>
      <c r="E449">
        <v>0</v>
      </c>
      <c r="F449">
        <v>448</v>
      </c>
      <c r="G449" t="str">
        <f t="shared" si="43"/>
        <v>C</v>
      </c>
      <c r="H449">
        <f t="shared" si="49"/>
        <v>2</v>
      </c>
      <c r="I449">
        <f t="shared" si="44"/>
        <v>0</v>
      </c>
      <c r="J449">
        <f t="shared" si="45"/>
        <v>6</v>
      </c>
      <c r="K449">
        <f t="shared" si="46"/>
        <v>0</v>
      </c>
      <c r="L449">
        <f t="shared" si="47"/>
        <v>0</v>
      </c>
      <c r="M449" t="str">
        <f t="shared" si="48"/>
        <v>S</v>
      </c>
    </row>
    <row r="450" spans="1:13" x14ac:dyDescent="0.4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v>449</v>
      </c>
      <c r="G450" t="str">
        <f t="shared" si="43"/>
        <v>C</v>
      </c>
      <c r="H450">
        <f t="shared" si="49"/>
        <v>3</v>
      </c>
      <c r="I450">
        <f t="shared" si="44"/>
        <v>0</v>
      </c>
      <c r="J450">
        <f t="shared" si="45"/>
        <v>7</v>
      </c>
      <c r="K450">
        <f t="shared" si="46"/>
        <v>0</v>
      </c>
      <c r="L450">
        <f t="shared" si="47"/>
        <v>0</v>
      </c>
      <c r="M450" t="str">
        <f t="shared" si="48"/>
        <v>S</v>
      </c>
    </row>
    <row r="451" spans="1:13" x14ac:dyDescent="0.45">
      <c r="A451">
        <v>450</v>
      </c>
      <c r="B451">
        <v>12.3</v>
      </c>
      <c r="C451">
        <v>7</v>
      </c>
      <c r="D451">
        <v>0</v>
      </c>
      <c r="E451">
        <v>0</v>
      </c>
      <c r="F451">
        <v>450</v>
      </c>
      <c r="G451" t="str">
        <f t="shared" si="43"/>
        <v>C</v>
      </c>
      <c r="H451">
        <f t="shared" si="49"/>
        <v>3</v>
      </c>
      <c r="I451">
        <f t="shared" si="44"/>
        <v>0</v>
      </c>
      <c r="J451">
        <f t="shared" si="45"/>
        <v>8</v>
      </c>
      <c r="K451">
        <f t="shared" si="46"/>
        <v>0</v>
      </c>
      <c r="L451">
        <f t="shared" si="47"/>
        <v>0</v>
      </c>
      <c r="M451" t="str">
        <f t="shared" si="48"/>
        <v>C</v>
      </c>
    </row>
    <row r="452" spans="1:13" x14ac:dyDescent="0.45">
      <c r="A452">
        <v>451</v>
      </c>
      <c r="B452">
        <v>16.3</v>
      </c>
      <c r="C452">
        <v>18</v>
      </c>
      <c r="D452">
        <v>0</v>
      </c>
      <c r="E452">
        <v>0</v>
      </c>
      <c r="F452">
        <v>451</v>
      </c>
      <c r="G452" t="str">
        <f t="shared" ref="G452:G501" si="50">IF(I452=1,0, IF(K452=1,M452,G451))</f>
        <v>C</v>
      </c>
      <c r="H452">
        <f t="shared" si="49"/>
        <v>3</v>
      </c>
      <c r="I452">
        <f t="shared" ref="I452:I501" si="51">IF(AND(H451=5,C451&gt;=20),1,0)</f>
        <v>0</v>
      </c>
      <c r="J452">
        <f t="shared" ref="J452:J501" si="52">IF(G452=G451,J451+1,1)</f>
        <v>9</v>
      </c>
      <c r="K452">
        <f t="shared" ref="K452:K501" si="53">IF(AND(G451=0,H451=0),1,0)</f>
        <v>0</v>
      </c>
      <c r="L452">
        <f t="shared" ref="L452:L501" si="54">IF(J451=3,1,0)</f>
        <v>0</v>
      </c>
      <c r="M452" t="str">
        <f t="shared" ref="M452:M501" si="55">IF(B452&lt;10,"S","C")</f>
        <v>C</v>
      </c>
    </row>
    <row r="453" spans="1:13" x14ac:dyDescent="0.45">
      <c r="A453">
        <v>452</v>
      </c>
      <c r="B453">
        <v>20.2</v>
      </c>
      <c r="C453">
        <v>23</v>
      </c>
      <c r="D453">
        <v>0</v>
      </c>
      <c r="E453">
        <v>0</v>
      </c>
      <c r="F453">
        <v>452</v>
      </c>
      <c r="G453" t="str">
        <f t="shared" si="50"/>
        <v>C</v>
      </c>
      <c r="H453">
        <f t="shared" si="49"/>
        <v>4</v>
      </c>
      <c r="I453">
        <f t="shared" si="51"/>
        <v>0</v>
      </c>
      <c r="J453">
        <f t="shared" si="52"/>
        <v>10</v>
      </c>
      <c r="K453">
        <f t="shared" si="53"/>
        <v>0</v>
      </c>
      <c r="L453">
        <f t="shared" si="54"/>
        <v>0</v>
      </c>
      <c r="M453" t="str">
        <f t="shared" si="55"/>
        <v>C</v>
      </c>
    </row>
    <row r="454" spans="1:13" x14ac:dyDescent="0.45">
      <c r="A454">
        <v>453</v>
      </c>
      <c r="B454">
        <v>23.2</v>
      </c>
      <c r="C454">
        <v>7</v>
      </c>
      <c r="D454">
        <v>0</v>
      </c>
      <c r="E454">
        <v>0</v>
      </c>
      <c r="F454">
        <v>453</v>
      </c>
      <c r="G454" t="str">
        <f t="shared" si="50"/>
        <v>C</v>
      </c>
      <c r="H454">
        <f t="shared" si="49"/>
        <v>4</v>
      </c>
      <c r="I454">
        <f t="shared" si="51"/>
        <v>0</v>
      </c>
      <c r="J454">
        <f t="shared" si="52"/>
        <v>11</v>
      </c>
      <c r="K454">
        <f t="shared" si="53"/>
        <v>0</v>
      </c>
      <c r="L454">
        <f t="shared" si="54"/>
        <v>0</v>
      </c>
      <c r="M454" t="str">
        <f t="shared" si="55"/>
        <v>C</v>
      </c>
    </row>
    <row r="455" spans="1:13" x14ac:dyDescent="0.45">
      <c r="A455">
        <v>454</v>
      </c>
      <c r="B455">
        <v>24.8</v>
      </c>
      <c r="C455">
        <v>20</v>
      </c>
      <c r="D455">
        <v>0</v>
      </c>
      <c r="E455">
        <v>0</v>
      </c>
      <c r="F455">
        <v>454</v>
      </c>
      <c r="G455" t="str">
        <f t="shared" si="50"/>
        <v>C</v>
      </c>
      <c r="H455">
        <f t="shared" ref="H455:H501" si="56">IF(I455=1,0,IF(K455=1,1,IF(MOD(J454,3)=0, IF(H454+1&gt;5,5,H454+1),H454)))</f>
        <v>4</v>
      </c>
      <c r="I455">
        <f t="shared" si="51"/>
        <v>0</v>
      </c>
      <c r="J455">
        <f t="shared" si="52"/>
        <v>12</v>
      </c>
      <c r="K455">
        <f t="shared" si="53"/>
        <v>0</v>
      </c>
      <c r="L455">
        <f t="shared" si="54"/>
        <v>0</v>
      </c>
      <c r="M455" t="str">
        <f t="shared" si="55"/>
        <v>C</v>
      </c>
    </row>
    <row r="456" spans="1:13" x14ac:dyDescent="0.45">
      <c r="A456">
        <v>455</v>
      </c>
      <c r="B456">
        <v>24.9</v>
      </c>
      <c r="C456">
        <v>14</v>
      </c>
      <c r="D456">
        <v>0</v>
      </c>
      <c r="E456">
        <v>0</v>
      </c>
      <c r="F456">
        <v>455</v>
      </c>
      <c r="G456" t="str">
        <f t="shared" si="50"/>
        <v>C</v>
      </c>
      <c r="H456">
        <f t="shared" si="56"/>
        <v>5</v>
      </c>
      <c r="I456">
        <f t="shared" si="51"/>
        <v>0</v>
      </c>
      <c r="J456">
        <f t="shared" si="52"/>
        <v>13</v>
      </c>
      <c r="K456">
        <f t="shared" si="53"/>
        <v>0</v>
      </c>
      <c r="L456">
        <f t="shared" si="54"/>
        <v>0</v>
      </c>
      <c r="M456" t="str">
        <f t="shared" si="55"/>
        <v>C</v>
      </c>
    </row>
    <row r="457" spans="1:13" x14ac:dyDescent="0.45">
      <c r="A457">
        <v>456</v>
      </c>
      <c r="B457">
        <v>23.3</v>
      </c>
      <c r="C457">
        <v>11</v>
      </c>
      <c r="D457">
        <v>0</v>
      </c>
      <c r="E457">
        <v>0</v>
      </c>
      <c r="F457">
        <v>456</v>
      </c>
      <c r="G457" t="str">
        <f t="shared" si="50"/>
        <v>C</v>
      </c>
      <c r="H457">
        <f t="shared" si="56"/>
        <v>5</v>
      </c>
      <c r="I457">
        <f t="shared" si="51"/>
        <v>0</v>
      </c>
      <c r="J457">
        <f t="shared" si="52"/>
        <v>14</v>
      </c>
      <c r="K457">
        <f t="shared" si="53"/>
        <v>0</v>
      </c>
      <c r="L457">
        <f t="shared" si="54"/>
        <v>0</v>
      </c>
      <c r="M457" t="str">
        <f t="shared" si="55"/>
        <v>C</v>
      </c>
    </row>
    <row r="458" spans="1:13" x14ac:dyDescent="0.45">
      <c r="A458">
        <v>457</v>
      </c>
      <c r="B458">
        <v>21.3</v>
      </c>
      <c r="C458">
        <v>10</v>
      </c>
      <c r="D458">
        <v>0</v>
      </c>
      <c r="E458">
        <v>0</v>
      </c>
      <c r="F458">
        <v>457</v>
      </c>
      <c r="G458" t="str">
        <f t="shared" si="50"/>
        <v>C</v>
      </c>
      <c r="H458">
        <f t="shared" si="56"/>
        <v>5</v>
      </c>
      <c r="I458">
        <f t="shared" si="51"/>
        <v>0</v>
      </c>
      <c r="J458">
        <f t="shared" si="52"/>
        <v>15</v>
      </c>
      <c r="K458">
        <f t="shared" si="53"/>
        <v>0</v>
      </c>
      <c r="L458">
        <f t="shared" si="54"/>
        <v>0</v>
      </c>
      <c r="M458" t="str">
        <f t="shared" si="55"/>
        <v>C</v>
      </c>
    </row>
    <row r="459" spans="1:13" x14ac:dyDescent="0.45">
      <c r="A459">
        <v>458</v>
      </c>
      <c r="B459">
        <v>19.7</v>
      </c>
      <c r="C459">
        <v>13</v>
      </c>
      <c r="D459">
        <v>0</v>
      </c>
      <c r="E459">
        <v>0</v>
      </c>
      <c r="F459">
        <v>458</v>
      </c>
      <c r="G459" t="str">
        <f t="shared" si="50"/>
        <v>C</v>
      </c>
      <c r="H459">
        <f t="shared" si="56"/>
        <v>5</v>
      </c>
      <c r="I459">
        <f t="shared" si="51"/>
        <v>0</v>
      </c>
      <c r="J459">
        <f t="shared" si="52"/>
        <v>16</v>
      </c>
      <c r="K459">
        <f t="shared" si="53"/>
        <v>0</v>
      </c>
      <c r="L459">
        <f t="shared" si="54"/>
        <v>0</v>
      </c>
      <c r="M459" t="str">
        <f t="shared" si="55"/>
        <v>C</v>
      </c>
    </row>
    <row r="460" spans="1:13" x14ac:dyDescent="0.4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v>459</v>
      </c>
      <c r="G460" t="str">
        <f t="shared" si="50"/>
        <v>C</v>
      </c>
      <c r="H460">
        <f t="shared" si="56"/>
        <v>5</v>
      </c>
      <c r="I460">
        <f t="shared" si="51"/>
        <v>0</v>
      </c>
      <c r="J460">
        <f t="shared" si="52"/>
        <v>17</v>
      </c>
      <c r="K460">
        <f t="shared" si="53"/>
        <v>0</v>
      </c>
      <c r="L460">
        <f t="shared" si="54"/>
        <v>0</v>
      </c>
      <c r="M460" t="str">
        <f t="shared" si="55"/>
        <v>C</v>
      </c>
    </row>
    <row r="461" spans="1:13" x14ac:dyDescent="0.45">
      <c r="A461">
        <v>460</v>
      </c>
      <c r="B461">
        <v>20</v>
      </c>
      <c r="C461">
        <v>0</v>
      </c>
      <c r="D461">
        <v>0</v>
      </c>
      <c r="E461">
        <v>0</v>
      </c>
      <c r="F461">
        <v>460</v>
      </c>
      <c r="G461">
        <f t="shared" si="50"/>
        <v>0</v>
      </c>
      <c r="H461">
        <f t="shared" si="56"/>
        <v>0</v>
      </c>
      <c r="I461">
        <f t="shared" si="51"/>
        <v>1</v>
      </c>
      <c r="J461">
        <f t="shared" si="52"/>
        <v>1</v>
      </c>
      <c r="K461">
        <f t="shared" si="53"/>
        <v>0</v>
      </c>
      <c r="L461">
        <f t="shared" si="54"/>
        <v>0</v>
      </c>
      <c r="M461" t="str">
        <f t="shared" si="55"/>
        <v>C</v>
      </c>
    </row>
    <row r="462" spans="1:13" x14ac:dyDescent="0.45">
      <c r="A462">
        <v>461</v>
      </c>
      <c r="B462">
        <v>22.1</v>
      </c>
      <c r="C462">
        <v>1</v>
      </c>
      <c r="D462">
        <v>0</v>
      </c>
      <c r="E462">
        <v>0</v>
      </c>
      <c r="F462">
        <v>461</v>
      </c>
      <c r="G462" t="str">
        <f t="shared" si="50"/>
        <v>C</v>
      </c>
      <c r="H462">
        <f t="shared" si="56"/>
        <v>1</v>
      </c>
      <c r="I462">
        <f t="shared" si="51"/>
        <v>0</v>
      </c>
      <c r="J462">
        <f t="shared" si="52"/>
        <v>1</v>
      </c>
      <c r="K462">
        <f t="shared" si="53"/>
        <v>1</v>
      </c>
      <c r="L462">
        <f t="shared" si="54"/>
        <v>0</v>
      </c>
      <c r="M462" t="str">
        <f t="shared" si="55"/>
        <v>C</v>
      </c>
    </row>
    <row r="463" spans="1:13" x14ac:dyDescent="0.45">
      <c r="A463">
        <v>462</v>
      </c>
      <c r="B463">
        <v>25</v>
      </c>
      <c r="C463">
        <v>4</v>
      </c>
      <c r="D463">
        <v>0</v>
      </c>
      <c r="E463">
        <v>0</v>
      </c>
      <c r="F463">
        <v>462</v>
      </c>
      <c r="G463" t="str">
        <f t="shared" si="50"/>
        <v>C</v>
      </c>
      <c r="H463">
        <f t="shared" si="56"/>
        <v>1</v>
      </c>
      <c r="I463">
        <f t="shared" si="51"/>
        <v>0</v>
      </c>
      <c r="J463">
        <f t="shared" si="52"/>
        <v>2</v>
      </c>
      <c r="K463">
        <f t="shared" si="53"/>
        <v>0</v>
      </c>
      <c r="L463">
        <f t="shared" si="54"/>
        <v>0</v>
      </c>
      <c r="M463" t="str">
        <f t="shared" si="55"/>
        <v>C</v>
      </c>
    </row>
    <row r="464" spans="1:13" x14ac:dyDescent="0.45">
      <c r="A464">
        <v>463</v>
      </c>
      <c r="B464">
        <v>27.7</v>
      </c>
      <c r="C464">
        <v>1</v>
      </c>
      <c r="D464">
        <v>0</v>
      </c>
      <c r="E464">
        <v>0</v>
      </c>
      <c r="F464">
        <v>463</v>
      </c>
      <c r="G464" t="str">
        <f t="shared" si="50"/>
        <v>C</v>
      </c>
      <c r="H464">
        <f t="shared" si="56"/>
        <v>1</v>
      </c>
      <c r="I464">
        <f t="shared" si="51"/>
        <v>0</v>
      </c>
      <c r="J464">
        <f t="shared" si="52"/>
        <v>3</v>
      </c>
      <c r="K464">
        <f t="shared" si="53"/>
        <v>0</v>
      </c>
      <c r="L464">
        <f t="shared" si="54"/>
        <v>0</v>
      </c>
      <c r="M464" t="str">
        <f t="shared" si="55"/>
        <v>C</v>
      </c>
    </row>
    <row r="465" spans="1:13" x14ac:dyDescent="0.45">
      <c r="A465">
        <v>464</v>
      </c>
      <c r="B465">
        <v>29.4</v>
      </c>
      <c r="C465">
        <v>12</v>
      </c>
      <c r="D465">
        <v>0</v>
      </c>
      <c r="E465">
        <v>0</v>
      </c>
      <c r="F465">
        <v>464</v>
      </c>
      <c r="G465" t="str">
        <f t="shared" si="50"/>
        <v>C</v>
      </c>
      <c r="H465">
        <f t="shared" si="56"/>
        <v>2</v>
      </c>
      <c r="I465">
        <f t="shared" si="51"/>
        <v>0</v>
      </c>
      <c r="J465">
        <f t="shared" si="52"/>
        <v>4</v>
      </c>
      <c r="K465">
        <f t="shared" si="53"/>
        <v>0</v>
      </c>
      <c r="L465">
        <f t="shared" si="54"/>
        <v>1</v>
      </c>
      <c r="M465" t="str">
        <f t="shared" si="55"/>
        <v>C</v>
      </c>
    </row>
    <row r="466" spans="1:13" x14ac:dyDescent="0.45">
      <c r="A466">
        <v>465</v>
      </c>
      <c r="B466">
        <v>29.5</v>
      </c>
      <c r="C466">
        <v>12</v>
      </c>
      <c r="D466">
        <v>0</v>
      </c>
      <c r="E466">
        <v>0</v>
      </c>
      <c r="F466">
        <v>465</v>
      </c>
      <c r="G466" t="str">
        <f t="shared" si="50"/>
        <v>C</v>
      </c>
      <c r="H466">
        <f t="shared" si="56"/>
        <v>2</v>
      </c>
      <c r="I466">
        <f t="shared" si="51"/>
        <v>0</v>
      </c>
      <c r="J466">
        <f t="shared" si="52"/>
        <v>5</v>
      </c>
      <c r="K466">
        <f t="shared" si="53"/>
        <v>0</v>
      </c>
      <c r="L466">
        <f t="shared" si="54"/>
        <v>0</v>
      </c>
      <c r="M466" t="str">
        <f t="shared" si="55"/>
        <v>C</v>
      </c>
    </row>
    <row r="467" spans="1:13" x14ac:dyDescent="0.45">
      <c r="A467">
        <v>466</v>
      </c>
      <c r="B467">
        <v>27.8</v>
      </c>
      <c r="C467">
        <v>8</v>
      </c>
      <c r="D467">
        <v>0</v>
      </c>
      <c r="E467">
        <v>0</v>
      </c>
      <c r="F467">
        <v>466</v>
      </c>
      <c r="G467" t="str">
        <f t="shared" si="50"/>
        <v>C</v>
      </c>
      <c r="H467">
        <f t="shared" si="56"/>
        <v>2</v>
      </c>
      <c r="I467">
        <f t="shared" si="51"/>
        <v>0</v>
      </c>
      <c r="J467">
        <f t="shared" si="52"/>
        <v>6</v>
      </c>
      <c r="K467">
        <f t="shared" si="53"/>
        <v>0</v>
      </c>
      <c r="L467">
        <f t="shared" si="54"/>
        <v>0</v>
      </c>
      <c r="M467" t="str">
        <f t="shared" si="55"/>
        <v>C</v>
      </c>
    </row>
    <row r="468" spans="1:13" x14ac:dyDescent="0.45">
      <c r="A468">
        <v>467</v>
      </c>
      <c r="B468">
        <v>24.9</v>
      </c>
      <c r="C468">
        <v>13</v>
      </c>
      <c r="D468">
        <v>0</v>
      </c>
      <c r="E468">
        <v>0</v>
      </c>
      <c r="F468">
        <v>467</v>
      </c>
      <c r="G468" t="str">
        <f t="shared" si="50"/>
        <v>C</v>
      </c>
      <c r="H468">
        <f t="shared" si="56"/>
        <v>3</v>
      </c>
      <c r="I468">
        <f t="shared" si="51"/>
        <v>0</v>
      </c>
      <c r="J468">
        <f t="shared" si="52"/>
        <v>7</v>
      </c>
      <c r="K468">
        <f t="shared" si="53"/>
        <v>0</v>
      </c>
      <c r="L468">
        <f t="shared" si="54"/>
        <v>0</v>
      </c>
      <c r="M468" t="str">
        <f t="shared" si="55"/>
        <v>C</v>
      </c>
    </row>
    <row r="469" spans="1:13" x14ac:dyDescent="0.45">
      <c r="A469">
        <v>468</v>
      </c>
      <c r="B469">
        <v>21.3</v>
      </c>
      <c r="C469">
        <v>18</v>
      </c>
      <c r="D469">
        <v>0</v>
      </c>
      <c r="E469">
        <v>0</v>
      </c>
      <c r="F469">
        <v>468</v>
      </c>
      <c r="G469" t="str">
        <f t="shared" si="50"/>
        <v>C</v>
      </c>
      <c r="H469">
        <f t="shared" si="56"/>
        <v>3</v>
      </c>
      <c r="I469">
        <f t="shared" si="51"/>
        <v>0</v>
      </c>
      <c r="J469">
        <f t="shared" si="52"/>
        <v>8</v>
      </c>
      <c r="K469">
        <f t="shared" si="53"/>
        <v>0</v>
      </c>
      <c r="L469">
        <f t="shared" si="54"/>
        <v>0</v>
      </c>
      <c r="M469" t="str">
        <f t="shared" si="55"/>
        <v>C</v>
      </c>
    </row>
    <row r="470" spans="1:13" x14ac:dyDescent="0.4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v>469</v>
      </c>
      <c r="G470" t="str">
        <f t="shared" si="50"/>
        <v>C</v>
      </c>
      <c r="H470">
        <f t="shared" si="56"/>
        <v>3</v>
      </c>
      <c r="I470">
        <f t="shared" si="51"/>
        <v>0</v>
      </c>
      <c r="J470">
        <f t="shared" si="52"/>
        <v>9</v>
      </c>
      <c r="K470">
        <f t="shared" si="53"/>
        <v>0</v>
      </c>
      <c r="L470">
        <f t="shared" si="54"/>
        <v>0</v>
      </c>
      <c r="M470" t="str">
        <f t="shared" si="55"/>
        <v>C</v>
      </c>
    </row>
    <row r="471" spans="1:13" x14ac:dyDescent="0.45">
      <c r="A471">
        <v>470</v>
      </c>
      <c r="B471">
        <v>15.9</v>
      </c>
      <c r="C471">
        <v>10</v>
      </c>
      <c r="D471">
        <v>0</v>
      </c>
      <c r="E471">
        <v>0</v>
      </c>
      <c r="F471">
        <v>470</v>
      </c>
      <c r="G471" t="str">
        <f t="shared" si="50"/>
        <v>C</v>
      </c>
      <c r="H471">
        <f t="shared" si="56"/>
        <v>4</v>
      </c>
      <c r="I471">
        <f t="shared" si="51"/>
        <v>0</v>
      </c>
      <c r="J471">
        <f t="shared" si="52"/>
        <v>10</v>
      </c>
      <c r="K471">
        <f t="shared" si="53"/>
        <v>0</v>
      </c>
      <c r="L471">
        <f t="shared" si="54"/>
        <v>0</v>
      </c>
      <c r="M471" t="str">
        <f t="shared" si="55"/>
        <v>C</v>
      </c>
    </row>
    <row r="472" spans="1:13" x14ac:dyDescent="0.45">
      <c r="A472">
        <v>471</v>
      </c>
      <c r="B472">
        <v>15.3</v>
      </c>
      <c r="C472">
        <v>7</v>
      </c>
      <c r="D472">
        <v>0</v>
      </c>
      <c r="E472">
        <v>0</v>
      </c>
      <c r="F472">
        <v>471</v>
      </c>
      <c r="G472" t="str">
        <f t="shared" si="50"/>
        <v>C</v>
      </c>
      <c r="H472">
        <f t="shared" si="56"/>
        <v>4</v>
      </c>
      <c r="I472">
        <f t="shared" si="51"/>
        <v>0</v>
      </c>
      <c r="J472">
        <f t="shared" si="52"/>
        <v>11</v>
      </c>
      <c r="K472">
        <f t="shared" si="53"/>
        <v>0</v>
      </c>
      <c r="L472">
        <f t="shared" si="54"/>
        <v>0</v>
      </c>
      <c r="M472" t="str">
        <f t="shared" si="55"/>
        <v>C</v>
      </c>
    </row>
    <row r="473" spans="1:13" x14ac:dyDescent="0.45">
      <c r="A473">
        <v>472</v>
      </c>
      <c r="B473">
        <v>16</v>
      </c>
      <c r="C473">
        <v>5</v>
      </c>
      <c r="D473">
        <v>0</v>
      </c>
      <c r="E473">
        <v>0</v>
      </c>
      <c r="F473">
        <v>472</v>
      </c>
      <c r="G473" t="str">
        <f t="shared" si="50"/>
        <v>C</v>
      </c>
      <c r="H473">
        <f t="shared" si="56"/>
        <v>4</v>
      </c>
      <c r="I473">
        <f t="shared" si="51"/>
        <v>0</v>
      </c>
      <c r="J473">
        <f t="shared" si="52"/>
        <v>12</v>
      </c>
      <c r="K473">
        <f t="shared" si="53"/>
        <v>0</v>
      </c>
      <c r="L473">
        <f t="shared" si="54"/>
        <v>0</v>
      </c>
      <c r="M473" t="str">
        <f t="shared" si="55"/>
        <v>C</v>
      </c>
    </row>
    <row r="474" spans="1:13" x14ac:dyDescent="0.45">
      <c r="A474">
        <v>473</v>
      </c>
      <c r="B474">
        <v>17.5</v>
      </c>
      <c r="C474">
        <v>26</v>
      </c>
      <c r="D474">
        <v>0</v>
      </c>
      <c r="E474">
        <v>0</v>
      </c>
      <c r="F474">
        <v>473</v>
      </c>
      <c r="G474" t="str">
        <f t="shared" si="50"/>
        <v>C</v>
      </c>
      <c r="H474">
        <f t="shared" si="56"/>
        <v>5</v>
      </c>
      <c r="I474">
        <f t="shared" si="51"/>
        <v>0</v>
      </c>
      <c r="J474">
        <f t="shared" si="52"/>
        <v>13</v>
      </c>
      <c r="K474">
        <f t="shared" si="53"/>
        <v>0</v>
      </c>
      <c r="L474">
        <f t="shared" si="54"/>
        <v>0</v>
      </c>
      <c r="M474" t="str">
        <f t="shared" si="55"/>
        <v>C</v>
      </c>
    </row>
    <row r="475" spans="1:13" x14ac:dyDescent="0.45">
      <c r="A475">
        <v>474</v>
      </c>
      <c r="B475">
        <v>19</v>
      </c>
      <c r="C475">
        <v>0</v>
      </c>
      <c r="D475">
        <v>0</v>
      </c>
      <c r="E475">
        <v>0</v>
      </c>
      <c r="F475">
        <v>474</v>
      </c>
      <c r="G475">
        <f t="shared" si="50"/>
        <v>0</v>
      </c>
      <c r="H475">
        <f t="shared" si="56"/>
        <v>0</v>
      </c>
      <c r="I475">
        <f t="shared" si="51"/>
        <v>1</v>
      </c>
      <c r="J475">
        <f t="shared" si="52"/>
        <v>1</v>
      </c>
      <c r="K475">
        <f t="shared" si="53"/>
        <v>0</v>
      </c>
      <c r="L475">
        <f t="shared" si="54"/>
        <v>0</v>
      </c>
      <c r="M475" t="str">
        <f t="shared" si="55"/>
        <v>C</v>
      </c>
    </row>
    <row r="476" spans="1:13" x14ac:dyDescent="0.45">
      <c r="A476">
        <v>475</v>
      </c>
      <c r="B476">
        <v>19.5</v>
      </c>
      <c r="C476">
        <v>2</v>
      </c>
      <c r="D476">
        <v>0</v>
      </c>
      <c r="E476">
        <v>0</v>
      </c>
      <c r="F476">
        <v>475</v>
      </c>
      <c r="G476" t="str">
        <f t="shared" si="50"/>
        <v>C</v>
      </c>
      <c r="H476">
        <f t="shared" si="56"/>
        <v>1</v>
      </c>
      <c r="I476">
        <f t="shared" si="51"/>
        <v>0</v>
      </c>
      <c r="J476">
        <f t="shared" si="52"/>
        <v>1</v>
      </c>
      <c r="K476">
        <f t="shared" si="53"/>
        <v>1</v>
      </c>
      <c r="L476">
        <f t="shared" si="54"/>
        <v>0</v>
      </c>
      <c r="M476" t="str">
        <f t="shared" si="55"/>
        <v>C</v>
      </c>
    </row>
    <row r="477" spans="1:13" x14ac:dyDescent="0.45">
      <c r="A477">
        <v>476</v>
      </c>
      <c r="B477">
        <v>18.7</v>
      </c>
      <c r="C477">
        <v>6</v>
      </c>
      <c r="D477">
        <v>0</v>
      </c>
      <c r="E477">
        <v>0</v>
      </c>
      <c r="F477">
        <v>476</v>
      </c>
      <c r="G477" t="str">
        <f t="shared" si="50"/>
        <v>C</v>
      </c>
      <c r="H477">
        <f t="shared" si="56"/>
        <v>1</v>
      </c>
      <c r="I477">
        <f t="shared" si="51"/>
        <v>0</v>
      </c>
      <c r="J477">
        <f t="shared" si="52"/>
        <v>2</v>
      </c>
      <c r="K477">
        <f t="shared" si="53"/>
        <v>0</v>
      </c>
      <c r="L477">
        <f t="shared" si="54"/>
        <v>0</v>
      </c>
      <c r="M477" t="str">
        <f t="shared" si="55"/>
        <v>C</v>
      </c>
    </row>
    <row r="478" spans="1:13" x14ac:dyDescent="0.45">
      <c r="A478">
        <v>477</v>
      </c>
      <c r="B478">
        <v>16.3</v>
      </c>
      <c r="C478">
        <v>5</v>
      </c>
      <c r="D478">
        <v>0</v>
      </c>
      <c r="E478">
        <v>0</v>
      </c>
      <c r="F478">
        <v>477</v>
      </c>
      <c r="G478" t="str">
        <f t="shared" si="50"/>
        <v>C</v>
      </c>
      <c r="H478">
        <f t="shared" si="56"/>
        <v>1</v>
      </c>
      <c r="I478">
        <f t="shared" si="51"/>
        <v>0</v>
      </c>
      <c r="J478">
        <f t="shared" si="52"/>
        <v>3</v>
      </c>
      <c r="K478">
        <f t="shared" si="53"/>
        <v>0</v>
      </c>
      <c r="L478">
        <f t="shared" si="54"/>
        <v>0</v>
      </c>
      <c r="M478" t="str">
        <f t="shared" si="55"/>
        <v>C</v>
      </c>
    </row>
    <row r="479" spans="1:13" x14ac:dyDescent="0.45">
      <c r="A479">
        <v>478</v>
      </c>
      <c r="B479">
        <v>12.7</v>
      </c>
      <c r="C479">
        <v>6</v>
      </c>
      <c r="D479">
        <v>0</v>
      </c>
      <c r="E479">
        <v>0</v>
      </c>
      <c r="F479">
        <v>478</v>
      </c>
      <c r="G479" t="str">
        <f t="shared" si="50"/>
        <v>C</v>
      </c>
      <c r="H479">
        <f t="shared" si="56"/>
        <v>2</v>
      </c>
      <c r="I479">
        <f t="shared" si="51"/>
        <v>0</v>
      </c>
      <c r="J479">
        <f t="shared" si="52"/>
        <v>4</v>
      </c>
      <c r="K479">
        <f t="shared" si="53"/>
        <v>0</v>
      </c>
      <c r="L479">
        <f t="shared" si="54"/>
        <v>1</v>
      </c>
      <c r="M479" t="str">
        <f t="shared" si="55"/>
        <v>C</v>
      </c>
    </row>
    <row r="480" spans="1:13" x14ac:dyDescent="0.4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v>479</v>
      </c>
      <c r="G480" t="str">
        <f t="shared" si="50"/>
        <v>C</v>
      </c>
      <c r="H480">
        <f t="shared" si="56"/>
        <v>2</v>
      </c>
      <c r="I480">
        <f t="shared" si="51"/>
        <v>0</v>
      </c>
      <c r="J480">
        <f t="shared" si="52"/>
        <v>5</v>
      </c>
      <c r="K480">
        <f t="shared" si="53"/>
        <v>0</v>
      </c>
      <c r="L480">
        <f t="shared" si="54"/>
        <v>0</v>
      </c>
      <c r="M480" t="str">
        <f t="shared" si="55"/>
        <v>S</v>
      </c>
    </row>
    <row r="481" spans="1:13" x14ac:dyDescent="0.45">
      <c r="A481">
        <v>480</v>
      </c>
      <c r="B481">
        <v>5.3</v>
      </c>
      <c r="C481">
        <v>2</v>
      </c>
      <c r="D481">
        <v>0</v>
      </c>
      <c r="E481">
        <v>0</v>
      </c>
      <c r="F481">
        <v>480</v>
      </c>
      <c r="G481" t="str">
        <f t="shared" si="50"/>
        <v>C</v>
      </c>
      <c r="H481">
        <f t="shared" si="56"/>
        <v>2</v>
      </c>
      <c r="I481">
        <f t="shared" si="51"/>
        <v>0</v>
      </c>
      <c r="J481">
        <f t="shared" si="52"/>
        <v>6</v>
      </c>
      <c r="K481">
        <f t="shared" si="53"/>
        <v>0</v>
      </c>
      <c r="L481">
        <f t="shared" si="54"/>
        <v>0</v>
      </c>
      <c r="M481" t="str">
        <f t="shared" si="55"/>
        <v>S</v>
      </c>
    </row>
    <row r="482" spans="1:13" x14ac:dyDescent="0.45">
      <c r="A482">
        <v>481</v>
      </c>
      <c r="B482">
        <v>3.2</v>
      </c>
      <c r="C482">
        <v>7</v>
      </c>
      <c r="D482">
        <v>0</v>
      </c>
      <c r="E482">
        <v>0</v>
      </c>
      <c r="F482">
        <v>481</v>
      </c>
      <c r="G482" t="str">
        <f t="shared" si="50"/>
        <v>C</v>
      </c>
      <c r="H482">
        <f t="shared" si="56"/>
        <v>3</v>
      </c>
      <c r="I482">
        <f t="shared" si="51"/>
        <v>0</v>
      </c>
      <c r="J482">
        <f t="shared" si="52"/>
        <v>7</v>
      </c>
      <c r="K482">
        <f t="shared" si="53"/>
        <v>0</v>
      </c>
      <c r="L482">
        <f t="shared" si="54"/>
        <v>0</v>
      </c>
      <c r="M482" t="str">
        <f t="shared" si="55"/>
        <v>S</v>
      </c>
    </row>
    <row r="483" spans="1:13" x14ac:dyDescent="0.45">
      <c r="A483">
        <v>482</v>
      </c>
      <c r="B483">
        <v>2.7</v>
      </c>
      <c r="C483">
        <v>7</v>
      </c>
      <c r="D483">
        <v>0</v>
      </c>
      <c r="E483">
        <v>0</v>
      </c>
      <c r="F483">
        <v>482</v>
      </c>
      <c r="G483" t="str">
        <f t="shared" si="50"/>
        <v>C</v>
      </c>
      <c r="H483">
        <f t="shared" si="56"/>
        <v>3</v>
      </c>
      <c r="I483">
        <f t="shared" si="51"/>
        <v>0</v>
      </c>
      <c r="J483">
        <f t="shared" si="52"/>
        <v>8</v>
      </c>
      <c r="K483">
        <f t="shared" si="53"/>
        <v>0</v>
      </c>
      <c r="L483">
        <f t="shared" si="54"/>
        <v>0</v>
      </c>
      <c r="M483" t="str">
        <f t="shared" si="55"/>
        <v>S</v>
      </c>
    </row>
    <row r="484" spans="1:13" x14ac:dyDescent="0.45">
      <c r="A484">
        <v>483</v>
      </c>
      <c r="B484">
        <v>3.9</v>
      </c>
      <c r="C484">
        <v>8</v>
      </c>
      <c r="D484">
        <v>0</v>
      </c>
      <c r="E484">
        <v>0</v>
      </c>
      <c r="F484">
        <v>483</v>
      </c>
      <c r="G484" t="str">
        <f t="shared" si="50"/>
        <v>C</v>
      </c>
      <c r="H484">
        <f t="shared" si="56"/>
        <v>3</v>
      </c>
      <c r="I484">
        <f t="shared" si="51"/>
        <v>0</v>
      </c>
      <c r="J484">
        <f t="shared" si="52"/>
        <v>9</v>
      </c>
      <c r="K484">
        <f t="shared" si="53"/>
        <v>0</v>
      </c>
      <c r="L484">
        <f t="shared" si="54"/>
        <v>0</v>
      </c>
      <c r="M484" t="str">
        <f t="shared" si="55"/>
        <v>S</v>
      </c>
    </row>
    <row r="485" spans="1:13" x14ac:dyDescent="0.45">
      <c r="A485">
        <v>484</v>
      </c>
      <c r="B485">
        <v>6</v>
      </c>
      <c r="C485">
        <v>18</v>
      </c>
      <c r="D485">
        <v>0</v>
      </c>
      <c r="E485">
        <v>0</v>
      </c>
      <c r="F485">
        <v>484</v>
      </c>
      <c r="G485" t="str">
        <f t="shared" si="50"/>
        <v>C</v>
      </c>
      <c r="H485">
        <f t="shared" si="56"/>
        <v>4</v>
      </c>
      <c r="I485">
        <f t="shared" si="51"/>
        <v>0</v>
      </c>
      <c r="J485">
        <f t="shared" si="52"/>
        <v>10</v>
      </c>
      <c r="K485">
        <f t="shared" si="53"/>
        <v>0</v>
      </c>
      <c r="L485">
        <f t="shared" si="54"/>
        <v>0</v>
      </c>
      <c r="M485" t="str">
        <f t="shared" si="55"/>
        <v>S</v>
      </c>
    </row>
    <row r="486" spans="1:13" x14ac:dyDescent="0.4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v>485</v>
      </c>
      <c r="G486" t="str">
        <f t="shared" si="50"/>
        <v>C</v>
      </c>
      <c r="H486">
        <f t="shared" si="56"/>
        <v>4</v>
      </c>
      <c r="I486">
        <f t="shared" si="51"/>
        <v>0</v>
      </c>
      <c r="J486">
        <f t="shared" si="52"/>
        <v>11</v>
      </c>
      <c r="K486">
        <f t="shared" si="53"/>
        <v>0</v>
      </c>
      <c r="L486">
        <f t="shared" si="54"/>
        <v>0</v>
      </c>
      <c r="M486" t="str">
        <f t="shared" si="55"/>
        <v>S</v>
      </c>
    </row>
    <row r="487" spans="1:13" x14ac:dyDescent="0.4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v>486</v>
      </c>
      <c r="G487" t="str">
        <f t="shared" si="50"/>
        <v>C</v>
      </c>
      <c r="H487">
        <f t="shared" si="56"/>
        <v>4</v>
      </c>
      <c r="I487">
        <f t="shared" si="51"/>
        <v>0</v>
      </c>
      <c r="J487">
        <f t="shared" si="52"/>
        <v>12</v>
      </c>
      <c r="K487">
        <f t="shared" si="53"/>
        <v>0</v>
      </c>
      <c r="L487">
        <f t="shared" si="54"/>
        <v>0</v>
      </c>
      <c r="M487" t="str">
        <f t="shared" si="55"/>
        <v>S</v>
      </c>
    </row>
    <row r="488" spans="1:13" x14ac:dyDescent="0.45">
      <c r="A488">
        <v>487</v>
      </c>
      <c r="B488">
        <v>10</v>
      </c>
      <c r="C488">
        <v>11</v>
      </c>
      <c r="D488">
        <v>0</v>
      </c>
      <c r="E488">
        <v>0</v>
      </c>
      <c r="F488">
        <v>487</v>
      </c>
      <c r="G488" t="str">
        <f t="shared" si="50"/>
        <v>C</v>
      </c>
      <c r="H488">
        <f t="shared" si="56"/>
        <v>5</v>
      </c>
      <c r="I488">
        <f t="shared" si="51"/>
        <v>0</v>
      </c>
      <c r="J488">
        <f t="shared" si="52"/>
        <v>13</v>
      </c>
      <c r="K488">
        <f t="shared" si="53"/>
        <v>0</v>
      </c>
      <c r="L488">
        <f t="shared" si="54"/>
        <v>0</v>
      </c>
      <c r="M488" t="str">
        <f t="shared" si="55"/>
        <v>C</v>
      </c>
    </row>
    <row r="489" spans="1:13" x14ac:dyDescent="0.4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v>488</v>
      </c>
      <c r="G489" t="str">
        <f t="shared" si="50"/>
        <v>C</v>
      </c>
      <c r="H489">
        <f t="shared" si="56"/>
        <v>5</v>
      </c>
      <c r="I489">
        <f t="shared" si="51"/>
        <v>0</v>
      </c>
      <c r="J489">
        <f t="shared" si="52"/>
        <v>14</v>
      </c>
      <c r="K489">
        <f t="shared" si="53"/>
        <v>0</v>
      </c>
      <c r="L489">
        <f t="shared" si="54"/>
        <v>0</v>
      </c>
      <c r="M489" t="str">
        <f t="shared" si="55"/>
        <v>S</v>
      </c>
    </row>
    <row r="490" spans="1:13" x14ac:dyDescent="0.45">
      <c r="A490">
        <v>489</v>
      </c>
      <c r="B490">
        <v>6.6</v>
      </c>
      <c r="C490">
        <v>22</v>
      </c>
      <c r="D490">
        <v>0</v>
      </c>
      <c r="E490">
        <v>0</v>
      </c>
      <c r="F490">
        <v>489</v>
      </c>
      <c r="G490" t="str">
        <f t="shared" si="50"/>
        <v>C</v>
      </c>
      <c r="H490">
        <f t="shared" si="56"/>
        <v>5</v>
      </c>
      <c r="I490">
        <f t="shared" si="51"/>
        <v>0</v>
      </c>
      <c r="J490">
        <f t="shared" si="52"/>
        <v>15</v>
      </c>
      <c r="K490">
        <f t="shared" si="53"/>
        <v>0</v>
      </c>
      <c r="L490">
        <f t="shared" si="54"/>
        <v>0</v>
      </c>
      <c r="M490" t="str">
        <f t="shared" si="55"/>
        <v>S</v>
      </c>
    </row>
    <row r="491" spans="1:13" x14ac:dyDescent="0.4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v>490</v>
      </c>
      <c r="G491">
        <f t="shared" si="50"/>
        <v>0</v>
      </c>
      <c r="H491">
        <f t="shared" si="56"/>
        <v>0</v>
      </c>
      <c r="I491">
        <f t="shared" si="51"/>
        <v>1</v>
      </c>
      <c r="J491">
        <f t="shared" si="52"/>
        <v>1</v>
      </c>
      <c r="K491">
        <f t="shared" si="53"/>
        <v>0</v>
      </c>
      <c r="L491">
        <f t="shared" si="54"/>
        <v>0</v>
      </c>
      <c r="M491" t="str">
        <f t="shared" si="55"/>
        <v>S</v>
      </c>
    </row>
    <row r="492" spans="1:13" x14ac:dyDescent="0.4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v>491</v>
      </c>
      <c r="G492" t="str">
        <f t="shared" si="50"/>
        <v>S</v>
      </c>
      <c r="H492">
        <f t="shared" si="56"/>
        <v>1</v>
      </c>
      <c r="I492">
        <f t="shared" si="51"/>
        <v>0</v>
      </c>
      <c r="J492">
        <f t="shared" si="52"/>
        <v>1</v>
      </c>
      <c r="K492">
        <f t="shared" si="53"/>
        <v>1</v>
      </c>
      <c r="L492">
        <f t="shared" si="54"/>
        <v>0</v>
      </c>
      <c r="M492" t="str">
        <f t="shared" si="55"/>
        <v>S</v>
      </c>
    </row>
    <row r="493" spans="1:13" x14ac:dyDescent="0.45">
      <c r="A493">
        <v>492</v>
      </c>
      <c r="B493">
        <v>1.6</v>
      </c>
      <c r="C493">
        <v>4</v>
      </c>
      <c r="D493">
        <v>0</v>
      </c>
      <c r="E493">
        <v>0</v>
      </c>
      <c r="F493">
        <v>492</v>
      </c>
      <c r="G493" t="str">
        <f t="shared" si="50"/>
        <v>S</v>
      </c>
      <c r="H493">
        <f t="shared" si="56"/>
        <v>1</v>
      </c>
      <c r="I493">
        <f t="shared" si="51"/>
        <v>0</v>
      </c>
      <c r="J493">
        <f t="shared" si="52"/>
        <v>2</v>
      </c>
      <c r="K493">
        <f t="shared" si="53"/>
        <v>0</v>
      </c>
      <c r="L493">
        <f t="shared" si="54"/>
        <v>0</v>
      </c>
      <c r="M493" t="str">
        <f t="shared" si="55"/>
        <v>S</v>
      </c>
    </row>
    <row r="494" spans="1:13" x14ac:dyDescent="0.45">
      <c r="A494">
        <v>493</v>
      </c>
      <c r="B494">
        <v>2.7</v>
      </c>
      <c r="C494">
        <v>1</v>
      </c>
      <c r="D494">
        <v>0</v>
      </c>
      <c r="E494">
        <v>0</v>
      </c>
      <c r="F494">
        <v>493</v>
      </c>
      <c r="G494" t="str">
        <f t="shared" si="50"/>
        <v>S</v>
      </c>
      <c r="H494">
        <f t="shared" si="56"/>
        <v>1</v>
      </c>
      <c r="I494">
        <f t="shared" si="51"/>
        <v>0</v>
      </c>
      <c r="J494">
        <f t="shared" si="52"/>
        <v>3</v>
      </c>
      <c r="K494">
        <f t="shared" si="53"/>
        <v>0</v>
      </c>
      <c r="L494">
        <f t="shared" si="54"/>
        <v>0</v>
      </c>
      <c r="M494" t="str">
        <f t="shared" si="55"/>
        <v>S</v>
      </c>
    </row>
    <row r="495" spans="1:13" x14ac:dyDescent="0.45">
      <c r="A495">
        <v>494</v>
      </c>
      <c r="B495">
        <v>5.4</v>
      </c>
      <c r="C495">
        <v>9</v>
      </c>
      <c r="D495">
        <v>0</v>
      </c>
      <c r="E495">
        <v>0</v>
      </c>
      <c r="F495">
        <v>494</v>
      </c>
      <c r="G495" t="str">
        <f t="shared" si="50"/>
        <v>S</v>
      </c>
      <c r="H495">
        <f t="shared" si="56"/>
        <v>2</v>
      </c>
      <c r="I495">
        <f t="shared" si="51"/>
        <v>0</v>
      </c>
      <c r="J495">
        <f t="shared" si="52"/>
        <v>4</v>
      </c>
      <c r="K495">
        <f t="shared" si="53"/>
        <v>0</v>
      </c>
      <c r="L495">
        <f t="shared" si="54"/>
        <v>1</v>
      </c>
      <c r="M495" t="str">
        <f t="shared" si="55"/>
        <v>S</v>
      </c>
    </row>
    <row r="496" spans="1:13" x14ac:dyDescent="0.45">
      <c r="A496">
        <v>495</v>
      </c>
      <c r="B496">
        <v>9.1</v>
      </c>
      <c r="C496">
        <v>11</v>
      </c>
      <c r="D496">
        <v>0</v>
      </c>
      <c r="E496">
        <v>0</v>
      </c>
      <c r="F496">
        <v>495</v>
      </c>
      <c r="G496" t="str">
        <f t="shared" si="50"/>
        <v>S</v>
      </c>
      <c r="H496">
        <f t="shared" si="56"/>
        <v>2</v>
      </c>
      <c r="I496">
        <f t="shared" si="51"/>
        <v>0</v>
      </c>
      <c r="J496">
        <f t="shared" si="52"/>
        <v>5</v>
      </c>
      <c r="K496">
        <f t="shared" si="53"/>
        <v>0</v>
      </c>
      <c r="L496">
        <f t="shared" si="54"/>
        <v>0</v>
      </c>
      <c r="M496" t="str">
        <f t="shared" si="55"/>
        <v>S</v>
      </c>
    </row>
    <row r="497" spans="1:13" x14ac:dyDescent="0.45">
      <c r="A497">
        <v>496</v>
      </c>
      <c r="B497">
        <v>12.9</v>
      </c>
      <c r="C497">
        <v>8</v>
      </c>
      <c r="D497">
        <v>0</v>
      </c>
      <c r="E497">
        <v>0</v>
      </c>
      <c r="F497">
        <v>496</v>
      </c>
      <c r="G497" t="str">
        <f t="shared" si="50"/>
        <v>S</v>
      </c>
      <c r="H497">
        <f t="shared" si="56"/>
        <v>2</v>
      </c>
      <c r="I497">
        <f t="shared" si="51"/>
        <v>0</v>
      </c>
      <c r="J497">
        <f t="shared" si="52"/>
        <v>6</v>
      </c>
      <c r="K497">
        <f t="shared" si="53"/>
        <v>0</v>
      </c>
      <c r="L497">
        <f t="shared" si="54"/>
        <v>0</v>
      </c>
      <c r="M497" t="str">
        <f t="shared" si="55"/>
        <v>C</v>
      </c>
    </row>
    <row r="498" spans="1:13" x14ac:dyDescent="0.45">
      <c r="A498">
        <v>497</v>
      </c>
      <c r="B498">
        <v>15.9</v>
      </c>
      <c r="C498">
        <v>16</v>
      </c>
      <c r="D498">
        <v>0</v>
      </c>
      <c r="E498">
        <v>0</v>
      </c>
      <c r="F498">
        <v>497</v>
      </c>
      <c r="G498" t="str">
        <f t="shared" si="50"/>
        <v>S</v>
      </c>
      <c r="H498">
        <f t="shared" si="56"/>
        <v>3</v>
      </c>
      <c r="I498">
        <f t="shared" si="51"/>
        <v>0</v>
      </c>
      <c r="J498">
        <f t="shared" si="52"/>
        <v>7</v>
      </c>
      <c r="K498">
        <f t="shared" si="53"/>
        <v>0</v>
      </c>
      <c r="L498">
        <f t="shared" si="54"/>
        <v>0</v>
      </c>
      <c r="M498" t="str">
        <f t="shared" si="55"/>
        <v>C</v>
      </c>
    </row>
    <row r="499" spans="1:13" x14ac:dyDescent="0.45">
      <c r="A499">
        <v>498</v>
      </c>
      <c r="B499">
        <v>17.5</v>
      </c>
      <c r="C499">
        <v>15</v>
      </c>
      <c r="D499">
        <v>0</v>
      </c>
      <c r="E499">
        <v>0</v>
      </c>
      <c r="F499">
        <v>498</v>
      </c>
      <c r="G499" t="str">
        <f t="shared" si="50"/>
        <v>S</v>
      </c>
      <c r="H499">
        <f t="shared" si="56"/>
        <v>3</v>
      </c>
      <c r="I499">
        <f t="shared" si="51"/>
        <v>0</v>
      </c>
      <c r="J499">
        <f t="shared" si="52"/>
        <v>8</v>
      </c>
      <c r="K499">
        <f t="shared" si="53"/>
        <v>0</v>
      </c>
      <c r="L499">
        <f t="shared" si="54"/>
        <v>0</v>
      </c>
      <c r="M499" t="str">
        <f t="shared" si="55"/>
        <v>C</v>
      </c>
    </row>
    <row r="500" spans="1:13" x14ac:dyDescent="0.45">
      <c r="A500">
        <v>499</v>
      </c>
      <c r="B500">
        <v>17.5</v>
      </c>
      <c r="C500">
        <v>8</v>
      </c>
      <c r="D500">
        <v>0</v>
      </c>
      <c r="E500">
        <v>0</v>
      </c>
      <c r="F500">
        <v>499</v>
      </c>
      <c r="G500" t="str">
        <f t="shared" si="50"/>
        <v>S</v>
      </c>
      <c r="H500">
        <f t="shared" si="56"/>
        <v>3</v>
      </c>
      <c r="I500">
        <f t="shared" si="51"/>
        <v>0</v>
      </c>
      <c r="J500">
        <f t="shared" si="52"/>
        <v>9</v>
      </c>
      <c r="K500">
        <f t="shared" si="53"/>
        <v>0</v>
      </c>
      <c r="L500">
        <f t="shared" si="54"/>
        <v>0</v>
      </c>
      <c r="M500" t="str">
        <f t="shared" si="55"/>
        <v>C</v>
      </c>
    </row>
    <row r="501" spans="1:13" x14ac:dyDescent="0.4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v>500</v>
      </c>
      <c r="G501" t="str">
        <f t="shared" si="50"/>
        <v>S</v>
      </c>
      <c r="H501">
        <f t="shared" si="56"/>
        <v>4</v>
      </c>
      <c r="I501">
        <f t="shared" si="51"/>
        <v>0</v>
      </c>
      <c r="J501">
        <f t="shared" si="52"/>
        <v>10</v>
      </c>
      <c r="K501">
        <f t="shared" si="53"/>
        <v>0</v>
      </c>
      <c r="L501">
        <f t="shared" si="54"/>
        <v>0</v>
      </c>
      <c r="M501" t="str">
        <f t="shared" si="55"/>
        <v>C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A822-0334-41A5-8E20-D8BBF8A46081}">
  <dimension ref="A1:Q301"/>
  <sheetViews>
    <sheetView workbookViewId="0">
      <selection activeCell="Q3" sqref="Q3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  <col min="7" max="7" width="14.265625" bestFit="1" customWidth="1"/>
    <col min="8" max="8" width="13.73046875" bestFit="1" customWidth="1"/>
    <col min="9" max="9" width="13.73046875" customWidth="1"/>
    <col min="11" max="11" width="10.73046875" bestFit="1" customWidth="1"/>
    <col min="12" max="12" width="12.863281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3</v>
      </c>
      <c r="H1" t="s">
        <v>4</v>
      </c>
      <c r="I1" t="s">
        <v>30</v>
      </c>
      <c r="J1" t="s">
        <v>29</v>
      </c>
      <c r="K1" t="s">
        <v>31</v>
      </c>
      <c r="L1" t="s">
        <v>32</v>
      </c>
      <c r="M1" t="s">
        <v>12</v>
      </c>
      <c r="O1">
        <v>2</v>
      </c>
      <c r="P1" t="s">
        <v>9</v>
      </c>
    </row>
    <row r="2" spans="1:17" x14ac:dyDescent="0.45">
      <c r="A2">
        <v>1</v>
      </c>
      <c r="B2">
        <v>19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M2" t="str">
        <f>IF(B2&lt;10,"S","C")</f>
        <v>C</v>
      </c>
      <c r="O2">
        <f>IF(H2=E2,1,0)</f>
        <v>1</v>
      </c>
      <c r="P2">
        <f>SUM(N2:O2)</f>
        <v>1</v>
      </c>
      <c r="Q2">
        <f>COUNTIF(P2:P301,1)</f>
        <v>296</v>
      </c>
    </row>
    <row r="3" spans="1:17" x14ac:dyDescent="0.45">
      <c r="A3">
        <v>2</v>
      </c>
      <c r="B3">
        <v>22</v>
      </c>
      <c r="C3">
        <v>1</v>
      </c>
      <c r="D3" t="s">
        <v>5</v>
      </c>
      <c r="E3">
        <v>1</v>
      </c>
      <c r="F3">
        <v>2</v>
      </c>
      <c r="G3" t="str">
        <f>IF(I3=1,0, IF(K3=1,M3,G2))</f>
        <v>C</v>
      </c>
      <c r="H3">
        <f t="shared" ref="H3:H5" si="0">IF(I3=1,0,IF(K3=1,1,IF(MOD(J2,3)=0, IF(H2+1&gt;5,5,H2+1),H2)))</f>
        <v>1</v>
      </c>
      <c r="I3">
        <f>IF(AND(H2=5,C2&gt;=20),1,0)</f>
        <v>0</v>
      </c>
      <c r="J3">
        <f>IF(G3=G2,J2+1,1)</f>
        <v>1</v>
      </c>
      <c r="K3">
        <f>IF(AND(G2=0,H2=0),1,0)</f>
        <v>1</v>
      </c>
      <c r="L3">
        <f>IF(J2=3,1,0)</f>
        <v>0</v>
      </c>
      <c r="M3" t="str">
        <f>IF(B3&lt;10,"S","C")</f>
        <v>C</v>
      </c>
      <c r="O3">
        <f t="shared" ref="O3:O66" si="1">IF(H3=E3,1,0)</f>
        <v>1</v>
      </c>
      <c r="P3">
        <f t="shared" ref="P3:P66" si="2">SUM(N3:O3)</f>
        <v>1</v>
      </c>
    </row>
    <row r="4" spans="1:17" x14ac:dyDescent="0.45">
      <c r="A4">
        <v>3</v>
      </c>
      <c r="B4">
        <v>23.6</v>
      </c>
      <c r="C4">
        <v>4</v>
      </c>
      <c r="D4" t="s">
        <v>5</v>
      </c>
      <c r="E4">
        <v>1</v>
      </c>
      <c r="F4">
        <v>3</v>
      </c>
      <c r="G4" t="str">
        <f t="shared" ref="G4:G67" si="3">IF(I4=1,0, IF(K4=1,M4,G3))</f>
        <v>C</v>
      </c>
      <c r="H4">
        <f t="shared" si="0"/>
        <v>1</v>
      </c>
      <c r="I4">
        <f t="shared" ref="I4:I67" si="4">IF(AND(H3=5,C3&gt;=20),1,0)</f>
        <v>0</v>
      </c>
      <c r="J4">
        <f t="shared" ref="J4:J67" si="5">IF(G4=G3,J3+1,1)</f>
        <v>2</v>
      </c>
      <c r="K4">
        <f t="shared" ref="K4:K67" si="6">IF(AND(G3=0,H3=0),1,0)</f>
        <v>0</v>
      </c>
      <c r="L4">
        <f t="shared" ref="L4:L67" si="7">IF(J3=3,1,0)</f>
        <v>0</v>
      </c>
      <c r="M4" t="str">
        <f t="shared" ref="M4:M67" si="8">IF(B4&lt;10,"S","C")</f>
        <v>C</v>
      </c>
      <c r="O4">
        <f t="shared" si="1"/>
        <v>1</v>
      </c>
      <c r="P4">
        <f t="shared" si="2"/>
        <v>1</v>
      </c>
    </row>
    <row r="5" spans="1:17" x14ac:dyDescent="0.45">
      <c r="A5">
        <v>4</v>
      </c>
      <c r="B5">
        <v>23.6</v>
      </c>
      <c r="C5">
        <v>4</v>
      </c>
      <c r="D5" t="s">
        <v>5</v>
      </c>
      <c r="E5">
        <v>1</v>
      </c>
      <c r="F5">
        <v>4</v>
      </c>
      <c r="G5" t="str">
        <f t="shared" si="3"/>
        <v>C</v>
      </c>
      <c r="H5">
        <f t="shared" si="0"/>
        <v>1</v>
      </c>
      <c r="I5">
        <f t="shared" si="4"/>
        <v>0</v>
      </c>
      <c r="J5">
        <f t="shared" si="5"/>
        <v>3</v>
      </c>
      <c r="K5">
        <f t="shared" si="6"/>
        <v>0</v>
      </c>
      <c r="L5">
        <f t="shared" si="7"/>
        <v>0</v>
      </c>
      <c r="M5" t="str">
        <f t="shared" si="8"/>
        <v>C</v>
      </c>
      <c r="O5">
        <f t="shared" si="1"/>
        <v>1</v>
      </c>
      <c r="P5">
        <f t="shared" si="2"/>
        <v>1</v>
      </c>
    </row>
    <row r="6" spans="1:17" x14ac:dyDescent="0.45">
      <c r="A6">
        <v>5</v>
      </c>
      <c r="B6">
        <v>22.3</v>
      </c>
      <c r="C6">
        <v>10</v>
      </c>
      <c r="D6" t="s">
        <v>5</v>
      </c>
      <c r="E6">
        <v>2</v>
      </c>
      <c r="F6">
        <v>5</v>
      </c>
      <c r="G6" t="str">
        <f t="shared" si="3"/>
        <v>C</v>
      </c>
      <c r="H6">
        <f>IF(I6=1,0,IF(K6=1,1,IF(MOD(J5,3)=0, IF(H5+1&gt;5,5,H5+1),H5)))</f>
        <v>2</v>
      </c>
      <c r="I6">
        <f t="shared" si="4"/>
        <v>0</v>
      </c>
      <c r="J6">
        <f t="shared" si="5"/>
        <v>4</v>
      </c>
      <c r="K6">
        <f t="shared" si="6"/>
        <v>0</v>
      </c>
      <c r="L6">
        <f t="shared" si="7"/>
        <v>1</v>
      </c>
      <c r="M6" t="str">
        <f t="shared" si="8"/>
        <v>C</v>
      </c>
      <c r="O6">
        <f t="shared" si="1"/>
        <v>1</v>
      </c>
      <c r="P6">
        <f t="shared" si="2"/>
        <v>1</v>
      </c>
    </row>
    <row r="7" spans="1:17" x14ac:dyDescent="0.45">
      <c r="A7">
        <v>6</v>
      </c>
      <c r="B7">
        <v>20.399999999999999</v>
      </c>
      <c r="C7">
        <v>8</v>
      </c>
      <c r="D7" t="s">
        <v>5</v>
      </c>
      <c r="E7">
        <v>2</v>
      </c>
      <c r="F7">
        <v>6</v>
      </c>
      <c r="G7" t="str">
        <f t="shared" si="3"/>
        <v>C</v>
      </c>
      <c r="H7">
        <f t="shared" ref="H7:H70" si="9">IF(I7=1,0,IF(K7=1,1,IF(MOD(J6,3)=0, IF(H6+1&gt;5,5,H6+1),H6)))</f>
        <v>2</v>
      </c>
      <c r="I7">
        <f t="shared" si="4"/>
        <v>0</v>
      </c>
      <c r="J7">
        <f t="shared" si="5"/>
        <v>5</v>
      </c>
      <c r="K7">
        <f t="shared" si="6"/>
        <v>0</v>
      </c>
      <c r="L7">
        <f t="shared" si="7"/>
        <v>0</v>
      </c>
      <c r="M7" t="str">
        <f t="shared" si="8"/>
        <v>C</v>
      </c>
      <c r="O7">
        <f t="shared" si="1"/>
        <v>1</v>
      </c>
      <c r="P7">
        <f t="shared" si="2"/>
        <v>1</v>
      </c>
    </row>
    <row r="8" spans="1:17" x14ac:dyDescent="0.45">
      <c r="A8">
        <v>7</v>
      </c>
      <c r="B8">
        <v>18.899999999999999</v>
      </c>
      <c r="C8">
        <v>10</v>
      </c>
      <c r="D8" t="s">
        <v>5</v>
      </c>
      <c r="E8">
        <v>2</v>
      </c>
      <c r="F8">
        <v>7</v>
      </c>
      <c r="G8" t="str">
        <f t="shared" si="3"/>
        <v>C</v>
      </c>
      <c r="H8">
        <f t="shared" si="9"/>
        <v>2</v>
      </c>
      <c r="I8">
        <f t="shared" si="4"/>
        <v>0</v>
      </c>
      <c r="J8">
        <f t="shared" si="5"/>
        <v>6</v>
      </c>
      <c r="K8">
        <f t="shared" si="6"/>
        <v>0</v>
      </c>
      <c r="L8">
        <f t="shared" si="7"/>
        <v>0</v>
      </c>
      <c r="M8" t="str">
        <f t="shared" si="8"/>
        <v>C</v>
      </c>
      <c r="O8">
        <f t="shared" si="1"/>
        <v>1</v>
      </c>
      <c r="P8">
        <f t="shared" si="2"/>
        <v>1</v>
      </c>
    </row>
    <row r="9" spans="1:17" x14ac:dyDescent="0.45">
      <c r="A9">
        <v>8</v>
      </c>
      <c r="B9">
        <v>18.5</v>
      </c>
      <c r="C9">
        <v>11</v>
      </c>
      <c r="D9" t="s">
        <v>5</v>
      </c>
      <c r="E9">
        <v>3</v>
      </c>
      <c r="F9">
        <v>8</v>
      </c>
      <c r="G9" t="str">
        <f t="shared" si="3"/>
        <v>C</v>
      </c>
      <c r="H9">
        <f t="shared" si="9"/>
        <v>3</v>
      </c>
      <c r="I9">
        <f t="shared" si="4"/>
        <v>0</v>
      </c>
      <c r="J9">
        <f t="shared" si="5"/>
        <v>7</v>
      </c>
      <c r="K9">
        <f t="shared" si="6"/>
        <v>0</v>
      </c>
      <c r="L9">
        <f t="shared" si="7"/>
        <v>0</v>
      </c>
      <c r="M9" t="str">
        <f t="shared" si="8"/>
        <v>C</v>
      </c>
      <c r="O9">
        <f t="shared" si="1"/>
        <v>1</v>
      </c>
      <c r="P9">
        <f t="shared" si="2"/>
        <v>1</v>
      </c>
    </row>
    <row r="10" spans="1:17" x14ac:dyDescent="0.45">
      <c r="A10">
        <v>9</v>
      </c>
      <c r="B10">
        <v>19.5</v>
      </c>
      <c r="C10">
        <v>14</v>
      </c>
      <c r="D10" t="s">
        <v>5</v>
      </c>
      <c r="E10">
        <v>3</v>
      </c>
      <c r="F10">
        <v>9</v>
      </c>
      <c r="G10" t="str">
        <f t="shared" si="3"/>
        <v>C</v>
      </c>
      <c r="H10">
        <f t="shared" si="9"/>
        <v>3</v>
      </c>
      <c r="I10">
        <f t="shared" si="4"/>
        <v>0</v>
      </c>
      <c r="J10">
        <f t="shared" si="5"/>
        <v>8</v>
      </c>
      <c r="K10">
        <f t="shared" si="6"/>
        <v>0</v>
      </c>
      <c r="L10">
        <f t="shared" si="7"/>
        <v>0</v>
      </c>
      <c r="M10" t="str">
        <f t="shared" si="8"/>
        <v>C</v>
      </c>
      <c r="O10">
        <f t="shared" si="1"/>
        <v>1</v>
      </c>
      <c r="P10">
        <f t="shared" si="2"/>
        <v>1</v>
      </c>
    </row>
    <row r="11" spans="1:17" x14ac:dyDescent="0.45">
      <c r="A11">
        <v>10</v>
      </c>
      <c r="B11">
        <v>21.8</v>
      </c>
      <c r="C11">
        <v>15</v>
      </c>
      <c r="D11" t="s">
        <v>5</v>
      </c>
      <c r="E11">
        <v>3</v>
      </c>
      <c r="F11">
        <v>10</v>
      </c>
      <c r="G11" t="str">
        <f t="shared" si="3"/>
        <v>C</v>
      </c>
      <c r="H11">
        <f t="shared" si="9"/>
        <v>3</v>
      </c>
      <c r="I11">
        <f t="shared" si="4"/>
        <v>0</v>
      </c>
      <c r="J11">
        <f t="shared" si="5"/>
        <v>9</v>
      </c>
      <c r="K11">
        <f t="shared" si="6"/>
        <v>0</v>
      </c>
      <c r="L11">
        <f t="shared" si="7"/>
        <v>0</v>
      </c>
      <c r="M11" t="str">
        <f t="shared" si="8"/>
        <v>C</v>
      </c>
      <c r="O11">
        <f t="shared" si="1"/>
        <v>1</v>
      </c>
      <c r="P11">
        <f t="shared" si="2"/>
        <v>1</v>
      </c>
    </row>
    <row r="12" spans="1:17" x14ac:dyDescent="0.45">
      <c r="A12">
        <v>11</v>
      </c>
      <c r="B12">
        <v>24.8</v>
      </c>
      <c r="C12">
        <v>3</v>
      </c>
      <c r="D12" t="s">
        <v>5</v>
      </c>
      <c r="E12">
        <v>4</v>
      </c>
      <c r="F12">
        <v>11</v>
      </c>
      <c r="G12" t="str">
        <f t="shared" si="3"/>
        <v>C</v>
      </c>
      <c r="H12">
        <f t="shared" si="9"/>
        <v>4</v>
      </c>
      <c r="I12">
        <f t="shared" si="4"/>
        <v>0</v>
      </c>
      <c r="J12">
        <f t="shared" si="5"/>
        <v>10</v>
      </c>
      <c r="K12">
        <f t="shared" si="6"/>
        <v>0</v>
      </c>
      <c r="L12">
        <f t="shared" si="7"/>
        <v>0</v>
      </c>
      <c r="M12" t="str">
        <f t="shared" si="8"/>
        <v>C</v>
      </c>
      <c r="O12">
        <f t="shared" si="1"/>
        <v>1</v>
      </c>
      <c r="P12">
        <f t="shared" si="2"/>
        <v>1</v>
      </c>
    </row>
    <row r="13" spans="1:17" x14ac:dyDescent="0.45">
      <c r="A13">
        <v>12</v>
      </c>
      <c r="B13">
        <v>27.7</v>
      </c>
      <c r="C13">
        <v>23</v>
      </c>
      <c r="D13" t="s">
        <v>5</v>
      </c>
      <c r="E13">
        <v>4</v>
      </c>
      <c r="F13">
        <v>12</v>
      </c>
      <c r="G13" t="str">
        <f t="shared" si="3"/>
        <v>C</v>
      </c>
      <c r="H13">
        <f t="shared" si="9"/>
        <v>4</v>
      </c>
      <c r="I13">
        <f t="shared" si="4"/>
        <v>0</v>
      </c>
      <c r="J13">
        <f t="shared" si="5"/>
        <v>11</v>
      </c>
      <c r="K13">
        <f t="shared" si="6"/>
        <v>0</v>
      </c>
      <c r="L13">
        <f t="shared" si="7"/>
        <v>0</v>
      </c>
      <c r="M13" t="str">
        <f t="shared" si="8"/>
        <v>C</v>
      </c>
      <c r="O13">
        <f t="shared" si="1"/>
        <v>1</v>
      </c>
      <c r="P13">
        <f t="shared" si="2"/>
        <v>1</v>
      </c>
    </row>
    <row r="14" spans="1:17" x14ac:dyDescent="0.45">
      <c r="A14">
        <v>13</v>
      </c>
      <c r="B14">
        <v>29.5</v>
      </c>
      <c r="C14">
        <v>17</v>
      </c>
      <c r="D14" t="s">
        <v>5</v>
      </c>
      <c r="E14">
        <v>4</v>
      </c>
      <c r="F14">
        <v>13</v>
      </c>
      <c r="G14" t="str">
        <f t="shared" si="3"/>
        <v>C</v>
      </c>
      <c r="H14">
        <f t="shared" si="9"/>
        <v>4</v>
      </c>
      <c r="I14">
        <f t="shared" si="4"/>
        <v>0</v>
      </c>
      <c r="J14">
        <f t="shared" si="5"/>
        <v>12</v>
      </c>
      <c r="K14">
        <f t="shared" si="6"/>
        <v>0</v>
      </c>
      <c r="L14">
        <f t="shared" si="7"/>
        <v>0</v>
      </c>
      <c r="M14" t="str">
        <f t="shared" si="8"/>
        <v>C</v>
      </c>
      <c r="O14">
        <f t="shared" si="1"/>
        <v>1</v>
      </c>
      <c r="P14">
        <f t="shared" si="2"/>
        <v>1</v>
      </c>
    </row>
    <row r="15" spans="1:17" x14ac:dyDescent="0.45">
      <c r="A15">
        <v>14</v>
      </c>
      <c r="B15">
        <v>29.8</v>
      </c>
      <c r="C15">
        <v>15</v>
      </c>
      <c r="D15" t="s">
        <v>5</v>
      </c>
      <c r="E15">
        <v>5</v>
      </c>
      <c r="F15">
        <v>14</v>
      </c>
      <c r="G15" t="str">
        <f t="shared" si="3"/>
        <v>C</v>
      </c>
      <c r="H15">
        <f t="shared" si="9"/>
        <v>5</v>
      </c>
      <c r="I15">
        <f t="shared" si="4"/>
        <v>0</v>
      </c>
      <c r="J15">
        <f t="shared" si="5"/>
        <v>13</v>
      </c>
      <c r="K15">
        <f t="shared" si="6"/>
        <v>0</v>
      </c>
      <c r="L15">
        <f t="shared" si="7"/>
        <v>0</v>
      </c>
      <c r="M15" t="str">
        <f t="shared" si="8"/>
        <v>C</v>
      </c>
      <c r="O15">
        <f t="shared" si="1"/>
        <v>1</v>
      </c>
      <c r="P15">
        <f t="shared" si="2"/>
        <v>1</v>
      </c>
    </row>
    <row r="16" spans="1:17" x14ac:dyDescent="0.45">
      <c r="A16">
        <v>15</v>
      </c>
      <c r="B16">
        <v>28.3</v>
      </c>
      <c r="C16">
        <v>22</v>
      </c>
      <c r="D16" t="s">
        <v>5</v>
      </c>
      <c r="E16">
        <v>5</v>
      </c>
      <c r="F16">
        <v>15</v>
      </c>
      <c r="G16" t="str">
        <f t="shared" si="3"/>
        <v>C</v>
      </c>
      <c r="H16">
        <f t="shared" si="9"/>
        <v>5</v>
      </c>
      <c r="I16">
        <f t="shared" si="4"/>
        <v>0</v>
      </c>
      <c r="J16">
        <f t="shared" si="5"/>
        <v>14</v>
      </c>
      <c r="K16">
        <f t="shared" si="6"/>
        <v>0</v>
      </c>
      <c r="L16">
        <f t="shared" si="7"/>
        <v>0</v>
      </c>
      <c r="M16" t="str">
        <f t="shared" si="8"/>
        <v>C</v>
      </c>
      <c r="O16">
        <f t="shared" si="1"/>
        <v>1</v>
      </c>
      <c r="P16">
        <f t="shared" si="2"/>
        <v>1</v>
      </c>
    </row>
    <row r="17" spans="1:16" x14ac:dyDescent="0.45">
      <c r="A17">
        <v>16</v>
      </c>
      <c r="B17">
        <v>25.5</v>
      </c>
      <c r="C17">
        <v>0</v>
      </c>
      <c r="D17">
        <v>0</v>
      </c>
      <c r="E17">
        <v>0</v>
      </c>
      <c r="F17">
        <v>16</v>
      </c>
      <c r="G17">
        <f t="shared" si="3"/>
        <v>0</v>
      </c>
      <c r="H17">
        <f t="shared" si="9"/>
        <v>0</v>
      </c>
      <c r="I17">
        <f t="shared" si="4"/>
        <v>1</v>
      </c>
      <c r="J17">
        <f t="shared" si="5"/>
        <v>1</v>
      </c>
      <c r="K17">
        <f t="shared" si="6"/>
        <v>0</v>
      </c>
      <c r="L17">
        <f t="shared" si="7"/>
        <v>0</v>
      </c>
      <c r="M17" t="str">
        <f t="shared" si="8"/>
        <v>C</v>
      </c>
      <c r="O17">
        <f t="shared" si="1"/>
        <v>1</v>
      </c>
      <c r="P17">
        <f t="shared" si="2"/>
        <v>1</v>
      </c>
    </row>
    <row r="18" spans="1:16" x14ac:dyDescent="0.45">
      <c r="A18">
        <v>17</v>
      </c>
      <c r="B18">
        <v>22</v>
      </c>
      <c r="C18">
        <v>2</v>
      </c>
      <c r="D18" t="s">
        <v>5</v>
      </c>
      <c r="E18">
        <v>1</v>
      </c>
      <c r="F18">
        <v>17</v>
      </c>
      <c r="G18" t="str">
        <f t="shared" si="3"/>
        <v>C</v>
      </c>
      <c r="H18">
        <f t="shared" si="9"/>
        <v>1</v>
      </c>
      <c r="I18">
        <f t="shared" si="4"/>
        <v>0</v>
      </c>
      <c r="J18">
        <f t="shared" si="5"/>
        <v>1</v>
      </c>
      <c r="K18">
        <f t="shared" si="6"/>
        <v>1</v>
      </c>
      <c r="L18">
        <f t="shared" si="7"/>
        <v>0</v>
      </c>
      <c r="M18" t="str">
        <f t="shared" si="8"/>
        <v>C</v>
      </c>
      <c r="O18">
        <f t="shared" si="1"/>
        <v>1</v>
      </c>
      <c r="P18">
        <f t="shared" si="2"/>
        <v>1</v>
      </c>
    </row>
    <row r="19" spans="1:16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v>18</v>
      </c>
      <c r="G19" t="str">
        <f t="shared" si="3"/>
        <v>C</v>
      </c>
      <c r="H19">
        <f t="shared" si="9"/>
        <v>1</v>
      </c>
      <c r="I19">
        <f t="shared" si="4"/>
        <v>0</v>
      </c>
      <c r="J19">
        <f t="shared" si="5"/>
        <v>2</v>
      </c>
      <c r="K19">
        <f t="shared" si="6"/>
        <v>0</v>
      </c>
      <c r="L19">
        <f t="shared" si="7"/>
        <v>0</v>
      </c>
      <c r="M19" t="str">
        <f t="shared" si="8"/>
        <v>C</v>
      </c>
      <c r="O19">
        <f t="shared" si="1"/>
        <v>1</v>
      </c>
      <c r="P19">
        <f t="shared" si="2"/>
        <v>1</v>
      </c>
    </row>
    <row r="20" spans="1:16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v>19</v>
      </c>
      <c r="G20" t="str">
        <f t="shared" si="3"/>
        <v>C</v>
      </c>
      <c r="H20">
        <f t="shared" si="9"/>
        <v>1</v>
      </c>
      <c r="I20">
        <f t="shared" si="4"/>
        <v>0</v>
      </c>
      <c r="J20">
        <f t="shared" si="5"/>
        <v>3</v>
      </c>
      <c r="K20">
        <f t="shared" si="6"/>
        <v>0</v>
      </c>
      <c r="L20">
        <f t="shared" si="7"/>
        <v>0</v>
      </c>
      <c r="M20" t="str">
        <f t="shared" si="8"/>
        <v>C</v>
      </c>
      <c r="O20">
        <f t="shared" si="1"/>
        <v>1</v>
      </c>
      <c r="P20">
        <f t="shared" si="2"/>
        <v>1</v>
      </c>
    </row>
    <row r="21" spans="1:16" x14ac:dyDescent="0.45">
      <c r="A21">
        <v>20</v>
      </c>
      <c r="B21">
        <v>16.3</v>
      </c>
      <c r="C21">
        <v>12</v>
      </c>
      <c r="D21" t="s">
        <v>5</v>
      </c>
      <c r="E21">
        <v>2</v>
      </c>
      <c r="F21">
        <v>20</v>
      </c>
      <c r="G21" t="str">
        <f t="shared" si="3"/>
        <v>C</v>
      </c>
      <c r="H21">
        <f t="shared" si="9"/>
        <v>2</v>
      </c>
      <c r="I21">
        <f t="shared" si="4"/>
        <v>0</v>
      </c>
      <c r="J21">
        <f t="shared" si="5"/>
        <v>4</v>
      </c>
      <c r="K21">
        <f t="shared" si="6"/>
        <v>0</v>
      </c>
      <c r="L21">
        <f t="shared" si="7"/>
        <v>1</v>
      </c>
      <c r="M21" t="str">
        <f t="shared" si="8"/>
        <v>C</v>
      </c>
      <c r="O21">
        <f t="shared" si="1"/>
        <v>1</v>
      </c>
      <c r="P21">
        <f t="shared" si="2"/>
        <v>1</v>
      </c>
    </row>
    <row r="22" spans="1:16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v>21</v>
      </c>
      <c r="G22" t="str">
        <f t="shared" si="3"/>
        <v>C</v>
      </c>
      <c r="H22">
        <f t="shared" si="9"/>
        <v>2</v>
      </c>
      <c r="I22">
        <f t="shared" si="4"/>
        <v>0</v>
      </c>
      <c r="J22">
        <f t="shared" si="5"/>
        <v>5</v>
      </c>
      <c r="K22">
        <f t="shared" si="6"/>
        <v>0</v>
      </c>
      <c r="L22">
        <f t="shared" si="7"/>
        <v>0</v>
      </c>
      <c r="M22" t="str">
        <f t="shared" si="8"/>
        <v>C</v>
      </c>
      <c r="O22">
        <f t="shared" si="1"/>
        <v>1</v>
      </c>
      <c r="P22">
        <f t="shared" si="2"/>
        <v>1</v>
      </c>
    </row>
    <row r="23" spans="1:16" x14ac:dyDescent="0.45">
      <c r="A23">
        <v>22</v>
      </c>
      <c r="B23">
        <v>18.7</v>
      </c>
      <c r="C23">
        <v>6</v>
      </c>
      <c r="D23" t="s">
        <v>5</v>
      </c>
      <c r="E23">
        <v>2</v>
      </c>
      <c r="F23">
        <v>22</v>
      </c>
      <c r="G23" t="str">
        <f t="shared" si="3"/>
        <v>C</v>
      </c>
      <c r="H23">
        <f t="shared" si="9"/>
        <v>2</v>
      </c>
      <c r="I23">
        <f t="shared" si="4"/>
        <v>0</v>
      </c>
      <c r="J23">
        <f t="shared" si="5"/>
        <v>6</v>
      </c>
      <c r="K23">
        <f t="shared" si="6"/>
        <v>0</v>
      </c>
      <c r="L23">
        <f t="shared" si="7"/>
        <v>0</v>
      </c>
      <c r="M23" t="str">
        <f t="shared" si="8"/>
        <v>C</v>
      </c>
      <c r="O23">
        <f t="shared" si="1"/>
        <v>1</v>
      </c>
      <c r="P23">
        <f t="shared" si="2"/>
        <v>1</v>
      </c>
    </row>
    <row r="24" spans="1:16" x14ac:dyDescent="0.45">
      <c r="A24">
        <v>23</v>
      </c>
      <c r="B24">
        <v>20.2</v>
      </c>
      <c r="C24">
        <v>18</v>
      </c>
      <c r="D24" t="s">
        <v>5</v>
      </c>
      <c r="E24">
        <v>2</v>
      </c>
      <c r="F24">
        <v>23</v>
      </c>
      <c r="G24" t="str">
        <f t="shared" si="3"/>
        <v>C</v>
      </c>
      <c r="H24">
        <f t="shared" si="9"/>
        <v>3</v>
      </c>
      <c r="I24">
        <f t="shared" si="4"/>
        <v>0</v>
      </c>
      <c r="J24">
        <f t="shared" si="5"/>
        <v>7</v>
      </c>
      <c r="K24">
        <f t="shared" si="6"/>
        <v>0</v>
      </c>
      <c r="L24">
        <f t="shared" si="7"/>
        <v>0</v>
      </c>
      <c r="M24" t="str">
        <f t="shared" si="8"/>
        <v>C</v>
      </c>
      <c r="O24">
        <f>IF(H24=E24,1,0)</f>
        <v>0</v>
      </c>
      <c r="P24">
        <f t="shared" si="2"/>
        <v>0</v>
      </c>
    </row>
    <row r="25" spans="1:16" x14ac:dyDescent="0.45">
      <c r="A25">
        <v>24</v>
      </c>
      <c r="B25">
        <v>20.8</v>
      </c>
      <c r="C25">
        <v>15</v>
      </c>
      <c r="D25" t="s">
        <v>5</v>
      </c>
      <c r="E25">
        <v>3</v>
      </c>
      <c r="F25">
        <v>24</v>
      </c>
      <c r="G25" t="str">
        <f t="shared" si="3"/>
        <v>C</v>
      </c>
      <c r="H25">
        <f t="shared" si="9"/>
        <v>3</v>
      </c>
      <c r="I25">
        <f t="shared" si="4"/>
        <v>0</v>
      </c>
      <c r="J25">
        <f t="shared" si="5"/>
        <v>8</v>
      </c>
      <c r="K25">
        <f t="shared" si="6"/>
        <v>0</v>
      </c>
      <c r="L25">
        <f t="shared" si="7"/>
        <v>0</v>
      </c>
      <c r="M25" t="str">
        <f t="shared" si="8"/>
        <v>C</v>
      </c>
      <c r="O25">
        <f t="shared" si="1"/>
        <v>1</v>
      </c>
      <c r="P25">
        <f t="shared" si="2"/>
        <v>1</v>
      </c>
    </row>
    <row r="26" spans="1:16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v>25</v>
      </c>
      <c r="G26" t="str">
        <f t="shared" si="3"/>
        <v>C</v>
      </c>
      <c r="H26">
        <f t="shared" si="9"/>
        <v>3</v>
      </c>
      <c r="I26">
        <f t="shared" si="4"/>
        <v>0</v>
      </c>
      <c r="J26">
        <f t="shared" si="5"/>
        <v>9</v>
      </c>
      <c r="K26">
        <f t="shared" si="6"/>
        <v>0</v>
      </c>
      <c r="L26">
        <f t="shared" si="7"/>
        <v>0</v>
      </c>
      <c r="M26" t="str">
        <f t="shared" si="8"/>
        <v>C</v>
      </c>
      <c r="O26">
        <f t="shared" si="1"/>
        <v>1</v>
      </c>
      <c r="P26">
        <f t="shared" si="2"/>
        <v>1</v>
      </c>
    </row>
    <row r="27" spans="1:16" x14ac:dyDescent="0.45">
      <c r="A27">
        <v>26</v>
      </c>
      <c r="B27">
        <v>17.5</v>
      </c>
      <c r="C27">
        <v>19</v>
      </c>
      <c r="D27" t="s">
        <v>5</v>
      </c>
      <c r="E27">
        <v>4</v>
      </c>
      <c r="F27">
        <v>26</v>
      </c>
      <c r="G27" t="str">
        <f t="shared" si="3"/>
        <v>C</v>
      </c>
      <c r="H27">
        <f t="shared" si="9"/>
        <v>4</v>
      </c>
      <c r="I27">
        <f t="shared" si="4"/>
        <v>0</v>
      </c>
      <c r="J27">
        <f t="shared" si="5"/>
        <v>10</v>
      </c>
      <c r="K27">
        <f t="shared" si="6"/>
        <v>0</v>
      </c>
      <c r="L27">
        <f t="shared" si="7"/>
        <v>0</v>
      </c>
      <c r="M27" t="str">
        <f t="shared" si="8"/>
        <v>C</v>
      </c>
      <c r="O27">
        <f t="shared" si="1"/>
        <v>1</v>
      </c>
      <c r="P27">
        <f t="shared" si="2"/>
        <v>1</v>
      </c>
    </row>
    <row r="28" spans="1:16" x14ac:dyDescent="0.45">
      <c r="A28">
        <v>27</v>
      </c>
      <c r="B28">
        <v>13.9</v>
      </c>
      <c r="C28">
        <v>18</v>
      </c>
      <c r="D28" t="s">
        <v>5</v>
      </c>
      <c r="E28">
        <v>4</v>
      </c>
      <c r="F28">
        <v>27</v>
      </c>
      <c r="G28" t="str">
        <f t="shared" si="3"/>
        <v>C</v>
      </c>
      <c r="H28">
        <f t="shared" si="9"/>
        <v>4</v>
      </c>
      <c r="I28">
        <f t="shared" si="4"/>
        <v>0</v>
      </c>
      <c r="J28">
        <f t="shared" si="5"/>
        <v>11</v>
      </c>
      <c r="K28">
        <f t="shared" si="6"/>
        <v>0</v>
      </c>
      <c r="L28">
        <f t="shared" si="7"/>
        <v>0</v>
      </c>
      <c r="M28" t="str">
        <f t="shared" si="8"/>
        <v>C</v>
      </c>
      <c r="O28">
        <f t="shared" si="1"/>
        <v>1</v>
      </c>
      <c r="P28">
        <f t="shared" si="2"/>
        <v>1</v>
      </c>
    </row>
    <row r="29" spans="1:16" x14ac:dyDescent="0.45">
      <c r="A29">
        <v>28</v>
      </c>
      <c r="B29">
        <v>9.9</v>
      </c>
      <c r="C29">
        <v>4</v>
      </c>
      <c r="D29" t="s">
        <v>5</v>
      </c>
      <c r="E29">
        <v>4</v>
      </c>
      <c r="F29">
        <v>28</v>
      </c>
      <c r="G29" t="str">
        <f t="shared" si="3"/>
        <v>C</v>
      </c>
      <c r="H29">
        <f t="shared" si="9"/>
        <v>4</v>
      </c>
      <c r="I29">
        <f t="shared" si="4"/>
        <v>0</v>
      </c>
      <c r="J29">
        <f t="shared" si="5"/>
        <v>12</v>
      </c>
      <c r="K29">
        <f t="shared" si="6"/>
        <v>0</v>
      </c>
      <c r="L29">
        <f t="shared" si="7"/>
        <v>0</v>
      </c>
      <c r="M29" t="str">
        <f t="shared" si="8"/>
        <v>S</v>
      </c>
      <c r="O29">
        <f t="shared" si="1"/>
        <v>1</v>
      </c>
      <c r="P29">
        <f t="shared" si="2"/>
        <v>1</v>
      </c>
    </row>
    <row r="30" spans="1:16" x14ac:dyDescent="0.45">
      <c r="A30">
        <v>29</v>
      </c>
      <c r="B30">
        <v>6.4</v>
      </c>
      <c r="C30">
        <v>17</v>
      </c>
      <c r="D30" t="s">
        <v>5</v>
      </c>
      <c r="E30">
        <v>5</v>
      </c>
      <c r="F30">
        <v>29</v>
      </c>
      <c r="G30" t="str">
        <f t="shared" si="3"/>
        <v>C</v>
      </c>
      <c r="H30">
        <f t="shared" si="9"/>
        <v>5</v>
      </c>
      <c r="I30">
        <f t="shared" si="4"/>
        <v>0</v>
      </c>
      <c r="J30">
        <f t="shared" si="5"/>
        <v>13</v>
      </c>
      <c r="K30">
        <f t="shared" si="6"/>
        <v>0</v>
      </c>
      <c r="L30">
        <f t="shared" si="7"/>
        <v>0</v>
      </c>
      <c r="M30" t="str">
        <f t="shared" si="8"/>
        <v>S</v>
      </c>
      <c r="O30">
        <f t="shared" si="1"/>
        <v>1</v>
      </c>
      <c r="P30">
        <f t="shared" si="2"/>
        <v>1</v>
      </c>
    </row>
    <row r="31" spans="1:16" x14ac:dyDescent="0.45">
      <c r="A31">
        <v>30</v>
      </c>
      <c r="B31">
        <v>4.2</v>
      </c>
      <c r="C31">
        <v>14</v>
      </c>
      <c r="D31" t="s">
        <v>5</v>
      </c>
      <c r="E31">
        <v>5</v>
      </c>
      <c r="F31">
        <v>30</v>
      </c>
      <c r="G31" t="str">
        <f t="shared" si="3"/>
        <v>C</v>
      </c>
      <c r="H31">
        <f t="shared" si="9"/>
        <v>5</v>
      </c>
      <c r="I31">
        <f t="shared" si="4"/>
        <v>0</v>
      </c>
      <c r="J31">
        <f t="shared" si="5"/>
        <v>14</v>
      </c>
      <c r="K31">
        <f t="shared" si="6"/>
        <v>0</v>
      </c>
      <c r="L31">
        <f t="shared" si="7"/>
        <v>0</v>
      </c>
      <c r="M31" t="str">
        <f t="shared" si="8"/>
        <v>S</v>
      </c>
      <c r="O31">
        <f t="shared" si="1"/>
        <v>1</v>
      </c>
      <c r="P31">
        <f t="shared" si="2"/>
        <v>1</v>
      </c>
    </row>
    <row r="32" spans="1:16" x14ac:dyDescent="0.45">
      <c r="A32">
        <v>31</v>
      </c>
      <c r="B32">
        <v>3.6</v>
      </c>
      <c r="C32">
        <v>12</v>
      </c>
      <c r="D32" t="s">
        <v>5</v>
      </c>
      <c r="E32">
        <v>5</v>
      </c>
      <c r="F32">
        <v>31</v>
      </c>
      <c r="G32" t="str">
        <f t="shared" si="3"/>
        <v>C</v>
      </c>
      <c r="H32">
        <f t="shared" si="9"/>
        <v>5</v>
      </c>
      <c r="I32">
        <f t="shared" si="4"/>
        <v>0</v>
      </c>
      <c r="J32">
        <f t="shared" si="5"/>
        <v>15</v>
      </c>
      <c r="K32">
        <f t="shared" si="6"/>
        <v>0</v>
      </c>
      <c r="L32">
        <f t="shared" si="7"/>
        <v>0</v>
      </c>
      <c r="M32" t="str">
        <f t="shared" si="8"/>
        <v>S</v>
      </c>
      <c r="O32">
        <f t="shared" si="1"/>
        <v>1</v>
      </c>
      <c r="P32">
        <f t="shared" si="2"/>
        <v>1</v>
      </c>
    </row>
    <row r="33" spans="1:16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v>32</v>
      </c>
      <c r="G33" t="str">
        <f t="shared" si="3"/>
        <v>C</v>
      </c>
      <c r="H33">
        <f t="shared" si="9"/>
        <v>5</v>
      </c>
      <c r="I33">
        <f t="shared" si="4"/>
        <v>0</v>
      </c>
      <c r="J33">
        <f t="shared" si="5"/>
        <v>16</v>
      </c>
      <c r="K33">
        <f t="shared" si="6"/>
        <v>0</v>
      </c>
      <c r="L33">
        <f t="shared" si="7"/>
        <v>0</v>
      </c>
      <c r="M33" t="str">
        <f t="shared" si="8"/>
        <v>S</v>
      </c>
      <c r="O33">
        <f t="shared" si="1"/>
        <v>1</v>
      </c>
      <c r="P33">
        <f t="shared" si="2"/>
        <v>1</v>
      </c>
    </row>
    <row r="34" spans="1:16" x14ac:dyDescent="0.45">
      <c r="A34">
        <v>33</v>
      </c>
      <c r="B34">
        <v>6.6</v>
      </c>
      <c r="C34">
        <v>17</v>
      </c>
      <c r="D34" t="s">
        <v>5</v>
      </c>
      <c r="E34">
        <v>5</v>
      </c>
      <c r="F34">
        <v>33</v>
      </c>
      <c r="G34" t="str">
        <f t="shared" si="3"/>
        <v>C</v>
      </c>
      <c r="H34">
        <f t="shared" si="9"/>
        <v>5</v>
      </c>
      <c r="I34">
        <f t="shared" si="4"/>
        <v>0</v>
      </c>
      <c r="J34">
        <f t="shared" si="5"/>
        <v>17</v>
      </c>
      <c r="K34">
        <f t="shared" si="6"/>
        <v>0</v>
      </c>
      <c r="L34">
        <f t="shared" si="7"/>
        <v>0</v>
      </c>
      <c r="M34" t="str">
        <f t="shared" si="8"/>
        <v>S</v>
      </c>
      <c r="O34">
        <f t="shared" si="1"/>
        <v>1</v>
      </c>
      <c r="P34">
        <f t="shared" si="2"/>
        <v>1</v>
      </c>
    </row>
    <row r="35" spans="1:16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v>34</v>
      </c>
      <c r="G35" t="str">
        <f t="shared" si="3"/>
        <v>C</v>
      </c>
      <c r="H35">
        <f t="shared" si="9"/>
        <v>5</v>
      </c>
      <c r="I35">
        <f t="shared" si="4"/>
        <v>0</v>
      </c>
      <c r="J35">
        <f t="shared" si="5"/>
        <v>18</v>
      </c>
      <c r="K35">
        <f t="shared" si="6"/>
        <v>0</v>
      </c>
      <c r="L35">
        <f t="shared" si="7"/>
        <v>0</v>
      </c>
      <c r="M35" t="str">
        <f t="shared" si="8"/>
        <v>S</v>
      </c>
      <c r="O35">
        <f t="shared" si="1"/>
        <v>1</v>
      </c>
      <c r="P35">
        <f t="shared" si="2"/>
        <v>1</v>
      </c>
    </row>
    <row r="36" spans="1:16" x14ac:dyDescent="0.45">
      <c r="A36">
        <v>35</v>
      </c>
      <c r="B36">
        <v>10</v>
      </c>
      <c r="C36">
        <v>0</v>
      </c>
      <c r="D36">
        <v>0</v>
      </c>
      <c r="E36">
        <v>0</v>
      </c>
      <c r="F36">
        <v>35</v>
      </c>
      <c r="G36">
        <f t="shared" si="3"/>
        <v>0</v>
      </c>
      <c r="H36">
        <f t="shared" si="9"/>
        <v>0</v>
      </c>
      <c r="I36">
        <f t="shared" si="4"/>
        <v>1</v>
      </c>
      <c r="J36">
        <f t="shared" si="5"/>
        <v>1</v>
      </c>
      <c r="K36">
        <f t="shared" si="6"/>
        <v>0</v>
      </c>
      <c r="L36">
        <f t="shared" si="7"/>
        <v>0</v>
      </c>
      <c r="M36" t="str">
        <f t="shared" si="8"/>
        <v>C</v>
      </c>
      <c r="O36">
        <f t="shared" si="1"/>
        <v>1</v>
      </c>
      <c r="P36">
        <f t="shared" si="2"/>
        <v>1</v>
      </c>
    </row>
    <row r="37" spans="1:16" x14ac:dyDescent="0.45">
      <c r="A37">
        <v>36</v>
      </c>
      <c r="B37">
        <v>10.1</v>
      </c>
      <c r="C37">
        <v>3</v>
      </c>
      <c r="D37" t="s">
        <v>5</v>
      </c>
      <c r="E37">
        <v>1</v>
      </c>
      <c r="F37">
        <v>36</v>
      </c>
      <c r="G37" t="str">
        <f t="shared" si="3"/>
        <v>C</v>
      </c>
      <c r="H37">
        <f t="shared" si="9"/>
        <v>1</v>
      </c>
      <c r="I37">
        <f t="shared" si="4"/>
        <v>0</v>
      </c>
      <c r="J37">
        <f t="shared" si="5"/>
        <v>1</v>
      </c>
      <c r="K37">
        <f t="shared" si="6"/>
        <v>1</v>
      </c>
      <c r="L37">
        <f t="shared" si="7"/>
        <v>0</v>
      </c>
      <c r="M37" t="str">
        <f t="shared" si="8"/>
        <v>C</v>
      </c>
      <c r="O37">
        <f t="shared" si="1"/>
        <v>1</v>
      </c>
      <c r="P37">
        <f t="shared" si="2"/>
        <v>1</v>
      </c>
    </row>
    <row r="38" spans="1:16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v>37</v>
      </c>
      <c r="G38" t="str">
        <f t="shared" si="3"/>
        <v>C</v>
      </c>
      <c r="H38">
        <f t="shared" si="9"/>
        <v>1</v>
      </c>
      <c r="I38">
        <f t="shared" si="4"/>
        <v>0</v>
      </c>
      <c r="J38">
        <f t="shared" si="5"/>
        <v>2</v>
      </c>
      <c r="K38">
        <f t="shared" si="6"/>
        <v>0</v>
      </c>
      <c r="L38">
        <f t="shared" si="7"/>
        <v>0</v>
      </c>
      <c r="M38" t="str">
        <f t="shared" si="8"/>
        <v>S</v>
      </c>
      <c r="O38">
        <f t="shared" si="1"/>
        <v>1</v>
      </c>
      <c r="P38">
        <f t="shared" si="2"/>
        <v>1</v>
      </c>
    </row>
    <row r="39" spans="1:16" x14ac:dyDescent="0.45">
      <c r="A39">
        <v>38</v>
      </c>
      <c r="B39">
        <v>6.4</v>
      </c>
      <c r="C39">
        <v>5</v>
      </c>
      <c r="D39" t="s">
        <v>5</v>
      </c>
      <c r="E39">
        <v>1</v>
      </c>
      <c r="F39">
        <v>38</v>
      </c>
      <c r="G39" t="str">
        <f t="shared" si="3"/>
        <v>C</v>
      </c>
      <c r="H39">
        <f t="shared" si="9"/>
        <v>1</v>
      </c>
      <c r="I39">
        <f t="shared" si="4"/>
        <v>0</v>
      </c>
      <c r="J39">
        <f t="shared" si="5"/>
        <v>3</v>
      </c>
      <c r="K39">
        <f t="shared" si="6"/>
        <v>0</v>
      </c>
      <c r="L39">
        <f t="shared" si="7"/>
        <v>0</v>
      </c>
      <c r="M39" t="str">
        <f t="shared" si="8"/>
        <v>S</v>
      </c>
      <c r="O39">
        <f t="shared" si="1"/>
        <v>1</v>
      </c>
      <c r="P39">
        <f t="shared" si="2"/>
        <v>1</v>
      </c>
    </row>
    <row r="40" spans="1:16" x14ac:dyDescent="0.45">
      <c r="A40">
        <v>39</v>
      </c>
      <c r="B40">
        <v>3.8</v>
      </c>
      <c r="C40">
        <v>11</v>
      </c>
      <c r="D40" t="s">
        <v>5</v>
      </c>
      <c r="E40">
        <v>2</v>
      </c>
      <c r="F40">
        <v>39</v>
      </c>
      <c r="G40" t="str">
        <f t="shared" si="3"/>
        <v>C</v>
      </c>
      <c r="H40">
        <f t="shared" si="9"/>
        <v>2</v>
      </c>
      <c r="I40">
        <f t="shared" si="4"/>
        <v>0</v>
      </c>
      <c r="J40">
        <f t="shared" si="5"/>
        <v>4</v>
      </c>
      <c r="K40">
        <f t="shared" si="6"/>
        <v>0</v>
      </c>
      <c r="L40">
        <f t="shared" si="7"/>
        <v>1</v>
      </c>
      <c r="M40" t="str">
        <f t="shared" si="8"/>
        <v>S</v>
      </c>
      <c r="O40">
        <f t="shared" si="1"/>
        <v>1</v>
      </c>
      <c r="P40">
        <f t="shared" si="2"/>
        <v>1</v>
      </c>
    </row>
    <row r="41" spans="1:16" x14ac:dyDescent="0.45">
      <c r="A41">
        <v>40</v>
      </c>
      <c r="B41">
        <v>1.7</v>
      </c>
      <c r="C41">
        <v>6</v>
      </c>
      <c r="D41" t="s">
        <v>5</v>
      </c>
      <c r="E41">
        <v>2</v>
      </c>
      <c r="F41">
        <v>40</v>
      </c>
      <c r="G41" t="str">
        <f t="shared" si="3"/>
        <v>C</v>
      </c>
      <c r="H41">
        <f t="shared" si="9"/>
        <v>2</v>
      </c>
      <c r="I41">
        <f t="shared" si="4"/>
        <v>0</v>
      </c>
      <c r="J41">
        <f t="shared" si="5"/>
        <v>5</v>
      </c>
      <c r="K41">
        <f t="shared" si="6"/>
        <v>0</v>
      </c>
      <c r="L41">
        <f t="shared" si="7"/>
        <v>0</v>
      </c>
      <c r="M41" t="str">
        <f t="shared" si="8"/>
        <v>S</v>
      </c>
      <c r="O41">
        <f t="shared" si="1"/>
        <v>1</v>
      </c>
      <c r="P41">
        <f t="shared" si="2"/>
        <v>1</v>
      </c>
    </row>
    <row r="42" spans="1:16" x14ac:dyDescent="0.45">
      <c r="A42">
        <v>41</v>
      </c>
      <c r="B42">
        <v>1</v>
      </c>
      <c r="C42">
        <v>3</v>
      </c>
      <c r="D42" t="s">
        <v>5</v>
      </c>
      <c r="E42">
        <v>2</v>
      </c>
      <c r="F42">
        <v>41</v>
      </c>
      <c r="G42" t="str">
        <f t="shared" si="3"/>
        <v>C</v>
      </c>
      <c r="H42">
        <f t="shared" si="9"/>
        <v>2</v>
      </c>
      <c r="I42">
        <f t="shared" si="4"/>
        <v>0</v>
      </c>
      <c r="J42">
        <f t="shared" si="5"/>
        <v>6</v>
      </c>
      <c r="K42">
        <f t="shared" si="6"/>
        <v>0</v>
      </c>
      <c r="L42">
        <f t="shared" si="7"/>
        <v>0</v>
      </c>
      <c r="M42" t="str">
        <f t="shared" si="8"/>
        <v>S</v>
      </c>
      <c r="O42">
        <f t="shared" si="1"/>
        <v>1</v>
      </c>
      <c r="P42">
        <f t="shared" si="2"/>
        <v>1</v>
      </c>
    </row>
    <row r="43" spans="1:16" x14ac:dyDescent="0.45">
      <c r="A43">
        <v>42</v>
      </c>
      <c r="B43">
        <v>2</v>
      </c>
      <c r="C43">
        <v>17</v>
      </c>
      <c r="D43" t="s">
        <v>5</v>
      </c>
      <c r="E43">
        <v>3</v>
      </c>
      <c r="F43">
        <v>42</v>
      </c>
      <c r="G43" t="str">
        <f t="shared" si="3"/>
        <v>C</v>
      </c>
      <c r="H43">
        <f t="shared" si="9"/>
        <v>3</v>
      </c>
      <c r="I43">
        <f t="shared" si="4"/>
        <v>0</v>
      </c>
      <c r="J43">
        <f t="shared" si="5"/>
        <v>7</v>
      </c>
      <c r="K43">
        <f t="shared" si="6"/>
        <v>0</v>
      </c>
      <c r="L43">
        <f t="shared" si="7"/>
        <v>0</v>
      </c>
      <c r="M43" t="str">
        <f t="shared" si="8"/>
        <v>S</v>
      </c>
      <c r="O43">
        <f t="shared" si="1"/>
        <v>1</v>
      </c>
      <c r="P43">
        <f t="shared" si="2"/>
        <v>1</v>
      </c>
    </row>
    <row r="44" spans="1:16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v>43</v>
      </c>
      <c r="G44" t="str">
        <f t="shared" si="3"/>
        <v>C</v>
      </c>
      <c r="H44">
        <f t="shared" si="9"/>
        <v>3</v>
      </c>
      <c r="I44">
        <f t="shared" si="4"/>
        <v>0</v>
      </c>
      <c r="J44">
        <f t="shared" si="5"/>
        <v>8</v>
      </c>
      <c r="K44">
        <f t="shared" si="6"/>
        <v>0</v>
      </c>
      <c r="L44">
        <f t="shared" si="7"/>
        <v>0</v>
      </c>
      <c r="M44" t="str">
        <f t="shared" si="8"/>
        <v>S</v>
      </c>
      <c r="O44">
        <f t="shared" si="1"/>
        <v>1</v>
      </c>
      <c r="P44">
        <f t="shared" si="2"/>
        <v>1</v>
      </c>
    </row>
    <row r="45" spans="1:16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v>44</v>
      </c>
      <c r="G45" t="str">
        <f t="shared" si="3"/>
        <v>C</v>
      </c>
      <c r="H45">
        <f t="shared" si="9"/>
        <v>3</v>
      </c>
      <c r="I45">
        <f t="shared" si="4"/>
        <v>0</v>
      </c>
      <c r="J45">
        <f t="shared" si="5"/>
        <v>9</v>
      </c>
      <c r="K45">
        <f t="shared" si="6"/>
        <v>0</v>
      </c>
      <c r="L45">
        <f t="shared" si="7"/>
        <v>0</v>
      </c>
      <c r="M45" t="str">
        <f t="shared" si="8"/>
        <v>S</v>
      </c>
      <c r="O45">
        <f t="shared" si="1"/>
        <v>1</v>
      </c>
      <c r="P45">
        <f t="shared" si="2"/>
        <v>1</v>
      </c>
    </row>
    <row r="46" spans="1:16" x14ac:dyDescent="0.45">
      <c r="A46">
        <v>45</v>
      </c>
      <c r="B46">
        <v>11.8</v>
      </c>
      <c r="C46">
        <v>2</v>
      </c>
      <c r="D46" t="s">
        <v>5</v>
      </c>
      <c r="E46">
        <v>4</v>
      </c>
      <c r="F46">
        <v>45</v>
      </c>
      <c r="G46" t="str">
        <f t="shared" si="3"/>
        <v>C</v>
      </c>
      <c r="H46">
        <f t="shared" si="9"/>
        <v>4</v>
      </c>
      <c r="I46">
        <f t="shared" si="4"/>
        <v>0</v>
      </c>
      <c r="J46">
        <f t="shared" si="5"/>
        <v>10</v>
      </c>
      <c r="K46">
        <f t="shared" si="6"/>
        <v>0</v>
      </c>
      <c r="L46">
        <f t="shared" si="7"/>
        <v>0</v>
      </c>
      <c r="M46" t="str">
        <f t="shared" si="8"/>
        <v>C</v>
      </c>
      <c r="O46">
        <f t="shared" si="1"/>
        <v>1</v>
      </c>
      <c r="P46">
        <f t="shared" si="2"/>
        <v>1</v>
      </c>
    </row>
    <row r="47" spans="1:16" x14ac:dyDescent="0.45">
      <c r="A47">
        <v>46</v>
      </c>
      <c r="B47">
        <v>14.7</v>
      </c>
      <c r="C47">
        <v>1</v>
      </c>
      <c r="D47" t="s">
        <v>5</v>
      </c>
      <c r="E47">
        <v>4</v>
      </c>
      <c r="F47">
        <v>46</v>
      </c>
      <c r="G47" t="str">
        <f t="shared" si="3"/>
        <v>C</v>
      </c>
      <c r="H47">
        <f t="shared" si="9"/>
        <v>4</v>
      </c>
      <c r="I47">
        <f t="shared" si="4"/>
        <v>0</v>
      </c>
      <c r="J47">
        <f t="shared" si="5"/>
        <v>11</v>
      </c>
      <c r="K47">
        <f t="shared" si="6"/>
        <v>0</v>
      </c>
      <c r="L47">
        <f t="shared" si="7"/>
        <v>0</v>
      </c>
      <c r="M47" t="str">
        <f t="shared" si="8"/>
        <v>C</v>
      </c>
      <c r="O47">
        <f t="shared" si="1"/>
        <v>1</v>
      </c>
      <c r="P47">
        <f t="shared" si="2"/>
        <v>1</v>
      </c>
    </row>
    <row r="48" spans="1:16" x14ac:dyDescent="0.45">
      <c r="A48">
        <v>47</v>
      </c>
      <c r="B48">
        <v>16.3</v>
      </c>
      <c r="C48">
        <v>11</v>
      </c>
      <c r="D48" t="s">
        <v>5</v>
      </c>
      <c r="E48">
        <v>4</v>
      </c>
      <c r="F48">
        <v>47</v>
      </c>
      <c r="G48" t="str">
        <f t="shared" si="3"/>
        <v>C</v>
      </c>
      <c r="H48">
        <f t="shared" si="9"/>
        <v>4</v>
      </c>
      <c r="I48">
        <f t="shared" si="4"/>
        <v>0</v>
      </c>
      <c r="J48">
        <f t="shared" si="5"/>
        <v>12</v>
      </c>
      <c r="K48">
        <f t="shared" si="6"/>
        <v>0</v>
      </c>
      <c r="L48">
        <f t="shared" si="7"/>
        <v>0</v>
      </c>
      <c r="M48" t="str">
        <f t="shared" si="8"/>
        <v>C</v>
      </c>
      <c r="O48">
        <f t="shared" si="1"/>
        <v>1</v>
      </c>
      <c r="P48">
        <f t="shared" si="2"/>
        <v>1</v>
      </c>
    </row>
    <row r="49" spans="1:16" x14ac:dyDescent="0.45">
      <c r="A49">
        <v>48</v>
      </c>
      <c r="B49">
        <v>16.3</v>
      </c>
      <c r="C49">
        <v>25</v>
      </c>
      <c r="D49" t="s">
        <v>5</v>
      </c>
      <c r="E49">
        <v>5</v>
      </c>
      <c r="F49">
        <v>48</v>
      </c>
      <c r="G49" t="str">
        <f t="shared" si="3"/>
        <v>C</v>
      </c>
      <c r="H49">
        <f t="shared" si="9"/>
        <v>5</v>
      </c>
      <c r="I49">
        <f t="shared" si="4"/>
        <v>0</v>
      </c>
      <c r="J49">
        <f t="shared" si="5"/>
        <v>13</v>
      </c>
      <c r="K49">
        <f t="shared" si="6"/>
        <v>0</v>
      </c>
      <c r="L49">
        <f t="shared" si="7"/>
        <v>0</v>
      </c>
      <c r="M49" t="str">
        <f t="shared" si="8"/>
        <v>C</v>
      </c>
      <c r="O49">
        <f t="shared" si="1"/>
        <v>1</v>
      </c>
      <c r="P49">
        <f t="shared" si="2"/>
        <v>1</v>
      </c>
    </row>
    <row r="50" spans="1:16" x14ac:dyDescent="0.45">
      <c r="A50">
        <v>49</v>
      </c>
      <c r="B50">
        <v>15.2</v>
      </c>
      <c r="C50">
        <v>0</v>
      </c>
      <c r="D50">
        <v>0</v>
      </c>
      <c r="E50">
        <v>0</v>
      </c>
      <c r="F50">
        <v>49</v>
      </c>
      <c r="G50">
        <f t="shared" si="3"/>
        <v>0</v>
      </c>
      <c r="H50">
        <f t="shared" si="9"/>
        <v>0</v>
      </c>
      <c r="I50">
        <f t="shared" si="4"/>
        <v>1</v>
      </c>
      <c r="J50">
        <f t="shared" si="5"/>
        <v>1</v>
      </c>
      <c r="K50">
        <f t="shared" si="6"/>
        <v>0</v>
      </c>
      <c r="L50">
        <f t="shared" si="7"/>
        <v>0</v>
      </c>
      <c r="M50" t="str">
        <f t="shared" si="8"/>
        <v>C</v>
      </c>
      <c r="O50">
        <f t="shared" si="1"/>
        <v>1</v>
      </c>
      <c r="P50">
        <f t="shared" si="2"/>
        <v>1</v>
      </c>
    </row>
    <row r="51" spans="1:16" x14ac:dyDescent="0.45">
      <c r="A51">
        <v>50</v>
      </c>
      <c r="B51">
        <v>13.6</v>
      </c>
      <c r="C51">
        <v>2</v>
      </c>
      <c r="D51" t="s">
        <v>5</v>
      </c>
      <c r="E51">
        <v>1</v>
      </c>
      <c r="F51">
        <v>50</v>
      </c>
      <c r="G51" t="str">
        <f t="shared" si="3"/>
        <v>C</v>
      </c>
      <c r="H51">
        <f t="shared" si="9"/>
        <v>1</v>
      </c>
      <c r="I51">
        <f t="shared" si="4"/>
        <v>0</v>
      </c>
      <c r="J51">
        <f t="shared" si="5"/>
        <v>1</v>
      </c>
      <c r="K51">
        <f t="shared" si="6"/>
        <v>1</v>
      </c>
      <c r="L51">
        <f t="shared" si="7"/>
        <v>0</v>
      </c>
      <c r="M51" t="str">
        <f t="shared" si="8"/>
        <v>C</v>
      </c>
      <c r="O51">
        <f t="shared" si="1"/>
        <v>1</v>
      </c>
      <c r="P51">
        <f t="shared" si="2"/>
        <v>1</v>
      </c>
    </row>
    <row r="52" spans="1:16" x14ac:dyDescent="0.45">
      <c r="A52">
        <v>51</v>
      </c>
      <c r="B52">
        <v>12.5</v>
      </c>
      <c r="C52">
        <v>3</v>
      </c>
      <c r="D52" t="s">
        <v>5</v>
      </c>
      <c r="E52">
        <v>1</v>
      </c>
      <c r="F52">
        <v>51</v>
      </c>
      <c r="G52" t="str">
        <f t="shared" si="3"/>
        <v>C</v>
      </c>
      <c r="H52">
        <f t="shared" si="9"/>
        <v>1</v>
      </c>
      <c r="I52">
        <f t="shared" si="4"/>
        <v>0</v>
      </c>
      <c r="J52">
        <f t="shared" si="5"/>
        <v>2</v>
      </c>
      <c r="K52">
        <f t="shared" si="6"/>
        <v>0</v>
      </c>
      <c r="L52">
        <f t="shared" si="7"/>
        <v>0</v>
      </c>
      <c r="M52" t="str">
        <f t="shared" si="8"/>
        <v>C</v>
      </c>
      <c r="O52">
        <f t="shared" si="1"/>
        <v>1</v>
      </c>
      <c r="P52">
        <f t="shared" si="2"/>
        <v>1</v>
      </c>
    </row>
    <row r="53" spans="1:16" x14ac:dyDescent="0.45">
      <c r="A53">
        <v>52</v>
      </c>
      <c r="B53">
        <v>12.5</v>
      </c>
      <c r="C53">
        <v>2</v>
      </c>
      <c r="D53" t="s">
        <v>5</v>
      </c>
      <c r="E53">
        <v>1</v>
      </c>
      <c r="F53">
        <v>52</v>
      </c>
      <c r="G53" t="str">
        <f t="shared" si="3"/>
        <v>C</v>
      </c>
      <c r="H53">
        <f t="shared" si="9"/>
        <v>1</v>
      </c>
      <c r="I53">
        <f t="shared" si="4"/>
        <v>0</v>
      </c>
      <c r="J53">
        <f t="shared" si="5"/>
        <v>3</v>
      </c>
      <c r="K53">
        <f t="shared" si="6"/>
        <v>0</v>
      </c>
      <c r="L53">
        <f t="shared" si="7"/>
        <v>0</v>
      </c>
      <c r="M53" t="str">
        <f t="shared" si="8"/>
        <v>C</v>
      </c>
      <c r="O53">
        <f t="shared" si="1"/>
        <v>1</v>
      </c>
      <c r="P53">
        <f t="shared" si="2"/>
        <v>1</v>
      </c>
    </row>
    <row r="54" spans="1:16" x14ac:dyDescent="0.45">
      <c r="A54">
        <v>53</v>
      </c>
      <c r="B54">
        <v>14.1</v>
      </c>
      <c r="C54">
        <v>4</v>
      </c>
      <c r="D54" t="s">
        <v>5</v>
      </c>
      <c r="E54">
        <v>2</v>
      </c>
      <c r="F54">
        <v>53</v>
      </c>
      <c r="G54" t="str">
        <f t="shared" si="3"/>
        <v>C</v>
      </c>
      <c r="H54">
        <f t="shared" si="9"/>
        <v>2</v>
      </c>
      <c r="I54">
        <f t="shared" si="4"/>
        <v>0</v>
      </c>
      <c r="J54">
        <f t="shared" si="5"/>
        <v>4</v>
      </c>
      <c r="K54">
        <f t="shared" si="6"/>
        <v>0</v>
      </c>
      <c r="L54">
        <f t="shared" si="7"/>
        <v>1</v>
      </c>
      <c r="M54" t="str">
        <f t="shared" si="8"/>
        <v>C</v>
      </c>
      <c r="O54">
        <f t="shared" si="1"/>
        <v>1</v>
      </c>
      <c r="P54">
        <f t="shared" si="2"/>
        <v>1</v>
      </c>
    </row>
    <row r="55" spans="1:16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v>54</v>
      </c>
      <c r="G55" t="str">
        <f t="shared" si="3"/>
        <v>C</v>
      </c>
      <c r="H55">
        <f t="shared" si="9"/>
        <v>2</v>
      </c>
      <c r="I55">
        <f t="shared" si="4"/>
        <v>0</v>
      </c>
      <c r="J55">
        <f t="shared" si="5"/>
        <v>5</v>
      </c>
      <c r="K55">
        <f t="shared" si="6"/>
        <v>0</v>
      </c>
      <c r="L55">
        <f t="shared" si="7"/>
        <v>0</v>
      </c>
      <c r="M55" t="str">
        <f t="shared" si="8"/>
        <v>C</v>
      </c>
      <c r="O55">
        <f t="shared" si="1"/>
        <v>1</v>
      </c>
      <c r="P55">
        <f t="shared" si="2"/>
        <v>1</v>
      </c>
    </row>
    <row r="56" spans="1:16" x14ac:dyDescent="0.45">
      <c r="A56">
        <v>55</v>
      </c>
      <c r="B56">
        <v>20.9</v>
      </c>
      <c r="C56">
        <v>9</v>
      </c>
      <c r="D56" t="s">
        <v>5</v>
      </c>
      <c r="E56">
        <v>2</v>
      </c>
      <c r="F56">
        <v>55</v>
      </c>
      <c r="G56" t="str">
        <f t="shared" si="3"/>
        <v>C</v>
      </c>
      <c r="H56">
        <f t="shared" si="9"/>
        <v>2</v>
      </c>
      <c r="I56">
        <f t="shared" si="4"/>
        <v>0</v>
      </c>
      <c r="J56">
        <f t="shared" si="5"/>
        <v>6</v>
      </c>
      <c r="K56">
        <f t="shared" si="6"/>
        <v>0</v>
      </c>
      <c r="L56">
        <f t="shared" si="7"/>
        <v>0</v>
      </c>
      <c r="M56" t="str">
        <f t="shared" si="8"/>
        <v>C</v>
      </c>
      <c r="O56">
        <f t="shared" si="1"/>
        <v>1</v>
      </c>
      <c r="P56">
        <f t="shared" si="2"/>
        <v>1</v>
      </c>
    </row>
    <row r="57" spans="1:16" x14ac:dyDescent="0.45">
      <c r="A57">
        <v>56</v>
      </c>
      <c r="B57">
        <v>24.5</v>
      </c>
      <c r="C57">
        <v>2</v>
      </c>
      <c r="D57" t="s">
        <v>5</v>
      </c>
      <c r="E57">
        <v>3</v>
      </c>
      <c r="F57">
        <v>56</v>
      </c>
      <c r="G57" t="str">
        <f t="shared" si="3"/>
        <v>C</v>
      </c>
      <c r="H57">
        <f t="shared" si="9"/>
        <v>3</v>
      </c>
      <c r="I57">
        <f t="shared" si="4"/>
        <v>0</v>
      </c>
      <c r="J57">
        <f t="shared" si="5"/>
        <v>7</v>
      </c>
      <c r="K57">
        <f t="shared" si="6"/>
        <v>0</v>
      </c>
      <c r="L57">
        <f t="shared" si="7"/>
        <v>0</v>
      </c>
      <c r="M57" t="str">
        <f t="shared" si="8"/>
        <v>C</v>
      </c>
      <c r="O57">
        <f t="shared" si="1"/>
        <v>1</v>
      </c>
      <c r="P57">
        <f t="shared" si="2"/>
        <v>1</v>
      </c>
    </row>
    <row r="58" spans="1:16" x14ac:dyDescent="0.45">
      <c r="A58">
        <v>57</v>
      </c>
      <c r="B58">
        <v>27.3</v>
      </c>
      <c r="C58">
        <v>16</v>
      </c>
      <c r="D58" t="s">
        <v>5</v>
      </c>
      <c r="E58">
        <v>3</v>
      </c>
      <c r="F58">
        <v>57</v>
      </c>
      <c r="G58" t="str">
        <f t="shared" si="3"/>
        <v>C</v>
      </c>
      <c r="H58">
        <f t="shared" si="9"/>
        <v>3</v>
      </c>
      <c r="I58">
        <f t="shared" si="4"/>
        <v>0</v>
      </c>
      <c r="J58">
        <f t="shared" si="5"/>
        <v>8</v>
      </c>
      <c r="K58">
        <f t="shared" si="6"/>
        <v>0</v>
      </c>
      <c r="L58">
        <f t="shared" si="7"/>
        <v>0</v>
      </c>
      <c r="M58" t="str">
        <f t="shared" si="8"/>
        <v>C</v>
      </c>
      <c r="O58">
        <f t="shared" si="1"/>
        <v>1</v>
      </c>
      <c r="P58">
        <f t="shared" si="2"/>
        <v>1</v>
      </c>
    </row>
    <row r="59" spans="1:16" x14ac:dyDescent="0.45">
      <c r="A59">
        <v>58</v>
      </c>
      <c r="B59">
        <v>28.4</v>
      </c>
      <c r="C59">
        <v>14</v>
      </c>
      <c r="D59" t="s">
        <v>5</v>
      </c>
      <c r="E59">
        <v>3</v>
      </c>
      <c r="F59">
        <v>58</v>
      </c>
      <c r="G59" t="str">
        <f t="shared" si="3"/>
        <v>C</v>
      </c>
      <c r="H59">
        <f t="shared" si="9"/>
        <v>3</v>
      </c>
      <c r="I59">
        <f t="shared" si="4"/>
        <v>0</v>
      </c>
      <c r="J59">
        <f t="shared" si="5"/>
        <v>9</v>
      </c>
      <c r="K59">
        <f t="shared" si="6"/>
        <v>0</v>
      </c>
      <c r="L59">
        <f t="shared" si="7"/>
        <v>0</v>
      </c>
      <c r="M59" t="str">
        <f t="shared" si="8"/>
        <v>C</v>
      </c>
      <c r="O59">
        <f t="shared" si="1"/>
        <v>1</v>
      </c>
      <c r="P59">
        <f t="shared" si="2"/>
        <v>1</v>
      </c>
    </row>
    <row r="60" spans="1:16" x14ac:dyDescent="0.45">
      <c r="A60">
        <v>59</v>
      </c>
      <c r="B60">
        <v>27.8</v>
      </c>
      <c r="C60">
        <v>14</v>
      </c>
      <c r="D60" t="s">
        <v>5</v>
      </c>
      <c r="E60">
        <v>3</v>
      </c>
      <c r="F60">
        <v>59</v>
      </c>
      <c r="G60" t="str">
        <f t="shared" si="3"/>
        <v>C</v>
      </c>
      <c r="H60">
        <f t="shared" si="9"/>
        <v>4</v>
      </c>
      <c r="I60">
        <f t="shared" si="4"/>
        <v>0</v>
      </c>
      <c r="J60">
        <f t="shared" si="5"/>
        <v>10</v>
      </c>
      <c r="K60">
        <f t="shared" si="6"/>
        <v>0</v>
      </c>
      <c r="L60">
        <f t="shared" si="7"/>
        <v>0</v>
      </c>
      <c r="M60" t="str">
        <f t="shared" si="8"/>
        <v>C</v>
      </c>
      <c r="O60">
        <f t="shared" si="1"/>
        <v>0</v>
      </c>
      <c r="P60">
        <f t="shared" si="2"/>
        <v>0</v>
      </c>
    </row>
    <row r="61" spans="1:16" x14ac:dyDescent="0.45">
      <c r="A61">
        <v>60</v>
      </c>
      <c r="B61">
        <v>25.9</v>
      </c>
      <c r="C61">
        <v>6</v>
      </c>
      <c r="D61" t="s">
        <v>5</v>
      </c>
      <c r="E61">
        <v>4</v>
      </c>
      <c r="F61">
        <v>60</v>
      </c>
      <c r="G61" t="str">
        <f t="shared" si="3"/>
        <v>C</v>
      </c>
      <c r="H61">
        <f t="shared" si="9"/>
        <v>4</v>
      </c>
      <c r="I61">
        <f t="shared" si="4"/>
        <v>0</v>
      </c>
      <c r="J61">
        <f t="shared" si="5"/>
        <v>11</v>
      </c>
      <c r="K61">
        <f t="shared" si="6"/>
        <v>0</v>
      </c>
      <c r="L61">
        <f t="shared" si="7"/>
        <v>0</v>
      </c>
      <c r="M61" t="str">
        <f t="shared" si="8"/>
        <v>C</v>
      </c>
      <c r="O61">
        <f t="shared" si="1"/>
        <v>1</v>
      </c>
      <c r="P61">
        <f t="shared" si="2"/>
        <v>1</v>
      </c>
    </row>
    <row r="62" spans="1:16" x14ac:dyDescent="0.45">
      <c r="A62">
        <v>61</v>
      </c>
      <c r="B62">
        <v>23.4</v>
      </c>
      <c r="C62">
        <v>21</v>
      </c>
      <c r="D62" t="s">
        <v>5</v>
      </c>
      <c r="E62">
        <v>4</v>
      </c>
      <c r="F62">
        <v>61</v>
      </c>
      <c r="G62" t="str">
        <f t="shared" si="3"/>
        <v>C</v>
      </c>
      <c r="H62">
        <f t="shared" si="9"/>
        <v>4</v>
      </c>
      <c r="I62">
        <f t="shared" si="4"/>
        <v>0</v>
      </c>
      <c r="J62">
        <f t="shared" si="5"/>
        <v>12</v>
      </c>
      <c r="K62">
        <f t="shared" si="6"/>
        <v>0</v>
      </c>
      <c r="L62">
        <f t="shared" si="7"/>
        <v>0</v>
      </c>
      <c r="M62" t="str">
        <f t="shared" si="8"/>
        <v>C</v>
      </c>
      <c r="O62">
        <f t="shared" si="1"/>
        <v>1</v>
      </c>
      <c r="P62">
        <f t="shared" si="2"/>
        <v>1</v>
      </c>
    </row>
    <row r="63" spans="1:16" x14ac:dyDescent="0.45">
      <c r="A63">
        <v>62</v>
      </c>
      <c r="B63">
        <v>21.2</v>
      </c>
      <c r="C63">
        <v>21</v>
      </c>
      <c r="D63" t="s">
        <v>5</v>
      </c>
      <c r="E63">
        <v>5</v>
      </c>
      <c r="F63">
        <v>62</v>
      </c>
      <c r="G63" t="str">
        <f t="shared" si="3"/>
        <v>C</v>
      </c>
      <c r="H63">
        <f t="shared" si="9"/>
        <v>5</v>
      </c>
      <c r="I63">
        <f t="shared" si="4"/>
        <v>0</v>
      </c>
      <c r="J63">
        <f t="shared" si="5"/>
        <v>13</v>
      </c>
      <c r="K63">
        <f t="shared" si="6"/>
        <v>0</v>
      </c>
      <c r="L63">
        <f t="shared" si="7"/>
        <v>0</v>
      </c>
      <c r="M63" t="str">
        <f t="shared" si="8"/>
        <v>C</v>
      </c>
      <c r="O63">
        <f t="shared" si="1"/>
        <v>1</v>
      </c>
      <c r="P63">
        <f t="shared" si="2"/>
        <v>1</v>
      </c>
    </row>
    <row r="64" spans="1:16" x14ac:dyDescent="0.45">
      <c r="A64">
        <v>63</v>
      </c>
      <c r="B64">
        <v>20</v>
      </c>
      <c r="C64">
        <v>0</v>
      </c>
      <c r="D64">
        <v>0</v>
      </c>
      <c r="E64">
        <v>0</v>
      </c>
      <c r="F64">
        <v>63</v>
      </c>
      <c r="G64">
        <f t="shared" si="3"/>
        <v>0</v>
      </c>
      <c r="H64">
        <f t="shared" si="9"/>
        <v>0</v>
      </c>
      <c r="I64">
        <f t="shared" si="4"/>
        <v>1</v>
      </c>
      <c r="J64">
        <f t="shared" si="5"/>
        <v>1</v>
      </c>
      <c r="K64">
        <f t="shared" si="6"/>
        <v>0</v>
      </c>
      <c r="L64">
        <f t="shared" si="7"/>
        <v>0</v>
      </c>
      <c r="M64" t="str">
        <f t="shared" si="8"/>
        <v>C</v>
      </c>
      <c r="O64">
        <f t="shared" si="1"/>
        <v>1</v>
      </c>
      <c r="P64">
        <f t="shared" si="2"/>
        <v>1</v>
      </c>
    </row>
    <row r="65" spans="1:16" x14ac:dyDescent="0.45">
      <c r="A65">
        <v>64</v>
      </c>
      <c r="B65">
        <v>20.3</v>
      </c>
      <c r="C65">
        <v>4</v>
      </c>
      <c r="D65" t="s">
        <v>5</v>
      </c>
      <c r="E65">
        <v>1</v>
      </c>
      <c r="F65">
        <v>64</v>
      </c>
      <c r="G65" t="str">
        <f t="shared" si="3"/>
        <v>C</v>
      </c>
      <c r="H65">
        <f t="shared" si="9"/>
        <v>1</v>
      </c>
      <c r="I65">
        <f t="shared" si="4"/>
        <v>0</v>
      </c>
      <c r="J65">
        <f t="shared" si="5"/>
        <v>1</v>
      </c>
      <c r="K65">
        <f t="shared" si="6"/>
        <v>1</v>
      </c>
      <c r="L65">
        <f t="shared" si="7"/>
        <v>0</v>
      </c>
      <c r="M65" t="str">
        <f t="shared" si="8"/>
        <v>C</v>
      </c>
      <c r="O65">
        <f t="shared" si="1"/>
        <v>1</v>
      </c>
      <c r="P65">
        <f t="shared" si="2"/>
        <v>1</v>
      </c>
    </row>
    <row r="66" spans="1:16" x14ac:dyDescent="0.45">
      <c r="A66">
        <v>65</v>
      </c>
      <c r="B66">
        <v>21.8</v>
      </c>
      <c r="C66">
        <v>6</v>
      </c>
      <c r="D66" t="s">
        <v>5</v>
      </c>
      <c r="E66">
        <v>1</v>
      </c>
      <c r="F66">
        <v>65</v>
      </c>
      <c r="G66" t="str">
        <f t="shared" si="3"/>
        <v>C</v>
      </c>
      <c r="H66">
        <f t="shared" si="9"/>
        <v>1</v>
      </c>
      <c r="I66">
        <f t="shared" si="4"/>
        <v>0</v>
      </c>
      <c r="J66">
        <f t="shared" si="5"/>
        <v>2</v>
      </c>
      <c r="K66">
        <f t="shared" si="6"/>
        <v>0</v>
      </c>
      <c r="L66">
        <f t="shared" si="7"/>
        <v>0</v>
      </c>
      <c r="M66" t="str">
        <f t="shared" si="8"/>
        <v>C</v>
      </c>
      <c r="O66">
        <f t="shared" si="1"/>
        <v>1</v>
      </c>
      <c r="P66">
        <f t="shared" si="2"/>
        <v>1</v>
      </c>
    </row>
    <row r="67" spans="1:16" x14ac:dyDescent="0.45">
      <c r="A67">
        <v>66</v>
      </c>
      <c r="B67">
        <v>24</v>
      </c>
      <c r="C67">
        <v>3</v>
      </c>
      <c r="D67" t="s">
        <v>5</v>
      </c>
      <c r="E67">
        <v>1</v>
      </c>
      <c r="F67">
        <v>66</v>
      </c>
      <c r="G67" t="str">
        <f t="shared" si="3"/>
        <v>C</v>
      </c>
      <c r="H67">
        <f t="shared" si="9"/>
        <v>1</v>
      </c>
      <c r="I67">
        <f t="shared" si="4"/>
        <v>0</v>
      </c>
      <c r="J67">
        <f t="shared" si="5"/>
        <v>3</v>
      </c>
      <c r="K67">
        <f t="shared" si="6"/>
        <v>0</v>
      </c>
      <c r="L67">
        <f t="shared" si="7"/>
        <v>0</v>
      </c>
      <c r="M67" t="str">
        <f t="shared" si="8"/>
        <v>C</v>
      </c>
      <c r="O67">
        <f t="shared" ref="O67:O130" si="10">IF(H67=E67,1,0)</f>
        <v>1</v>
      </c>
      <c r="P67">
        <f t="shared" ref="P67:P130" si="11">SUM(N67:O67)</f>
        <v>1</v>
      </c>
    </row>
    <row r="68" spans="1:16" x14ac:dyDescent="0.45">
      <c r="A68">
        <v>67</v>
      </c>
      <c r="B68">
        <v>26.1</v>
      </c>
      <c r="C68">
        <v>7</v>
      </c>
      <c r="D68" t="s">
        <v>5</v>
      </c>
      <c r="E68">
        <v>2</v>
      </c>
      <c r="F68">
        <v>67</v>
      </c>
      <c r="G68" t="str">
        <f t="shared" ref="G68:G131" si="12">IF(I68=1,0, IF(K68=1,M68,G67))</f>
        <v>C</v>
      </c>
      <c r="H68">
        <f t="shared" si="9"/>
        <v>2</v>
      </c>
      <c r="I68">
        <f t="shared" ref="I68:I131" si="13">IF(AND(H67=5,C67&gt;=20),1,0)</f>
        <v>0</v>
      </c>
      <c r="J68">
        <f t="shared" ref="J68:J131" si="14">IF(G68=G67,J67+1,1)</f>
        <v>4</v>
      </c>
      <c r="K68">
        <f t="shared" ref="K68:K131" si="15">IF(AND(G67=0,H67=0),1,0)</f>
        <v>0</v>
      </c>
      <c r="L68">
        <f t="shared" ref="L68:L131" si="16">IF(J67=3,1,0)</f>
        <v>1</v>
      </c>
      <c r="M68" t="str">
        <f t="shared" ref="M68:M131" si="17">IF(B68&lt;10,"S","C")</f>
        <v>C</v>
      </c>
      <c r="O68">
        <f t="shared" si="10"/>
        <v>1</v>
      </c>
      <c r="P68">
        <f t="shared" si="11"/>
        <v>1</v>
      </c>
    </row>
    <row r="69" spans="1:16" x14ac:dyDescent="0.45">
      <c r="A69">
        <v>68</v>
      </c>
      <c r="B69">
        <v>27.3</v>
      </c>
      <c r="C69">
        <v>6</v>
      </c>
      <c r="D69" t="s">
        <v>5</v>
      </c>
      <c r="E69">
        <v>2</v>
      </c>
      <c r="F69">
        <v>68</v>
      </c>
      <c r="G69" t="str">
        <f t="shared" si="12"/>
        <v>C</v>
      </c>
      <c r="H69">
        <f t="shared" si="9"/>
        <v>2</v>
      </c>
      <c r="I69">
        <f t="shared" si="13"/>
        <v>0</v>
      </c>
      <c r="J69">
        <f t="shared" si="14"/>
        <v>5</v>
      </c>
      <c r="K69">
        <f t="shared" si="15"/>
        <v>0</v>
      </c>
      <c r="L69">
        <f t="shared" si="16"/>
        <v>0</v>
      </c>
      <c r="M69" t="str">
        <f t="shared" si="17"/>
        <v>C</v>
      </c>
      <c r="O69">
        <f t="shared" si="10"/>
        <v>1</v>
      </c>
      <c r="P69">
        <f t="shared" si="11"/>
        <v>1</v>
      </c>
    </row>
    <row r="70" spans="1:16" x14ac:dyDescent="0.45">
      <c r="A70">
        <v>69</v>
      </c>
      <c r="B70">
        <v>26.8</v>
      </c>
      <c r="C70">
        <v>8</v>
      </c>
      <c r="D70" t="s">
        <v>5</v>
      </c>
      <c r="E70">
        <v>2</v>
      </c>
      <c r="F70">
        <v>69</v>
      </c>
      <c r="G70" t="str">
        <f t="shared" si="12"/>
        <v>C</v>
      </c>
      <c r="H70">
        <f t="shared" si="9"/>
        <v>2</v>
      </c>
      <c r="I70">
        <f t="shared" si="13"/>
        <v>0</v>
      </c>
      <c r="J70">
        <f t="shared" si="14"/>
        <v>6</v>
      </c>
      <c r="K70">
        <f t="shared" si="15"/>
        <v>0</v>
      </c>
      <c r="L70">
        <f t="shared" si="16"/>
        <v>0</v>
      </c>
      <c r="M70" t="str">
        <f t="shared" si="17"/>
        <v>C</v>
      </c>
      <c r="O70">
        <f t="shared" si="10"/>
        <v>1</v>
      </c>
      <c r="P70">
        <f t="shared" si="11"/>
        <v>1</v>
      </c>
    </row>
    <row r="71" spans="1:16" x14ac:dyDescent="0.45">
      <c r="A71">
        <v>70</v>
      </c>
      <c r="B71">
        <v>24.7</v>
      </c>
      <c r="C71">
        <v>3</v>
      </c>
      <c r="D71" t="s">
        <v>5</v>
      </c>
      <c r="E71">
        <v>3</v>
      </c>
      <c r="F71">
        <v>70</v>
      </c>
      <c r="G71" t="str">
        <f t="shared" si="12"/>
        <v>C</v>
      </c>
      <c r="H71">
        <f t="shared" ref="H71:H134" si="18">IF(I71=1,0,IF(K71=1,1,IF(MOD(J70,3)=0, IF(H70+1&gt;5,5,H70+1),H70)))</f>
        <v>3</v>
      </c>
      <c r="I71">
        <f t="shared" si="13"/>
        <v>0</v>
      </c>
      <c r="J71">
        <f t="shared" si="14"/>
        <v>7</v>
      </c>
      <c r="K71">
        <f t="shared" si="15"/>
        <v>0</v>
      </c>
      <c r="L71">
        <f t="shared" si="16"/>
        <v>0</v>
      </c>
      <c r="M71" t="str">
        <f t="shared" si="17"/>
        <v>C</v>
      </c>
      <c r="O71">
        <f t="shared" si="10"/>
        <v>1</v>
      </c>
      <c r="P71">
        <f t="shared" si="11"/>
        <v>1</v>
      </c>
    </row>
    <row r="72" spans="1:16" x14ac:dyDescent="0.45">
      <c r="A72">
        <v>71</v>
      </c>
      <c r="B72">
        <v>21.2</v>
      </c>
      <c r="C72">
        <v>16</v>
      </c>
      <c r="D72" t="s">
        <v>5</v>
      </c>
      <c r="E72">
        <v>3</v>
      </c>
      <c r="F72">
        <v>71</v>
      </c>
      <c r="G72" t="str">
        <f t="shared" si="12"/>
        <v>C</v>
      </c>
      <c r="H72">
        <f t="shared" si="18"/>
        <v>3</v>
      </c>
      <c r="I72">
        <f t="shared" si="13"/>
        <v>0</v>
      </c>
      <c r="J72">
        <f t="shared" si="14"/>
        <v>8</v>
      </c>
      <c r="K72">
        <f t="shared" si="15"/>
        <v>0</v>
      </c>
      <c r="L72">
        <f t="shared" si="16"/>
        <v>0</v>
      </c>
      <c r="M72" t="str">
        <f t="shared" si="17"/>
        <v>C</v>
      </c>
      <c r="O72">
        <f t="shared" si="10"/>
        <v>1</v>
      </c>
      <c r="P72">
        <f t="shared" si="11"/>
        <v>1</v>
      </c>
    </row>
    <row r="73" spans="1:16" x14ac:dyDescent="0.45">
      <c r="A73">
        <v>72</v>
      </c>
      <c r="B73">
        <v>17.3</v>
      </c>
      <c r="C73">
        <v>8</v>
      </c>
      <c r="D73" t="s">
        <v>5</v>
      </c>
      <c r="E73">
        <v>3</v>
      </c>
      <c r="F73">
        <v>72</v>
      </c>
      <c r="G73" t="str">
        <f t="shared" si="12"/>
        <v>C</v>
      </c>
      <c r="H73">
        <f t="shared" si="18"/>
        <v>3</v>
      </c>
      <c r="I73">
        <f t="shared" si="13"/>
        <v>0</v>
      </c>
      <c r="J73">
        <f t="shared" si="14"/>
        <v>9</v>
      </c>
      <c r="K73">
        <f t="shared" si="15"/>
        <v>0</v>
      </c>
      <c r="L73">
        <f t="shared" si="16"/>
        <v>0</v>
      </c>
      <c r="M73" t="str">
        <f t="shared" si="17"/>
        <v>C</v>
      </c>
      <c r="O73">
        <f t="shared" si="10"/>
        <v>1</v>
      </c>
      <c r="P73">
        <f t="shared" si="11"/>
        <v>1</v>
      </c>
    </row>
    <row r="74" spans="1:16" x14ac:dyDescent="0.45">
      <c r="A74">
        <v>73</v>
      </c>
      <c r="B74">
        <v>13.7</v>
      </c>
      <c r="C74">
        <v>19</v>
      </c>
      <c r="D74" t="s">
        <v>5</v>
      </c>
      <c r="E74">
        <v>4</v>
      </c>
      <c r="F74">
        <v>73</v>
      </c>
      <c r="G74" t="str">
        <f t="shared" si="12"/>
        <v>C</v>
      </c>
      <c r="H74">
        <f t="shared" si="18"/>
        <v>4</v>
      </c>
      <c r="I74">
        <f t="shared" si="13"/>
        <v>0</v>
      </c>
      <c r="J74">
        <f t="shared" si="14"/>
        <v>10</v>
      </c>
      <c r="K74">
        <f t="shared" si="15"/>
        <v>0</v>
      </c>
      <c r="L74">
        <f t="shared" si="16"/>
        <v>0</v>
      </c>
      <c r="M74" t="str">
        <f t="shared" si="17"/>
        <v>C</v>
      </c>
      <c r="O74">
        <f t="shared" si="10"/>
        <v>1</v>
      </c>
      <c r="P74">
        <f t="shared" si="11"/>
        <v>1</v>
      </c>
    </row>
    <row r="75" spans="1:16" x14ac:dyDescent="0.45">
      <c r="A75">
        <v>74</v>
      </c>
      <c r="B75">
        <v>11.3</v>
      </c>
      <c r="C75">
        <v>5</v>
      </c>
      <c r="D75" t="s">
        <v>5</v>
      </c>
      <c r="E75">
        <v>4</v>
      </c>
      <c r="F75">
        <v>74</v>
      </c>
      <c r="G75" t="str">
        <f t="shared" si="12"/>
        <v>C</v>
      </c>
      <c r="H75">
        <f t="shared" si="18"/>
        <v>4</v>
      </c>
      <c r="I75">
        <f t="shared" si="13"/>
        <v>0</v>
      </c>
      <c r="J75">
        <f t="shared" si="14"/>
        <v>11</v>
      </c>
      <c r="K75">
        <f t="shared" si="15"/>
        <v>0</v>
      </c>
      <c r="L75">
        <f t="shared" si="16"/>
        <v>0</v>
      </c>
      <c r="M75" t="str">
        <f t="shared" si="17"/>
        <v>C</v>
      </c>
      <c r="O75">
        <f t="shared" si="10"/>
        <v>1</v>
      </c>
      <c r="P75">
        <f t="shared" si="11"/>
        <v>1</v>
      </c>
    </row>
    <row r="76" spans="1:16" x14ac:dyDescent="0.45">
      <c r="A76">
        <v>75</v>
      </c>
      <c r="B76">
        <v>10.5</v>
      </c>
      <c r="C76">
        <v>2</v>
      </c>
      <c r="D76" t="s">
        <v>5</v>
      </c>
      <c r="E76">
        <v>4</v>
      </c>
      <c r="F76">
        <v>75</v>
      </c>
      <c r="G76" t="str">
        <f t="shared" si="12"/>
        <v>C</v>
      </c>
      <c r="H76">
        <f t="shared" si="18"/>
        <v>4</v>
      </c>
      <c r="I76">
        <f t="shared" si="13"/>
        <v>0</v>
      </c>
      <c r="J76">
        <f t="shared" si="14"/>
        <v>12</v>
      </c>
      <c r="K76">
        <f t="shared" si="15"/>
        <v>0</v>
      </c>
      <c r="L76">
        <f t="shared" si="16"/>
        <v>0</v>
      </c>
      <c r="M76" t="str">
        <f t="shared" si="17"/>
        <v>C</v>
      </c>
      <c r="O76">
        <f t="shared" si="10"/>
        <v>1</v>
      </c>
      <c r="P76">
        <f t="shared" si="11"/>
        <v>1</v>
      </c>
    </row>
    <row r="77" spans="1:16" x14ac:dyDescent="0.45">
      <c r="A77">
        <v>76</v>
      </c>
      <c r="B77">
        <v>11</v>
      </c>
      <c r="C77">
        <v>22</v>
      </c>
      <c r="D77" t="s">
        <v>5</v>
      </c>
      <c r="E77">
        <v>5</v>
      </c>
      <c r="F77">
        <v>76</v>
      </c>
      <c r="G77" t="str">
        <f t="shared" si="12"/>
        <v>C</v>
      </c>
      <c r="H77">
        <f t="shared" si="18"/>
        <v>5</v>
      </c>
      <c r="I77">
        <f t="shared" si="13"/>
        <v>0</v>
      </c>
      <c r="J77">
        <f t="shared" si="14"/>
        <v>13</v>
      </c>
      <c r="K77">
        <f t="shared" si="15"/>
        <v>0</v>
      </c>
      <c r="L77">
        <f t="shared" si="16"/>
        <v>0</v>
      </c>
      <c r="M77" t="str">
        <f t="shared" si="17"/>
        <v>C</v>
      </c>
      <c r="O77">
        <f t="shared" si="10"/>
        <v>1</v>
      </c>
      <c r="P77">
        <f t="shared" si="11"/>
        <v>1</v>
      </c>
    </row>
    <row r="78" spans="1:16" x14ac:dyDescent="0.45">
      <c r="A78">
        <v>77</v>
      </c>
      <c r="B78">
        <v>12.5</v>
      </c>
      <c r="C78">
        <v>0</v>
      </c>
      <c r="D78">
        <v>0</v>
      </c>
      <c r="E78">
        <v>0</v>
      </c>
      <c r="F78">
        <v>77</v>
      </c>
      <c r="G78">
        <f t="shared" si="12"/>
        <v>0</v>
      </c>
      <c r="H78">
        <f t="shared" si="18"/>
        <v>0</v>
      </c>
      <c r="I78">
        <f t="shared" si="13"/>
        <v>1</v>
      </c>
      <c r="J78">
        <f t="shared" si="14"/>
        <v>1</v>
      </c>
      <c r="K78">
        <f t="shared" si="15"/>
        <v>0</v>
      </c>
      <c r="L78">
        <f t="shared" si="16"/>
        <v>0</v>
      </c>
      <c r="M78" t="str">
        <f t="shared" si="17"/>
        <v>C</v>
      </c>
      <c r="O78">
        <f t="shared" si="10"/>
        <v>1</v>
      </c>
      <c r="P78">
        <f t="shared" si="11"/>
        <v>1</v>
      </c>
    </row>
    <row r="79" spans="1:16" x14ac:dyDescent="0.45">
      <c r="A79">
        <v>78</v>
      </c>
      <c r="B79">
        <v>14</v>
      </c>
      <c r="C79">
        <v>2</v>
      </c>
      <c r="D79" t="s">
        <v>5</v>
      </c>
      <c r="E79">
        <v>1</v>
      </c>
      <c r="F79">
        <v>78</v>
      </c>
      <c r="G79" t="str">
        <f t="shared" si="12"/>
        <v>C</v>
      </c>
      <c r="H79">
        <f t="shared" si="18"/>
        <v>1</v>
      </c>
      <c r="I79">
        <f t="shared" si="13"/>
        <v>0</v>
      </c>
      <c r="J79">
        <f t="shared" si="14"/>
        <v>1</v>
      </c>
      <c r="K79">
        <f t="shared" si="15"/>
        <v>1</v>
      </c>
      <c r="L79">
        <f t="shared" si="16"/>
        <v>0</v>
      </c>
      <c r="M79" t="str">
        <f t="shared" si="17"/>
        <v>C</v>
      </c>
      <c r="O79">
        <f t="shared" si="10"/>
        <v>1</v>
      </c>
      <c r="P79">
        <f t="shared" si="11"/>
        <v>1</v>
      </c>
    </row>
    <row r="80" spans="1:16" x14ac:dyDescent="0.45">
      <c r="A80">
        <v>79</v>
      </c>
      <c r="B80">
        <v>14.7</v>
      </c>
      <c r="C80">
        <v>4</v>
      </c>
      <c r="D80" t="s">
        <v>5</v>
      </c>
      <c r="E80">
        <v>1</v>
      </c>
      <c r="F80">
        <v>79</v>
      </c>
      <c r="G80" t="str">
        <f t="shared" si="12"/>
        <v>C</v>
      </c>
      <c r="H80">
        <f t="shared" si="18"/>
        <v>1</v>
      </c>
      <c r="I80">
        <f t="shared" si="13"/>
        <v>0</v>
      </c>
      <c r="J80">
        <f t="shared" si="14"/>
        <v>2</v>
      </c>
      <c r="K80">
        <f t="shared" si="15"/>
        <v>0</v>
      </c>
      <c r="L80">
        <f t="shared" si="16"/>
        <v>0</v>
      </c>
      <c r="M80" t="str">
        <f t="shared" si="17"/>
        <v>C</v>
      </c>
      <c r="O80">
        <f t="shared" si="10"/>
        <v>1</v>
      </c>
      <c r="P80">
        <f t="shared" si="11"/>
        <v>1</v>
      </c>
    </row>
    <row r="81" spans="1:16" x14ac:dyDescent="0.45">
      <c r="A81">
        <v>80</v>
      </c>
      <c r="B81">
        <v>14.1</v>
      </c>
      <c r="C81">
        <v>5</v>
      </c>
      <c r="D81" t="s">
        <v>6</v>
      </c>
      <c r="E81">
        <v>1</v>
      </c>
      <c r="F81">
        <v>80</v>
      </c>
      <c r="G81" t="str">
        <f t="shared" si="12"/>
        <v>C</v>
      </c>
      <c r="H81">
        <f t="shared" si="18"/>
        <v>1</v>
      </c>
      <c r="I81">
        <f t="shared" si="13"/>
        <v>0</v>
      </c>
      <c r="J81">
        <f t="shared" si="14"/>
        <v>3</v>
      </c>
      <c r="K81">
        <f t="shared" si="15"/>
        <v>0</v>
      </c>
      <c r="L81">
        <f t="shared" si="16"/>
        <v>0</v>
      </c>
      <c r="M81" t="str">
        <f t="shared" si="17"/>
        <v>C</v>
      </c>
      <c r="O81">
        <f t="shared" si="10"/>
        <v>1</v>
      </c>
      <c r="P81">
        <f t="shared" si="11"/>
        <v>1</v>
      </c>
    </row>
    <row r="82" spans="1:16" x14ac:dyDescent="0.45">
      <c r="A82">
        <v>81</v>
      </c>
      <c r="B82">
        <v>11.9</v>
      </c>
      <c r="C82">
        <v>8</v>
      </c>
      <c r="D82" t="s">
        <v>5</v>
      </c>
      <c r="E82">
        <v>2</v>
      </c>
      <c r="F82">
        <v>81</v>
      </c>
      <c r="G82" t="str">
        <f t="shared" si="12"/>
        <v>C</v>
      </c>
      <c r="H82">
        <f t="shared" si="18"/>
        <v>2</v>
      </c>
      <c r="I82">
        <f t="shared" si="13"/>
        <v>0</v>
      </c>
      <c r="J82">
        <f t="shared" si="14"/>
        <v>4</v>
      </c>
      <c r="K82">
        <f t="shared" si="15"/>
        <v>0</v>
      </c>
      <c r="L82">
        <f t="shared" si="16"/>
        <v>1</v>
      </c>
      <c r="M82" t="str">
        <f t="shared" si="17"/>
        <v>C</v>
      </c>
      <c r="O82">
        <f t="shared" si="10"/>
        <v>1</v>
      </c>
      <c r="P82">
        <f t="shared" si="11"/>
        <v>1</v>
      </c>
    </row>
    <row r="83" spans="1:16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v>82</v>
      </c>
      <c r="G83" t="str">
        <f t="shared" si="12"/>
        <v>C</v>
      </c>
      <c r="H83">
        <f t="shared" si="18"/>
        <v>2</v>
      </c>
      <c r="I83">
        <f t="shared" si="13"/>
        <v>0</v>
      </c>
      <c r="J83">
        <f t="shared" si="14"/>
        <v>5</v>
      </c>
      <c r="K83">
        <f t="shared" si="15"/>
        <v>0</v>
      </c>
      <c r="L83">
        <f t="shared" si="16"/>
        <v>0</v>
      </c>
      <c r="M83" t="str">
        <f t="shared" si="17"/>
        <v>S</v>
      </c>
      <c r="O83">
        <f t="shared" si="10"/>
        <v>1</v>
      </c>
      <c r="P83">
        <f t="shared" si="11"/>
        <v>1</v>
      </c>
    </row>
    <row r="84" spans="1:16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v>83</v>
      </c>
      <c r="G84" t="str">
        <f t="shared" si="12"/>
        <v>C</v>
      </c>
      <c r="H84">
        <f t="shared" si="18"/>
        <v>2</v>
      </c>
      <c r="I84">
        <f t="shared" si="13"/>
        <v>0</v>
      </c>
      <c r="J84">
        <f t="shared" si="14"/>
        <v>6</v>
      </c>
      <c r="K84">
        <f t="shared" si="15"/>
        <v>0</v>
      </c>
      <c r="L84">
        <f t="shared" si="16"/>
        <v>0</v>
      </c>
      <c r="M84" t="str">
        <f t="shared" si="17"/>
        <v>S</v>
      </c>
      <c r="O84">
        <f t="shared" si="10"/>
        <v>1</v>
      </c>
      <c r="P84">
        <f t="shared" si="11"/>
        <v>1</v>
      </c>
    </row>
    <row r="85" spans="1:16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v>84</v>
      </c>
      <c r="G85" t="str">
        <f t="shared" si="12"/>
        <v>C</v>
      </c>
      <c r="H85">
        <f t="shared" si="18"/>
        <v>3</v>
      </c>
      <c r="I85">
        <f t="shared" si="13"/>
        <v>0</v>
      </c>
      <c r="J85">
        <f t="shared" si="14"/>
        <v>7</v>
      </c>
      <c r="K85">
        <f t="shared" si="15"/>
        <v>0</v>
      </c>
      <c r="L85">
        <f t="shared" si="16"/>
        <v>0</v>
      </c>
      <c r="M85" t="str">
        <f t="shared" si="17"/>
        <v>S</v>
      </c>
      <c r="O85">
        <f t="shared" si="10"/>
        <v>1</v>
      </c>
      <c r="P85">
        <f t="shared" si="11"/>
        <v>1</v>
      </c>
    </row>
    <row r="86" spans="1:16" x14ac:dyDescent="0.45">
      <c r="A86">
        <v>85</v>
      </c>
      <c r="B86">
        <v>0.5</v>
      </c>
      <c r="C86">
        <v>5</v>
      </c>
      <c r="D86" t="s">
        <v>5</v>
      </c>
      <c r="E86">
        <v>3</v>
      </c>
      <c r="F86">
        <v>85</v>
      </c>
      <c r="G86" t="str">
        <f t="shared" si="12"/>
        <v>C</v>
      </c>
      <c r="H86">
        <f t="shared" si="18"/>
        <v>3</v>
      </c>
      <c r="I86">
        <f t="shared" si="13"/>
        <v>0</v>
      </c>
      <c r="J86">
        <f t="shared" si="14"/>
        <v>8</v>
      </c>
      <c r="K86">
        <f t="shared" si="15"/>
        <v>0</v>
      </c>
      <c r="L86">
        <f t="shared" si="16"/>
        <v>0</v>
      </c>
      <c r="M86" t="str">
        <f t="shared" si="17"/>
        <v>S</v>
      </c>
      <c r="O86">
        <f t="shared" si="10"/>
        <v>1</v>
      </c>
      <c r="P86">
        <f t="shared" si="11"/>
        <v>1</v>
      </c>
    </row>
    <row r="87" spans="1:16" x14ac:dyDescent="0.45">
      <c r="A87">
        <v>86</v>
      </c>
      <c r="B87">
        <v>0.6</v>
      </c>
      <c r="C87">
        <v>13</v>
      </c>
      <c r="D87" t="s">
        <v>5</v>
      </c>
      <c r="E87">
        <v>3</v>
      </c>
      <c r="F87">
        <v>86</v>
      </c>
      <c r="G87" t="str">
        <f t="shared" si="12"/>
        <v>C</v>
      </c>
      <c r="H87">
        <f t="shared" si="18"/>
        <v>3</v>
      </c>
      <c r="I87">
        <f t="shared" si="13"/>
        <v>0</v>
      </c>
      <c r="J87">
        <f t="shared" si="14"/>
        <v>9</v>
      </c>
      <c r="K87">
        <f t="shared" si="15"/>
        <v>0</v>
      </c>
      <c r="L87">
        <f t="shared" si="16"/>
        <v>0</v>
      </c>
      <c r="M87" t="str">
        <f t="shared" si="17"/>
        <v>S</v>
      </c>
      <c r="O87">
        <f t="shared" si="10"/>
        <v>1</v>
      </c>
      <c r="P87">
        <f t="shared" si="11"/>
        <v>1</v>
      </c>
    </row>
    <row r="88" spans="1:16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v>87</v>
      </c>
      <c r="G88" t="str">
        <f t="shared" si="12"/>
        <v>C</v>
      </c>
      <c r="H88">
        <f t="shared" si="18"/>
        <v>4</v>
      </c>
      <c r="I88">
        <f t="shared" si="13"/>
        <v>0</v>
      </c>
      <c r="J88">
        <f t="shared" si="14"/>
        <v>10</v>
      </c>
      <c r="K88">
        <f t="shared" si="15"/>
        <v>0</v>
      </c>
      <c r="L88">
        <f t="shared" si="16"/>
        <v>0</v>
      </c>
      <c r="M88" t="str">
        <f t="shared" si="17"/>
        <v>S</v>
      </c>
      <c r="O88">
        <f t="shared" si="10"/>
        <v>1</v>
      </c>
      <c r="P88">
        <f t="shared" si="11"/>
        <v>1</v>
      </c>
    </row>
    <row r="89" spans="1:16" x14ac:dyDescent="0.45">
      <c r="A89">
        <v>88</v>
      </c>
      <c r="B89">
        <v>5</v>
      </c>
      <c r="C89">
        <v>9</v>
      </c>
      <c r="D89" t="s">
        <v>5</v>
      </c>
      <c r="E89">
        <v>4</v>
      </c>
      <c r="F89">
        <v>88</v>
      </c>
      <c r="G89" t="str">
        <f t="shared" si="12"/>
        <v>C</v>
      </c>
      <c r="H89">
        <f t="shared" si="18"/>
        <v>4</v>
      </c>
      <c r="I89">
        <f t="shared" si="13"/>
        <v>0</v>
      </c>
      <c r="J89">
        <f t="shared" si="14"/>
        <v>11</v>
      </c>
      <c r="K89">
        <f t="shared" si="15"/>
        <v>0</v>
      </c>
      <c r="L89">
        <f t="shared" si="16"/>
        <v>0</v>
      </c>
      <c r="M89" t="str">
        <f t="shared" si="17"/>
        <v>S</v>
      </c>
      <c r="O89">
        <f t="shared" si="10"/>
        <v>1</v>
      </c>
      <c r="P89">
        <f t="shared" si="11"/>
        <v>1</v>
      </c>
    </row>
    <row r="90" spans="1:16" x14ac:dyDescent="0.45">
      <c r="A90">
        <v>89</v>
      </c>
      <c r="B90">
        <v>7.9</v>
      </c>
      <c r="C90">
        <v>24</v>
      </c>
      <c r="D90" t="s">
        <v>5</v>
      </c>
      <c r="E90">
        <v>4</v>
      </c>
      <c r="F90">
        <v>89</v>
      </c>
      <c r="G90" t="str">
        <f t="shared" si="12"/>
        <v>C</v>
      </c>
      <c r="H90">
        <f t="shared" si="18"/>
        <v>4</v>
      </c>
      <c r="I90">
        <f t="shared" si="13"/>
        <v>0</v>
      </c>
      <c r="J90">
        <f t="shared" si="14"/>
        <v>12</v>
      </c>
      <c r="K90">
        <f t="shared" si="15"/>
        <v>0</v>
      </c>
      <c r="L90">
        <f t="shared" si="16"/>
        <v>0</v>
      </c>
      <c r="M90" t="str">
        <f t="shared" si="17"/>
        <v>S</v>
      </c>
      <c r="O90">
        <f t="shared" si="10"/>
        <v>1</v>
      </c>
      <c r="P90">
        <f t="shared" si="11"/>
        <v>1</v>
      </c>
    </row>
    <row r="91" spans="1:16" x14ac:dyDescent="0.45">
      <c r="A91">
        <v>90</v>
      </c>
      <c r="B91">
        <v>10</v>
      </c>
      <c r="C91">
        <v>15</v>
      </c>
      <c r="D91" t="s">
        <v>5</v>
      </c>
      <c r="E91">
        <v>5</v>
      </c>
      <c r="F91">
        <v>90</v>
      </c>
      <c r="G91" t="str">
        <f t="shared" si="12"/>
        <v>C</v>
      </c>
      <c r="H91">
        <f t="shared" si="18"/>
        <v>5</v>
      </c>
      <c r="I91">
        <f t="shared" si="13"/>
        <v>0</v>
      </c>
      <c r="J91">
        <f t="shared" si="14"/>
        <v>13</v>
      </c>
      <c r="K91">
        <f t="shared" si="15"/>
        <v>0</v>
      </c>
      <c r="L91">
        <f t="shared" si="16"/>
        <v>0</v>
      </c>
      <c r="M91" t="str">
        <f t="shared" si="17"/>
        <v>C</v>
      </c>
      <c r="O91">
        <f t="shared" si="10"/>
        <v>1</v>
      </c>
      <c r="P91">
        <f t="shared" si="11"/>
        <v>1</v>
      </c>
    </row>
    <row r="92" spans="1:16" x14ac:dyDescent="0.45">
      <c r="A92">
        <v>91</v>
      </c>
      <c r="B92">
        <v>10.9</v>
      </c>
      <c r="C92">
        <v>29</v>
      </c>
      <c r="D92" t="s">
        <v>5</v>
      </c>
      <c r="E92">
        <v>5</v>
      </c>
      <c r="F92">
        <v>91</v>
      </c>
      <c r="G92" t="str">
        <f t="shared" si="12"/>
        <v>C</v>
      </c>
      <c r="H92">
        <f t="shared" si="18"/>
        <v>5</v>
      </c>
      <c r="I92">
        <f t="shared" si="13"/>
        <v>0</v>
      </c>
      <c r="J92">
        <f t="shared" si="14"/>
        <v>14</v>
      </c>
      <c r="K92">
        <f t="shared" si="15"/>
        <v>0</v>
      </c>
      <c r="L92">
        <f t="shared" si="16"/>
        <v>0</v>
      </c>
      <c r="M92" t="str">
        <f t="shared" si="17"/>
        <v>C</v>
      </c>
      <c r="O92">
        <f t="shared" si="10"/>
        <v>1</v>
      </c>
      <c r="P92">
        <f t="shared" si="11"/>
        <v>1</v>
      </c>
    </row>
    <row r="93" spans="1:16" x14ac:dyDescent="0.45">
      <c r="A93">
        <v>92</v>
      </c>
      <c r="B93">
        <v>10.3</v>
      </c>
      <c r="C93">
        <v>0</v>
      </c>
      <c r="D93">
        <v>0</v>
      </c>
      <c r="E93">
        <v>0</v>
      </c>
      <c r="F93">
        <v>92</v>
      </c>
      <c r="G93">
        <f t="shared" si="12"/>
        <v>0</v>
      </c>
      <c r="H93">
        <f t="shared" si="18"/>
        <v>0</v>
      </c>
      <c r="I93">
        <f t="shared" si="13"/>
        <v>1</v>
      </c>
      <c r="J93">
        <f t="shared" si="14"/>
        <v>1</v>
      </c>
      <c r="K93">
        <f t="shared" si="15"/>
        <v>0</v>
      </c>
      <c r="L93">
        <f t="shared" si="16"/>
        <v>0</v>
      </c>
      <c r="M93" t="str">
        <f t="shared" si="17"/>
        <v>C</v>
      </c>
      <c r="O93">
        <f t="shared" si="10"/>
        <v>1</v>
      </c>
      <c r="P93">
        <f t="shared" si="11"/>
        <v>1</v>
      </c>
    </row>
    <row r="94" spans="1:16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v>93</v>
      </c>
      <c r="G94" t="str">
        <f t="shared" si="12"/>
        <v>S</v>
      </c>
      <c r="H94">
        <f t="shared" si="18"/>
        <v>1</v>
      </c>
      <c r="I94">
        <f t="shared" si="13"/>
        <v>0</v>
      </c>
      <c r="J94">
        <f t="shared" si="14"/>
        <v>1</v>
      </c>
      <c r="K94">
        <f t="shared" si="15"/>
        <v>1</v>
      </c>
      <c r="L94">
        <f t="shared" si="16"/>
        <v>0</v>
      </c>
      <c r="M94" t="str">
        <f t="shared" si="17"/>
        <v>S</v>
      </c>
      <c r="O94">
        <f t="shared" si="10"/>
        <v>1</v>
      </c>
      <c r="P94">
        <f t="shared" si="11"/>
        <v>1</v>
      </c>
    </row>
    <row r="95" spans="1:16" x14ac:dyDescent="0.45">
      <c r="A95">
        <v>94</v>
      </c>
      <c r="B95">
        <v>6.7</v>
      </c>
      <c r="C95">
        <v>3</v>
      </c>
      <c r="D95" t="s">
        <v>6</v>
      </c>
      <c r="E95">
        <v>1</v>
      </c>
      <c r="F95">
        <v>94</v>
      </c>
      <c r="G95" t="str">
        <f t="shared" si="12"/>
        <v>S</v>
      </c>
      <c r="H95">
        <f t="shared" si="18"/>
        <v>1</v>
      </c>
      <c r="I95">
        <f t="shared" si="13"/>
        <v>0</v>
      </c>
      <c r="J95">
        <f t="shared" si="14"/>
        <v>2</v>
      </c>
      <c r="K95">
        <f t="shared" si="15"/>
        <v>0</v>
      </c>
      <c r="L95">
        <f t="shared" si="16"/>
        <v>0</v>
      </c>
      <c r="M95" t="str">
        <f t="shared" si="17"/>
        <v>S</v>
      </c>
      <c r="O95">
        <f t="shared" si="10"/>
        <v>1</v>
      </c>
      <c r="P95">
        <f t="shared" si="11"/>
        <v>1</v>
      </c>
    </row>
    <row r="96" spans="1:16" x14ac:dyDescent="0.45">
      <c r="A96">
        <v>95</v>
      </c>
      <c r="B96">
        <v>5.3</v>
      </c>
      <c r="C96">
        <v>6</v>
      </c>
      <c r="D96" t="s">
        <v>6</v>
      </c>
      <c r="E96">
        <v>1</v>
      </c>
      <c r="F96">
        <v>95</v>
      </c>
      <c r="G96" t="str">
        <f t="shared" si="12"/>
        <v>S</v>
      </c>
      <c r="H96">
        <f t="shared" si="18"/>
        <v>1</v>
      </c>
      <c r="I96">
        <f t="shared" si="13"/>
        <v>0</v>
      </c>
      <c r="J96">
        <f t="shared" si="14"/>
        <v>3</v>
      </c>
      <c r="K96">
        <f t="shared" si="15"/>
        <v>0</v>
      </c>
      <c r="L96">
        <f t="shared" si="16"/>
        <v>0</v>
      </c>
      <c r="M96" t="str">
        <f t="shared" si="17"/>
        <v>S</v>
      </c>
      <c r="O96">
        <f t="shared" si="10"/>
        <v>1</v>
      </c>
      <c r="P96">
        <f t="shared" si="11"/>
        <v>1</v>
      </c>
    </row>
    <row r="97" spans="1:16" x14ac:dyDescent="0.45">
      <c r="A97">
        <v>96</v>
      </c>
      <c r="B97">
        <v>5.2</v>
      </c>
      <c r="C97">
        <v>3</v>
      </c>
      <c r="D97" t="s">
        <v>6</v>
      </c>
      <c r="E97">
        <v>2</v>
      </c>
      <c r="F97">
        <v>96</v>
      </c>
      <c r="G97" t="str">
        <f t="shared" si="12"/>
        <v>S</v>
      </c>
      <c r="H97">
        <f t="shared" si="18"/>
        <v>2</v>
      </c>
      <c r="I97">
        <f t="shared" si="13"/>
        <v>0</v>
      </c>
      <c r="J97">
        <f t="shared" si="14"/>
        <v>4</v>
      </c>
      <c r="K97">
        <f t="shared" si="15"/>
        <v>0</v>
      </c>
      <c r="L97">
        <f t="shared" si="16"/>
        <v>1</v>
      </c>
      <c r="M97" t="str">
        <f t="shared" si="17"/>
        <v>S</v>
      </c>
      <c r="O97">
        <f t="shared" si="10"/>
        <v>1</v>
      </c>
      <c r="P97">
        <f t="shared" si="11"/>
        <v>1</v>
      </c>
    </row>
    <row r="98" spans="1:16" x14ac:dyDescent="0.45">
      <c r="A98">
        <v>97</v>
      </c>
      <c r="B98">
        <v>6.8</v>
      </c>
      <c r="C98">
        <v>2</v>
      </c>
      <c r="D98" t="s">
        <v>6</v>
      </c>
      <c r="E98">
        <v>2</v>
      </c>
      <c r="F98">
        <v>97</v>
      </c>
      <c r="G98" t="str">
        <f t="shared" si="12"/>
        <v>S</v>
      </c>
      <c r="H98">
        <f t="shared" si="18"/>
        <v>2</v>
      </c>
      <c r="I98">
        <f t="shared" si="13"/>
        <v>0</v>
      </c>
      <c r="J98">
        <f t="shared" si="14"/>
        <v>5</v>
      </c>
      <c r="K98">
        <f t="shared" si="15"/>
        <v>0</v>
      </c>
      <c r="L98">
        <f t="shared" si="16"/>
        <v>0</v>
      </c>
      <c r="M98" t="str">
        <f t="shared" si="17"/>
        <v>S</v>
      </c>
      <c r="O98">
        <f t="shared" si="10"/>
        <v>1</v>
      </c>
      <c r="P98">
        <f t="shared" si="11"/>
        <v>1</v>
      </c>
    </row>
    <row r="99" spans="1:16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v>98</v>
      </c>
      <c r="G99" t="str">
        <f t="shared" si="12"/>
        <v>S</v>
      </c>
      <c r="H99">
        <f t="shared" si="18"/>
        <v>2</v>
      </c>
      <c r="I99">
        <f t="shared" si="13"/>
        <v>0</v>
      </c>
      <c r="J99">
        <f t="shared" si="14"/>
        <v>6</v>
      </c>
      <c r="K99">
        <f t="shared" si="15"/>
        <v>0</v>
      </c>
      <c r="L99">
        <f t="shared" si="16"/>
        <v>0</v>
      </c>
      <c r="M99" t="str">
        <f t="shared" si="17"/>
        <v>S</v>
      </c>
      <c r="O99">
        <f t="shared" si="10"/>
        <v>1</v>
      </c>
      <c r="P99">
        <f t="shared" si="11"/>
        <v>1</v>
      </c>
    </row>
    <row r="100" spans="1:16" x14ac:dyDescent="0.45">
      <c r="A100">
        <v>99</v>
      </c>
      <c r="B100">
        <v>13.7</v>
      </c>
      <c r="C100">
        <v>8</v>
      </c>
      <c r="D100" t="s">
        <v>6</v>
      </c>
      <c r="E100">
        <v>3</v>
      </c>
      <c r="F100">
        <v>99</v>
      </c>
      <c r="G100" t="str">
        <f t="shared" si="12"/>
        <v>S</v>
      </c>
      <c r="H100">
        <f t="shared" si="18"/>
        <v>3</v>
      </c>
      <c r="I100">
        <f t="shared" si="13"/>
        <v>0</v>
      </c>
      <c r="J100">
        <f t="shared" si="14"/>
        <v>7</v>
      </c>
      <c r="K100">
        <f t="shared" si="15"/>
        <v>0</v>
      </c>
      <c r="L100">
        <f t="shared" si="16"/>
        <v>0</v>
      </c>
      <c r="M100" t="str">
        <f t="shared" si="17"/>
        <v>C</v>
      </c>
      <c r="O100">
        <f t="shared" si="10"/>
        <v>1</v>
      </c>
      <c r="P100">
        <f t="shared" si="11"/>
        <v>1</v>
      </c>
    </row>
    <row r="101" spans="1:16" x14ac:dyDescent="0.45">
      <c r="A101">
        <v>100</v>
      </c>
      <c r="B101">
        <v>17.7</v>
      </c>
      <c r="C101">
        <v>6</v>
      </c>
      <c r="D101" t="s">
        <v>6</v>
      </c>
      <c r="E101">
        <v>3</v>
      </c>
      <c r="F101">
        <v>100</v>
      </c>
      <c r="G101" t="str">
        <f t="shared" si="12"/>
        <v>S</v>
      </c>
      <c r="H101">
        <f t="shared" si="18"/>
        <v>3</v>
      </c>
      <c r="I101">
        <f t="shared" si="13"/>
        <v>0</v>
      </c>
      <c r="J101">
        <f t="shared" si="14"/>
        <v>8</v>
      </c>
      <c r="K101">
        <f t="shared" si="15"/>
        <v>0</v>
      </c>
      <c r="L101">
        <f t="shared" si="16"/>
        <v>0</v>
      </c>
      <c r="M101" t="str">
        <f t="shared" si="17"/>
        <v>C</v>
      </c>
      <c r="O101">
        <f t="shared" si="10"/>
        <v>1</v>
      </c>
      <c r="P101">
        <f t="shared" si="11"/>
        <v>1</v>
      </c>
    </row>
    <row r="102" spans="1:16" x14ac:dyDescent="0.45">
      <c r="A102">
        <v>101</v>
      </c>
      <c r="B102">
        <v>20.8</v>
      </c>
      <c r="C102">
        <v>5</v>
      </c>
      <c r="D102" t="s">
        <v>6</v>
      </c>
      <c r="E102">
        <v>3</v>
      </c>
      <c r="F102">
        <v>101</v>
      </c>
      <c r="G102" t="str">
        <f t="shared" si="12"/>
        <v>S</v>
      </c>
      <c r="H102">
        <f t="shared" si="18"/>
        <v>3</v>
      </c>
      <c r="I102">
        <f t="shared" si="13"/>
        <v>0</v>
      </c>
      <c r="J102">
        <f t="shared" si="14"/>
        <v>9</v>
      </c>
      <c r="K102">
        <f t="shared" si="15"/>
        <v>0</v>
      </c>
      <c r="L102">
        <f t="shared" si="16"/>
        <v>0</v>
      </c>
      <c r="M102" t="str">
        <f t="shared" si="17"/>
        <v>C</v>
      </c>
      <c r="O102">
        <f t="shared" si="10"/>
        <v>1</v>
      </c>
      <c r="P102">
        <f t="shared" si="11"/>
        <v>1</v>
      </c>
    </row>
    <row r="103" spans="1:16" x14ac:dyDescent="0.45">
      <c r="A103">
        <v>102</v>
      </c>
      <c r="B103">
        <v>22.4</v>
      </c>
      <c r="C103">
        <v>20</v>
      </c>
      <c r="D103" t="s">
        <v>6</v>
      </c>
      <c r="E103">
        <v>4</v>
      </c>
      <c r="F103">
        <v>102</v>
      </c>
      <c r="G103" t="str">
        <f t="shared" si="12"/>
        <v>S</v>
      </c>
      <c r="H103">
        <f t="shared" si="18"/>
        <v>4</v>
      </c>
      <c r="I103">
        <f t="shared" si="13"/>
        <v>0</v>
      </c>
      <c r="J103">
        <f t="shared" si="14"/>
        <v>10</v>
      </c>
      <c r="K103">
        <f t="shared" si="15"/>
        <v>0</v>
      </c>
      <c r="L103">
        <f t="shared" si="16"/>
        <v>0</v>
      </c>
      <c r="M103" t="str">
        <f t="shared" si="17"/>
        <v>C</v>
      </c>
      <c r="O103">
        <f t="shared" si="10"/>
        <v>1</v>
      </c>
      <c r="P103">
        <f t="shared" si="11"/>
        <v>1</v>
      </c>
    </row>
    <row r="104" spans="1:16" x14ac:dyDescent="0.45">
      <c r="A104">
        <v>103</v>
      </c>
      <c r="B104">
        <v>22.5</v>
      </c>
      <c r="C104">
        <v>17</v>
      </c>
      <c r="D104" t="s">
        <v>6</v>
      </c>
      <c r="E104">
        <v>4</v>
      </c>
      <c r="F104">
        <v>103</v>
      </c>
      <c r="G104" t="str">
        <f t="shared" si="12"/>
        <v>S</v>
      </c>
      <c r="H104">
        <f t="shared" si="18"/>
        <v>4</v>
      </c>
      <c r="I104">
        <f t="shared" si="13"/>
        <v>0</v>
      </c>
      <c r="J104">
        <f t="shared" si="14"/>
        <v>11</v>
      </c>
      <c r="K104">
        <f t="shared" si="15"/>
        <v>0</v>
      </c>
      <c r="L104">
        <f t="shared" si="16"/>
        <v>0</v>
      </c>
      <c r="M104" t="str">
        <f t="shared" si="17"/>
        <v>C</v>
      </c>
      <c r="O104">
        <f t="shared" si="10"/>
        <v>1</v>
      </c>
      <c r="P104">
        <f t="shared" si="11"/>
        <v>1</v>
      </c>
    </row>
    <row r="105" spans="1:16" x14ac:dyDescent="0.45">
      <c r="A105">
        <v>104</v>
      </c>
      <c r="B105">
        <v>21.2</v>
      </c>
      <c r="C105">
        <v>11</v>
      </c>
      <c r="D105" t="s">
        <v>6</v>
      </c>
      <c r="E105">
        <v>4</v>
      </c>
      <c r="F105">
        <v>104</v>
      </c>
      <c r="G105" t="str">
        <f t="shared" si="12"/>
        <v>S</v>
      </c>
      <c r="H105">
        <f t="shared" si="18"/>
        <v>4</v>
      </c>
      <c r="I105">
        <f t="shared" si="13"/>
        <v>0</v>
      </c>
      <c r="J105">
        <f t="shared" si="14"/>
        <v>12</v>
      </c>
      <c r="K105">
        <f t="shared" si="15"/>
        <v>0</v>
      </c>
      <c r="L105">
        <f t="shared" si="16"/>
        <v>0</v>
      </c>
      <c r="M105" t="str">
        <f t="shared" si="17"/>
        <v>C</v>
      </c>
      <c r="O105">
        <f t="shared" si="10"/>
        <v>1</v>
      </c>
      <c r="P105">
        <f t="shared" si="11"/>
        <v>1</v>
      </c>
    </row>
    <row r="106" spans="1:16" x14ac:dyDescent="0.45">
      <c r="A106">
        <v>105</v>
      </c>
      <c r="B106">
        <v>19.5</v>
      </c>
      <c r="C106">
        <v>27</v>
      </c>
      <c r="D106" t="s">
        <v>6</v>
      </c>
      <c r="E106">
        <v>5</v>
      </c>
      <c r="F106">
        <v>105</v>
      </c>
      <c r="G106" t="str">
        <f t="shared" si="12"/>
        <v>S</v>
      </c>
      <c r="H106">
        <f t="shared" si="18"/>
        <v>5</v>
      </c>
      <c r="I106">
        <f t="shared" si="13"/>
        <v>0</v>
      </c>
      <c r="J106">
        <f t="shared" si="14"/>
        <v>13</v>
      </c>
      <c r="K106">
        <f t="shared" si="15"/>
        <v>0</v>
      </c>
      <c r="L106">
        <f t="shared" si="16"/>
        <v>0</v>
      </c>
      <c r="M106" t="str">
        <f t="shared" si="17"/>
        <v>C</v>
      </c>
      <c r="O106">
        <f t="shared" si="10"/>
        <v>1</v>
      </c>
      <c r="P106">
        <f t="shared" si="11"/>
        <v>1</v>
      </c>
    </row>
    <row r="107" spans="1:16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v>106</v>
      </c>
      <c r="G107">
        <f t="shared" si="12"/>
        <v>0</v>
      </c>
      <c r="H107">
        <f t="shared" si="18"/>
        <v>0</v>
      </c>
      <c r="I107">
        <f t="shared" si="13"/>
        <v>1</v>
      </c>
      <c r="J107">
        <f t="shared" si="14"/>
        <v>1</v>
      </c>
      <c r="K107">
        <f t="shared" si="15"/>
        <v>0</v>
      </c>
      <c r="L107">
        <f t="shared" si="16"/>
        <v>0</v>
      </c>
      <c r="M107" t="str">
        <f t="shared" si="17"/>
        <v>C</v>
      </c>
      <c r="O107">
        <f t="shared" si="10"/>
        <v>1</v>
      </c>
      <c r="P107">
        <f t="shared" si="11"/>
        <v>1</v>
      </c>
    </row>
    <row r="108" spans="1:16" x14ac:dyDescent="0.45">
      <c r="A108">
        <v>107</v>
      </c>
      <c r="B108">
        <v>17.8</v>
      </c>
      <c r="C108">
        <v>5</v>
      </c>
      <c r="D108" t="s">
        <v>5</v>
      </c>
      <c r="E108">
        <v>1</v>
      </c>
      <c r="F108">
        <v>107</v>
      </c>
      <c r="G108" t="str">
        <f t="shared" si="12"/>
        <v>C</v>
      </c>
      <c r="H108">
        <f t="shared" si="18"/>
        <v>1</v>
      </c>
      <c r="I108">
        <f t="shared" si="13"/>
        <v>0</v>
      </c>
      <c r="J108">
        <f t="shared" si="14"/>
        <v>1</v>
      </c>
      <c r="K108">
        <f t="shared" si="15"/>
        <v>1</v>
      </c>
      <c r="L108">
        <f t="shared" si="16"/>
        <v>0</v>
      </c>
      <c r="M108" t="str">
        <f t="shared" si="17"/>
        <v>C</v>
      </c>
      <c r="O108">
        <f t="shared" si="10"/>
        <v>1</v>
      </c>
      <c r="P108">
        <f t="shared" si="11"/>
        <v>1</v>
      </c>
    </row>
    <row r="109" spans="1:16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v>108</v>
      </c>
      <c r="G109" t="str">
        <f t="shared" si="12"/>
        <v>C</v>
      </c>
      <c r="H109">
        <f t="shared" si="18"/>
        <v>1</v>
      </c>
      <c r="I109">
        <f t="shared" si="13"/>
        <v>0</v>
      </c>
      <c r="J109">
        <f t="shared" si="14"/>
        <v>2</v>
      </c>
      <c r="K109">
        <f t="shared" si="15"/>
        <v>0</v>
      </c>
      <c r="L109">
        <f t="shared" si="16"/>
        <v>0</v>
      </c>
      <c r="M109" t="str">
        <f t="shared" si="17"/>
        <v>C</v>
      </c>
      <c r="O109">
        <f t="shared" si="10"/>
        <v>1</v>
      </c>
      <c r="P109">
        <f t="shared" si="11"/>
        <v>1</v>
      </c>
    </row>
    <row r="110" spans="1:16" x14ac:dyDescent="0.45">
      <c r="A110">
        <v>109</v>
      </c>
      <c r="B110">
        <v>21.3</v>
      </c>
      <c r="C110">
        <v>1</v>
      </c>
      <c r="D110" t="s">
        <v>5</v>
      </c>
      <c r="E110">
        <v>1</v>
      </c>
      <c r="F110">
        <v>109</v>
      </c>
      <c r="G110" t="str">
        <f t="shared" si="12"/>
        <v>C</v>
      </c>
      <c r="H110">
        <f t="shared" si="18"/>
        <v>1</v>
      </c>
      <c r="I110">
        <f t="shared" si="13"/>
        <v>0</v>
      </c>
      <c r="J110">
        <f t="shared" si="14"/>
        <v>3</v>
      </c>
      <c r="K110">
        <f t="shared" si="15"/>
        <v>0</v>
      </c>
      <c r="L110">
        <f t="shared" si="16"/>
        <v>0</v>
      </c>
      <c r="M110" t="str">
        <f t="shared" si="17"/>
        <v>C</v>
      </c>
      <c r="O110">
        <f t="shared" si="10"/>
        <v>1</v>
      </c>
      <c r="P110">
        <f t="shared" si="11"/>
        <v>1</v>
      </c>
    </row>
    <row r="111" spans="1:16" x14ac:dyDescent="0.45">
      <c r="A111">
        <v>110</v>
      </c>
      <c r="B111">
        <v>24.5</v>
      </c>
      <c r="C111">
        <v>7</v>
      </c>
      <c r="D111" t="s">
        <v>5</v>
      </c>
      <c r="E111">
        <v>2</v>
      </c>
      <c r="F111">
        <v>110</v>
      </c>
      <c r="G111" t="str">
        <f t="shared" si="12"/>
        <v>C</v>
      </c>
      <c r="H111">
        <f t="shared" si="18"/>
        <v>2</v>
      </c>
      <c r="I111">
        <f t="shared" si="13"/>
        <v>0</v>
      </c>
      <c r="J111">
        <f t="shared" si="14"/>
        <v>4</v>
      </c>
      <c r="K111">
        <f t="shared" si="15"/>
        <v>0</v>
      </c>
      <c r="L111">
        <f t="shared" si="16"/>
        <v>1</v>
      </c>
      <c r="M111" t="str">
        <f t="shared" si="17"/>
        <v>C</v>
      </c>
      <c r="O111">
        <f t="shared" si="10"/>
        <v>1</v>
      </c>
      <c r="P111">
        <f t="shared" si="11"/>
        <v>1</v>
      </c>
    </row>
    <row r="112" spans="1:16" x14ac:dyDescent="0.45">
      <c r="A112">
        <v>111</v>
      </c>
      <c r="B112">
        <v>27.5</v>
      </c>
      <c r="C112">
        <v>12</v>
      </c>
      <c r="D112" t="s">
        <v>5</v>
      </c>
      <c r="E112">
        <v>2</v>
      </c>
      <c r="F112">
        <v>111</v>
      </c>
      <c r="G112" t="str">
        <f t="shared" si="12"/>
        <v>C</v>
      </c>
      <c r="H112">
        <f t="shared" si="18"/>
        <v>2</v>
      </c>
      <c r="I112">
        <f t="shared" si="13"/>
        <v>0</v>
      </c>
      <c r="J112">
        <f t="shared" si="14"/>
        <v>5</v>
      </c>
      <c r="K112">
        <f t="shared" si="15"/>
        <v>0</v>
      </c>
      <c r="L112">
        <f t="shared" si="16"/>
        <v>0</v>
      </c>
      <c r="M112" t="str">
        <f t="shared" si="17"/>
        <v>C</v>
      </c>
      <c r="O112">
        <f t="shared" si="10"/>
        <v>1</v>
      </c>
      <c r="P112">
        <f t="shared" si="11"/>
        <v>1</v>
      </c>
    </row>
    <row r="113" spans="1:16" x14ac:dyDescent="0.45">
      <c r="A113">
        <v>112</v>
      </c>
      <c r="B113">
        <v>29.5</v>
      </c>
      <c r="C113">
        <v>6</v>
      </c>
      <c r="D113" t="s">
        <v>5</v>
      </c>
      <c r="E113">
        <v>2</v>
      </c>
      <c r="F113">
        <v>112</v>
      </c>
      <c r="G113" t="str">
        <f t="shared" si="12"/>
        <v>C</v>
      </c>
      <c r="H113">
        <f t="shared" si="18"/>
        <v>2</v>
      </c>
      <c r="I113">
        <f t="shared" si="13"/>
        <v>0</v>
      </c>
      <c r="J113">
        <f t="shared" si="14"/>
        <v>6</v>
      </c>
      <c r="K113">
        <f t="shared" si="15"/>
        <v>0</v>
      </c>
      <c r="L113">
        <f t="shared" si="16"/>
        <v>0</v>
      </c>
      <c r="M113" t="str">
        <f t="shared" si="17"/>
        <v>C</v>
      </c>
      <c r="O113">
        <f t="shared" si="10"/>
        <v>1</v>
      </c>
      <c r="P113">
        <f t="shared" si="11"/>
        <v>1</v>
      </c>
    </row>
    <row r="114" spans="1:16" x14ac:dyDescent="0.45">
      <c r="A114">
        <v>113</v>
      </c>
      <c r="B114">
        <v>29.9</v>
      </c>
      <c r="C114">
        <v>5</v>
      </c>
      <c r="D114" t="s">
        <v>5</v>
      </c>
      <c r="E114">
        <v>3</v>
      </c>
      <c r="F114">
        <v>113</v>
      </c>
      <c r="G114" t="str">
        <f t="shared" si="12"/>
        <v>C</v>
      </c>
      <c r="H114">
        <f t="shared" si="18"/>
        <v>3</v>
      </c>
      <c r="I114">
        <f t="shared" si="13"/>
        <v>0</v>
      </c>
      <c r="J114">
        <f t="shared" si="14"/>
        <v>7</v>
      </c>
      <c r="K114">
        <f t="shared" si="15"/>
        <v>0</v>
      </c>
      <c r="L114">
        <f t="shared" si="16"/>
        <v>0</v>
      </c>
      <c r="M114" t="str">
        <f t="shared" si="17"/>
        <v>C</v>
      </c>
      <c r="O114">
        <f t="shared" si="10"/>
        <v>1</v>
      </c>
      <c r="P114">
        <f t="shared" si="11"/>
        <v>1</v>
      </c>
    </row>
    <row r="115" spans="1:16" x14ac:dyDescent="0.45">
      <c r="A115">
        <v>114</v>
      </c>
      <c r="B115">
        <v>28.6</v>
      </c>
      <c r="C115">
        <v>6</v>
      </c>
      <c r="D115" t="s">
        <v>5</v>
      </c>
      <c r="E115">
        <v>3</v>
      </c>
      <c r="F115">
        <v>114</v>
      </c>
      <c r="G115" t="str">
        <f t="shared" si="12"/>
        <v>C</v>
      </c>
      <c r="H115">
        <f t="shared" si="18"/>
        <v>3</v>
      </c>
      <c r="I115">
        <f t="shared" si="13"/>
        <v>0</v>
      </c>
      <c r="J115">
        <f t="shared" si="14"/>
        <v>8</v>
      </c>
      <c r="K115">
        <f t="shared" si="15"/>
        <v>0</v>
      </c>
      <c r="L115">
        <f t="shared" si="16"/>
        <v>0</v>
      </c>
      <c r="M115" t="str">
        <f t="shared" si="17"/>
        <v>C</v>
      </c>
      <c r="O115">
        <f t="shared" si="10"/>
        <v>1</v>
      </c>
      <c r="P115">
        <f t="shared" si="11"/>
        <v>1</v>
      </c>
    </row>
    <row r="116" spans="1:16" x14ac:dyDescent="0.45">
      <c r="A116">
        <v>115</v>
      </c>
      <c r="B116">
        <v>25.9</v>
      </c>
      <c r="C116">
        <v>6</v>
      </c>
      <c r="D116" t="s">
        <v>5</v>
      </c>
      <c r="E116">
        <v>3</v>
      </c>
      <c r="F116">
        <v>115</v>
      </c>
      <c r="G116" t="str">
        <f t="shared" si="12"/>
        <v>C</v>
      </c>
      <c r="H116">
        <f t="shared" si="18"/>
        <v>3</v>
      </c>
      <c r="I116">
        <f t="shared" si="13"/>
        <v>0</v>
      </c>
      <c r="J116">
        <f t="shared" si="14"/>
        <v>9</v>
      </c>
      <c r="K116">
        <f t="shared" si="15"/>
        <v>0</v>
      </c>
      <c r="L116">
        <f t="shared" si="16"/>
        <v>0</v>
      </c>
      <c r="M116" t="str">
        <f t="shared" si="17"/>
        <v>C</v>
      </c>
      <c r="O116">
        <f t="shared" si="10"/>
        <v>1</v>
      </c>
      <c r="P116">
        <f t="shared" si="11"/>
        <v>1</v>
      </c>
    </row>
    <row r="117" spans="1:16" x14ac:dyDescent="0.45">
      <c r="A117">
        <v>116</v>
      </c>
      <c r="B117">
        <v>22.6</v>
      </c>
      <c r="C117">
        <v>23</v>
      </c>
      <c r="D117" t="s">
        <v>5</v>
      </c>
      <c r="E117">
        <v>4</v>
      </c>
      <c r="F117">
        <v>116</v>
      </c>
      <c r="G117" t="str">
        <f t="shared" si="12"/>
        <v>C</v>
      </c>
      <c r="H117">
        <f t="shared" si="18"/>
        <v>4</v>
      </c>
      <c r="I117">
        <f t="shared" si="13"/>
        <v>0</v>
      </c>
      <c r="J117">
        <f t="shared" si="14"/>
        <v>10</v>
      </c>
      <c r="K117">
        <f t="shared" si="15"/>
        <v>0</v>
      </c>
      <c r="L117">
        <f t="shared" si="16"/>
        <v>0</v>
      </c>
      <c r="M117" t="str">
        <f t="shared" si="17"/>
        <v>C</v>
      </c>
      <c r="O117">
        <f t="shared" si="10"/>
        <v>1</v>
      </c>
      <c r="P117">
        <f t="shared" si="11"/>
        <v>1</v>
      </c>
    </row>
    <row r="118" spans="1:16" x14ac:dyDescent="0.45">
      <c r="A118">
        <v>117</v>
      </c>
      <c r="B118">
        <v>19.7</v>
      </c>
      <c r="C118">
        <v>16</v>
      </c>
      <c r="D118" t="s">
        <v>5</v>
      </c>
      <c r="E118">
        <v>4</v>
      </c>
      <c r="F118">
        <v>117</v>
      </c>
      <c r="G118" t="str">
        <f t="shared" si="12"/>
        <v>C</v>
      </c>
      <c r="H118">
        <f t="shared" si="18"/>
        <v>4</v>
      </c>
      <c r="I118">
        <f t="shared" si="13"/>
        <v>0</v>
      </c>
      <c r="J118">
        <f t="shared" si="14"/>
        <v>11</v>
      </c>
      <c r="K118">
        <f t="shared" si="15"/>
        <v>0</v>
      </c>
      <c r="L118">
        <f t="shared" si="16"/>
        <v>0</v>
      </c>
      <c r="M118" t="str">
        <f t="shared" si="17"/>
        <v>C</v>
      </c>
      <c r="O118">
        <f t="shared" si="10"/>
        <v>1</v>
      </c>
      <c r="P118">
        <f t="shared" si="11"/>
        <v>1</v>
      </c>
    </row>
    <row r="119" spans="1:16" x14ac:dyDescent="0.45">
      <c r="A119">
        <v>118</v>
      </c>
      <c r="B119">
        <v>17.8</v>
      </c>
      <c r="C119">
        <v>1</v>
      </c>
      <c r="D119" t="s">
        <v>5</v>
      </c>
      <c r="E119">
        <v>4</v>
      </c>
      <c r="F119">
        <v>118</v>
      </c>
      <c r="G119" t="str">
        <f t="shared" si="12"/>
        <v>C</v>
      </c>
      <c r="H119">
        <f t="shared" si="18"/>
        <v>4</v>
      </c>
      <c r="I119">
        <f t="shared" si="13"/>
        <v>0</v>
      </c>
      <c r="J119">
        <f t="shared" si="14"/>
        <v>12</v>
      </c>
      <c r="K119">
        <f t="shared" si="15"/>
        <v>0</v>
      </c>
      <c r="L119">
        <f t="shared" si="16"/>
        <v>0</v>
      </c>
      <c r="M119" t="str">
        <f t="shared" si="17"/>
        <v>C</v>
      </c>
      <c r="O119">
        <f t="shared" si="10"/>
        <v>1</v>
      </c>
      <c r="P119">
        <f t="shared" si="11"/>
        <v>1</v>
      </c>
    </row>
    <row r="120" spans="1:16" x14ac:dyDescent="0.45">
      <c r="A120">
        <v>119</v>
      </c>
      <c r="B120">
        <v>17.3</v>
      </c>
      <c r="C120">
        <v>27</v>
      </c>
      <c r="D120" t="s">
        <v>5</v>
      </c>
      <c r="E120">
        <v>5</v>
      </c>
      <c r="F120">
        <v>119</v>
      </c>
      <c r="G120" t="str">
        <f t="shared" si="12"/>
        <v>C</v>
      </c>
      <c r="H120">
        <f t="shared" si="18"/>
        <v>5</v>
      </c>
      <c r="I120">
        <f t="shared" si="13"/>
        <v>0</v>
      </c>
      <c r="J120">
        <f t="shared" si="14"/>
        <v>13</v>
      </c>
      <c r="K120">
        <f t="shared" si="15"/>
        <v>0</v>
      </c>
      <c r="L120">
        <f t="shared" si="16"/>
        <v>0</v>
      </c>
      <c r="M120" t="str">
        <f t="shared" si="17"/>
        <v>C</v>
      </c>
      <c r="O120">
        <f t="shared" si="10"/>
        <v>1</v>
      </c>
      <c r="P120">
        <f t="shared" si="11"/>
        <v>1</v>
      </c>
    </row>
    <row r="121" spans="1:16" x14ac:dyDescent="0.45">
      <c r="A121">
        <v>120</v>
      </c>
      <c r="B121">
        <v>18.2</v>
      </c>
      <c r="C121">
        <v>0</v>
      </c>
      <c r="D121">
        <v>0</v>
      </c>
      <c r="E121">
        <v>0</v>
      </c>
      <c r="F121">
        <v>120</v>
      </c>
      <c r="G121">
        <f t="shared" si="12"/>
        <v>0</v>
      </c>
      <c r="H121">
        <f t="shared" si="18"/>
        <v>0</v>
      </c>
      <c r="I121">
        <f t="shared" si="13"/>
        <v>1</v>
      </c>
      <c r="J121">
        <f t="shared" si="14"/>
        <v>1</v>
      </c>
      <c r="K121">
        <f t="shared" si="15"/>
        <v>0</v>
      </c>
      <c r="L121">
        <f t="shared" si="16"/>
        <v>0</v>
      </c>
      <c r="M121" t="str">
        <f t="shared" si="17"/>
        <v>C</v>
      </c>
      <c r="O121">
        <f t="shared" si="10"/>
        <v>1</v>
      </c>
      <c r="P121">
        <f t="shared" si="11"/>
        <v>1</v>
      </c>
    </row>
    <row r="122" spans="1:16" x14ac:dyDescent="0.45">
      <c r="A122">
        <v>121</v>
      </c>
      <c r="B122">
        <v>19.8</v>
      </c>
      <c r="C122">
        <v>1</v>
      </c>
      <c r="D122" t="s">
        <v>5</v>
      </c>
      <c r="E122">
        <v>1</v>
      </c>
      <c r="F122">
        <v>121</v>
      </c>
      <c r="G122" t="str">
        <f t="shared" si="12"/>
        <v>C</v>
      </c>
      <c r="H122">
        <f t="shared" si="18"/>
        <v>1</v>
      </c>
      <c r="I122">
        <f t="shared" si="13"/>
        <v>0</v>
      </c>
      <c r="J122">
        <f t="shared" si="14"/>
        <v>1</v>
      </c>
      <c r="K122">
        <f t="shared" si="15"/>
        <v>1</v>
      </c>
      <c r="L122">
        <f t="shared" si="16"/>
        <v>0</v>
      </c>
      <c r="M122" t="str">
        <f t="shared" si="17"/>
        <v>C</v>
      </c>
      <c r="O122">
        <f t="shared" si="10"/>
        <v>1</v>
      </c>
      <c r="P122">
        <f t="shared" si="11"/>
        <v>1</v>
      </c>
    </row>
    <row r="123" spans="1:16" x14ac:dyDescent="0.45">
      <c r="A123">
        <v>122</v>
      </c>
      <c r="B123">
        <v>21.4</v>
      </c>
      <c r="C123">
        <v>1</v>
      </c>
      <c r="D123" t="s">
        <v>5</v>
      </c>
      <c r="E123">
        <v>1</v>
      </c>
      <c r="F123">
        <v>122</v>
      </c>
      <c r="G123" t="str">
        <f t="shared" si="12"/>
        <v>C</v>
      </c>
      <c r="H123">
        <f t="shared" si="18"/>
        <v>1</v>
      </c>
      <c r="I123">
        <f t="shared" si="13"/>
        <v>0</v>
      </c>
      <c r="J123">
        <f t="shared" si="14"/>
        <v>2</v>
      </c>
      <c r="K123">
        <f t="shared" si="15"/>
        <v>0</v>
      </c>
      <c r="L123">
        <f t="shared" si="16"/>
        <v>0</v>
      </c>
      <c r="M123" t="str">
        <f t="shared" si="17"/>
        <v>C</v>
      </c>
      <c r="O123">
        <f t="shared" si="10"/>
        <v>1</v>
      </c>
      <c r="P123">
        <f t="shared" si="11"/>
        <v>1</v>
      </c>
    </row>
    <row r="124" spans="1:16" x14ac:dyDescent="0.45">
      <c r="A124">
        <v>123</v>
      </c>
      <c r="B124">
        <v>22</v>
      </c>
      <c r="C124">
        <v>6</v>
      </c>
      <c r="D124" t="s">
        <v>5</v>
      </c>
      <c r="E124">
        <v>1</v>
      </c>
      <c r="F124">
        <v>123</v>
      </c>
      <c r="G124" t="str">
        <f t="shared" si="12"/>
        <v>C</v>
      </c>
      <c r="H124">
        <f t="shared" si="18"/>
        <v>1</v>
      </c>
      <c r="I124">
        <f t="shared" si="13"/>
        <v>0</v>
      </c>
      <c r="J124">
        <f t="shared" si="14"/>
        <v>3</v>
      </c>
      <c r="K124">
        <f t="shared" si="15"/>
        <v>0</v>
      </c>
      <c r="L124">
        <f t="shared" si="16"/>
        <v>0</v>
      </c>
      <c r="M124" t="str">
        <f t="shared" si="17"/>
        <v>C</v>
      </c>
      <c r="O124">
        <f t="shared" si="10"/>
        <v>1</v>
      </c>
      <c r="P124">
        <f t="shared" si="11"/>
        <v>1</v>
      </c>
    </row>
    <row r="125" spans="1:16" x14ac:dyDescent="0.45">
      <c r="A125">
        <v>124</v>
      </c>
      <c r="B125">
        <v>21.2</v>
      </c>
      <c r="C125">
        <v>9</v>
      </c>
      <c r="D125" t="s">
        <v>5</v>
      </c>
      <c r="E125">
        <v>2</v>
      </c>
      <c r="F125">
        <v>124</v>
      </c>
      <c r="G125" t="str">
        <f t="shared" si="12"/>
        <v>C</v>
      </c>
      <c r="H125">
        <f t="shared" si="18"/>
        <v>2</v>
      </c>
      <c r="I125">
        <f t="shared" si="13"/>
        <v>0</v>
      </c>
      <c r="J125">
        <f t="shared" si="14"/>
        <v>4</v>
      </c>
      <c r="K125">
        <f t="shared" si="15"/>
        <v>0</v>
      </c>
      <c r="L125">
        <f t="shared" si="16"/>
        <v>1</v>
      </c>
      <c r="M125" t="str">
        <f t="shared" si="17"/>
        <v>C</v>
      </c>
      <c r="O125">
        <f t="shared" si="10"/>
        <v>1</v>
      </c>
      <c r="P125">
        <f t="shared" si="11"/>
        <v>1</v>
      </c>
    </row>
    <row r="126" spans="1:16" x14ac:dyDescent="0.45">
      <c r="A126">
        <v>125</v>
      </c>
      <c r="B126">
        <v>18.8</v>
      </c>
      <c r="C126">
        <v>7</v>
      </c>
      <c r="D126" t="s">
        <v>5</v>
      </c>
      <c r="E126">
        <v>2</v>
      </c>
      <c r="F126">
        <v>125</v>
      </c>
      <c r="G126" t="str">
        <f t="shared" si="12"/>
        <v>C</v>
      </c>
      <c r="H126">
        <f t="shared" si="18"/>
        <v>2</v>
      </c>
      <c r="I126">
        <f t="shared" si="13"/>
        <v>0</v>
      </c>
      <c r="J126">
        <f t="shared" si="14"/>
        <v>5</v>
      </c>
      <c r="K126">
        <f t="shared" si="15"/>
        <v>0</v>
      </c>
      <c r="L126">
        <f t="shared" si="16"/>
        <v>0</v>
      </c>
      <c r="M126" t="str">
        <f t="shared" si="17"/>
        <v>C</v>
      </c>
      <c r="O126">
        <f t="shared" si="10"/>
        <v>1</v>
      </c>
      <c r="P126">
        <f t="shared" si="11"/>
        <v>1</v>
      </c>
    </row>
    <row r="127" spans="1:16" x14ac:dyDescent="0.45">
      <c r="A127">
        <v>126</v>
      </c>
      <c r="B127">
        <v>15.2</v>
      </c>
      <c r="C127">
        <v>12</v>
      </c>
      <c r="D127" t="s">
        <v>5</v>
      </c>
      <c r="E127">
        <v>2</v>
      </c>
      <c r="F127">
        <v>126</v>
      </c>
      <c r="G127" t="str">
        <f t="shared" si="12"/>
        <v>C</v>
      </c>
      <c r="H127">
        <f t="shared" si="18"/>
        <v>2</v>
      </c>
      <c r="I127">
        <f t="shared" si="13"/>
        <v>0</v>
      </c>
      <c r="J127">
        <f t="shared" si="14"/>
        <v>6</v>
      </c>
      <c r="K127">
        <f t="shared" si="15"/>
        <v>0</v>
      </c>
      <c r="L127">
        <f t="shared" si="16"/>
        <v>0</v>
      </c>
      <c r="M127" t="str">
        <f t="shared" si="17"/>
        <v>C</v>
      </c>
      <c r="O127">
        <f t="shared" si="10"/>
        <v>1</v>
      </c>
      <c r="P127">
        <f t="shared" si="11"/>
        <v>1</v>
      </c>
    </row>
    <row r="128" spans="1:16" x14ac:dyDescent="0.45">
      <c r="A128">
        <v>127</v>
      </c>
      <c r="B128">
        <v>11.1</v>
      </c>
      <c r="C128">
        <v>15</v>
      </c>
      <c r="D128" t="s">
        <v>5</v>
      </c>
      <c r="E128">
        <v>3</v>
      </c>
      <c r="F128">
        <v>127</v>
      </c>
      <c r="G128" t="str">
        <f t="shared" si="12"/>
        <v>C</v>
      </c>
      <c r="H128">
        <f t="shared" si="18"/>
        <v>3</v>
      </c>
      <c r="I128">
        <f t="shared" si="13"/>
        <v>0</v>
      </c>
      <c r="J128">
        <f t="shared" si="14"/>
        <v>7</v>
      </c>
      <c r="K128">
        <f t="shared" si="15"/>
        <v>0</v>
      </c>
      <c r="L128">
        <f t="shared" si="16"/>
        <v>0</v>
      </c>
      <c r="M128" t="str">
        <f t="shared" si="17"/>
        <v>C</v>
      </c>
      <c r="O128">
        <f t="shared" si="10"/>
        <v>1</v>
      </c>
      <c r="P128">
        <f t="shared" si="11"/>
        <v>1</v>
      </c>
    </row>
    <row r="129" spans="1:16" x14ac:dyDescent="0.45">
      <c r="A129">
        <v>128</v>
      </c>
      <c r="B129">
        <v>7.5</v>
      </c>
      <c r="C129">
        <v>10</v>
      </c>
      <c r="D129" t="s">
        <v>5</v>
      </c>
      <c r="E129">
        <v>3</v>
      </c>
      <c r="F129">
        <v>128</v>
      </c>
      <c r="G129" t="str">
        <f t="shared" si="12"/>
        <v>C</v>
      </c>
      <c r="H129">
        <f t="shared" si="18"/>
        <v>3</v>
      </c>
      <c r="I129">
        <f t="shared" si="13"/>
        <v>0</v>
      </c>
      <c r="J129">
        <f t="shared" si="14"/>
        <v>8</v>
      </c>
      <c r="K129">
        <f t="shared" si="15"/>
        <v>0</v>
      </c>
      <c r="L129">
        <f t="shared" si="16"/>
        <v>0</v>
      </c>
      <c r="M129" t="str">
        <f t="shared" si="17"/>
        <v>S</v>
      </c>
      <c r="O129">
        <f t="shared" si="10"/>
        <v>1</v>
      </c>
      <c r="P129">
        <f t="shared" si="11"/>
        <v>1</v>
      </c>
    </row>
    <row r="130" spans="1:16" x14ac:dyDescent="0.45">
      <c r="A130">
        <v>129</v>
      </c>
      <c r="B130">
        <v>5.2</v>
      </c>
      <c r="C130">
        <v>5</v>
      </c>
      <c r="D130" t="s">
        <v>5</v>
      </c>
      <c r="E130">
        <v>3</v>
      </c>
      <c r="F130">
        <v>129</v>
      </c>
      <c r="G130" t="str">
        <f t="shared" si="12"/>
        <v>C</v>
      </c>
      <c r="H130">
        <f t="shared" si="18"/>
        <v>3</v>
      </c>
      <c r="I130">
        <f t="shared" si="13"/>
        <v>0</v>
      </c>
      <c r="J130">
        <f t="shared" si="14"/>
        <v>9</v>
      </c>
      <c r="K130">
        <f t="shared" si="15"/>
        <v>0</v>
      </c>
      <c r="L130">
        <f t="shared" si="16"/>
        <v>0</v>
      </c>
      <c r="M130" t="str">
        <f t="shared" si="17"/>
        <v>S</v>
      </c>
      <c r="O130">
        <f t="shared" si="10"/>
        <v>1</v>
      </c>
      <c r="P130">
        <f t="shared" si="11"/>
        <v>1</v>
      </c>
    </row>
    <row r="131" spans="1:16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v>130</v>
      </c>
      <c r="G131" t="str">
        <f t="shared" si="12"/>
        <v>C</v>
      </c>
      <c r="H131">
        <f t="shared" si="18"/>
        <v>4</v>
      </c>
      <c r="I131">
        <f t="shared" si="13"/>
        <v>0</v>
      </c>
      <c r="J131">
        <f t="shared" si="14"/>
        <v>10</v>
      </c>
      <c r="K131">
        <f t="shared" si="15"/>
        <v>0</v>
      </c>
      <c r="L131">
        <f t="shared" si="16"/>
        <v>0</v>
      </c>
      <c r="M131" t="str">
        <f t="shared" si="17"/>
        <v>S</v>
      </c>
      <c r="O131">
        <f t="shared" ref="O131:O194" si="19">IF(H131=E131,1,0)</f>
        <v>1</v>
      </c>
      <c r="P131">
        <f t="shared" ref="P131:P194" si="20">SUM(N131:O131)</f>
        <v>1</v>
      </c>
    </row>
    <row r="132" spans="1:16" x14ac:dyDescent="0.45">
      <c r="A132">
        <v>131</v>
      </c>
      <c r="B132">
        <v>5.5</v>
      </c>
      <c r="C132">
        <v>11</v>
      </c>
      <c r="D132" t="s">
        <v>5</v>
      </c>
      <c r="E132">
        <v>4</v>
      </c>
      <c r="F132">
        <v>131</v>
      </c>
      <c r="G132" t="str">
        <f t="shared" ref="G132:G195" si="21">IF(I132=1,0, IF(K132=1,M132,G131))</f>
        <v>C</v>
      </c>
      <c r="H132">
        <f t="shared" si="18"/>
        <v>4</v>
      </c>
      <c r="I132">
        <f t="shared" ref="I132:I195" si="22">IF(AND(H131=5,C131&gt;=20),1,0)</f>
        <v>0</v>
      </c>
      <c r="J132">
        <f t="shared" ref="J132:J195" si="23">IF(G132=G131,J131+1,1)</f>
        <v>11</v>
      </c>
      <c r="K132">
        <f t="shared" ref="K132:K195" si="24">IF(AND(G131=0,H131=0),1,0)</f>
        <v>0</v>
      </c>
      <c r="L132">
        <f t="shared" ref="L132:L195" si="25">IF(J131=3,1,0)</f>
        <v>0</v>
      </c>
      <c r="M132" t="str">
        <f t="shared" ref="M132:M195" si="26">IF(B132&lt;10,"S","C")</f>
        <v>S</v>
      </c>
      <c r="O132">
        <f t="shared" si="19"/>
        <v>1</v>
      </c>
      <c r="P132">
        <f t="shared" si="20"/>
        <v>1</v>
      </c>
    </row>
    <row r="133" spans="1:16" x14ac:dyDescent="0.45">
      <c r="A133">
        <v>132</v>
      </c>
      <c r="B133">
        <v>7.3</v>
      </c>
      <c r="C133">
        <v>23</v>
      </c>
      <c r="D133" t="s">
        <v>5</v>
      </c>
      <c r="E133">
        <v>4</v>
      </c>
      <c r="F133">
        <v>132</v>
      </c>
      <c r="G133" t="str">
        <f t="shared" si="21"/>
        <v>C</v>
      </c>
      <c r="H133">
        <f t="shared" si="18"/>
        <v>4</v>
      </c>
      <c r="I133">
        <f t="shared" si="22"/>
        <v>0</v>
      </c>
      <c r="J133">
        <f t="shared" si="23"/>
        <v>12</v>
      </c>
      <c r="K133">
        <f t="shared" si="24"/>
        <v>0</v>
      </c>
      <c r="L133">
        <f t="shared" si="25"/>
        <v>0</v>
      </c>
      <c r="M133" t="str">
        <f t="shared" si="26"/>
        <v>S</v>
      </c>
      <c r="O133">
        <f t="shared" si="19"/>
        <v>1</v>
      </c>
      <c r="P133">
        <f t="shared" si="20"/>
        <v>1</v>
      </c>
    </row>
    <row r="134" spans="1:16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v>133</v>
      </c>
      <c r="G134" t="str">
        <f t="shared" si="21"/>
        <v>C</v>
      </c>
      <c r="H134">
        <f t="shared" si="18"/>
        <v>5</v>
      </c>
      <c r="I134">
        <f t="shared" si="22"/>
        <v>0</v>
      </c>
      <c r="J134">
        <f t="shared" si="23"/>
        <v>13</v>
      </c>
      <c r="K134">
        <f t="shared" si="24"/>
        <v>0</v>
      </c>
      <c r="L134">
        <f t="shared" si="25"/>
        <v>0</v>
      </c>
      <c r="M134" t="str">
        <f t="shared" si="26"/>
        <v>S</v>
      </c>
      <c r="O134">
        <f t="shared" si="19"/>
        <v>1</v>
      </c>
      <c r="P134">
        <f t="shared" si="20"/>
        <v>1</v>
      </c>
    </row>
    <row r="135" spans="1:16" x14ac:dyDescent="0.45">
      <c r="A135">
        <v>134</v>
      </c>
      <c r="B135">
        <v>10.5</v>
      </c>
      <c r="C135">
        <v>21</v>
      </c>
      <c r="D135" t="s">
        <v>5</v>
      </c>
      <c r="E135">
        <v>5</v>
      </c>
      <c r="F135">
        <v>134</v>
      </c>
      <c r="G135" t="str">
        <f t="shared" si="21"/>
        <v>C</v>
      </c>
      <c r="H135">
        <f t="shared" ref="H135:H198" si="27">IF(I135=1,0,IF(K135=1,1,IF(MOD(J134,3)=0, IF(H134+1&gt;5,5,H134+1),H134)))</f>
        <v>5</v>
      </c>
      <c r="I135">
        <f t="shared" si="22"/>
        <v>0</v>
      </c>
      <c r="J135">
        <f t="shared" si="23"/>
        <v>14</v>
      </c>
      <c r="K135">
        <f t="shared" si="24"/>
        <v>0</v>
      </c>
      <c r="L135">
        <f t="shared" si="25"/>
        <v>0</v>
      </c>
      <c r="M135" t="str">
        <f t="shared" si="26"/>
        <v>C</v>
      </c>
      <c r="O135">
        <f t="shared" si="19"/>
        <v>1</v>
      </c>
      <c r="P135">
        <f t="shared" si="20"/>
        <v>1</v>
      </c>
    </row>
    <row r="136" spans="1:16" x14ac:dyDescent="0.45">
      <c r="A136">
        <v>135</v>
      </c>
      <c r="B136">
        <v>10.4</v>
      </c>
      <c r="C136">
        <v>0</v>
      </c>
      <c r="D136">
        <v>0</v>
      </c>
      <c r="E136">
        <v>0</v>
      </c>
      <c r="F136">
        <v>135</v>
      </c>
      <c r="G136">
        <f t="shared" si="21"/>
        <v>0</v>
      </c>
      <c r="H136">
        <f t="shared" si="27"/>
        <v>0</v>
      </c>
      <c r="I136">
        <f t="shared" si="22"/>
        <v>1</v>
      </c>
      <c r="J136">
        <f t="shared" si="23"/>
        <v>1</v>
      </c>
      <c r="K136">
        <f t="shared" si="24"/>
        <v>0</v>
      </c>
      <c r="L136">
        <f t="shared" si="25"/>
        <v>0</v>
      </c>
      <c r="M136" t="str">
        <f t="shared" si="26"/>
        <v>C</v>
      </c>
      <c r="O136">
        <f t="shared" si="19"/>
        <v>1</v>
      </c>
      <c r="P136">
        <f t="shared" si="20"/>
        <v>1</v>
      </c>
    </row>
    <row r="137" spans="1:16" x14ac:dyDescent="0.45">
      <c r="A137">
        <v>136</v>
      </c>
      <c r="B137">
        <v>9</v>
      </c>
      <c r="C137">
        <v>4</v>
      </c>
      <c r="D137" t="s">
        <v>6</v>
      </c>
      <c r="E137">
        <v>1</v>
      </c>
      <c r="F137">
        <v>136</v>
      </c>
      <c r="G137" t="str">
        <f t="shared" si="21"/>
        <v>S</v>
      </c>
      <c r="H137">
        <f t="shared" si="27"/>
        <v>1</v>
      </c>
      <c r="I137">
        <f t="shared" si="22"/>
        <v>0</v>
      </c>
      <c r="J137">
        <f t="shared" si="23"/>
        <v>1</v>
      </c>
      <c r="K137">
        <f t="shared" si="24"/>
        <v>1</v>
      </c>
      <c r="L137">
        <f t="shared" si="25"/>
        <v>0</v>
      </c>
      <c r="M137" t="str">
        <f t="shared" si="26"/>
        <v>S</v>
      </c>
      <c r="O137">
        <f t="shared" si="19"/>
        <v>1</v>
      </c>
      <c r="P137">
        <f t="shared" si="20"/>
        <v>1</v>
      </c>
    </row>
    <row r="138" spans="1:16" x14ac:dyDescent="0.45">
      <c r="A138">
        <v>137</v>
      </c>
      <c r="B138">
        <v>6.4</v>
      </c>
      <c r="C138">
        <v>3</v>
      </c>
      <c r="D138" t="s">
        <v>6</v>
      </c>
      <c r="E138">
        <v>1</v>
      </c>
      <c r="F138">
        <v>137</v>
      </c>
      <c r="G138" t="str">
        <f t="shared" si="21"/>
        <v>S</v>
      </c>
      <c r="H138">
        <f t="shared" si="27"/>
        <v>1</v>
      </c>
      <c r="I138">
        <f t="shared" si="22"/>
        <v>0</v>
      </c>
      <c r="J138">
        <f t="shared" si="23"/>
        <v>2</v>
      </c>
      <c r="K138">
        <f t="shared" si="24"/>
        <v>0</v>
      </c>
      <c r="L138">
        <f t="shared" si="25"/>
        <v>0</v>
      </c>
      <c r="M138" t="str">
        <f t="shared" si="26"/>
        <v>S</v>
      </c>
      <c r="O138">
        <f t="shared" si="19"/>
        <v>1</v>
      </c>
      <c r="P138">
        <f t="shared" si="20"/>
        <v>1</v>
      </c>
    </row>
    <row r="139" spans="1:16" x14ac:dyDescent="0.45">
      <c r="A139">
        <v>138</v>
      </c>
      <c r="B139">
        <v>3.6</v>
      </c>
      <c r="C139">
        <v>3</v>
      </c>
      <c r="D139" t="s">
        <v>6</v>
      </c>
      <c r="E139">
        <v>1</v>
      </c>
      <c r="F139">
        <v>138</v>
      </c>
      <c r="G139" t="str">
        <f t="shared" si="21"/>
        <v>S</v>
      </c>
      <c r="H139">
        <f t="shared" si="27"/>
        <v>1</v>
      </c>
      <c r="I139">
        <f t="shared" si="22"/>
        <v>0</v>
      </c>
      <c r="J139">
        <f t="shared" si="23"/>
        <v>3</v>
      </c>
      <c r="K139">
        <f t="shared" si="24"/>
        <v>0</v>
      </c>
      <c r="L139">
        <f t="shared" si="25"/>
        <v>0</v>
      </c>
      <c r="M139" t="str">
        <f t="shared" si="26"/>
        <v>S</v>
      </c>
      <c r="O139">
        <f t="shared" si="19"/>
        <v>1</v>
      </c>
      <c r="P139">
        <f t="shared" si="20"/>
        <v>1</v>
      </c>
    </row>
    <row r="140" spans="1:16" x14ac:dyDescent="0.45">
      <c r="A140">
        <v>139</v>
      </c>
      <c r="B140">
        <v>1.4</v>
      </c>
      <c r="C140">
        <v>4</v>
      </c>
      <c r="D140" t="s">
        <v>6</v>
      </c>
      <c r="E140">
        <v>2</v>
      </c>
      <c r="F140">
        <v>139</v>
      </c>
      <c r="G140" t="str">
        <f t="shared" si="21"/>
        <v>S</v>
      </c>
      <c r="H140">
        <f t="shared" si="27"/>
        <v>2</v>
      </c>
      <c r="I140">
        <f t="shared" si="22"/>
        <v>0</v>
      </c>
      <c r="J140">
        <f t="shared" si="23"/>
        <v>4</v>
      </c>
      <c r="K140">
        <f t="shared" si="24"/>
        <v>0</v>
      </c>
      <c r="L140">
        <f t="shared" si="25"/>
        <v>1</v>
      </c>
      <c r="M140" t="str">
        <f t="shared" si="26"/>
        <v>S</v>
      </c>
      <c r="O140">
        <f t="shared" si="19"/>
        <v>1</v>
      </c>
      <c r="P140">
        <f t="shared" si="20"/>
        <v>1</v>
      </c>
    </row>
    <row r="141" spans="1:16" x14ac:dyDescent="0.45">
      <c r="A141">
        <v>140</v>
      </c>
      <c r="B141">
        <v>0.5</v>
      </c>
      <c r="C141">
        <v>5</v>
      </c>
      <c r="D141" t="s">
        <v>6</v>
      </c>
      <c r="E141">
        <v>2</v>
      </c>
      <c r="F141">
        <v>140</v>
      </c>
      <c r="G141" t="str">
        <f t="shared" si="21"/>
        <v>S</v>
      </c>
      <c r="H141">
        <f t="shared" si="27"/>
        <v>2</v>
      </c>
      <c r="I141">
        <f t="shared" si="22"/>
        <v>0</v>
      </c>
      <c r="J141">
        <f t="shared" si="23"/>
        <v>5</v>
      </c>
      <c r="K141">
        <f t="shared" si="24"/>
        <v>0</v>
      </c>
      <c r="L141">
        <f t="shared" si="25"/>
        <v>0</v>
      </c>
      <c r="M141" t="str">
        <f t="shared" si="26"/>
        <v>S</v>
      </c>
      <c r="O141">
        <f t="shared" si="19"/>
        <v>1</v>
      </c>
      <c r="P141">
        <f t="shared" si="20"/>
        <v>1</v>
      </c>
    </row>
    <row r="142" spans="1:16" x14ac:dyDescent="0.45">
      <c r="A142">
        <v>141</v>
      </c>
      <c r="B142">
        <v>1.4</v>
      </c>
      <c r="C142">
        <v>1</v>
      </c>
      <c r="D142" t="s">
        <v>6</v>
      </c>
      <c r="E142">
        <v>2</v>
      </c>
      <c r="F142">
        <v>141</v>
      </c>
      <c r="G142" t="str">
        <f t="shared" si="21"/>
        <v>S</v>
      </c>
      <c r="H142">
        <f t="shared" si="27"/>
        <v>2</v>
      </c>
      <c r="I142">
        <f t="shared" si="22"/>
        <v>0</v>
      </c>
      <c r="J142">
        <f t="shared" si="23"/>
        <v>6</v>
      </c>
      <c r="K142">
        <f t="shared" si="24"/>
        <v>0</v>
      </c>
      <c r="L142">
        <f t="shared" si="25"/>
        <v>0</v>
      </c>
      <c r="M142" t="str">
        <f t="shared" si="26"/>
        <v>S</v>
      </c>
      <c r="O142">
        <f t="shared" si="19"/>
        <v>1</v>
      </c>
      <c r="P142">
        <f t="shared" si="20"/>
        <v>1</v>
      </c>
    </row>
    <row r="143" spans="1:16" x14ac:dyDescent="0.45">
      <c r="A143">
        <v>142</v>
      </c>
      <c r="B143">
        <v>3.9</v>
      </c>
      <c r="C143">
        <v>3</v>
      </c>
      <c r="D143" t="s">
        <v>6</v>
      </c>
      <c r="E143">
        <v>3</v>
      </c>
      <c r="F143">
        <v>142</v>
      </c>
      <c r="G143" t="str">
        <f t="shared" si="21"/>
        <v>S</v>
      </c>
      <c r="H143">
        <f t="shared" si="27"/>
        <v>3</v>
      </c>
      <c r="I143">
        <f t="shared" si="22"/>
        <v>0</v>
      </c>
      <c r="J143">
        <f t="shared" si="23"/>
        <v>7</v>
      </c>
      <c r="K143">
        <f t="shared" si="24"/>
        <v>0</v>
      </c>
      <c r="L143">
        <f t="shared" si="25"/>
        <v>0</v>
      </c>
      <c r="M143" t="str">
        <f t="shared" si="26"/>
        <v>S</v>
      </c>
      <c r="O143">
        <f t="shared" si="19"/>
        <v>1</v>
      </c>
      <c r="P143">
        <f t="shared" si="20"/>
        <v>1</v>
      </c>
    </row>
    <row r="144" spans="1:16" x14ac:dyDescent="0.45">
      <c r="A144">
        <v>143</v>
      </c>
      <c r="B144">
        <v>7.3</v>
      </c>
      <c r="C144">
        <v>13</v>
      </c>
      <c r="D144" t="s">
        <v>6</v>
      </c>
      <c r="E144">
        <v>3</v>
      </c>
      <c r="F144">
        <v>143</v>
      </c>
      <c r="G144" t="str">
        <f t="shared" si="21"/>
        <v>S</v>
      </c>
      <c r="H144">
        <f t="shared" si="27"/>
        <v>3</v>
      </c>
      <c r="I144">
        <f t="shared" si="22"/>
        <v>0</v>
      </c>
      <c r="J144">
        <f t="shared" si="23"/>
        <v>8</v>
      </c>
      <c r="K144">
        <f t="shared" si="24"/>
        <v>0</v>
      </c>
      <c r="L144">
        <f t="shared" si="25"/>
        <v>0</v>
      </c>
      <c r="M144" t="str">
        <f t="shared" si="26"/>
        <v>S</v>
      </c>
      <c r="O144">
        <f t="shared" si="19"/>
        <v>1</v>
      </c>
      <c r="P144">
        <f t="shared" si="20"/>
        <v>1</v>
      </c>
    </row>
    <row r="145" spans="1:16" x14ac:dyDescent="0.45">
      <c r="A145">
        <v>144</v>
      </c>
      <c r="B145">
        <v>10.9</v>
      </c>
      <c r="C145">
        <v>12</v>
      </c>
      <c r="D145" t="s">
        <v>6</v>
      </c>
      <c r="E145">
        <v>3</v>
      </c>
      <c r="F145">
        <v>144</v>
      </c>
      <c r="G145" t="str">
        <f t="shared" si="21"/>
        <v>S</v>
      </c>
      <c r="H145">
        <f t="shared" si="27"/>
        <v>3</v>
      </c>
      <c r="I145">
        <f t="shared" si="22"/>
        <v>0</v>
      </c>
      <c r="J145">
        <f t="shared" si="23"/>
        <v>9</v>
      </c>
      <c r="K145">
        <f t="shared" si="24"/>
        <v>0</v>
      </c>
      <c r="L145">
        <f t="shared" si="25"/>
        <v>0</v>
      </c>
      <c r="M145" t="str">
        <f t="shared" si="26"/>
        <v>C</v>
      </c>
      <c r="O145">
        <f t="shared" si="19"/>
        <v>1</v>
      </c>
      <c r="P145">
        <f t="shared" si="20"/>
        <v>1</v>
      </c>
    </row>
    <row r="146" spans="1:16" x14ac:dyDescent="0.45">
      <c r="A146">
        <v>145</v>
      </c>
      <c r="B146">
        <v>13.7</v>
      </c>
      <c r="C146">
        <v>9</v>
      </c>
      <c r="D146" t="s">
        <v>6</v>
      </c>
      <c r="E146">
        <v>4</v>
      </c>
      <c r="F146">
        <v>145</v>
      </c>
      <c r="G146" t="str">
        <f t="shared" si="21"/>
        <v>S</v>
      </c>
      <c r="H146">
        <f t="shared" si="27"/>
        <v>4</v>
      </c>
      <c r="I146">
        <f t="shared" si="22"/>
        <v>0</v>
      </c>
      <c r="J146">
        <f t="shared" si="23"/>
        <v>10</v>
      </c>
      <c r="K146">
        <f t="shared" si="24"/>
        <v>0</v>
      </c>
      <c r="L146">
        <f t="shared" si="25"/>
        <v>0</v>
      </c>
      <c r="M146" t="str">
        <f t="shared" si="26"/>
        <v>C</v>
      </c>
      <c r="O146">
        <f t="shared" si="19"/>
        <v>1</v>
      </c>
      <c r="P146">
        <f t="shared" si="20"/>
        <v>1</v>
      </c>
    </row>
    <row r="147" spans="1:16" x14ac:dyDescent="0.45">
      <c r="A147">
        <v>146</v>
      </c>
      <c r="B147">
        <v>15.1</v>
      </c>
      <c r="C147">
        <v>21</v>
      </c>
      <c r="D147" t="s">
        <v>6</v>
      </c>
      <c r="E147">
        <v>4</v>
      </c>
      <c r="F147">
        <v>146</v>
      </c>
      <c r="G147" t="str">
        <f t="shared" si="21"/>
        <v>S</v>
      </c>
      <c r="H147">
        <f t="shared" si="27"/>
        <v>4</v>
      </c>
      <c r="I147">
        <f t="shared" si="22"/>
        <v>0</v>
      </c>
      <c r="J147">
        <f t="shared" si="23"/>
        <v>11</v>
      </c>
      <c r="K147">
        <f t="shared" si="24"/>
        <v>0</v>
      </c>
      <c r="L147">
        <f t="shared" si="25"/>
        <v>0</v>
      </c>
      <c r="M147" t="str">
        <f t="shared" si="26"/>
        <v>C</v>
      </c>
      <c r="O147">
        <f t="shared" si="19"/>
        <v>1</v>
      </c>
      <c r="P147">
        <f t="shared" si="20"/>
        <v>1</v>
      </c>
    </row>
    <row r="148" spans="1:16" x14ac:dyDescent="0.45">
      <c r="A148">
        <v>147</v>
      </c>
      <c r="B148">
        <v>15.1</v>
      </c>
      <c r="C148">
        <v>14</v>
      </c>
      <c r="D148" t="s">
        <v>6</v>
      </c>
      <c r="E148">
        <v>4</v>
      </c>
      <c r="F148">
        <v>147</v>
      </c>
      <c r="G148" t="str">
        <f t="shared" si="21"/>
        <v>S</v>
      </c>
      <c r="H148">
        <f t="shared" si="27"/>
        <v>4</v>
      </c>
      <c r="I148">
        <f t="shared" si="22"/>
        <v>0</v>
      </c>
      <c r="J148">
        <f t="shared" si="23"/>
        <v>12</v>
      </c>
      <c r="K148">
        <f t="shared" si="24"/>
        <v>0</v>
      </c>
      <c r="L148">
        <f t="shared" si="25"/>
        <v>0</v>
      </c>
      <c r="M148" t="str">
        <f t="shared" si="26"/>
        <v>C</v>
      </c>
      <c r="O148">
        <f t="shared" si="19"/>
        <v>1</v>
      </c>
      <c r="P148">
        <f t="shared" si="20"/>
        <v>1</v>
      </c>
    </row>
    <row r="149" spans="1:16" x14ac:dyDescent="0.45">
      <c r="A149">
        <v>148</v>
      </c>
      <c r="B149">
        <v>13.9</v>
      </c>
      <c r="C149">
        <v>11</v>
      </c>
      <c r="D149" t="s">
        <v>6</v>
      </c>
      <c r="E149">
        <v>5</v>
      </c>
      <c r="F149">
        <v>148</v>
      </c>
      <c r="G149" t="str">
        <f t="shared" si="21"/>
        <v>S</v>
      </c>
      <c r="H149">
        <f t="shared" si="27"/>
        <v>5</v>
      </c>
      <c r="I149">
        <f t="shared" si="22"/>
        <v>0</v>
      </c>
      <c r="J149">
        <f t="shared" si="23"/>
        <v>13</v>
      </c>
      <c r="K149">
        <f t="shared" si="24"/>
        <v>0</v>
      </c>
      <c r="L149">
        <f t="shared" si="25"/>
        <v>0</v>
      </c>
      <c r="M149" t="str">
        <f t="shared" si="26"/>
        <v>C</v>
      </c>
      <c r="O149">
        <f t="shared" si="19"/>
        <v>1</v>
      </c>
      <c r="P149">
        <f t="shared" si="20"/>
        <v>1</v>
      </c>
    </row>
    <row r="150" spans="1:16" x14ac:dyDescent="0.45">
      <c r="A150">
        <v>149</v>
      </c>
      <c r="B150">
        <v>12.3</v>
      </c>
      <c r="C150">
        <v>20</v>
      </c>
      <c r="D150" t="s">
        <v>6</v>
      </c>
      <c r="E150">
        <v>5</v>
      </c>
      <c r="F150">
        <v>149</v>
      </c>
      <c r="G150" t="str">
        <f t="shared" si="21"/>
        <v>S</v>
      </c>
      <c r="H150">
        <f t="shared" si="27"/>
        <v>5</v>
      </c>
      <c r="I150">
        <f t="shared" si="22"/>
        <v>0</v>
      </c>
      <c r="J150">
        <f t="shared" si="23"/>
        <v>14</v>
      </c>
      <c r="K150">
        <f t="shared" si="24"/>
        <v>0</v>
      </c>
      <c r="L150">
        <f t="shared" si="25"/>
        <v>0</v>
      </c>
      <c r="M150" t="str">
        <f t="shared" si="26"/>
        <v>C</v>
      </c>
      <c r="O150">
        <f t="shared" si="19"/>
        <v>1</v>
      </c>
      <c r="P150">
        <f t="shared" si="20"/>
        <v>1</v>
      </c>
    </row>
    <row r="151" spans="1:16" x14ac:dyDescent="0.45">
      <c r="A151">
        <v>150</v>
      </c>
      <c r="B151">
        <v>11.2</v>
      </c>
      <c r="C151">
        <v>0</v>
      </c>
      <c r="D151">
        <v>0</v>
      </c>
      <c r="E151">
        <v>0</v>
      </c>
      <c r="F151">
        <v>150</v>
      </c>
      <c r="G151">
        <f t="shared" si="21"/>
        <v>0</v>
      </c>
      <c r="H151">
        <f t="shared" si="27"/>
        <v>0</v>
      </c>
      <c r="I151">
        <f t="shared" si="22"/>
        <v>1</v>
      </c>
      <c r="J151">
        <f t="shared" si="23"/>
        <v>1</v>
      </c>
      <c r="K151">
        <f t="shared" si="24"/>
        <v>0</v>
      </c>
      <c r="L151">
        <f t="shared" si="25"/>
        <v>0</v>
      </c>
      <c r="M151" t="str">
        <f t="shared" si="26"/>
        <v>C</v>
      </c>
      <c r="O151">
        <f t="shared" si="19"/>
        <v>1</v>
      </c>
      <c r="P151">
        <f t="shared" si="20"/>
        <v>1</v>
      </c>
    </row>
    <row r="152" spans="1:16" x14ac:dyDescent="0.45">
      <c r="A152">
        <v>151</v>
      </c>
      <c r="B152">
        <v>11.3</v>
      </c>
      <c r="C152">
        <v>6</v>
      </c>
      <c r="D152" t="s">
        <v>5</v>
      </c>
      <c r="E152">
        <v>1</v>
      </c>
      <c r="F152">
        <v>151</v>
      </c>
      <c r="G152" t="str">
        <f t="shared" si="21"/>
        <v>C</v>
      </c>
      <c r="H152">
        <f t="shared" si="27"/>
        <v>1</v>
      </c>
      <c r="I152">
        <f t="shared" si="22"/>
        <v>0</v>
      </c>
      <c r="J152">
        <f t="shared" si="23"/>
        <v>1</v>
      </c>
      <c r="K152">
        <f t="shared" si="24"/>
        <v>1</v>
      </c>
      <c r="L152">
        <f t="shared" si="25"/>
        <v>0</v>
      </c>
      <c r="M152" t="str">
        <f t="shared" si="26"/>
        <v>C</v>
      </c>
      <c r="O152">
        <f t="shared" si="19"/>
        <v>1</v>
      </c>
      <c r="P152">
        <f t="shared" si="20"/>
        <v>1</v>
      </c>
    </row>
    <row r="153" spans="1:16" x14ac:dyDescent="0.45">
      <c r="A153">
        <v>152</v>
      </c>
      <c r="B153">
        <v>12.9</v>
      </c>
      <c r="C153">
        <v>3</v>
      </c>
      <c r="D153" t="s">
        <v>5</v>
      </c>
      <c r="E153">
        <v>1</v>
      </c>
      <c r="F153">
        <v>152</v>
      </c>
      <c r="G153" t="str">
        <f t="shared" si="21"/>
        <v>C</v>
      </c>
      <c r="H153">
        <f t="shared" si="27"/>
        <v>1</v>
      </c>
      <c r="I153">
        <f t="shared" si="22"/>
        <v>0</v>
      </c>
      <c r="J153">
        <f t="shared" si="23"/>
        <v>2</v>
      </c>
      <c r="K153">
        <f t="shared" si="24"/>
        <v>0</v>
      </c>
      <c r="L153">
        <f t="shared" si="25"/>
        <v>0</v>
      </c>
      <c r="M153" t="str">
        <f t="shared" si="26"/>
        <v>C</v>
      </c>
      <c r="O153">
        <f t="shared" si="19"/>
        <v>1</v>
      </c>
      <c r="P153">
        <f t="shared" si="20"/>
        <v>1</v>
      </c>
    </row>
    <row r="154" spans="1:16" x14ac:dyDescent="0.45">
      <c r="A154">
        <v>153</v>
      </c>
      <c r="B154">
        <v>16</v>
      </c>
      <c r="C154">
        <v>6</v>
      </c>
      <c r="D154" t="s">
        <v>5</v>
      </c>
      <c r="E154">
        <v>1</v>
      </c>
      <c r="F154">
        <v>153</v>
      </c>
      <c r="G154" t="str">
        <f t="shared" si="21"/>
        <v>C</v>
      </c>
      <c r="H154">
        <f t="shared" si="27"/>
        <v>1</v>
      </c>
      <c r="I154">
        <f t="shared" si="22"/>
        <v>0</v>
      </c>
      <c r="J154">
        <f t="shared" si="23"/>
        <v>3</v>
      </c>
      <c r="K154">
        <f t="shared" si="24"/>
        <v>0</v>
      </c>
      <c r="L154">
        <f t="shared" si="25"/>
        <v>0</v>
      </c>
      <c r="M154" t="str">
        <f t="shared" si="26"/>
        <v>C</v>
      </c>
      <c r="O154">
        <f t="shared" si="19"/>
        <v>1</v>
      </c>
      <c r="P154">
        <f t="shared" si="20"/>
        <v>1</v>
      </c>
    </row>
    <row r="155" spans="1:16" x14ac:dyDescent="0.45">
      <c r="A155">
        <v>154</v>
      </c>
      <c r="B155">
        <v>19.8</v>
      </c>
      <c r="C155">
        <v>2</v>
      </c>
      <c r="D155" t="s">
        <v>5</v>
      </c>
      <c r="E155">
        <v>2</v>
      </c>
      <c r="F155">
        <v>154</v>
      </c>
      <c r="G155" t="str">
        <f t="shared" si="21"/>
        <v>C</v>
      </c>
      <c r="H155">
        <f t="shared" si="27"/>
        <v>2</v>
      </c>
      <c r="I155">
        <f t="shared" si="22"/>
        <v>0</v>
      </c>
      <c r="J155">
        <f t="shared" si="23"/>
        <v>4</v>
      </c>
      <c r="K155">
        <f t="shared" si="24"/>
        <v>0</v>
      </c>
      <c r="L155">
        <f t="shared" si="25"/>
        <v>1</v>
      </c>
      <c r="M155" t="str">
        <f t="shared" si="26"/>
        <v>C</v>
      </c>
      <c r="O155">
        <f t="shared" si="19"/>
        <v>1</v>
      </c>
      <c r="P155">
        <f t="shared" si="20"/>
        <v>1</v>
      </c>
    </row>
    <row r="156" spans="1:16" x14ac:dyDescent="0.45">
      <c r="A156">
        <v>155</v>
      </c>
      <c r="B156">
        <v>23.6</v>
      </c>
      <c r="C156">
        <v>11</v>
      </c>
      <c r="D156" t="s">
        <v>5</v>
      </c>
      <c r="E156">
        <v>2</v>
      </c>
      <c r="F156">
        <v>155</v>
      </c>
      <c r="G156" t="str">
        <f t="shared" si="21"/>
        <v>C</v>
      </c>
      <c r="H156">
        <f t="shared" si="27"/>
        <v>2</v>
      </c>
      <c r="I156">
        <f t="shared" si="22"/>
        <v>0</v>
      </c>
      <c r="J156">
        <f t="shared" si="23"/>
        <v>5</v>
      </c>
      <c r="K156">
        <f t="shared" si="24"/>
        <v>0</v>
      </c>
      <c r="L156">
        <f t="shared" si="25"/>
        <v>0</v>
      </c>
      <c r="M156" t="str">
        <f t="shared" si="26"/>
        <v>C</v>
      </c>
      <c r="O156">
        <f t="shared" si="19"/>
        <v>1</v>
      </c>
      <c r="P156">
        <f t="shared" si="20"/>
        <v>1</v>
      </c>
    </row>
    <row r="157" spans="1:16" x14ac:dyDescent="0.45">
      <c r="A157">
        <v>156</v>
      </c>
      <c r="B157">
        <v>26.4</v>
      </c>
      <c r="C157">
        <v>11</v>
      </c>
      <c r="D157" t="s">
        <v>5</v>
      </c>
      <c r="E157">
        <v>2</v>
      </c>
      <c r="F157">
        <v>156</v>
      </c>
      <c r="G157" t="str">
        <f t="shared" si="21"/>
        <v>C</v>
      </c>
      <c r="H157">
        <f t="shared" si="27"/>
        <v>2</v>
      </c>
      <c r="I157">
        <f t="shared" si="22"/>
        <v>0</v>
      </c>
      <c r="J157">
        <f t="shared" si="23"/>
        <v>6</v>
      </c>
      <c r="K157">
        <f t="shared" si="24"/>
        <v>0</v>
      </c>
      <c r="L157">
        <f t="shared" si="25"/>
        <v>0</v>
      </c>
      <c r="M157" t="str">
        <f t="shared" si="26"/>
        <v>C</v>
      </c>
      <c r="O157">
        <f t="shared" si="19"/>
        <v>1</v>
      </c>
      <c r="P157">
        <f t="shared" si="20"/>
        <v>1</v>
      </c>
    </row>
    <row r="158" spans="1:16" x14ac:dyDescent="0.45">
      <c r="A158">
        <v>157</v>
      </c>
      <c r="B158">
        <v>27.7</v>
      </c>
      <c r="C158">
        <v>5</v>
      </c>
      <c r="D158" t="s">
        <v>5</v>
      </c>
      <c r="E158">
        <v>3</v>
      </c>
      <c r="F158">
        <v>157</v>
      </c>
      <c r="G158" t="str">
        <f t="shared" si="21"/>
        <v>C</v>
      </c>
      <c r="H158">
        <f t="shared" si="27"/>
        <v>3</v>
      </c>
      <c r="I158">
        <f t="shared" si="22"/>
        <v>0</v>
      </c>
      <c r="J158">
        <f t="shared" si="23"/>
        <v>7</v>
      </c>
      <c r="K158">
        <f t="shared" si="24"/>
        <v>0</v>
      </c>
      <c r="L158">
        <f t="shared" si="25"/>
        <v>0</v>
      </c>
      <c r="M158" t="str">
        <f t="shared" si="26"/>
        <v>C</v>
      </c>
      <c r="O158">
        <f t="shared" si="19"/>
        <v>1</v>
      </c>
      <c r="P158">
        <f t="shared" si="20"/>
        <v>1</v>
      </c>
    </row>
    <row r="159" spans="1:16" x14ac:dyDescent="0.45">
      <c r="A159">
        <v>158</v>
      </c>
      <c r="B159">
        <v>27.2</v>
      </c>
      <c r="C159">
        <v>18</v>
      </c>
      <c r="D159" t="s">
        <v>5</v>
      </c>
      <c r="E159">
        <v>3</v>
      </c>
      <c r="F159">
        <v>158</v>
      </c>
      <c r="G159" t="str">
        <f t="shared" si="21"/>
        <v>C</v>
      </c>
      <c r="H159">
        <f t="shared" si="27"/>
        <v>3</v>
      </c>
      <c r="I159">
        <f t="shared" si="22"/>
        <v>0</v>
      </c>
      <c r="J159">
        <f t="shared" si="23"/>
        <v>8</v>
      </c>
      <c r="K159">
        <f t="shared" si="24"/>
        <v>0</v>
      </c>
      <c r="L159">
        <f t="shared" si="25"/>
        <v>0</v>
      </c>
      <c r="M159" t="str">
        <f t="shared" si="26"/>
        <v>C</v>
      </c>
      <c r="O159">
        <f t="shared" si="19"/>
        <v>1</v>
      </c>
      <c r="P159">
        <f t="shared" si="20"/>
        <v>1</v>
      </c>
    </row>
    <row r="160" spans="1:16" x14ac:dyDescent="0.45">
      <c r="A160">
        <v>159</v>
      </c>
      <c r="B160">
        <v>25.5</v>
      </c>
      <c r="C160">
        <v>5</v>
      </c>
      <c r="D160" t="s">
        <v>5</v>
      </c>
      <c r="E160">
        <v>3</v>
      </c>
      <c r="F160">
        <v>159</v>
      </c>
      <c r="G160" t="str">
        <f t="shared" si="21"/>
        <v>C</v>
      </c>
      <c r="H160">
        <f t="shared" si="27"/>
        <v>3</v>
      </c>
      <c r="I160">
        <f t="shared" si="22"/>
        <v>0</v>
      </c>
      <c r="J160">
        <f t="shared" si="23"/>
        <v>9</v>
      </c>
      <c r="K160">
        <f t="shared" si="24"/>
        <v>0</v>
      </c>
      <c r="L160">
        <f t="shared" si="25"/>
        <v>0</v>
      </c>
      <c r="M160" t="str">
        <f t="shared" si="26"/>
        <v>C</v>
      </c>
      <c r="O160">
        <f t="shared" si="19"/>
        <v>1</v>
      </c>
      <c r="P160">
        <f t="shared" si="20"/>
        <v>1</v>
      </c>
    </row>
    <row r="161" spans="1:16" x14ac:dyDescent="0.45">
      <c r="A161">
        <v>160</v>
      </c>
      <c r="B161">
        <v>23.1</v>
      </c>
      <c r="C161">
        <v>8</v>
      </c>
      <c r="D161" t="s">
        <v>5</v>
      </c>
      <c r="E161">
        <v>4</v>
      </c>
      <c r="F161">
        <v>160</v>
      </c>
      <c r="G161" t="str">
        <f t="shared" si="21"/>
        <v>C</v>
      </c>
      <c r="H161">
        <f t="shared" si="27"/>
        <v>4</v>
      </c>
      <c r="I161">
        <f t="shared" si="22"/>
        <v>0</v>
      </c>
      <c r="J161">
        <f t="shared" si="23"/>
        <v>10</v>
      </c>
      <c r="K161">
        <f t="shared" si="24"/>
        <v>0</v>
      </c>
      <c r="L161">
        <f t="shared" si="25"/>
        <v>0</v>
      </c>
      <c r="M161" t="str">
        <f t="shared" si="26"/>
        <v>C</v>
      </c>
      <c r="O161">
        <f t="shared" si="19"/>
        <v>1</v>
      </c>
      <c r="P161">
        <f t="shared" si="20"/>
        <v>1</v>
      </c>
    </row>
    <row r="162" spans="1:16" x14ac:dyDescent="0.45">
      <c r="A162">
        <v>161</v>
      </c>
      <c r="B162">
        <v>21</v>
      </c>
      <c r="C162">
        <v>22</v>
      </c>
      <c r="D162" t="s">
        <v>5</v>
      </c>
      <c r="E162">
        <v>4</v>
      </c>
      <c r="F162">
        <v>161</v>
      </c>
      <c r="G162" t="str">
        <f t="shared" si="21"/>
        <v>C</v>
      </c>
      <c r="H162">
        <f t="shared" si="27"/>
        <v>4</v>
      </c>
      <c r="I162">
        <f t="shared" si="22"/>
        <v>0</v>
      </c>
      <c r="J162">
        <f t="shared" si="23"/>
        <v>11</v>
      </c>
      <c r="K162">
        <f t="shared" si="24"/>
        <v>0</v>
      </c>
      <c r="L162">
        <f t="shared" si="25"/>
        <v>0</v>
      </c>
      <c r="M162" t="str">
        <f t="shared" si="26"/>
        <v>C</v>
      </c>
      <c r="O162">
        <f t="shared" si="19"/>
        <v>1</v>
      </c>
      <c r="P162">
        <f t="shared" si="20"/>
        <v>1</v>
      </c>
    </row>
    <row r="163" spans="1:16" x14ac:dyDescent="0.45">
      <c r="A163">
        <v>162</v>
      </c>
      <c r="B163">
        <v>20</v>
      </c>
      <c r="C163">
        <v>19</v>
      </c>
      <c r="D163" t="s">
        <v>5</v>
      </c>
      <c r="E163">
        <v>4</v>
      </c>
      <c r="F163">
        <v>162</v>
      </c>
      <c r="G163" t="str">
        <f t="shared" si="21"/>
        <v>C</v>
      </c>
      <c r="H163">
        <f t="shared" si="27"/>
        <v>4</v>
      </c>
      <c r="I163">
        <f t="shared" si="22"/>
        <v>0</v>
      </c>
      <c r="J163">
        <f t="shared" si="23"/>
        <v>12</v>
      </c>
      <c r="K163">
        <f t="shared" si="24"/>
        <v>0</v>
      </c>
      <c r="L163">
        <f t="shared" si="25"/>
        <v>0</v>
      </c>
      <c r="M163" t="str">
        <f t="shared" si="26"/>
        <v>C</v>
      </c>
      <c r="O163">
        <f t="shared" si="19"/>
        <v>1</v>
      </c>
      <c r="P163">
        <f t="shared" si="20"/>
        <v>1</v>
      </c>
    </row>
    <row r="164" spans="1:16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v>163</v>
      </c>
      <c r="G164" t="str">
        <f t="shared" si="21"/>
        <v>C</v>
      </c>
      <c r="H164">
        <f t="shared" si="27"/>
        <v>5</v>
      </c>
      <c r="I164">
        <f t="shared" si="22"/>
        <v>0</v>
      </c>
      <c r="J164">
        <f t="shared" si="23"/>
        <v>13</v>
      </c>
      <c r="K164">
        <f t="shared" si="24"/>
        <v>0</v>
      </c>
      <c r="L164">
        <f t="shared" si="25"/>
        <v>0</v>
      </c>
      <c r="M164" t="str">
        <f t="shared" si="26"/>
        <v>C</v>
      </c>
      <c r="O164">
        <f t="shared" si="19"/>
        <v>1</v>
      </c>
      <c r="P164">
        <f t="shared" si="20"/>
        <v>1</v>
      </c>
    </row>
    <row r="165" spans="1:16" x14ac:dyDescent="0.45">
      <c r="A165">
        <v>164</v>
      </c>
      <c r="B165">
        <v>22.1</v>
      </c>
      <c r="C165">
        <v>0</v>
      </c>
      <c r="D165">
        <v>0</v>
      </c>
      <c r="E165">
        <v>0</v>
      </c>
      <c r="F165">
        <v>164</v>
      </c>
      <c r="G165">
        <f t="shared" si="21"/>
        <v>0</v>
      </c>
      <c r="H165">
        <f t="shared" si="27"/>
        <v>0</v>
      </c>
      <c r="I165">
        <f t="shared" si="22"/>
        <v>1</v>
      </c>
      <c r="J165">
        <f t="shared" si="23"/>
        <v>1</v>
      </c>
      <c r="K165">
        <f t="shared" si="24"/>
        <v>0</v>
      </c>
      <c r="L165">
        <f t="shared" si="25"/>
        <v>0</v>
      </c>
      <c r="M165" t="str">
        <f t="shared" si="26"/>
        <v>C</v>
      </c>
      <c r="O165">
        <f t="shared" si="19"/>
        <v>1</v>
      </c>
      <c r="P165">
        <f t="shared" si="20"/>
        <v>1</v>
      </c>
    </row>
    <row r="166" spans="1:16" x14ac:dyDescent="0.45">
      <c r="A166">
        <v>165</v>
      </c>
      <c r="B166">
        <v>24.5</v>
      </c>
      <c r="C166">
        <v>1</v>
      </c>
      <c r="D166" t="s">
        <v>6</v>
      </c>
      <c r="E166">
        <v>1</v>
      </c>
      <c r="F166">
        <v>165</v>
      </c>
      <c r="G166" t="str">
        <f t="shared" si="21"/>
        <v>C</v>
      </c>
      <c r="H166">
        <f t="shared" si="27"/>
        <v>1</v>
      </c>
      <c r="I166">
        <f t="shared" si="22"/>
        <v>0</v>
      </c>
      <c r="J166">
        <f t="shared" si="23"/>
        <v>1</v>
      </c>
      <c r="K166">
        <f t="shared" si="24"/>
        <v>1</v>
      </c>
      <c r="L166">
        <f t="shared" si="25"/>
        <v>0</v>
      </c>
      <c r="M166" t="str">
        <f t="shared" si="26"/>
        <v>C</v>
      </c>
      <c r="O166">
        <f t="shared" si="19"/>
        <v>1</v>
      </c>
      <c r="P166">
        <f t="shared" si="20"/>
        <v>1</v>
      </c>
    </row>
    <row r="167" spans="1:16" x14ac:dyDescent="0.45">
      <c r="A167">
        <v>166</v>
      </c>
      <c r="B167">
        <v>26.8</v>
      </c>
      <c r="C167">
        <v>2</v>
      </c>
      <c r="D167" t="s">
        <v>6</v>
      </c>
      <c r="E167">
        <v>1</v>
      </c>
      <c r="F167">
        <v>166</v>
      </c>
      <c r="G167" t="str">
        <f t="shared" si="21"/>
        <v>C</v>
      </c>
      <c r="H167">
        <f t="shared" si="27"/>
        <v>1</v>
      </c>
      <c r="I167">
        <f t="shared" si="22"/>
        <v>0</v>
      </c>
      <c r="J167">
        <f t="shared" si="23"/>
        <v>2</v>
      </c>
      <c r="K167">
        <f t="shared" si="24"/>
        <v>0</v>
      </c>
      <c r="L167">
        <f t="shared" si="25"/>
        <v>0</v>
      </c>
      <c r="M167" t="str">
        <f t="shared" si="26"/>
        <v>C</v>
      </c>
      <c r="O167">
        <f t="shared" si="19"/>
        <v>1</v>
      </c>
      <c r="P167">
        <f t="shared" si="20"/>
        <v>1</v>
      </c>
    </row>
    <row r="168" spans="1:16" x14ac:dyDescent="0.45">
      <c r="A168">
        <v>167</v>
      </c>
      <c r="B168">
        <v>28</v>
      </c>
      <c r="C168">
        <v>4</v>
      </c>
      <c r="D168" t="s">
        <v>6</v>
      </c>
      <c r="E168">
        <v>1</v>
      </c>
      <c r="F168">
        <v>167</v>
      </c>
      <c r="G168" t="str">
        <f t="shared" si="21"/>
        <v>C</v>
      </c>
      <c r="H168">
        <f t="shared" si="27"/>
        <v>1</v>
      </c>
      <c r="I168">
        <f t="shared" si="22"/>
        <v>0</v>
      </c>
      <c r="J168">
        <f t="shared" si="23"/>
        <v>3</v>
      </c>
      <c r="K168">
        <f t="shared" si="24"/>
        <v>0</v>
      </c>
      <c r="L168">
        <f t="shared" si="25"/>
        <v>0</v>
      </c>
      <c r="M168" t="str">
        <f t="shared" si="26"/>
        <v>C</v>
      </c>
      <c r="O168">
        <f t="shared" si="19"/>
        <v>1</v>
      </c>
      <c r="P168">
        <f t="shared" si="20"/>
        <v>1</v>
      </c>
    </row>
    <row r="169" spans="1:16" x14ac:dyDescent="0.45">
      <c r="A169">
        <v>168</v>
      </c>
      <c r="B169">
        <v>27.7</v>
      </c>
      <c r="C169">
        <v>8</v>
      </c>
      <c r="D169" t="s">
        <v>6</v>
      </c>
      <c r="E169">
        <v>2</v>
      </c>
      <c r="F169">
        <v>168</v>
      </c>
      <c r="G169" t="str">
        <f t="shared" si="21"/>
        <v>C</v>
      </c>
      <c r="H169">
        <f t="shared" si="27"/>
        <v>2</v>
      </c>
      <c r="I169">
        <f t="shared" si="22"/>
        <v>0</v>
      </c>
      <c r="J169">
        <f t="shared" si="23"/>
        <v>4</v>
      </c>
      <c r="K169">
        <f t="shared" si="24"/>
        <v>0</v>
      </c>
      <c r="L169">
        <f t="shared" si="25"/>
        <v>1</v>
      </c>
      <c r="M169" t="str">
        <f t="shared" si="26"/>
        <v>C</v>
      </c>
      <c r="O169">
        <f t="shared" si="19"/>
        <v>1</v>
      </c>
      <c r="P169">
        <f t="shared" si="20"/>
        <v>1</v>
      </c>
    </row>
    <row r="170" spans="1:16" x14ac:dyDescent="0.45">
      <c r="A170">
        <v>169</v>
      </c>
      <c r="B170">
        <v>25.6</v>
      </c>
      <c r="C170">
        <v>4</v>
      </c>
      <c r="D170" t="s">
        <v>6</v>
      </c>
      <c r="E170">
        <v>2</v>
      </c>
      <c r="F170">
        <v>169</v>
      </c>
      <c r="G170" t="str">
        <f t="shared" si="21"/>
        <v>C</v>
      </c>
      <c r="H170">
        <f t="shared" si="27"/>
        <v>2</v>
      </c>
      <c r="I170">
        <f t="shared" si="22"/>
        <v>0</v>
      </c>
      <c r="J170">
        <f t="shared" si="23"/>
        <v>5</v>
      </c>
      <c r="K170">
        <f t="shared" si="24"/>
        <v>0</v>
      </c>
      <c r="L170">
        <f t="shared" si="25"/>
        <v>0</v>
      </c>
      <c r="M170" t="str">
        <f t="shared" si="26"/>
        <v>C</v>
      </c>
      <c r="O170">
        <f t="shared" si="19"/>
        <v>1</v>
      </c>
      <c r="P170">
        <f t="shared" si="20"/>
        <v>1</v>
      </c>
    </row>
    <row r="171" spans="1:16" x14ac:dyDescent="0.45">
      <c r="A171">
        <v>170</v>
      </c>
      <c r="B171">
        <v>22.3</v>
      </c>
      <c r="C171">
        <v>7</v>
      </c>
      <c r="D171" t="s">
        <v>6</v>
      </c>
      <c r="E171">
        <v>2</v>
      </c>
      <c r="F171">
        <v>170</v>
      </c>
      <c r="G171" t="str">
        <f t="shared" si="21"/>
        <v>C</v>
      </c>
      <c r="H171">
        <f t="shared" si="27"/>
        <v>2</v>
      </c>
      <c r="I171">
        <f t="shared" si="22"/>
        <v>0</v>
      </c>
      <c r="J171">
        <f t="shared" si="23"/>
        <v>6</v>
      </c>
      <c r="K171">
        <f t="shared" si="24"/>
        <v>0</v>
      </c>
      <c r="L171">
        <f t="shared" si="25"/>
        <v>0</v>
      </c>
      <c r="M171" t="str">
        <f t="shared" si="26"/>
        <v>C</v>
      </c>
      <c r="O171">
        <f t="shared" si="19"/>
        <v>1</v>
      </c>
      <c r="P171">
        <f t="shared" si="20"/>
        <v>1</v>
      </c>
    </row>
    <row r="172" spans="1:16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v>171</v>
      </c>
      <c r="G172" t="str">
        <f t="shared" si="21"/>
        <v>C</v>
      </c>
      <c r="H172">
        <f t="shared" si="27"/>
        <v>3</v>
      </c>
      <c r="I172">
        <f t="shared" si="22"/>
        <v>0</v>
      </c>
      <c r="J172">
        <f t="shared" si="23"/>
        <v>7</v>
      </c>
      <c r="K172">
        <f t="shared" si="24"/>
        <v>0</v>
      </c>
      <c r="L172">
        <f t="shared" si="25"/>
        <v>0</v>
      </c>
      <c r="M172" t="str">
        <f t="shared" si="26"/>
        <v>C</v>
      </c>
      <c r="O172">
        <f t="shared" si="19"/>
        <v>1</v>
      </c>
      <c r="P172">
        <f t="shared" si="20"/>
        <v>1</v>
      </c>
    </row>
    <row r="173" spans="1:16" x14ac:dyDescent="0.45">
      <c r="A173">
        <v>172</v>
      </c>
      <c r="B173">
        <v>14.9</v>
      </c>
      <c r="C173">
        <v>18</v>
      </c>
      <c r="D173" t="s">
        <v>6</v>
      </c>
      <c r="E173">
        <v>3</v>
      </c>
      <c r="F173">
        <v>172</v>
      </c>
      <c r="G173" t="str">
        <f t="shared" si="21"/>
        <v>C</v>
      </c>
      <c r="H173">
        <f t="shared" si="27"/>
        <v>3</v>
      </c>
      <c r="I173">
        <f t="shared" si="22"/>
        <v>0</v>
      </c>
      <c r="J173">
        <f t="shared" si="23"/>
        <v>8</v>
      </c>
      <c r="K173">
        <f t="shared" si="24"/>
        <v>0</v>
      </c>
      <c r="L173">
        <f t="shared" si="25"/>
        <v>0</v>
      </c>
      <c r="M173" t="str">
        <f t="shared" si="26"/>
        <v>C</v>
      </c>
      <c r="O173">
        <f t="shared" si="19"/>
        <v>1</v>
      </c>
      <c r="P173">
        <f t="shared" si="20"/>
        <v>1</v>
      </c>
    </row>
    <row r="174" spans="1:16" x14ac:dyDescent="0.45">
      <c r="A174">
        <v>173</v>
      </c>
      <c r="B174">
        <v>12.5</v>
      </c>
      <c r="C174">
        <v>6</v>
      </c>
      <c r="D174" t="s">
        <v>6</v>
      </c>
      <c r="E174">
        <v>3</v>
      </c>
      <c r="F174">
        <v>173</v>
      </c>
      <c r="G174" t="str">
        <f t="shared" si="21"/>
        <v>C</v>
      </c>
      <c r="H174">
        <f t="shared" si="27"/>
        <v>3</v>
      </c>
      <c r="I174">
        <f t="shared" si="22"/>
        <v>0</v>
      </c>
      <c r="J174">
        <f t="shared" si="23"/>
        <v>9</v>
      </c>
      <c r="K174">
        <f t="shared" si="24"/>
        <v>0</v>
      </c>
      <c r="L174">
        <f t="shared" si="25"/>
        <v>0</v>
      </c>
      <c r="M174" t="str">
        <f t="shared" si="26"/>
        <v>C</v>
      </c>
      <c r="O174">
        <f t="shared" si="19"/>
        <v>1</v>
      </c>
      <c r="P174">
        <f t="shared" si="20"/>
        <v>1</v>
      </c>
    </row>
    <row r="175" spans="1:16" x14ac:dyDescent="0.45">
      <c r="A175">
        <v>174</v>
      </c>
      <c r="B175">
        <v>11.7</v>
      </c>
      <c r="C175">
        <v>20</v>
      </c>
      <c r="D175" t="s">
        <v>6</v>
      </c>
      <c r="E175">
        <v>4</v>
      </c>
      <c r="F175">
        <v>174</v>
      </c>
      <c r="G175" t="str">
        <f t="shared" si="21"/>
        <v>C</v>
      </c>
      <c r="H175">
        <f t="shared" si="27"/>
        <v>4</v>
      </c>
      <c r="I175">
        <f t="shared" si="22"/>
        <v>0</v>
      </c>
      <c r="J175">
        <f t="shared" si="23"/>
        <v>10</v>
      </c>
      <c r="K175">
        <f t="shared" si="24"/>
        <v>0</v>
      </c>
      <c r="L175">
        <f t="shared" si="25"/>
        <v>0</v>
      </c>
      <c r="M175" t="str">
        <f t="shared" si="26"/>
        <v>C</v>
      </c>
      <c r="O175">
        <f t="shared" si="19"/>
        <v>1</v>
      </c>
      <c r="P175">
        <f t="shared" si="20"/>
        <v>1</v>
      </c>
    </row>
    <row r="176" spans="1:16" x14ac:dyDescent="0.45">
      <c r="A176">
        <v>175</v>
      </c>
      <c r="B176">
        <v>12.3</v>
      </c>
      <c r="C176">
        <v>14</v>
      </c>
      <c r="D176" t="s">
        <v>6</v>
      </c>
      <c r="E176">
        <v>4</v>
      </c>
      <c r="F176">
        <v>175</v>
      </c>
      <c r="G176" t="str">
        <f t="shared" si="21"/>
        <v>C</v>
      </c>
      <c r="H176">
        <f t="shared" si="27"/>
        <v>4</v>
      </c>
      <c r="I176">
        <f t="shared" si="22"/>
        <v>0</v>
      </c>
      <c r="J176">
        <f t="shared" si="23"/>
        <v>11</v>
      </c>
      <c r="K176">
        <f t="shared" si="24"/>
        <v>0</v>
      </c>
      <c r="L176">
        <f t="shared" si="25"/>
        <v>0</v>
      </c>
      <c r="M176" t="str">
        <f t="shared" si="26"/>
        <v>C</v>
      </c>
      <c r="O176">
        <f t="shared" si="19"/>
        <v>1</v>
      </c>
      <c r="P176">
        <f t="shared" si="20"/>
        <v>1</v>
      </c>
    </row>
    <row r="177" spans="1:16" x14ac:dyDescent="0.45">
      <c r="A177">
        <v>176</v>
      </c>
      <c r="B177">
        <v>13.7</v>
      </c>
      <c r="C177">
        <v>22</v>
      </c>
      <c r="D177" t="s">
        <v>6</v>
      </c>
      <c r="E177">
        <v>4</v>
      </c>
      <c r="F177">
        <v>176</v>
      </c>
      <c r="G177" t="str">
        <f t="shared" si="21"/>
        <v>C</v>
      </c>
      <c r="H177">
        <f t="shared" si="27"/>
        <v>4</v>
      </c>
      <c r="I177">
        <f t="shared" si="22"/>
        <v>0</v>
      </c>
      <c r="J177">
        <f t="shared" si="23"/>
        <v>12</v>
      </c>
      <c r="K177">
        <f t="shared" si="24"/>
        <v>0</v>
      </c>
      <c r="L177">
        <f t="shared" si="25"/>
        <v>0</v>
      </c>
      <c r="M177" t="str">
        <f t="shared" si="26"/>
        <v>C</v>
      </c>
      <c r="O177">
        <f t="shared" si="19"/>
        <v>1</v>
      </c>
      <c r="P177">
        <f t="shared" si="20"/>
        <v>1</v>
      </c>
    </row>
    <row r="178" spans="1:16" x14ac:dyDescent="0.45">
      <c r="A178">
        <v>177</v>
      </c>
      <c r="B178">
        <v>15.2</v>
      </c>
      <c r="C178">
        <v>23</v>
      </c>
      <c r="D178" t="s">
        <v>6</v>
      </c>
      <c r="E178">
        <v>5</v>
      </c>
      <c r="F178">
        <v>177</v>
      </c>
      <c r="G178" t="str">
        <f t="shared" si="21"/>
        <v>C</v>
      </c>
      <c r="H178">
        <f t="shared" si="27"/>
        <v>5</v>
      </c>
      <c r="I178">
        <f t="shared" si="22"/>
        <v>0</v>
      </c>
      <c r="J178">
        <f t="shared" si="23"/>
        <v>13</v>
      </c>
      <c r="K178">
        <f t="shared" si="24"/>
        <v>0</v>
      </c>
      <c r="L178">
        <f t="shared" si="25"/>
        <v>0</v>
      </c>
      <c r="M178" t="str">
        <f t="shared" si="26"/>
        <v>C</v>
      </c>
      <c r="O178">
        <f t="shared" si="19"/>
        <v>1</v>
      </c>
      <c r="P178">
        <f t="shared" si="20"/>
        <v>1</v>
      </c>
    </row>
    <row r="179" spans="1:16" x14ac:dyDescent="0.45">
      <c r="A179">
        <v>178</v>
      </c>
      <c r="B179">
        <v>15.9</v>
      </c>
      <c r="C179">
        <v>0</v>
      </c>
      <c r="D179">
        <v>0</v>
      </c>
      <c r="E179">
        <v>0</v>
      </c>
      <c r="F179">
        <v>178</v>
      </c>
      <c r="G179">
        <f t="shared" si="21"/>
        <v>0</v>
      </c>
      <c r="H179">
        <f t="shared" si="27"/>
        <v>0</v>
      </c>
      <c r="I179">
        <f t="shared" si="22"/>
        <v>1</v>
      </c>
      <c r="J179">
        <f t="shared" si="23"/>
        <v>1</v>
      </c>
      <c r="K179">
        <f t="shared" si="24"/>
        <v>0</v>
      </c>
      <c r="L179">
        <f t="shared" si="25"/>
        <v>0</v>
      </c>
      <c r="M179" t="str">
        <f t="shared" si="26"/>
        <v>C</v>
      </c>
      <c r="O179">
        <f t="shared" si="19"/>
        <v>1</v>
      </c>
      <c r="P179">
        <f t="shared" si="20"/>
        <v>1</v>
      </c>
    </row>
    <row r="180" spans="1:16" x14ac:dyDescent="0.45">
      <c r="A180">
        <v>179</v>
      </c>
      <c r="B180">
        <v>15.1</v>
      </c>
      <c r="C180">
        <v>1</v>
      </c>
      <c r="D180" t="s">
        <v>5</v>
      </c>
      <c r="E180">
        <v>1</v>
      </c>
      <c r="F180">
        <v>179</v>
      </c>
      <c r="G180" t="str">
        <f t="shared" si="21"/>
        <v>C</v>
      </c>
      <c r="H180">
        <f t="shared" si="27"/>
        <v>1</v>
      </c>
      <c r="I180">
        <f t="shared" si="22"/>
        <v>0</v>
      </c>
      <c r="J180">
        <f t="shared" si="23"/>
        <v>1</v>
      </c>
      <c r="K180">
        <f t="shared" si="24"/>
        <v>1</v>
      </c>
      <c r="L180">
        <f t="shared" si="25"/>
        <v>0</v>
      </c>
      <c r="M180" t="str">
        <f t="shared" si="26"/>
        <v>C</v>
      </c>
      <c r="O180">
        <f t="shared" si="19"/>
        <v>1</v>
      </c>
      <c r="P180">
        <f t="shared" si="20"/>
        <v>1</v>
      </c>
    </row>
    <row r="181" spans="1:16" x14ac:dyDescent="0.45">
      <c r="A181">
        <v>180</v>
      </c>
      <c r="B181">
        <v>12.9</v>
      </c>
      <c r="C181">
        <v>1</v>
      </c>
      <c r="D181" t="s">
        <v>5</v>
      </c>
      <c r="E181">
        <v>1</v>
      </c>
      <c r="F181">
        <v>180</v>
      </c>
      <c r="G181" t="str">
        <f t="shared" si="21"/>
        <v>C</v>
      </c>
      <c r="H181">
        <f t="shared" si="27"/>
        <v>1</v>
      </c>
      <c r="I181">
        <f t="shared" si="22"/>
        <v>0</v>
      </c>
      <c r="J181">
        <f t="shared" si="23"/>
        <v>2</v>
      </c>
      <c r="K181">
        <f t="shared" si="24"/>
        <v>0</v>
      </c>
      <c r="L181">
        <f t="shared" si="25"/>
        <v>0</v>
      </c>
      <c r="M181" t="str">
        <f t="shared" si="26"/>
        <v>C</v>
      </c>
      <c r="O181">
        <f t="shared" si="19"/>
        <v>1</v>
      </c>
      <c r="P181">
        <f t="shared" si="20"/>
        <v>1</v>
      </c>
    </row>
    <row r="182" spans="1:16" x14ac:dyDescent="0.45">
      <c r="A182">
        <v>181</v>
      </c>
      <c r="B182">
        <v>9.6</v>
      </c>
      <c r="C182">
        <v>1</v>
      </c>
      <c r="D182" t="s">
        <v>5</v>
      </c>
      <c r="E182">
        <v>1</v>
      </c>
      <c r="F182">
        <v>181</v>
      </c>
      <c r="G182" t="str">
        <f t="shared" si="21"/>
        <v>C</v>
      </c>
      <c r="H182">
        <f t="shared" si="27"/>
        <v>1</v>
      </c>
      <c r="I182">
        <f t="shared" si="22"/>
        <v>0</v>
      </c>
      <c r="J182">
        <f t="shared" si="23"/>
        <v>3</v>
      </c>
      <c r="K182">
        <f t="shared" si="24"/>
        <v>0</v>
      </c>
      <c r="L182">
        <f t="shared" si="25"/>
        <v>0</v>
      </c>
      <c r="M182" t="str">
        <f t="shared" si="26"/>
        <v>S</v>
      </c>
      <c r="O182">
        <f t="shared" si="19"/>
        <v>1</v>
      </c>
      <c r="P182">
        <f t="shared" si="20"/>
        <v>1</v>
      </c>
    </row>
    <row r="183" spans="1:16" x14ac:dyDescent="0.45">
      <c r="A183">
        <v>182</v>
      </c>
      <c r="B183">
        <v>5.9</v>
      </c>
      <c r="C183">
        <v>2</v>
      </c>
      <c r="D183" t="s">
        <v>5</v>
      </c>
      <c r="E183">
        <v>2</v>
      </c>
      <c r="F183">
        <v>182</v>
      </c>
      <c r="G183" t="str">
        <f t="shared" si="21"/>
        <v>C</v>
      </c>
      <c r="H183">
        <f t="shared" si="27"/>
        <v>2</v>
      </c>
      <c r="I183">
        <f t="shared" si="22"/>
        <v>0</v>
      </c>
      <c r="J183">
        <f t="shared" si="23"/>
        <v>4</v>
      </c>
      <c r="K183">
        <f t="shared" si="24"/>
        <v>0</v>
      </c>
      <c r="L183">
        <f t="shared" si="25"/>
        <v>1</v>
      </c>
      <c r="M183" t="str">
        <f t="shared" si="26"/>
        <v>S</v>
      </c>
      <c r="O183">
        <f t="shared" si="19"/>
        <v>1</v>
      </c>
      <c r="P183">
        <f t="shared" si="20"/>
        <v>1</v>
      </c>
    </row>
    <row r="184" spans="1:16" x14ac:dyDescent="0.45">
      <c r="A184">
        <v>183</v>
      </c>
      <c r="B184">
        <v>2.8</v>
      </c>
      <c r="C184">
        <v>6</v>
      </c>
      <c r="D184" t="s">
        <v>5</v>
      </c>
      <c r="E184">
        <v>2</v>
      </c>
      <c r="F184">
        <v>183</v>
      </c>
      <c r="G184" t="str">
        <f t="shared" si="21"/>
        <v>C</v>
      </c>
      <c r="H184">
        <f t="shared" si="27"/>
        <v>2</v>
      </c>
      <c r="I184">
        <f t="shared" si="22"/>
        <v>0</v>
      </c>
      <c r="J184">
        <f t="shared" si="23"/>
        <v>5</v>
      </c>
      <c r="K184">
        <f t="shared" si="24"/>
        <v>0</v>
      </c>
      <c r="L184">
        <f t="shared" si="25"/>
        <v>0</v>
      </c>
      <c r="M184" t="str">
        <f t="shared" si="26"/>
        <v>S</v>
      </c>
      <c r="O184">
        <f t="shared" si="19"/>
        <v>1</v>
      </c>
      <c r="P184">
        <f t="shared" si="20"/>
        <v>1</v>
      </c>
    </row>
    <row r="185" spans="1:16" x14ac:dyDescent="0.45">
      <c r="A185">
        <v>184</v>
      </c>
      <c r="B185">
        <v>1</v>
      </c>
      <c r="C185">
        <v>9</v>
      </c>
      <c r="D185" t="s">
        <v>5</v>
      </c>
      <c r="E185">
        <v>2</v>
      </c>
      <c r="F185">
        <v>184</v>
      </c>
      <c r="G185" t="str">
        <f t="shared" si="21"/>
        <v>C</v>
      </c>
      <c r="H185">
        <f t="shared" si="27"/>
        <v>2</v>
      </c>
      <c r="I185">
        <f t="shared" si="22"/>
        <v>0</v>
      </c>
      <c r="J185">
        <f t="shared" si="23"/>
        <v>6</v>
      </c>
      <c r="K185">
        <f t="shared" si="24"/>
        <v>0</v>
      </c>
      <c r="L185">
        <f t="shared" si="25"/>
        <v>0</v>
      </c>
      <c r="M185" t="str">
        <f t="shared" si="26"/>
        <v>S</v>
      </c>
      <c r="O185">
        <f t="shared" si="19"/>
        <v>1</v>
      </c>
      <c r="P185">
        <f t="shared" si="20"/>
        <v>1</v>
      </c>
    </row>
    <row r="186" spans="1:16" x14ac:dyDescent="0.45">
      <c r="A186">
        <v>185</v>
      </c>
      <c r="B186">
        <v>0.9</v>
      </c>
      <c r="C186">
        <v>6</v>
      </c>
      <c r="D186" t="s">
        <v>5</v>
      </c>
      <c r="E186">
        <v>3</v>
      </c>
      <c r="F186">
        <v>185</v>
      </c>
      <c r="G186" t="str">
        <f t="shared" si="21"/>
        <v>C</v>
      </c>
      <c r="H186">
        <f t="shared" si="27"/>
        <v>3</v>
      </c>
      <c r="I186">
        <f t="shared" si="22"/>
        <v>0</v>
      </c>
      <c r="J186">
        <f t="shared" si="23"/>
        <v>7</v>
      </c>
      <c r="K186">
        <f t="shared" si="24"/>
        <v>0</v>
      </c>
      <c r="L186">
        <f t="shared" si="25"/>
        <v>0</v>
      </c>
      <c r="M186" t="str">
        <f t="shared" si="26"/>
        <v>S</v>
      </c>
      <c r="O186">
        <f t="shared" si="19"/>
        <v>1</v>
      </c>
      <c r="P186">
        <f t="shared" si="20"/>
        <v>1</v>
      </c>
    </row>
    <row r="187" spans="1:16" x14ac:dyDescent="0.45">
      <c r="A187">
        <v>186</v>
      </c>
      <c r="B187">
        <v>2.5</v>
      </c>
      <c r="C187">
        <v>1</v>
      </c>
      <c r="D187" t="s">
        <v>5</v>
      </c>
      <c r="E187">
        <v>3</v>
      </c>
      <c r="F187">
        <v>186</v>
      </c>
      <c r="G187" t="str">
        <f t="shared" si="21"/>
        <v>C</v>
      </c>
      <c r="H187">
        <f t="shared" si="27"/>
        <v>3</v>
      </c>
      <c r="I187">
        <f t="shared" si="22"/>
        <v>0</v>
      </c>
      <c r="J187">
        <f t="shared" si="23"/>
        <v>8</v>
      </c>
      <c r="K187">
        <f t="shared" si="24"/>
        <v>0</v>
      </c>
      <c r="L187">
        <f t="shared" si="25"/>
        <v>0</v>
      </c>
      <c r="M187" t="str">
        <f t="shared" si="26"/>
        <v>S</v>
      </c>
      <c r="O187">
        <f t="shared" si="19"/>
        <v>1</v>
      </c>
      <c r="P187">
        <f t="shared" si="20"/>
        <v>1</v>
      </c>
    </row>
    <row r="188" spans="1:16" x14ac:dyDescent="0.45">
      <c r="A188">
        <v>187</v>
      </c>
      <c r="B188">
        <v>5</v>
      </c>
      <c r="C188">
        <v>3</v>
      </c>
      <c r="D188" t="s">
        <v>5</v>
      </c>
      <c r="E188">
        <v>3</v>
      </c>
      <c r="F188">
        <v>187</v>
      </c>
      <c r="G188" t="str">
        <f t="shared" si="21"/>
        <v>C</v>
      </c>
      <c r="H188">
        <f t="shared" si="27"/>
        <v>3</v>
      </c>
      <c r="I188">
        <f t="shared" si="22"/>
        <v>0</v>
      </c>
      <c r="J188">
        <f t="shared" si="23"/>
        <v>9</v>
      </c>
      <c r="K188">
        <f t="shared" si="24"/>
        <v>0</v>
      </c>
      <c r="L188">
        <f t="shared" si="25"/>
        <v>0</v>
      </c>
      <c r="M188" t="str">
        <f t="shared" si="26"/>
        <v>S</v>
      </c>
      <c r="O188">
        <f t="shared" si="19"/>
        <v>1</v>
      </c>
      <c r="P188">
        <f t="shared" si="20"/>
        <v>1</v>
      </c>
    </row>
    <row r="189" spans="1:16" x14ac:dyDescent="0.45">
      <c r="A189">
        <v>188</v>
      </c>
      <c r="B189">
        <v>7.7</v>
      </c>
      <c r="C189">
        <v>7</v>
      </c>
      <c r="D189" t="s">
        <v>5</v>
      </c>
      <c r="E189">
        <v>4</v>
      </c>
      <c r="F189">
        <v>188</v>
      </c>
      <c r="G189" t="str">
        <f t="shared" si="21"/>
        <v>C</v>
      </c>
      <c r="H189">
        <f t="shared" si="27"/>
        <v>4</v>
      </c>
      <c r="I189">
        <f t="shared" si="22"/>
        <v>0</v>
      </c>
      <c r="J189">
        <f t="shared" si="23"/>
        <v>10</v>
      </c>
      <c r="K189">
        <f t="shared" si="24"/>
        <v>0</v>
      </c>
      <c r="L189">
        <f t="shared" si="25"/>
        <v>0</v>
      </c>
      <c r="M189" t="str">
        <f t="shared" si="26"/>
        <v>S</v>
      </c>
      <c r="O189">
        <f t="shared" si="19"/>
        <v>1</v>
      </c>
      <c r="P189">
        <f t="shared" si="20"/>
        <v>1</v>
      </c>
    </row>
    <row r="190" spans="1:16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v>189</v>
      </c>
      <c r="G190" t="str">
        <f t="shared" si="21"/>
        <v>C</v>
      </c>
      <c r="H190">
        <f t="shared" si="27"/>
        <v>4</v>
      </c>
      <c r="I190">
        <f t="shared" si="22"/>
        <v>0</v>
      </c>
      <c r="J190">
        <f t="shared" si="23"/>
        <v>11</v>
      </c>
      <c r="K190">
        <f t="shared" si="24"/>
        <v>0</v>
      </c>
      <c r="L190">
        <f t="shared" si="25"/>
        <v>0</v>
      </c>
      <c r="M190" t="str">
        <f t="shared" si="26"/>
        <v>S</v>
      </c>
      <c r="O190">
        <f t="shared" si="19"/>
        <v>1</v>
      </c>
      <c r="P190">
        <f t="shared" si="20"/>
        <v>1</v>
      </c>
    </row>
    <row r="191" spans="1:16" x14ac:dyDescent="0.45">
      <c r="A191">
        <v>190</v>
      </c>
      <c r="B191">
        <v>10.4</v>
      </c>
      <c r="C191">
        <v>3</v>
      </c>
      <c r="D191" t="s">
        <v>5</v>
      </c>
      <c r="E191">
        <v>4</v>
      </c>
      <c r="F191">
        <v>190</v>
      </c>
      <c r="G191" t="str">
        <f t="shared" si="21"/>
        <v>C</v>
      </c>
      <c r="H191">
        <f t="shared" si="27"/>
        <v>4</v>
      </c>
      <c r="I191">
        <f t="shared" si="22"/>
        <v>0</v>
      </c>
      <c r="J191">
        <f t="shared" si="23"/>
        <v>12</v>
      </c>
      <c r="K191">
        <f t="shared" si="24"/>
        <v>0</v>
      </c>
      <c r="L191">
        <f t="shared" si="25"/>
        <v>0</v>
      </c>
      <c r="M191" t="str">
        <f t="shared" si="26"/>
        <v>C</v>
      </c>
      <c r="O191">
        <f t="shared" si="19"/>
        <v>1</v>
      </c>
      <c r="P191">
        <f t="shared" si="20"/>
        <v>1</v>
      </c>
    </row>
    <row r="192" spans="1:16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v>191</v>
      </c>
      <c r="G192" t="str">
        <f t="shared" si="21"/>
        <v>C</v>
      </c>
      <c r="H192">
        <f t="shared" si="27"/>
        <v>5</v>
      </c>
      <c r="I192">
        <f t="shared" si="22"/>
        <v>0</v>
      </c>
      <c r="J192">
        <f t="shared" si="23"/>
        <v>13</v>
      </c>
      <c r="K192">
        <f t="shared" si="24"/>
        <v>0</v>
      </c>
      <c r="L192">
        <f t="shared" si="25"/>
        <v>0</v>
      </c>
      <c r="M192" t="str">
        <f t="shared" si="26"/>
        <v>S</v>
      </c>
      <c r="O192">
        <f t="shared" si="19"/>
        <v>1</v>
      </c>
      <c r="P192">
        <f t="shared" si="20"/>
        <v>1</v>
      </c>
    </row>
    <row r="193" spans="1:16" x14ac:dyDescent="0.45">
      <c r="A193">
        <v>192</v>
      </c>
      <c r="B193">
        <v>8</v>
      </c>
      <c r="C193">
        <v>0</v>
      </c>
      <c r="D193">
        <v>0</v>
      </c>
      <c r="E193">
        <v>0</v>
      </c>
      <c r="F193">
        <v>192</v>
      </c>
      <c r="G193">
        <f t="shared" si="21"/>
        <v>0</v>
      </c>
      <c r="H193">
        <f t="shared" si="27"/>
        <v>0</v>
      </c>
      <c r="I193">
        <f t="shared" si="22"/>
        <v>1</v>
      </c>
      <c r="J193">
        <f t="shared" si="23"/>
        <v>1</v>
      </c>
      <c r="K193">
        <f t="shared" si="24"/>
        <v>0</v>
      </c>
      <c r="L193">
        <f t="shared" si="25"/>
        <v>0</v>
      </c>
      <c r="M193" t="str">
        <f t="shared" si="26"/>
        <v>S</v>
      </c>
      <c r="O193">
        <f t="shared" si="19"/>
        <v>1</v>
      </c>
      <c r="P193">
        <f t="shared" si="20"/>
        <v>1</v>
      </c>
    </row>
    <row r="194" spans="1:16" x14ac:dyDescent="0.45">
      <c r="A194">
        <v>193</v>
      </c>
      <c r="B194">
        <v>5.9</v>
      </c>
      <c r="C194">
        <v>3</v>
      </c>
      <c r="D194" t="s">
        <v>6</v>
      </c>
      <c r="E194">
        <v>1</v>
      </c>
      <c r="F194">
        <v>193</v>
      </c>
      <c r="G194" t="str">
        <f t="shared" si="21"/>
        <v>S</v>
      </c>
      <c r="H194">
        <f t="shared" si="27"/>
        <v>1</v>
      </c>
      <c r="I194">
        <f t="shared" si="22"/>
        <v>0</v>
      </c>
      <c r="J194">
        <f t="shared" si="23"/>
        <v>1</v>
      </c>
      <c r="K194">
        <f t="shared" si="24"/>
        <v>1</v>
      </c>
      <c r="L194">
        <f t="shared" si="25"/>
        <v>0</v>
      </c>
      <c r="M194" t="str">
        <f t="shared" si="26"/>
        <v>S</v>
      </c>
      <c r="O194">
        <f t="shared" si="19"/>
        <v>1</v>
      </c>
      <c r="P194">
        <f t="shared" si="20"/>
        <v>1</v>
      </c>
    </row>
    <row r="195" spans="1:16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v>194</v>
      </c>
      <c r="G195" t="str">
        <f t="shared" si="21"/>
        <v>S</v>
      </c>
      <c r="H195">
        <f t="shared" si="27"/>
        <v>1</v>
      </c>
      <c r="I195">
        <f t="shared" si="22"/>
        <v>0</v>
      </c>
      <c r="J195">
        <f t="shared" si="23"/>
        <v>2</v>
      </c>
      <c r="K195">
        <f t="shared" si="24"/>
        <v>0</v>
      </c>
      <c r="L195">
        <f t="shared" si="25"/>
        <v>0</v>
      </c>
      <c r="M195" t="str">
        <f t="shared" si="26"/>
        <v>S</v>
      </c>
      <c r="O195">
        <f t="shared" ref="O195:O258" si="28">IF(H195=E195,1,0)</f>
        <v>1</v>
      </c>
      <c r="P195">
        <f t="shared" ref="P195:P258" si="29">SUM(N195:O195)</f>
        <v>1</v>
      </c>
    </row>
    <row r="196" spans="1:16" x14ac:dyDescent="0.45">
      <c r="A196">
        <v>195</v>
      </c>
      <c r="B196">
        <v>4.2</v>
      </c>
      <c r="C196">
        <v>6</v>
      </c>
      <c r="D196" t="s">
        <v>6</v>
      </c>
      <c r="E196">
        <v>1</v>
      </c>
      <c r="F196">
        <v>195</v>
      </c>
      <c r="G196" t="str">
        <f t="shared" ref="G196:G259" si="30">IF(I196=1,0, IF(K196=1,M196,G195))</f>
        <v>S</v>
      </c>
      <c r="H196">
        <f t="shared" si="27"/>
        <v>1</v>
      </c>
      <c r="I196">
        <f t="shared" ref="I196:I259" si="31">IF(AND(H195=5,C195&gt;=20),1,0)</f>
        <v>0</v>
      </c>
      <c r="J196">
        <f t="shared" ref="J196:J259" si="32">IF(G196=G195,J195+1,1)</f>
        <v>3</v>
      </c>
      <c r="K196">
        <f t="shared" ref="K196:K259" si="33">IF(AND(G195=0,H195=0),1,0)</f>
        <v>0</v>
      </c>
      <c r="L196">
        <f t="shared" ref="L196:L259" si="34">IF(J195=3,1,0)</f>
        <v>0</v>
      </c>
      <c r="M196" t="str">
        <f t="shared" ref="M196:M259" si="35">IF(B196&lt;10,"S","C")</f>
        <v>S</v>
      </c>
      <c r="O196">
        <f t="shared" si="28"/>
        <v>1</v>
      </c>
      <c r="P196">
        <f t="shared" si="29"/>
        <v>1</v>
      </c>
    </row>
    <row r="197" spans="1:16" x14ac:dyDescent="0.45">
      <c r="A197">
        <v>196</v>
      </c>
      <c r="B197">
        <v>5.6</v>
      </c>
      <c r="C197">
        <v>8</v>
      </c>
      <c r="D197" t="s">
        <v>6</v>
      </c>
      <c r="E197">
        <v>2</v>
      </c>
      <c r="F197">
        <v>196</v>
      </c>
      <c r="G197" t="str">
        <f t="shared" si="30"/>
        <v>S</v>
      </c>
      <c r="H197">
        <f t="shared" si="27"/>
        <v>2</v>
      </c>
      <c r="I197">
        <f t="shared" si="31"/>
        <v>0</v>
      </c>
      <c r="J197">
        <f t="shared" si="32"/>
        <v>4</v>
      </c>
      <c r="K197">
        <f t="shared" si="33"/>
        <v>0</v>
      </c>
      <c r="L197">
        <f t="shared" si="34"/>
        <v>1</v>
      </c>
      <c r="M197" t="str">
        <f t="shared" si="35"/>
        <v>S</v>
      </c>
      <c r="O197">
        <f t="shared" si="28"/>
        <v>1</v>
      </c>
      <c r="P197">
        <f t="shared" si="29"/>
        <v>1</v>
      </c>
    </row>
    <row r="198" spans="1:16" x14ac:dyDescent="0.45">
      <c r="A198">
        <v>197</v>
      </c>
      <c r="B198">
        <v>8.6</v>
      </c>
      <c r="C198">
        <v>12</v>
      </c>
      <c r="D198" t="s">
        <v>6</v>
      </c>
      <c r="E198">
        <v>2</v>
      </c>
      <c r="F198">
        <v>197</v>
      </c>
      <c r="G198" t="str">
        <f t="shared" si="30"/>
        <v>S</v>
      </c>
      <c r="H198">
        <f t="shared" si="27"/>
        <v>2</v>
      </c>
      <c r="I198">
        <f t="shared" si="31"/>
        <v>0</v>
      </c>
      <c r="J198">
        <f t="shared" si="32"/>
        <v>5</v>
      </c>
      <c r="K198">
        <f t="shared" si="33"/>
        <v>0</v>
      </c>
      <c r="L198">
        <f t="shared" si="34"/>
        <v>0</v>
      </c>
      <c r="M198" t="str">
        <f t="shared" si="35"/>
        <v>S</v>
      </c>
      <c r="O198">
        <f t="shared" si="28"/>
        <v>1</v>
      </c>
      <c r="P198">
        <f t="shared" si="29"/>
        <v>1</v>
      </c>
    </row>
    <row r="199" spans="1:16" x14ac:dyDescent="0.45">
      <c r="A199">
        <v>198</v>
      </c>
      <c r="B199">
        <v>12.5</v>
      </c>
      <c r="C199">
        <v>9</v>
      </c>
      <c r="D199" t="s">
        <v>6</v>
      </c>
      <c r="E199">
        <v>2</v>
      </c>
      <c r="F199">
        <v>198</v>
      </c>
      <c r="G199" t="str">
        <f t="shared" si="30"/>
        <v>S</v>
      </c>
      <c r="H199">
        <f t="shared" ref="H199:H262" si="36">IF(I199=1,0,IF(K199=1,1,IF(MOD(J198,3)=0, IF(H198+1&gt;5,5,H198+1),H198)))</f>
        <v>2</v>
      </c>
      <c r="I199">
        <f t="shared" si="31"/>
        <v>0</v>
      </c>
      <c r="J199">
        <f t="shared" si="32"/>
        <v>6</v>
      </c>
      <c r="K199">
        <f t="shared" si="33"/>
        <v>0</v>
      </c>
      <c r="L199">
        <f t="shared" si="34"/>
        <v>0</v>
      </c>
      <c r="M199" t="str">
        <f t="shared" si="35"/>
        <v>C</v>
      </c>
      <c r="O199">
        <f t="shared" si="28"/>
        <v>1</v>
      </c>
      <c r="P199">
        <f t="shared" si="29"/>
        <v>1</v>
      </c>
    </row>
    <row r="200" spans="1:16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v>199</v>
      </c>
      <c r="G200" t="str">
        <f t="shared" si="30"/>
        <v>S</v>
      </c>
      <c r="H200">
        <f t="shared" si="36"/>
        <v>3</v>
      </c>
      <c r="I200">
        <f t="shared" si="31"/>
        <v>0</v>
      </c>
      <c r="J200">
        <f t="shared" si="32"/>
        <v>7</v>
      </c>
      <c r="K200">
        <f t="shared" si="33"/>
        <v>0</v>
      </c>
      <c r="L200">
        <f t="shared" si="34"/>
        <v>0</v>
      </c>
      <c r="M200" t="str">
        <f t="shared" si="35"/>
        <v>C</v>
      </c>
      <c r="O200">
        <f t="shared" si="28"/>
        <v>1</v>
      </c>
      <c r="P200">
        <f t="shared" si="29"/>
        <v>1</v>
      </c>
    </row>
    <row r="201" spans="1:16" x14ac:dyDescent="0.45">
      <c r="A201">
        <v>200</v>
      </c>
      <c r="B201">
        <v>19.5</v>
      </c>
      <c r="C201">
        <v>12</v>
      </c>
      <c r="D201" t="s">
        <v>6</v>
      </c>
      <c r="E201">
        <v>3</v>
      </c>
      <c r="F201">
        <v>200</v>
      </c>
      <c r="G201" t="str">
        <f t="shared" si="30"/>
        <v>S</v>
      </c>
      <c r="H201">
        <f t="shared" si="36"/>
        <v>3</v>
      </c>
      <c r="I201">
        <f t="shared" si="31"/>
        <v>0</v>
      </c>
      <c r="J201">
        <f t="shared" si="32"/>
        <v>8</v>
      </c>
      <c r="K201">
        <f t="shared" si="33"/>
        <v>0</v>
      </c>
      <c r="L201">
        <f t="shared" si="34"/>
        <v>0</v>
      </c>
      <c r="M201" t="str">
        <f t="shared" si="35"/>
        <v>C</v>
      </c>
      <c r="O201">
        <f t="shared" si="28"/>
        <v>1</v>
      </c>
      <c r="P201">
        <f t="shared" si="29"/>
        <v>1</v>
      </c>
    </row>
    <row r="202" spans="1:16" x14ac:dyDescent="0.45">
      <c r="A202">
        <v>201</v>
      </c>
      <c r="B202">
        <v>21.2</v>
      </c>
      <c r="C202">
        <v>1</v>
      </c>
      <c r="D202" t="s">
        <v>6</v>
      </c>
      <c r="E202">
        <v>3</v>
      </c>
      <c r="F202">
        <v>201</v>
      </c>
      <c r="G202" t="str">
        <f t="shared" si="30"/>
        <v>S</v>
      </c>
      <c r="H202">
        <f t="shared" si="36"/>
        <v>3</v>
      </c>
      <c r="I202">
        <f t="shared" si="31"/>
        <v>0</v>
      </c>
      <c r="J202">
        <f t="shared" si="32"/>
        <v>9</v>
      </c>
      <c r="K202">
        <f t="shared" si="33"/>
        <v>0</v>
      </c>
      <c r="L202">
        <f t="shared" si="34"/>
        <v>0</v>
      </c>
      <c r="M202" t="str">
        <f t="shared" si="35"/>
        <v>C</v>
      </c>
      <c r="O202">
        <f t="shared" si="28"/>
        <v>1</v>
      </c>
      <c r="P202">
        <f t="shared" si="29"/>
        <v>1</v>
      </c>
    </row>
    <row r="203" spans="1:16" x14ac:dyDescent="0.45">
      <c r="A203">
        <v>202</v>
      </c>
      <c r="B203">
        <v>21.3</v>
      </c>
      <c r="C203">
        <v>11</v>
      </c>
      <c r="D203" t="s">
        <v>6</v>
      </c>
      <c r="E203">
        <v>4</v>
      </c>
      <c r="F203">
        <v>202</v>
      </c>
      <c r="G203" t="str">
        <f t="shared" si="30"/>
        <v>S</v>
      </c>
      <c r="H203">
        <f t="shared" si="36"/>
        <v>4</v>
      </c>
      <c r="I203">
        <f t="shared" si="31"/>
        <v>0</v>
      </c>
      <c r="J203">
        <f t="shared" si="32"/>
        <v>10</v>
      </c>
      <c r="K203">
        <f t="shared" si="33"/>
        <v>0</v>
      </c>
      <c r="L203">
        <f t="shared" si="34"/>
        <v>0</v>
      </c>
      <c r="M203" t="str">
        <f t="shared" si="35"/>
        <v>C</v>
      </c>
      <c r="O203">
        <f t="shared" si="28"/>
        <v>1</v>
      </c>
      <c r="P203">
        <f t="shared" si="29"/>
        <v>1</v>
      </c>
    </row>
    <row r="204" spans="1:16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v>203</v>
      </c>
      <c r="G204" t="str">
        <f t="shared" si="30"/>
        <v>S</v>
      </c>
      <c r="H204">
        <f t="shared" si="36"/>
        <v>4</v>
      </c>
      <c r="I204">
        <f t="shared" si="31"/>
        <v>0</v>
      </c>
      <c r="J204">
        <f t="shared" si="32"/>
        <v>11</v>
      </c>
      <c r="K204">
        <f t="shared" si="33"/>
        <v>0</v>
      </c>
      <c r="L204">
        <f t="shared" si="34"/>
        <v>0</v>
      </c>
      <c r="M204" t="str">
        <f t="shared" si="35"/>
        <v>C</v>
      </c>
      <c r="O204">
        <f t="shared" si="28"/>
        <v>1</v>
      </c>
      <c r="P204">
        <f t="shared" si="29"/>
        <v>1</v>
      </c>
    </row>
    <row r="205" spans="1:16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v>204</v>
      </c>
      <c r="G205" t="str">
        <f t="shared" si="30"/>
        <v>S</v>
      </c>
      <c r="H205">
        <f t="shared" si="36"/>
        <v>4</v>
      </c>
      <c r="I205">
        <f t="shared" si="31"/>
        <v>0</v>
      </c>
      <c r="J205">
        <f t="shared" si="32"/>
        <v>12</v>
      </c>
      <c r="K205">
        <f t="shared" si="33"/>
        <v>0</v>
      </c>
      <c r="L205">
        <f t="shared" si="34"/>
        <v>0</v>
      </c>
      <c r="M205" t="str">
        <f t="shared" si="35"/>
        <v>C</v>
      </c>
      <c r="O205">
        <f t="shared" si="28"/>
        <v>1</v>
      </c>
      <c r="P205">
        <f t="shared" si="29"/>
        <v>1</v>
      </c>
    </row>
    <row r="206" spans="1:16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v>205</v>
      </c>
      <c r="G206" t="str">
        <f t="shared" si="30"/>
        <v>S</v>
      </c>
      <c r="H206">
        <f t="shared" si="36"/>
        <v>5</v>
      </c>
      <c r="I206">
        <f t="shared" si="31"/>
        <v>0</v>
      </c>
      <c r="J206">
        <f t="shared" si="32"/>
        <v>13</v>
      </c>
      <c r="K206">
        <f t="shared" si="33"/>
        <v>0</v>
      </c>
      <c r="L206">
        <f t="shared" si="34"/>
        <v>0</v>
      </c>
      <c r="M206" t="str">
        <f t="shared" si="35"/>
        <v>C</v>
      </c>
      <c r="O206">
        <f t="shared" si="28"/>
        <v>1</v>
      </c>
      <c r="P206">
        <f t="shared" si="29"/>
        <v>1</v>
      </c>
    </row>
    <row r="207" spans="1:16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v>206</v>
      </c>
      <c r="G207" t="str">
        <f t="shared" si="30"/>
        <v>S</v>
      </c>
      <c r="H207">
        <f t="shared" si="36"/>
        <v>5</v>
      </c>
      <c r="I207">
        <f t="shared" si="31"/>
        <v>0</v>
      </c>
      <c r="J207">
        <f t="shared" si="32"/>
        <v>14</v>
      </c>
      <c r="K207">
        <f t="shared" si="33"/>
        <v>0</v>
      </c>
      <c r="L207">
        <f t="shared" si="34"/>
        <v>0</v>
      </c>
      <c r="M207" t="str">
        <f t="shared" si="35"/>
        <v>C</v>
      </c>
      <c r="O207">
        <f t="shared" si="28"/>
        <v>1</v>
      </c>
      <c r="P207">
        <f t="shared" si="29"/>
        <v>1</v>
      </c>
    </row>
    <row r="208" spans="1:16" x14ac:dyDescent="0.45">
      <c r="A208">
        <v>207</v>
      </c>
      <c r="B208">
        <v>18.2</v>
      </c>
      <c r="C208">
        <v>17</v>
      </c>
      <c r="D208" t="s">
        <v>6</v>
      </c>
      <c r="E208">
        <v>5</v>
      </c>
      <c r="F208">
        <v>207</v>
      </c>
      <c r="G208" t="str">
        <f t="shared" si="30"/>
        <v>S</v>
      </c>
      <c r="H208">
        <f t="shared" si="36"/>
        <v>5</v>
      </c>
      <c r="I208">
        <f t="shared" si="31"/>
        <v>0</v>
      </c>
      <c r="J208">
        <f t="shared" si="32"/>
        <v>15</v>
      </c>
      <c r="K208">
        <f t="shared" si="33"/>
        <v>0</v>
      </c>
      <c r="L208">
        <f t="shared" si="34"/>
        <v>0</v>
      </c>
      <c r="M208" t="str">
        <f t="shared" si="35"/>
        <v>C</v>
      </c>
      <c r="O208">
        <f t="shared" si="28"/>
        <v>1</v>
      </c>
      <c r="P208">
        <f t="shared" si="29"/>
        <v>1</v>
      </c>
    </row>
    <row r="209" spans="1:16" x14ac:dyDescent="0.45">
      <c r="A209">
        <v>208</v>
      </c>
      <c r="B209">
        <v>20.7</v>
      </c>
      <c r="C209">
        <v>18</v>
      </c>
      <c r="D209" t="s">
        <v>6</v>
      </c>
      <c r="E209">
        <v>5</v>
      </c>
      <c r="F209">
        <v>208</v>
      </c>
      <c r="G209" t="str">
        <f t="shared" si="30"/>
        <v>S</v>
      </c>
      <c r="H209">
        <f t="shared" si="36"/>
        <v>5</v>
      </c>
      <c r="I209">
        <f t="shared" si="31"/>
        <v>0</v>
      </c>
      <c r="J209">
        <f t="shared" si="32"/>
        <v>16</v>
      </c>
      <c r="K209">
        <f t="shared" si="33"/>
        <v>0</v>
      </c>
      <c r="L209">
        <f t="shared" si="34"/>
        <v>0</v>
      </c>
      <c r="M209" t="str">
        <f t="shared" si="35"/>
        <v>C</v>
      </c>
      <c r="O209">
        <f t="shared" si="28"/>
        <v>1</v>
      </c>
      <c r="P209">
        <f t="shared" si="29"/>
        <v>1</v>
      </c>
    </row>
    <row r="210" spans="1:16" x14ac:dyDescent="0.45">
      <c r="A210">
        <v>209</v>
      </c>
      <c r="B210">
        <v>24</v>
      </c>
      <c r="C210">
        <v>13</v>
      </c>
      <c r="D210" t="s">
        <v>6</v>
      </c>
      <c r="E210">
        <v>5</v>
      </c>
      <c r="F210">
        <v>209</v>
      </c>
      <c r="G210" t="str">
        <f t="shared" si="30"/>
        <v>S</v>
      </c>
      <c r="H210">
        <f t="shared" si="36"/>
        <v>5</v>
      </c>
      <c r="I210">
        <f t="shared" si="31"/>
        <v>0</v>
      </c>
      <c r="J210">
        <f t="shared" si="32"/>
        <v>17</v>
      </c>
      <c r="K210">
        <f t="shared" si="33"/>
        <v>0</v>
      </c>
      <c r="L210">
        <f t="shared" si="34"/>
        <v>0</v>
      </c>
      <c r="M210" t="str">
        <f t="shared" si="35"/>
        <v>C</v>
      </c>
      <c r="O210">
        <f t="shared" si="28"/>
        <v>1</v>
      </c>
      <c r="P210">
        <f t="shared" si="29"/>
        <v>1</v>
      </c>
    </row>
    <row r="211" spans="1:16" x14ac:dyDescent="0.45">
      <c r="A211">
        <v>210</v>
      </c>
      <c r="B211">
        <v>27.2</v>
      </c>
      <c r="C211">
        <v>27</v>
      </c>
      <c r="D211" t="s">
        <v>6</v>
      </c>
      <c r="E211">
        <v>5</v>
      </c>
      <c r="F211">
        <v>210</v>
      </c>
      <c r="G211" t="str">
        <f t="shared" si="30"/>
        <v>S</v>
      </c>
      <c r="H211">
        <f t="shared" si="36"/>
        <v>5</v>
      </c>
      <c r="I211">
        <f t="shared" si="31"/>
        <v>0</v>
      </c>
      <c r="J211">
        <f t="shared" si="32"/>
        <v>18</v>
      </c>
      <c r="K211">
        <f t="shared" si="33"/>
        <v>0</v>
      </c>
      <c r="L211">
        <f t="shared" si="34"/>
        <v>0</v>
      </c>
      <c r="M211" t="str">
        <f t="shared" si="35"/>
        <v>C</v>
      </c>
      <c r="O211">
        <f t="shared" si="28"/>
        <v>1</v>
      </c>
      <c r="P211">
        <f t="shared" si="29"/>
        <v>1</v>
      </c>
    </row>
    <row r="212" spans="1:16" x14ac:dyDescent="0.45">
      <c r="A212">
        <v>211</v>
      </c>
      <c r="B212">
        <v>29.4</v>
      </c>
      <c r="C212">
        <v>0</v>
      </c>
      <c r="D212">
        <v>0</v>
      </c>
      <c r="E212">
        <v>0</v>
      </c>
      <c r="F212">
        <v>211</v>
      </c>
      <c r="G212">
        <f t="shared" si="30"/>
        <v>0</v>
      </c>
      <c r="H212">
        <f t="shared" si="36"/>
        <v>0</v>
      </c>
      <c r="I212">
        <f t="shared" si="31"/>
        <v>1</v>
      </c>
      <c r="J212">
        <f t="shared" si="32"/>
        <v>1</v>
      </c>
      <c r="K212">
        <f t="shared" si="33"/>
        <v>0</v>
      </c>
      <c r="L212">
        <f t="shared" si="34"/>
        <v>0</v>
      </c>
      <c r="M212" t="str">
        <f t="shared" si="35"/>
        <v>C</v>
      </c>
      <c r="O212">
        <f t="shared" si="28"/>
        <v>1</v>
      </c>
      <c r="P212">
        <f t="shared" si="29"/>
        <v>1</v>
      </c>
    </row>
    <row r="213" spans="1:16" x14ac:dyDescent="0.45">
      <c r="A213">
        <v>212</v>
      </c>
      <c r="B213">
        <v>29.9</v>
      </c>
      <c r="C213">
        <v>2</v>
      </c>
      <c r="D213" t="s">
        <v>5</v>
      </c>
      <c r="E213">
        <v>1</v>
      </c>
      <c r="F213">
        <v>212</v>
      </c>
      <c r="G213" t="str">
        <f t="shared" si="30"/>
        <v>C</v>
      </c>
      <c r="H213">
        <f t="shared" si="36"/>
        <v>1</v>
      </c>
      <c r="I213">
        <f t="shared" si="31"/>
        <v>0</v>
      </c>
      <c r="J213">
        <f t="shared" si="32"/>
        <v>1</v>
      </c>
      <c r="K213">
        <f t="shared" si="33"/>
        <v>1</v>
      </c>
      <c r="L213">
        <f t="shared" si="34"/>
        <v>0</v>
      </c>
      <c r="M213" t="str">
        <f t="shared" si="35"/>
        <v>C</v>
      </c>
      <c r="O213">
        <f t="shared" si="28"/>
        <v>1</v>
      </c>
      <c r="P213">
        <f t="shared" si="29"/>
        <v>1</v>
      </c>
    </row>
    <row r="214" spans="1:16" x14ac:dyDescent="0.45">
      <c r="A214">
        <v>213</v>
      </c>
      <c r="B214">
        <v>28.8</v>
      </c>
      <c r="C214">
        <v>4</v>
      </c>
      <c r="D214" t="s">
        <v>5</v>
      </c>
      <c r="E214">
        <v>1</v>
      </c>
      <c r="F214">
        <v>213</v>
      </c>
      <c r="G214" t="str">
        <f t="shared" si="30"/>
        <v>C</v>
      </c>
      <c r="H214">
        <f t="shared" si="36"/>
        <v>1</v>
      </c>
      <c r="I214">
        <f t="shared" si="31"/>
        <v>0</v>
      </c>
      <c r="J214">
        <f t="shared" si="32"/>
        <v>2</v>
      </c>
      <c r="K214">
        <f t="shared" si="33"/>
        <v>0</v>
      </c>
      <c r="L214">
        <f t="shared" si="34"/>
        <v>0</v>
      </c>
      <c r="M214" t="str">
        <f t="shared" si="35"/>
        <v>C</v>
      </c>
      <c r="O214">
        <f t="shared" si="28"/>
        <v>1</v>
      </c>
      <c r="P214">
        <f t="shared" si="29"/>
        <v>1</v>
      </c>
    </row>
    <row r="215" spans="1:16" x14ac:dyDescent="0.45">
      <c r="A215">
        <v>214</v>
      </c>
      <c r="B215">
        <v>26.2</v>
      </c>
      <c r="C215">
        <v>2</v>
      </c>
      <c r="D215" t="s">
        <v>5</v>
      </c>
      <c r="E215">
        <v>1</v>
      </c>
      <c r="F215">
        <v>214</v>
      </c>
      <c r="G215" t="str">
        <f t="shared" si="30"/>
        <v>C</v>
      </c>
      <c r="H215">
        <f t="shared" si="36"/>
        <v>1</v>
      </c>
      <c r="I215">
        <f t="shared" si="31"/>
        <v>0</v>
      </c>
      <c r="J215">
        <f t="shared" si="32"/>
        <v>3</v>
      </c>
      <c r="K215">
        <f t="shared" si="33"/>
        <v>0</v>
      </c>
      <c r="L215">
        <f t="shared" si="34"/>
        <v>0</v>
      </c>
      <c r="M215" t="str">
        <f t="shared" si="35"/>
        <v>C</v>
      </c>
      <c r="O215">
        <f t="shared" si="28"/>
        <v>1</v>
      </c>
      <c r="P215">
        <f t="shared" si="29"/>
        <v>1</v>
      </c>
    </row>
    <row r="216" spans="1:16" x14ac:dyDescent="0.45">
      <c r="A216">
        <v>215</v>
      </c>
      <c r="B216">
        <v>23.1</v>
      </c>
      <c r="C216">
        <v>11</v>
      </c>
      <c r="D216" t="s">
        <v>5</v>
      </c>
      <c r="E216">
        <v>1</v>
      </c>
      <c r="F216">
        <v>215</v>
      </c>
      <c r="G216" t="str">
        <f t="shared" si="30"/>
        <v>C</v>
      </c>
      <c r="H216">
        <f t="shared" si="36"/>
        <v>2</v>
      </c>
      <c r="I216">
        <f t="shared" si="31"/>
        <v>0</v>
      </c>
      <c r="J216">
        <f t="shared" si="32"/>
        <v>4</v>
      </c>
      <c r="K216">
        <f t="shared" si="33"/>
        <v>0</v>
      </c>
      <c r="L216">
        <f t="shared" si="34"/>
        <v>1</v>
      </c>
      <c r="M216" t="str">
        <f t="shared" si="35"/>
        <v>C</v>
      </c>
      <c r="O216">
        <f t="shared" si="28"/>
        <v>0</v>
      </c>
      <c r="P216">
        <f t="shared" si="29"/>
        <v>0</v>
      </c>
    </row>
    <row r="217" spans="1:16" x14ac:dyDescent="0.45">
      <c r="A217">
        <v>216</v>
      </c>
      <c r="B217">
        <v>20.3</v>
      </c>
      <c r="C217">
        <v>1</v>
      </c>
      <c r="D217" t="s">
        <v>5</v>
      </c>
      <c r="E217">
        <v>2</v>
      </c>
      <c r="F217">
        <v>216</v>
      </c>
      <c r="G217" t="str">
        <f t="shared" si="30"/>
        <v>C</v>
      </c>
      <c r="H217">
        <f t="shared" si="36"/>
        <v>2</v>
      </c>
      <c r="I217">
        <f t="shared" si="31"/>
        <v>0</v>
      </c>
      <c r="J217">
        <f t="shared" si="32"/>
        <v>5</v>
      </c>
      <c r="K217">
        <f t="shared" si="33"/>
        <v>0</v>
      </c>
      <c r="L217">
        <f t="shared" si="34"/>
        <v>0</v>
      </c>
      <c r="M217" t="str">
        <f t="shared" si="35"/>
        <v>C</v>
      </c>
      <c r="O217">
        <f t="shared" si="28"/>
        <v>1</v>
      </c>
      <c r="P217">
        <f t="shared" si="29"/>
        <v>1</v>
      </c>
    </row>
    <row r="218" spans="1:16" x14ac:dyDescent="0.45">
      <c r="A218">
        <v>217</v>
      </c>
      <c r="B218">
        <v>18.5</v>
      </c>
      <c r="C218">
        <v>7</v>
      </c>
      <c r="D218" t="s">
        <v>5</v>
      </c>
      <c r="E218">
        <v>2</v>
      </c>
      <c r="F218">
        <v>217</v>
      </c>
      <c r="G218" t="str">
        <f t="shared" si="30"/>
        <v>C</v>
      </c>
      <c r="H218">
        <f t="shared" si="36"/>
        <v>2</v>
      </c>
      <c r="I218">
        <f t="shared" si="31"/>
        <v>0</v>
      </c>
      <c r="J218">
        <f t="shared" si="32"/>
        <v>6</v>
      </c>
      <c r="K218">
        <f t="shared" si="33"/>
        <v>0</v>
      </c>
      <c r="L218">
        <f t="shared" si="34"/>
        <v>0</v>
      </c>
      <c r="M218" t="str">
        <f t="shared" si="35"/>
        <v>C</v>
      </c>
      <c r="O218">
        <f t="shared" si="28"/>
        <v>1</v>
      </c>
      <c r="P218">
        <f t="shared" si="29"/>
        <v>1</v>
      </c>
    </row>
    <row r="219" spans="1:16" x14ac:dyDescent="0.45">
      <c r="A219">
        <v>218</v>
      </c>
      <c r="B219">
        <v>18.2</v>
      </c>
      <c r="C219">
        <v>10</v>
      </c>
      <c r="D219" t="s">
        <v>5</v>
      </c>
      <c r="E219">
        <v>3</v>
      </c>
      <c r="F219">
        <v>218</v>
      </c>
      <c r="G219" t="str">
        <f t="shared" si="30"/>
        <v>C</v>
      </c>
      <c r="H219">
        <f t="shared" si="36"/>
        <v>3</v>
      </c>
      <c r="I219">
        <f t="shared" si="31"/>
        <v>0</v>
      </c>
      <c r="J219">
        <f t="shared" si="32"/>
        <v>7</v>
      </c>
      <c r="K219">
        <f t="shared" si="33"/>
        <v>0</v>
      </c>
      <c r="L219">
        <f t="shared" si="34"/>
        <v>0</v>
      </c>
      <c r="M219" t="str">
        <f t="shared" si="35"/>
        <v>C</v>
      </c>
      <c r="O219">
        <f t="shared" si="28"/>
        <v>1</v>
      </c>
      <c r="P219">
        <f t="shared" si="29"/>
        <v>1</v>
      </c>
    </row>
    <row r="220" spans="1:16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v>219</v>
      </c>
      <c r="G220" t="str">
        <f t="shared" si="30"/>
        <v>C</v>
      </c>
      <c r="H220">
        <f t="shared" si="36"/>
        <v>3</v>
      </c>
      <c r="I220">
        <f t="shared" si="31"/>
        <v>0</v>
      </c>
      <c r="J220">
        <f t="shared" si="32"/>
        <v>8</v>
      </c>
      <c r="K220">
        <f t="shared" si="33"/>
        <v>0</v>
      </c>
      <c r="L220">
        <f t="shared" si="34"/>
        <v>0</v>
      </c>
      <c r="M220" t="str">
        <f t="shared" si="35"/>
        <v>C</v>
      </c>
      <c r="O220">
        <f t="shared" si="28"/>
        <v>1</v>
      </c>
      <c r="P220">
        <f t="shared" si="29"/>
        <v>1</v>
      </c>
    </row>
    <row r="221" spans="1:16" x14ac:dyDescent="0.45">
      <c r="A221">
        <v>220</v>
      </c>
      <c r="B221">
        <v>20.9</v>
      </c>
      <c r="C221">
        <v>1</v>
      </c>
      <c r="D221" t="s">
        <v>5</v>
      </c>
      <c r="E221">
        <v>3</v>
      </c>
      <c r="F221">
        <v>220</v>
      </c>
      <c r="G221" t="str">
        <f t="shared" si="30"/>
        <v>C</v>
      </c>
      <c r="H221">
        <f t="shared" si="36"/>
        <v>3</v>
      </c>
      <c r="I221">
        <f t="shared" si="31"/>
        <v>0</v>
      </c>
      <c r="J221">
        <f t="shared" si="32"/>
        <v>9</v>
      </c>
      <c r="K221">
        <f t="shared" si="33"/>
        <v>0</v>
      </c>
      <c r="L221">
        <f t="shared" si="34"/>
        <v>0</v>
      </c>
      <c r="M221" t="str">
        <f t="shared" si="35"/>
        <v>C</v>
      </c>
      <c r="O221">
        <f t="shared" si="28"/>
        <v>1</v>
      </c>
      <c r="P221">
        <f t="shared" si="29"/>
        <v>1</v>
      </c>
    </row>
    <row r="222" spans="1:16" x14ac:dyDescent="0.45">
      <c r="A222">
        <v>221</v>
      </c>
      <c r="B222">
        <v>22.5</v>
      </c>
      <c r="C222">
        <v>4</v>
      </c>
      <c r="D222" t="s">
        <v>5</v>
      </c>
      <c r="E222">
        <v>4</v>
      </c>
      <c r="F222">
        <v>221</v>
      </c>
      <c r="G222" t="str">
        <f t="shared" si="30"/>
        <v>C</v>
      </c>
      <c r="H222">
        <f t="shared" si="36"/>
        <v>4</v>
      </c>
      <c r="I222">
        <f t="shared" si="31"/>
        <v>0</v>
      </c>
      <c r="J222">
        <f t="shared" si="32"/>
        <v>10</v>
      </c>
      <c r="K222">
        <f t="shared" si="33"/>
        <v>0</v>
      </c>
      <c r="L222">
        <f t="shared" si="34"/>
        <v>0</v>
      </c>
      <c r="M222" t="str">
        <f t="shared" si="35"/>
        <v>C</v>
      </c>
      <c r="O222">
        <f t="shared" si="28"/>
        <v>1</v>
      </c>
      <c r="P222">
        <f t="shared" si="29"/>
        <v>1</v>
      </c>
    </row>
    <row r="223" spans="1:16" x14ac:dyDescent="0.45">
      <c r="A223">
        <v>222</v>
      </c>
      <c r="B223">
        <v>23.2</v>
      </c>
      <c r="C223">
        <v>12</v>
      </c>
      <c r="D223" t="s">
        <v>5</v>
      </c>
      <c r="E223">
        <v>4</v>
      </c>
      <c r="F223">
        <v>222</v>
      </c>
      <c r="G223" t="str">
        <f t="shared" si="30"/>
        <v>C</v>
      </c>
      <c r="H223">
        <f t="shared" si="36"/>
        <v>4</v>
      </c>
      <c r="I223">
        <f t="shared" si="31"/>
        <v>0</v>
      </c>
      <c r="J223">
        <f t="shared" si="32"/>
        <v>11</v>
      </c>
      <c r="K223">
        <f t="shared" si="33"/>
        <v>0</v>
      </c>
      <c r="L223">
        <f t="shared" si="34"/>
        <v>0</v>
      </c>
      <c r="M223" t="str">
        <f t="shared" si="35"/>
        <v>C</v>
      </c>
      <c r="O223">
        <f t="shared" si="28"/>
        <v>1</v>
      </c>
      <c r="P223">
        <f t="shared" si="29"/>
        <v>1</v>
      </c>
    </row>
    <row r="224" spans="1:16" x14ac:dyDescent="0.45">
      <c r="A224">
        <v>223</v>
      </c>
      <c r="B224">
        <v>22.4</v>
      </c>
      <c r="C224">
        <v>7</v>
      </c>
      <c r="D224" t="s">
        <v>5</v>
      </c>
      <c r="E224">
        <v>4</v>
      </c>
      <c r="F224">
        <v>223</v>
      </c>
      <c r="G224" t="str">
        <f t="shared" si="30"/>
        <v>C</v>
      </c>
      <c r="H224">
        <f t="shared" si="36"/>
        <v>4</v>
      </c>
      <c r="I224">
        <f t="shared" si="31"/>
        <v>0</v>
      </c>
      <c r="J224">
        <f t="shared" si="32"/>
        <v>12</v>
      </c>
      <c r="K224">
        <f t="shared" si="33"/>
        <v>0</v>
      </c>
      <c r="L224">
        <f t="shared" si="34"/>
        <v>0</v>
      </c>
      <c r="M224" t="str">
        <f t="shared" si="35"/>
        <v>C</v>
      </c>
      <c r="O224">
        <f t="shared" si="28"/>
        <v>1</v>
      </c>
      <c r="P224">
        <f t="shared" si="29"/>
        <v>1</v>
      </c>
    </row>
    <row r="225" spans="1:16" x14ac:dyDescent="0.45">
      <c r="A225">
        <v>224</v>
      </c>
      <c r="B225">
        <v>20</v>
      </c>
      <c r="C225">
        <v>16</v>
      </c>
      <c r="D225" t="s">
        <v>5</v>
      </c>
      <c r="E225">
        <v>5</v>
      </c>
      <c r="F225">
        <v>224</v>
      </c>
      <c r="G225" t="str">
        <f t="shared" si="30"/>
        <v>C</v>
      </c>
      <c r="H225">
        <f t="shared" si="36"/>
        <v>5</v>
      </c>
      <c r="I225">
        <f t="shared" si="31"/>
        <v>0</v>
      </c>
      <c r="J225">
        <f t="shared" si="32"/>
        <v>13</v>
      </c>
      <c r="K225">
        <f t="shared" si="33"/>
        <v>0</v>
      </c>
      <c r="L225">
        <f t="shared" si="34"/>
        <v>0</v>
      </c>
      <c r="M225" t="str">
        <f t="shared" si="35"/>
        <v>C</v>
      </c>
      <c r="O225">
        <f t="shared" si="28"/>
        <v>1</v>
      </c>
      <c r="P225">
        <f t="shared" si="29"/>
        <v>1</v>
      </c>
    </row>
    <row r="226" spans="1:16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v>225</v>
      </c>
      <c r="G226" t="str">
        <f t="shared" si="30"/>
        <v>C</v>
      </c>
      <c r="H226">
        <f t="shared" si="36"/>
        <v>5</v>
      </c>
      <c r="I226">
        <f t="shared" si="31"/>
        <v>0</v>
      </c>
      <c r="J226">
        <f t="shared" si="32"/>
        <v>14</v>
      </c>
      <c r="K226">
        <f t="shared" si="33"/>
        <v>0</v>
      </c>
      <c r="L226">
        <f t="shared" si="34"/>
        <v>0</v>
      </c>
      <c r="M226" t="str">
        <f t="shared" si="35"/>
        <v>C</v>
      </c>
      <c r="O226">
        <f t="shared" si="28"/>
        <v>1</v>
      </c>
      <c r="P226">
        <f t="shared" si="29"/>
        <v>1</v>
      </c>
    </row>
    <row r="227" spans="1:16" x14ac:dyDescent="0.45">
      <c r="A227">
        <v>226</v>
      </c>
      <c r="B227">
        <v>12.3</v>
      </c>
      <c r="C227">
        <v>0</v>
      </c>
      <c r="D227">
        <v>0</v>
      </c>
      <c r="E227">
        <v>0</v>
      </c>
      <c r="F227">
        <v>226</v>
      </c>
      <c r="G227">
        <f t="shared" si="30"/>
        <v>0</v>
      </c>
      <c r="H227">
        <f t="shared" si="36"/>
        <v>0</v>
      </c>
      <c r="I227">
        <f t="shared" si="31"/>
        <v>1</v>
      </c>
      <c r="J227">
        <f t="shared" si="32"/>
        <v>1</v>
      </c>
      <c r="K227">
        <f t="shared" si="33"/>
        <v>0</v>
      </c>
      <c r="L227">
        <f t="shared" si="34"/>
        <v>0</v>
      </c>
      <c r="M227" t="str">
        <f t="shared" si="35"/>
        <v>C</v>
      </c>
      <c r="O227">
        <f t="shared" si="28"/>
        <v>1</v>
      </c>
      <c r="P227">
        <f t="shared" si="29"/>
        <v>1</v>
      </c>
    </row>
    <row r="228" spans="1:16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v>227</v>
      </c>
      <c r="G228" t="str">
        <f t="shared" si="30"/>
        <v>S</v>
      </c>
      <c r="H228">
        <f t="shared" si="36"/>
        <v>1</v>
      </c>
      <c r="I228">
        <f t="shared" si="31"/>
        <v>0</v>
      </c>
      <c r="J228">
        <f t="shared" si="32"/>
        <v>1</v>
      </c>
      <c r="K228">
        <f t="shared" si="33"/>
        <v>1</v>
      </c>
      <c r="L228">
        <f t="shared" si="34"/>
        <v>0</v>
      </c>
      <c r="M228" t="str">
        <f t="shared" si="35"/>
        <v>S</v>
      </c>
      <c r="O228">
        <f t="shared" si="28"/>
        <v>1</v>
      </c>
      <c r="P228">
        <f t="shared" si="29"/>
        <v>1</v>
      </c>
    </row>
    <row r="229" spans="1:16" x14ac:dyDescent="0.45">
      <c r="A229">
        <v>228</v>
      </c>
      <c r="B229">
        <v>6.4</v>
      </c>
      <c r="C229">
        <v>1</v>
      </c>
      <c r="D229" t="s">
        <v>6</v>
      </c>
      <c r="E229">
        <v>1</v>
      </c>
      <c r="F229">
        <v>228</v>
      </c>
      <c r="G229" t="str">
        <f t="shared" si="30"/>
        <v>S</v>
      </c>
      <c r="H229">
        <f t="shared" si="36"/>
        <v>1</v>
      </c>
      <c r="I229">
        <f t="shared" si="31"/>
        <v>0</v>
      </c>
      <c r="J229">
        <f t="shared" si="32"/>
        <v>2</v>
      </c>
      <c r="K229">
        <f t="shared" si="33"/>
        <v>0</v>
      </c>
      <c r="L229">
        <f t="shared" si="34"/>
        <v>0</v>
      </c>
      <c r="M229" t="str">
        <f t="shared" si="35"/>
        <v>S</v>
      </c>
      <c r="O229">
        <f t="shared" si="28"/>
        <v>1</v>
      </c>
      <c r="P229">
        <f t="shared" si="29"/>
        <v>1</v>
      </c>
    </row>
    <row r="230" spans="1:16" x14ac:dyDescent="0.45">
      <c r="A230">
        <v>229</v>
      </c>
      <c r="B230">
        <v>5.6</v>
      </c>
      <c r="C230">
        <v>6</v>
      </c>
      <c r="D230" t="s">
        <v>6</v>
      </c>
      <c r="E230">
        <v>1</v>
      </c>
      <c r="F230">
        <v>229</v>
      </c>
      <c r="G230" t="str">
        <f t="shared" si="30"/>
        <v>S</v>
      </c>
      <c r="H230">
        <f t="shared" si="36"/>
        <v>1</v>
      </c>
      <c r="I230">
        <f t="shared" si="31"/>
        <v>0</v>
      </c>
      <c r="J230">
        <f t="shared" si="32"/>
        <v>3</v>
      </c>
      <c r="K230">
        <f t="shared" si="33"/>
        <v>0</v>
      </c>
      <c r="L230">
        <f t="shared" si="34"/>
        <v>0</v>
      </c>
      <c r="M230" t="str">
        <f t="shared" si="35"/>
        <v>S</v>
      </c>
      <c r="O230">
        <f t="shared" si="28"/>
        <v>1</v>
      </c>
      <c r="P230">
        <f t="shared" si="29"/>
        <v>1</v>
      </c>
    </row>
    <row r="231" spans="1:16" x14ac:dyDescent="0.45">
      <c r="A231">
        <v>230</v>
      </c>
      <c r="B231">
        <v>6.4</v>
      </c>
      <c r="C231">
        <v>12</v>
      </c>
      <c r="D231" t="s">
        <v>6</v>
      </c>
      <c r="E231">
        <v>2</v>
      </c>
      <c r="F231">
        <v>230</v>
      </c>
      <c r="G231" t="str">
        <f t="shared" si="30"/>
        <v>S</v>
      </c>
      <c r="H231">
        <f t="shared" si="36"/>
        <v>2</v>
      </c>
      <c r="I231">
        <f t="shared" si="31"/>
        <v>0</v>
      </c>
      <c r="J231">
        <f t="shared" si="32"/>
        <v>4</v>
      </c>
      <c r="K231">
        <f t="shared" si="33"/>
        <v>0</v>
      </c>
      <c r="L231">
        <f t="shared" si="34"/>
        <v>1</v>
      </c>
      <c r="M231" t="str">
        <f t="shared" si="35"/>
        <v>S</v>
      </c>
      <c r="O231">
        <f t="shared" si="28"/>
        <v>1</v>
      </c>
      <c r="P231">
        <f t="shared" si="29"/>
        <v>1</v>
      </c>
    </row>
    <row r="232" spans="1:16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v>231</v>
      </c>
      <c r="G232" t="str">
        <f t="shared" si="30"/>
        <v>S</v>
      </c>
      <c r="H232">
        <f t="shared" si="36"/>
        <v>2</v>
      </c>
      <c r="I232">
        <f t="shared" si="31"/>
        <v>0</v>
      </c>
      <c r="J232">
        <f t="shared" si="32"/>
        <v>5</v>
      </c>
      <c r="K232">
        <f t="shared" si="33"/>
        <v>0</v>
      </c>
      <c r="L232">
        <f t="shared" si="34"/>
        <v>0</v>
      </c>
      <c r="M232" t="str">
        <f t="shared" si="35"/>
        <v>S</v>
      </c>
      <c r="O232">
        <f t="shared" si="28"/>
        <v>1</v>
      </c>
      <c r="P232">
        <f t="shared" si="29"/>
        <v>1</v>
      </c>
    </row>
    <row r="233" spans="1:16" x14ac:dyDescent="0.45">
      <c r="A233">
        <v>232</v>
      </c>
      <c r="B233">
        <v>10</v>
      </c>
      <c r="C233">
        <v>12</v>
      </c>
      <c r="D233" t="s">
        <v>6</v>
      </c>
      <c r="E233">
        <v>2</v>
      </c>
      <c r="F233">
        <v>232</v>
      </c>
      <c r="G233" t="str">
        <f t="shared" si="30"/>
        <v>S</v>
      </c>
      <c r="H233">
        <f t="shared" si="36"/>
        <v>2</v>
      </c>
      <c r="I233">
        <f t="shared" si="31"/>
        <v>0</v>
      </c>
      <c r="J233">
        <f t="shared" si="32"/>
        <v>6</v>
      </c>
      <c r="K233">
        <f t="shared" si="33"/>
        <v>0</v>
      </c>
      <c r="L233">
        <f t="shared" si="34"/>
        <v>0</v>
      </c>
      <c r="M233" t="str">
        <f t="shared" si="35"/>
        <v>C</v>
      </c>
      <c r="O233">
        <f t="shared" si="28"/>
        <v>1</v>
      </c>
      <c r="P233">
        <f t="shared" si="29"/>
        <v>1</v>
      </c>
    </row>
    <row r="234" spans="1:16" x14ac:dyDescent="0.45">
      <c r="A234">
        <v>233</v>
      </c>
      <c r="B234">
        <v>11.1</v>
      </c>
      <c r="C234">
        <v>17</v>
      </c>
      <c r="D234" t="s">
        <v>6</v>
      </c>
      <c r="E234">
        <v>3</v>
      </c>
      <c r="F234">
        <v>233</v>
      </c>
      <c r="G234" t="str">
        <f t="shared" si="30"/>
        <v>S</v>
      </c>
      <c r="H234">
        <f t="shared" si="36"/>
        <v>3</v>
      </c>
      <c r="I234">
        <f t="shared" si="31"/>
        <v>0</v>
      </c>
      <c r="J234">
        <f t="shared" si="32"/>
        <v>7</v>
      </c>
      <c r="K234">
        <f t="shared" si="33"/>
        <v>0</v>
      </c>
      <c r="L234">
        <f t="shared" si="34"/>
        <v>0</v>
      </c>
      <c r="M234" t="str">
        <f t="shared" si="35"/>
        <v>C</v>
      </c>
      <c r="O234">
        <f t="shared" si="28"/>
        <v>1</v>
      </c>
      <c r="P234">
        <f t="shared" si="29"/>
        <v>1</v>
      </c>
    </row>
    <row r="235" spans="1:16" x14ac:dyDescent="0.45">
      <c r="A235">
        <v>234</v>
      </c>
      <c r="B235">
        <v>10.9</v>
      </c>
      <c r="C235">
        <v>16</v>
      </c>
      <c r="D235" t="s">
        <v>6</v>
      </c>
      <c r="E235">
        <v>3</v>
      </c>
      <c r="F235">
        <v>234</v>
      </c>
      <c r="G235" t="str">
        <f t="shared" si="30"/>
        <v>S</v>
      </c>
      <c r="H235">
        <f t="shared" si="36"/>
        <v>3</v>
      </c>
      <c r="I235">
        <f t="shared" si="31"/>
        <v>0</v>
      </c>
      <c r="J235">
        <f t="shared" si="32"/>
        <v>8</v>
      </c>
      <c r="K235">
        <f t="shared" si="33"/>
        <v>0</v>
      </c>
      <c r="L235">
        <f t="shared" si="34"/>
        <v>0</v>
      </c>
      <c r="M235" t="str">
        <f t="shared" si="35"/>
        <v>C</v>
      </c>
      <c r="O235">
        <f t="shared" si="28"/>
        <v>1</v>
      </c>
      <c r="P235">
        <f t="shared" si="29"/>
        <v>1</v>
      </c>
    </row>
    <row r="236" spans="1:16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v>235</v>
      </c>
      <c r="G236" t="str">
        <f t="shared" si="30"/>
        <v>S</v>
      </c>
      <c r="H236">
        <f t="shared" si="36"/>
        <v>3</v>
      </c>
      <c r="I236">
        <f t="shared" si="31"/>
        <v>0</v>
      </c>
      <c r="J236">
        <f t="shared" si="32"/>
        <v>9</v>
      </c>
      <c r="K236">
        <f t="shared" si="33"/>
        <v>0</v>
      </c>
      <c r="L236">
        <f t="shared" si="34"/>
        <v>0</v>
      </c>
      <c r="M236" t="str">
        <f t="shared" si="35"/>
        <v>S</v>
      </c>
      <c r="O236">
        <f t="shared" si="28"/>
        <v>1</v>
      </c>
      <c r="P236">
        <f t="shared" si="29"/>
        <v>1</v>
      </c>
    </row>
    <row r="237" spans="1:16" x14ac:dyDescent="0.45">
      <c r="A237">
        <v>236</v>
      </c>
      <c r="B237">
        <v>6.6</v>
      </c>
      <c r="C237">
        <v>21</v>
      </c>
      <c r="D237" t="s">
        <v>6</v>
      </c>
      <c r="E237">
        <v>4</v>
      </c>
      <c r="F237">
        <v>236</v>
      </c>
      <c r="G237" t="str">
        <f t="shared" si="30"/>
        <v>S</v>
      </c>
      <c r="H237">
        <f t="shared" si="36"/>
        <v>4</v>
      </c>
      <c r="I237">
        <f t="shared" si="31"/>
        <v>0</v>
      </c>
      <c r="J237">
        <f t="shared" si="32"/>
        <v>10</v>
      </c>
      <c r="K237">
        <f t="shared" si="33"/>
        <v>0</v>
      </c>
      <c r="L237">
        <f t="shared" si="34"/>
        <v>0</v>
      </c>
      <c r="M237" t="str">
        <f t="shared" si="35"/>
        <v>S</v>
      </c>
      <c r="O237">
        <f t="shared" si="28"/>
        <v>1</v>
      </c>
      <c r="P237">
        <f t="shared" si="29"/>
        <v>1</v>
      </c>
    </row>
    <row r="238" spans="1:16" x14ac:dyDescent="0.45">
      <c r="A238">
        <v>237</v>
      </c>
      <c r="B238">
        <v>3.6</v>
      </c>
      <c r="C238">
        <v>18</v>
      </c>
      <c r="D238" t="s">
        <v>6</v>
      </c>
      <c r="E238">
        <v>4</v>
      </c>
      <c r="F238">
        <v>237</v>
      </c>
      <c r="G238" t="str">
        <f t="shared" si="30"/>
        <v>S</v>
      </c>
      <c r="H238">
        <f t="shared" si="36"/>
        <v>4</v>
      </c>
      <c r="I238">
        <f t="shared" si="31"/>
        <v>0</v>
      </c>
      <c r="J238">
        <f t="shared" si="32"/>
        <v>11</v>
      </c>
      <c r="K238">
        <f t="shared" si="33"/>
        <v>0</v>
      </c>
      <c r="L238">
        <f t="shared" si="34"/>
        <v>0</v>
      </c>
      <c r="M238" t="str">
        <f t="shared" si="35"/>
        <v>S</v>
      </c>
      <c r="O238">
        <f t="shared" si="28"/>
        <v>1</v>
      </c>
      <c r="P238">
        <f t="shared" si="29"/>
        <v>1</v>
      </c>
    </row>
    <row r="239" spans="1:16" x14ac:dyDescent="0.45">
      <c r="A239">
        <v>238</v>
      </c>
      <c r="B239">
        <v>1.2</v>
      </c>
      <c r="C239">
        <v>13</v>
      </c>
      <c r="D239" t="s">
        <v>6</v>
      </c>
      <c r="E239">
        <v>4</v>
      </c>
      <c r="F239">
        <v>238</v>
      </c>
      <c r="G239" t="str">
        <f t="shared" si="30"/>
        <v>S</v>
      </c>
      <c r="H239">
        <f t="shared" si="36"/>
        <v>4</v>
      </c>
      <c r="I239">
        <f t="shared" si="31"/>
        <v>0</v>
      </c>
      <c r="J239">
        <f t="shared" si="32"/>
        <v>12</v>
      </c>
      <c r="K239">
        <f t="shared" si="33"/>
        <v>0</v>
      </c>
      <c r="L239">
        <f t="shared" si="34"/>
        <v>0</v>
      </c>
      <c r="M239" t="str">
        <f t="shared" si="35"/>
        <v>S</v>
      </c>
      <c r="O239">
        <f t="shared" si="28"/>
        <v>1</v>
      </c>
      <c r="P239">
        <f t="shared" si="29"/>
        <v>1</v>
      </c>
    </row>
    <row r="240" spans="1:16" x14ac:dyDescent="0.45">
      <c r="A240">
        <v>239</v>
      </c>
      <c r="B240">
        <v>0.2</v>
      </c>
      <c r="C240">
        <v>29</v>
      </c>
      <c r="D240" t="s">
        <v>6</v>
      </c>
      <c r="E240">
        <v>5</v>
      </c>
      <c r="F240">
        <v>239</v>
      </c>
      <c r="G240" t="str">
        <f t="shared" si="30"/>
        <v>S</v>
      </c>
      <c r="H240">
        <f t="shared" si="36"/>
        <v>5</v>
      </c>
      <c r="I240">
        <f t="shared" si="31"/>
        <v>0</v>
      </c>
      <c r="J240">
        <f t="shared" si="32"/>
        <v>13</v>
      </c>
      <c r="K240">
        <f t="shared" si="33"/>
        <v>0</v>
      </c>
      <c r="L240">
        <f t="shared" si="34"/>
        <v>0</v>
      </c>
      <c r="M240" t="str">
        <f t="shared" si="35"/>
        <v>S</v>
      </c>
      <c r="O240">
        <f t="shared" si="28"/>
        <v>1</v>
      </c>
      <c r="P240">
        <f t="shared" si="29"/>
        <v>1</v>
      </c>
    </row>
    <row r="241" spans="1:16" x14ac:dyDescent="0.45">
      <c r="A241">
        <v>240</v>
      </c>
      <c r="B241">
        <v>0.9</v>
      </c>
      <c r="C241">
        <v>0</v>
      </c>
      <c r="D241">
        <v>0</v>
      </c>
      <c r="E241">
        <v>0</v>
      </c>
      <c r="F241">
        <v>240</v>
      </c>
      <c r="G241">
        <f t="shared" si="30"/>
        <v>0</v>
      </c>
      <c r="H241">
        <f t="shared" si="36"/>
        <v>0</v>
      </c>
      <c r="I241">
        <f t="shared" si="31"/>
        <v>1</v>
      </c>
      <c r="J241">
        <f t="shared" si="32"/>
        <v>1</v>
      </c>
      <c r="K241">
        <f t="shared" si="33"/>
        <v>0</v>
      </c>
      <c r="L241">
        <f t="shared" si="34"/>
        <v>0</v>
      </c>
      <c r="M241" t="str">
        <f t="shared" si="35"/>
        <v>S</v>
      </c>
      <c r="O241">
        <f t="shared" si="28"/>
        <v>1</v>
      </c>
      <c r="P241">
        <f t="shared" si="29"/>
        <v>1</v>
      </c>
    </row>
    <row r="242" spans="1:16" x14ac:dyDescent="0.45">
      <c r="A242">
        <v>241</v>
      </c>
      <c r="B242">
        <v>3.2</v>
      </c>
      <c r="C242">
        <v>6</v>
      </c>
      <c r="D242" t="s">
        <v>6</v>
      </c>
      <c r="E242">
        <v>1</v>
      </c>
      <c r="F242">
        <v>241</v>
      </c>
      <c r="G242" t="str">
        <f t="shared" si="30"/>
        <v>S</v>
      </c>
      <c r="H242">
        <f t="shared" si="36"/>
        <v>1</v>
      </c>
      <c r="I242">
        <f t="shared" si="31"/>
        <v>0</v>
      </c>
      <c r="J242">
        <f t="shared" si="32"/>
        <v>1</v>
      </c>
      <c r="K242">
        <f t="shared" si="33"/>
        <v>1</v>
      </c>
      <c r="L242">
        <f t="shared" si="34"/>
        <v>0</v>
      </c>
      <c r="M242" t="str">
        <f t="shared" si="35"/>
        <v>S</v>
      </c>
      <c r="O242">
        <f t="shared" si="28"/>
        <v>1</v>
      </c>
      <c r="P242">
        <f t="shared" si="29"/>
        <v>1</v>
      </c>
    </row>
    <row r="243" spans="1:16" x14ac:dyDescent="0.45">
      <c r="A243">
        <v>242</v>
      </c>
      <c r="B243">
        <v>6.6</v>
      </c>
      <c r="C243">
        <v>5</v>
      </c>
      <c r="D243" t="s">
        <v>6</v>
      </c>
      <c r="E243">
        <v>1</v>
      </c>
      <c r="F243">
        <v>242</v>
      </c>
      <c r="G243" t="str">
        <f t="shared" si="30"/>
        <v>S</v>
      </c>
      <c r="H243">
        <f t="shared" si="36"/>
        <v>1</v>
      </c>
      <c r="I243">
        <f t="shared" si="31"/>
        <v>0</v>
      </c>
      <c r="J243">
        <f t="shared" si="32"/>
        <v>2</v>
      </c>
      <c r="K243">
        <f t="shared" si="33"/>
        <v>0</v>
      </c>
      <c r="L243">
        <f t="shared" si="34"/>
        <v>0</v>
      </c>
      <c r="M243" t="str">
        <f t="shared" si="35"/>
        <v>S</v>
      </c>
      <c r="O243">
        <f t="shared" si="28"/>
        <v>1</v>
      </c>
      <c r="P243">
        <f t="shared" si="29"/>
        <v>1</v>
      </c>
    </row>
    <row r="244" spans="1:16" x14ac:dyDescent="0.45">
      <c r="A244">
        <v>243</v>
      </c>
      <c r="B244">
        <v>10</v>
      </c>
      <c r="C244">
        <v>2</v>
      </c>
      <c r="D244" t="s">
        <v>6</v>
      </c>
      <c r="E244">
        <v>1</v>
      </c>
      <c r="F244">
        <v>243</v>
      </c>
      <c r="G244" t="str">
        <f t="shared" si="30"/>
        <v>S</v>
      </c>
      <c r="H244">
        <f t="shared" si="36"/>
        <v>1</v>
      </c>
      <c r="I244">
        <f t="shared" si="31"/>
        <v>0</v>
      </c>
      <c r="J244">
        <f t="shared" si="32"/>
        <v>3</v>
      </c>
      <c r="K244">
        <f t="shared" si="33"/>
        <v>0</v>
      </c>
      <c r="L244">
        <f t="shared" si="34"/>
        <v>0</v>
      </c>
      <c r="M244" t="str">
        <f t="shared" si="35"/>
        <v>C</v>
      </c>
      <c r="O244">
        <f t="shared" si="28"/>
        <v>1</v>
      </c>
      <c r="P244">
        <f t="shared" si="29"/>
        <v>1</v>
      </c>
    </row>
    <row r="245" spans="1:16" x14ac:dyDescent="0.45">
      <c r="A245">
        <v>244</v>
      </c>
      <c r="B245">
        <v>12.7</v>
      </c>
      <c r="C245">
        <v>8</v>
      </c>
      <c r="D245" t="s">
        <v>6</v>
      </c>
      <c r="E245">
        <v>2</v>
      </c>
      <c r="F245">
        <v>244</v>
      </c>
      <c r="G245" t="str">
        <f t="shared" si="30"/>
        <v>S</v>
      </c>
      <c r="H245">
        <f t="shared" si="36"/>
        <v>2</v>
      </c>
      <c r="I245">
        <f t="shared" si="31"/>
        <v>0</v>
      </c>
      <c r="J245">
        <f t="shared" si="32"/>
        <v>4</v>
      </c>
      <c r="K245">
        <f t="shared" si="33"/>
        <v>0</v>
      </c>
      <c r="L245">
        <f t="shared" si="34"/>
        <v>1</v>
      </c>
      <c r="M245" t="str">
        <f t="shared" si="35"/>
        <v>C</v>
      </c>
      <c r="O245">
        <f t="shared" si="28"/>
        <v>1</v>
      </c>
      <c r="P245">
        <f t="shared" si="29"/>
        <v>1</v>
      </c>
    </row>
    <row r="246" spans="1:16" x14ac:dyDescent="0.45">
      <c r="A246">
        <v>245</v>
      </c>
      <c r="B246">
        <v>14.1</v>
      </c>
      <c r="C246">
        <v>1</v>
      </c>
      <c r="D246" t="s">
        <v>6</v>
      </c>
      <c r="E246">
        <v>2</v>
      </c>
      <c r="F246">
        <v>245</v>
      </c>
      <c r="G246" t="str">
        <f t="shared" si="30"/>
        <v>S</v>
      </c>
      <c r="H246">
        <f t="shared" si="36"/>
        <v>2</v>
      </c>
      <c r="I246">
        <f t="shared" si="31"/>
        <v>0</v>
      </c>
      <c r="J246">
        <f t="shared" si="32"/>
        <v>5</v>
      </c>
      <c r="K246">
        <f t="shared" si="33"/>
        <v>0</v>
      </c>
      <c r="L246">
        <f t="shared" si="34"/>
        <v>0</v>
      </c>
      <c r="M246" t="str">
        <f t="shared" si="35"/>
        <v>C</v>
      </c>
      <c r="O246">
        <f t="shared" si="28"/>
        <v>1</v>
      </c>
      <c r="P246">
        <f t="shared" si="29"/>
        <v>1</v>
      </c>
    </row>
    <row r="247" spans="1:16" x14ac:dyDescent="0.45">
      <c r="A247">
        <v>246</v>
      </c>
      <c r="B247">
        <v>14</v>
      </c>
      <c r="C247">
        <v>11</v>
      </c>
      <c r="D247" t="s">
        <v>6</v>
      </c>
      <c r="E247">
        <v>2</v>
      </c>
      <c r="F247">
        <v>246</v>
      </c>
      <c r="G247" t="str">
        <f t="shared" si="30"/>
        <v>S</v>
      </c>
      <c r="H247">
        <f t="shared" si="36"/>
        <v>2</v>
      </c>
      <c r="I247">
        <f t="shared" si="31"/>
        <v>0</v>
      </c>
      <c r="J247">
        <f t="shared" si="32"/>
        <v>6</v>
      </c>
      <c r="K247">
        <f t="shared" si="33"/>
        <v>0</v>
      </c>
      <c r="L247">
        <f t="shared" si="34"/>
        <v>0</v>
      </c>
      <c r="M247" t="str">
        <f t="shared" si="35"/>
        <v>C</v>
      </c>
      <c r="O247">
        <f t="shared" si="28"/>
        <v>1</v>
      </c>
      <c r="P247">
        <f t="shared" si="29"/>
        <v>1</v>
      </c>
    </row>
    <row r="248" spans="1:16" x14ac:dyDescent="0.45">
      <c r="A248">
        <v>247</v>
      </c>
      <c r="B248">
        <v>12.7</v>
      </c>
      <c r="C248">
        <v>13</v>
      </c>
      <c r="D248" t="s">
        <v>6</v>
      </c>
      <c r="E248">
        <v>3</v>
      </c>
      <c r="F248">
        <v>247</v>
      </c>
      <c r="G248" t="str">
        <f t="shared" si="30"/>
        <v>S</v>
      </c>
      <c r="H248">
        <f t="shared" si="36"/>
        <v>3</v>
      </c>
      <c r="I248">
        <f t="shared" si="31"/>
        <v>0</v>
      </c>
      <c r="J248">
        <f t="shared" si="32"/>
        <v>7</v>
      </c>
      <c r="K248">
        <f t="shared" si="33"/>
        <v>0</v>
      </c>
      <c r="L248">
        <f t="shared" si="34"/>
        <v>0</v>
      </c>
      <c r="M248" t="str">
        <f t="shared" si="35"/>
        <v>C</v>
      </c>
      <c r="O248">
        <f t="shared" si="28"/>
        <v>1</v>
      </c>
      <c r="P248">
        <f t="shared" si="29"/>
        <v>1</v>
      </c>
    </row>
    <row r="249" spans="1:16" x14ac:dyDescent="0.45">
      <c r="A249">
        <v>248</v>
      </c>
      <c r="B249">
        <v>11.1</v>
      </c>
      <c r="C249">
        <v>18</v>
      </c>
      <c r="D249" t="s">
        <v>6</v>
      </c>
      <c r="E249">
        <v>3</v>
      </c>
      <c r="F249">
        <v>248</v>
      </c>
      <c r="G249" t="str">
        <f t="shared" si="30"/>
        <v>S</v>
      </c>
      <c r="H249">
        <f t="shared" si="36"/>
        <v>3</v>
      </c>
      <c r="I249">
        <f t="shared" si="31"/>
        <v>0</v>
      </c>
      <c r="J249">
        <f t="shared" si="32"/>
        <v>8</v>
      </c>
      <c r="K249">
        <f t="shared" si="33"/>
        <v>0</v>
      </c>
      <c r="L249">
        <f t="shared" si="34"/>
        <v>0</v>
      </c>
      <c r="M249" t="str">
        <f t="shared" si="35"/>
        <v>C</v>
      </c>
      <c r="O249">
        <f t="shared" si="28"/>
        <v>1</v>
      </c>
      <c r="P249">
        <f t="shared" si="29"/>
        <v>1</v>
      </c>
    </row>
    <row r="250" spans="1:16" x14ac:dyDescent="0.45">
      <c r="A250">
        <v>249</v>
      </c>
      <c r="B250">
        <v>10</v>
      </c>
      <c r="C250">
        <v>15</v>
      </c>
      <c r="D250" t="s">
        <v>6</v>
      </c>
      <c r="E250">
        <v>3</v>
      </c>
      <c r="F250">
        <v>249</v>
      </c>
      <c r="G250" t="str">
        <f t="shared" si="30"/>
        <v>S</v>
      </c>
      <c r="H250">
        <f t="shared" si="36"/>
        <v>3</v>
      </c>
      <c r="I250">
        <f t="shared" si="31"/>
        <v>0</v>
      </c>
      <c r="J250">
        <f t="shared" si="32"/>
        <v>9</v>
      </c>
      <c r="K250">
        <f t="shared" si="33"/>
        <v>0</v>
      </c>
      <c r="L250">
        <f t="shared" si="34"/>
        <v>0</v>
      </c>
      <c r="M250" t="str">
        <f t="shared" si="35"/>
        <v>C</v>
      </c>
      <c r="O250">
        <f t="shared" si="28"/>
        <v>1</v>
      </c>
      <c r="P250">
        <f t="shared" si="29"/>
        <v>1</v>
      </c>
    </row>
    <row r="251" spans="1:16" x14ac:dyDescent="0.45">
      <c r="A251">
        <v>250</v>
      </c>
      <c r="B251">
        <v>10.1</v>
      </c>
      <c r="C251">
        <v>12</v>
      </c>
      <c r="D251" t="s">
        <v>6</v>
      </c>
      <c r="E251">
        <v>4</v>
      </c>
      <c r="F251">
        <v>250</v>
      </c>
      <c r="G251" t="str">
        <f t="shared" si="30"/>
        <v>S</v>
      </c>
      <c r="H251">
        <f t="shared" si="36"/>
        <v>4</v>
      </c>
      <c r="I251">
        <f t="shared" si="31"/>
        <v>0</v>
      </c>
      <c r="J251">
        <f t="shared" si="32"/>
        <v>10</v>
      </c>
      <c r="K251">
        <f t="shared" si="33"/>
        <v>0</v>
      </c>
      <c r="L251">
        <f t="shared" si="34"/>
        <v>0</v>
      </c>
      <c r="M251" t="str">
        <f t="shared" si="35"/>
        <v>C</v>
      </c>
      <c r="O251">
        <f t="shared" si="28"/>
        <v>1</v>
      </c>
      <c r="P251">
        <f t="shared" si="29"/>
        <v>1</v>
      </c>
    </row>
    <row r="252" spans="1:16" x14ac:dyDescent="0.45">
      <c r="A252">
        <v>251</v>
      </c>
      <c r="B252">
        <v>11.7</v>
      </c>
      <c r="C252">
        <v>2</v>
      </c>
      <c r="D252" t="s">
        <v>6</v>
      </c>
      <c r="E252">
        <v>4</v>
      </c>
      <c r="F252">
        <v>251</v>
      </c>
      <c r="G252" t="str">
        <f t="shared" si="30"/>
        <v>S</v>
      </c>
      <c r="H252">
        <f t="shared" si="36"/>
        <v>4</v>
      </c>
      <c r="I252">
        <f t="shared" si="31"/>
        <v>0</v>
      </c>
      <c r="J252">
        <f t="shared" si="32"/>
        <v>11</v>
      </c>
      <c r="K252">
        <f t="shared" si="33"/>
        <v>0</v>
      </c>
      <c r="L252">
        <f t="shared" si="34"/>
        <v>0</v>
      </c>
      <c r="M252" t="str">
        <f t="shared" si="35"/>
        <v>C</v>
      </c>
      <c r="O252">
        <f t="shared" si="28"/>
        <v>1</v>
      </c>
      <c r="P252">
        <f t="shared" si="29"/>
        <v>1</v>
      </c>
    </row>
    <row r="253" spans="1:16" x14ac:dyDescent="0.45">
      <c r="A253">
        <v>252</v>
      </c>
      <c r="B253">
        <v>14.8</v>
      </c>
      <c r="C253">
        <v>21</v>
      </c>
      <c r="D253" t="s">
        <v>6</v>
      </c>
      <c r="E253">
        <v>4</v>
      </c>
      <c r="F253">
        <v>252</v>
      </c>
      <c r="G253" t="str">
        <f t="shared" si="30"/>
        <v>S</v>
      </c>
      <c r="H253">
        <f t="shared" si="36"/>
        <v>4</v>
      </c>
      <c r="I253">
        <f t="shared" si="31"/>
        <v>0</v>
      </c>
      <c r="J253">
        <f t="shared" si="32"/>
        <v>12</v>
      </c>
      <c r="K253">
        <f t="shared" si="33"/>
        <v>0</v>
      </c>
      <c r="L253">
        <f t="shared" si="34"/>
        <v>0</v>
      </c>
      <c r="M253" t="str">
        <f t="shared" si="35"/>
        <v>C</v>
      </c>
      <c r="O253">
        <f t="shared" si="28"/>
        <v>1</v>
      </c>
      <c r="P253">
        <f t="shared" si="29"/>
        <v>1</v>
      </c>
    </row>
    <row r="254" spans="1:16" x14ac:dyDescent="0.45">
      <c r="A254">
        <v>253</v>
      </c>
      <c r="B254">
        <v>18.7</v>
      </c>
      <c r="C254">
        <v>28</v>
      </c>
      <c r="D254" t="s">
        <v>6</v>
      </c>
      <c r="E254">
        <v>5</v>
      </c>
      <c r="F254">
        <v>253</v>
      </c>
      <c r="G254" t="str">
        <f t="shared" si="30"/>
        <v>S</v>
      </c>
      <c r="H254">
        <f t="shared" si="36"/>
        <v>5</v>
      </c>
      <c r="I254">
        <f t="shared" si="31"/>
        <v>0</v>
      </c>
      <c r="J254">
        <f t="shared" si="32"/>
        <v>13</v>
      </c>
      <c r="K254">
        <f t="shared" si="33"/>
        <v>0</v>
      </c>
      <c r="L254">
        <f t="shared" si="34"/>
        <v>0</v>
      </c>
      <c r="M254" t="str">
        <f t="shared" si="35"/>
        <v>C</v>
      </c>
      <c r="O254">
        <f t="shared" si="28"/>
        <v>1</v>
      </c>
      <c r="P254">
        <f t="shared" si="29"/>
        <v>1</v>
      </c>
    </row>
    <row r="255" spans="1:16" x14ac:dyDescent="0.45">
      <c r="A255">
        <v>254</v>
      </c>
      <c r="B255">
        <v>22.5</v>
      </c>
      <c r="C255">
        <v>0</v>
      </c>
      <c r="D255">
        <v>0</v>
      </c>
      <c r="E255">
        <v>0</v>
      </c>
      <c r="F255">
        <v>254</v>
      </c>
      <c r="G255">
        <f t="shared" si="30"/>
        <v>0</v>
      </c>
      <c r="H255">
        <f t="shared" si="36"/>
        <v>0</v>
      </c>
      <c r="I255">
        <f t="shared" si="31"/>
        <v>1</v>
      </c>
      <c r="J255">
        <f t="shared" si="32"/>
        <v>1</v>
      </c>
      <c r="K255">
        <f t="shared" si="33"/>
        <v>0</v>
      </c>
      <c r="L255">
        <f t="shared" si="34"/>
        <v>0</v>
      </c>
      <c r="M255" t="str">
        <f t="shared" si="35"/>
        <v>C</v>
      </c>
      <c r="O255">
        <f t="shared" si="28"/>
        <v>1</v>
      </c>
      <c r="P255">
        <f t="shared" si="29"/>
        <v>1</v>
      </c>
    </row>
    <row r="256" spans="1:16" x14ac:dyDescent="0.45">
      <c r="A256">
        <v>255</v>
      </c>
      <c r="B256">
        <v>25.4</v>
      </c>
      <c r="C256">
        <v>3</v>
      </c>
      <c r="D256" t="s">
        <v>5</v>
      </c>
      <c r="E256">
        <v>1</v>
      </c>
      <c r="F256">
        <v>255</v>
      </c>
      <c r="G256" t="str">
        <f t="shared" si="30"/>
        <v>C</v>
      </c>
      <c r="H256">
        <f t="shared" si="36"/>
        <v>1</v>
      </c>
      <c r="I256">
        <f t="shared" si="31"/>
        <v>0</v>
      </c>
      <c r="J256">
        <f t="shared" si="32"/>
        <v>1</v>
      </c>
      <c r="K256">
        <f t="shared" si="33"/>
        <v>1</v>
      </c>
      <c r="L256">
        <f t="shared" si="34"/>
        <v>0</v>
      </c>
      <c r="M256" t="str">
        <f t="shared" si="35"/>
        <v>C</v>
      </c>
      <c r="O256">
        <f t="shared" si="28"/>
        <v>1</v>
      </c>
      <c r="P256">
        <f t="shared" si="29"/>
        <v>1</v>
      </c>
    </row>
    <row r="257" spans="1:16" x14ac:dyDescent="0.45">
      <c r="A257">
        <v>256</v>
      </c>
      <c r="B257">
        <v>26.8</v>
      </c>
      <c r="C257">
        <v>5</v>
      </c>
      <c r="D257" t="s">
        <v>5</v>
      </c>
      <c r="E257">
        <v>1</v>
      </c>
      <c r="F257">
        <v>256</v>
      </c>
      <c r="G257" t="str">
        <f t="shared" si="30"/>
        <v>C</v>
      </c>
      <c r="H257">
        <f t="shared" si="36"/>
        <v>1</v>
      </c>
      <c r="I257">
        <f t="shared" si="31"/>
        <v>0</v>
      </c>
      <c r="J257">
        <f t="shared" si="32"/>
        <v>2</v>
      </c>
      <c r="K257">
        <f t="shared" si="33"/>
        <v>0</v>
      </c>
      <c r="L257">
        <f t="shared" si="34"/>
        <v>0</v>
      </c>
      <c r="M257" t="str">
        <f t="shared" si="35"/>
        <v>C</v>
      </c>
      <c r="O257">
        <f t="shared" si="28"/>
        <v>1</v>
      </c>
      <c r="P257">
        <f t="shared" si="29"/>
        <v>1</v>
      </c>
    </row>
    <row r="258" spans="1:16" x14ac:dyDescent="0.45">
      <c r="A258">
        <v>257</v>
      </c>
      <c r="B258">
        <v>26.5</v>
      </c>
      <c r="C258">
        <v>5</v>
      </c>
      <c r="D258" t="s">
        <v>5</v>
      </c>
      <c r="E258">
        <v>1</v>
      </c>
      <c r="F258">
        <v>257</v>
      </c>
      <c r="G258" t="str">
        <f t="shared" si="30"/>
        <v>C</v>
      </c>
      <c r="H258">
        <f t="shared" si="36"/>
        <v>1</v>
      </c>
      <c r="I258">
        <f t="shared" si="31"/>
        <v>0</v>
      </c>
      <c r="J258">
        <f t="shared" si="32"/>
        <v>3</v>
      </c>
      <c r="K258">
        <f t="shared" si="33"/>
        <v>0</v>
      </c>
      <c r="L258">
        <f t="shared" si="34"/>
        <v>0</v>
      </c>
      <c r="M258" t="str">
        <f t="shared" si="35"/>
        <v>C</v>
      </c>
      <c r="O258">
        <f t="shared" si="28"/>
        <v>1</v>
      </c>
      <c r="P258">
        <f t="shared" si="29"/>
        <v>1</v>
      </c>
    </row>
    <row r="259" spans="1:16" x14ac:dyDescent="0.45">
      <c r="A259">
        <v>258</v>
      </c>
      <c r="B259">
        <v>24.9</v>
      </c>
      <c r="C259">
        <v>7</v>
      </c>
      <c r="D259" t="s">
        <v>5</v>
      </c>
      <c r="E259">
        <v>2</v>
      </c>
      <c r="F259">
        <v>258</v>
      </c>
      <c r="G259" t="str">
        <f t="shared" si="30"/>
        <v>C</v>
      </c>
      <c r="H259">
        <f t="shared" si="36"/>
        <v>2</v>
      </c>
      <c r="I259">
        <f t="shared" si="31"/>
        <v>0</v>
      </c>
      <c r="J259">
        <f t="shared" si="32"/>
        <v>4</v>
      </c>
      <c r="K259">
        <f t="shared" si="33"/>
        <v>0</v>
      </c>
      <c r="L259">
        <f t="shared" si="34"/>
        <v>1</v>
      </c>
      <c r="M259" t="str">
        <f t="shared" si="35"/>
        <v>C</v>
      </c>
      <c r="O259">
        <f t="shared" ref="O259:O301" si="37">IF(H259=E259,1,0)</f>
        <v>1</v>
      </c>
      <c r="P259">
        <f t="shared" ref="P259:P301" si="38">SUM(N259:O259)</f>
        <v>1</v>
      </c>
    </row>
    <row r="260" spans="1:16" x14ac:dyDescent="0.45">
      <c r="A260">
        <v>259</v>
      </c>
      <c r="B260">
        <v>22.6</v>
      </c>
      <c r="C260">
        <v>1</v>
      </c>
      <c r="D260" t="s">
        <v>5</v>
      </c>
      <c r="E260">
        <v>2</v>
      </c>
      <c r="F260">
        <v>259</v>
      </c>
      <c r="G260" t="str">
        <f t="shared" ref="G260:G323" si="39">IF(I260=1,0, IF(K260=1,M260,G259))</f>
        <v>C</v>
      </c>
      <c r="H260">
        <f t="shared" si="36"/>
        <v>2</v>
      </c>
      <c r="I260">
        <f t="shared" ref="I260:I323" si="40">IF(AND(H259=5,C259&gt;=20),1,0)</f>
        <v>0</v>
      </c>
      <c r="J260">
        <f t="shared" ref="J260:J323" si="41">IF(G260=G259,J259+1,1)</f>
        <v>5</v>
      </c>
      <c r="K260">
        <f t="shared" ref="K260:K323" si="42">IF(AND(G259=0,H259=0),1,0)</f>
        <v>0</v>
      </c>
      <c r="L260">
        <f t="shared" ref="L260:L323" si="43">IF(J259=3,1,0)</f>
        <v>0</v>
      </c>
      <c r="M260" t="str">
        <f t="shared" ref="M260:M323" si="44">IF(B260&lt;10,"S","C")</f>
        <v>C</v>
      </c>
      <c r="O260">
        <f t="shared" si="37"/>
        <v>1</v>
      </c>
      <c r="P260">
        <f t="shared" si="38"/>
        <v>1</v>
      </c>
    </row>
    <row r="261" spans="1:16" x14ac:dyDescent="0.45">
      <c r="A261">
        <v>260</v>
      </c>
      <c r="B261">
        <v>20.7</v>
      </c>
      <c r="C261">
        <v>6</v>
      </c>
      <c r="D261" t="s">
        <v>5</v>
      </c>
      <c r="E261">
        <v>2</v>
      </c>
      <c r="F261">
        <v>260</v>
      </c>
      <c r="G261" t="str">
        <f t="shared" si="39"/>
        <v>C</v>
      </c>
      <c r="H261">
        <f t="shared" si="36"/>
        <v>2</v>
      </c>
      <c r="I261">
        <f t="shared" si="40"/>
        <v>0</v>
      </c>
      <c r="J261">
        <f t="shared" si="41"/>
        <v>6</v>
      </c>
      <c r="K261">
        <f t="shared" si="42"/>
        <v>0</v>
      </c>
      <c r="L261">
        <f t="shared" si="43"/>
        <v>0</v>
      </c>
      <c r="M261" t="str">
        <f t="shared" si="44"/>
        <v>C</v>
      </c>
      <c r="O261">
        <f t="shared" si="37"/>
        <v>1</v>
      </c>
      <c r="P261">
        <f t="shared" si="38"/>
        <v>1</v>
      </c>
    </row>
    <row r="262" spans="1:16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v>261</v>
      </c>
      <c r="G262" t="str">
        <f t="shared" si="39"/>
        <v>C</v>
      </c>
      <c r="H262">
        <f t="shared" si="36"/>
        <v>3</v>
      </c>
      <c r="I262">
        <f t="shared" si="40"/>
        <v>0</v>
      </c>
      <c r="J262">
        <f t="shared" si="41"/>
        <v>7</v>
      </c>
      <c r="K262">
        <f t="shared" si="42"/>
        <v>0</v>
      </c>
      <c r="L262">
        <f t="shared" si="43"/>
        <v>0</v>
      </c>
      <c r="M262" t="str">
        <f t="shared" si="44"/>
        <v>C</v>
      </c>
      <c r="O262">
        <f t="shared" si="37"/>
        <v>1</v>
      </c>
      <c r="P262">
        <f t="shared" si="38"/>
        <v>1</v>
      </c>
    </row>
    <row r="263" spans="1:16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v>262</v>
      </c>
      <c r="G263" t="str">
        <f t="shared" si="39"/>
        <v>C</v>
      </c>
      <c r="H263">
        <f t="shared" ref="H263:H326" si="45">IF(I263=1,0,IF(K263=1,1,IF(MOD(J262,3)=0, IF(H262+1&gt;5,5,H262+1),H262)))</f>
        <v>3</v>
      </c>
      <c r="I263">
        <f t="shared" si="40"/>
        <v>0</v>
      </c>
      <c r="J263">
        <f t="shared" si="41"/>
        <v>8</v>
      </c>
      <c r="K263">
        <f t="shared" si="42"/>
        <v>0</v>
      </c>
      <c r="L263">
        <f t="shared" si="43"/>
        <v>0</v>
      </c>
      <c r="M263" t="str">
        <f t="shared" si="44"/>
        <v>C</v>
      </c>
      <c r="O263">
        <f t="shared" si="37"/>
        <v>1</v>
      </c>
      <c r="P263">
        <f t="shared" si="38"/>
        <v>1</v>
      </c>
    </row>
    <row r="264" spans="1:16" x14ac:dyDescent="0.45">
      <c r="A264">
        <v>263</v>
      </c>
      <c r="B264">
        <v>22.3</v>
      </c>
      <c r="C264">
        <v>16</v>
      </c>
      <c r="D264" t="s">
        <v>5</v>
      </c>
      <c r="E264">
        <v>3</v>
      </c>
      <c r="F264">
        <v>263</v>
      </c>
      <c r="G264" t="str">
        <f t="shared" si="39"/>
        <v>C</v>
      </c>
      <c r="H264">
        <f t="shared" si="45"/>
        <v>3</v>
      </c>
      <c r="I264">
        <f t="shared" si="40"/>
        <v>0</v>
      </c>
      <c r="J264">
        <f t="shared" si="41"/>
        <v>9</v>
      </c>
      <c r="K264">
        <f t="shared" si="42"/>
        <v>0</v>
      </c>
      <c r="L264">
        <f t="shared" si="43"/>
        <v>0</v>
      </c>
      <c r="M264" t="str">
        <f t="shared" si="44"/>
        <v>C</v>
      </c>
      <c r="O264">
        <f t="shared" si="37"/>
        <v>1</v>
      </c>
      <c r="P264">
        <f t="shared" si="38"/>
        <v>1</v>
      </c>
    </row>
    <row r="265" spans="1:16" x14ac:dyDescent="0.45">
      <c r="A265">
        <v>264</v>
      </c>
      <c r="B265">
        <v>24.8</v>
      </c>
      <c r="C265">
        <v>9</v>
      </c>
      <c r="D265" t="s">
        <v>5</v>
      </c>
      <c r="E265">
        <v>4</v>
      </c>
      <c r="F265">
        <v>264</v>
      </c>
      <c r="G265" t="str">
        <f t="shared" si="39"/>
        <v>C</v>
      </c>
      <c r="H265">
        <f t="shared" si="45"/>
        <v>4</v>
      </c>
      <c r="I265">
        <f t="shared" si="40"/>
        <v>0</v>
      </c>
      <c r="J265">
        <f t="shared" si="41"/>
        <v>10</v>
      </c>
      <c r="K265">
        <f t="shared" si="42"/>
        <v>0</v>
      </c>
      <c r="L265">
        <f t="shared" si="43"/>
        <v>0</v>
      </c>
      <c r="M265" t="str">
        <f t="shared" si="44"/>
        <v>C</v>
      </c>
      <c r="O265">
        <f t="shared" si="37"/>
        <v>1</v>
      </c>
      <c r="P265">
        <f t="shared" si="38"/>
        <v>1</v>
      </c>
    </row>
    <row r="266" spans="1:16" x14ac:dyDescent="0.45">
      <c r="A266">
        <v>265</v>
      </c>
      <c r="B266">
        <v>27.2</v>
      </c>
      <c r="C266">
        <v>18</v>
      </c>
      <c r="D266" t="s">
        <v>5</v>
      </c>
      <c r="E266">
        <v>4</v>
      </c>
      <c r="F266">
        <v>265</v>
      </c>
      <c r="G266" t="str">
        <f t="shared" si="39"/>
        <v>C</v>
      </c>
      <c r="H266">
        <f t="shared" si="45"/>
        <v>4</v>
      </c>
      <c r="I266">
        <f t="shared" si="40"/>
        <v>0</v>
      </c>
      <c r="J266">
        <f t="shared" si="41"/>
        <v>11</v>
      </c>
      <c r="K266">
        <f t="shared" si="42"/>
        <v>0</v>
      </c>
      <c r="L266">
        <f t="shared" si="43"/>
        <v>0</v>
      </c>
      <c r="M266" t="str">
        <f t="shared" si="44"/>
        <v>C</v>
      </c>
      <c r="O266">
        <f t="shared" si="37"/>
        <v>1</v>
      </c>
      <c r="P266">
        <f t="shared" si="38"/>
        <v>1</v>
      </c>
    </row>
    <row r="267" spans="1:16" x14ac:dyDescent="0.45">
      <c r="A267">
        <v>266</v>
      </c>
      <c r="B267">
        <v>28.6</v>
      </c>
      <c r="C267">
        <v>4</v>
      </c>
      <c r="D267" t="s">
        <v>5</v>
      </c>
      <c r="E267">
        <v>4</v>
      </c>
      <c r="F267">
        <v>266</v>
      </c>
      <c r="G267" t="str">
        <f t="shared" si="39"/>
        <v>C</v>
      </c>
      <c r="H267">
        <f t="shared" si="45"/>
        <v>4</v>
      </c>
      <c r="I267">
        <f t="shared" si="40"/>
        <v>0</v>
      </c>
      <c r="J267">
        <f t="shared" si="41"/>
        <v>12</v>
      </c>
      <c r="K267">
        <f t="shared" si="42"/>
        <v>0</v>
      </c>
      <c r="L267">
        <f t="shared" si="43"/>
        <v>0</v>
      </c>
      <c r="M267" t="str">
        <f t="shared" si="44"/>
        <v>C</v>
      </c>
      <c r="O267">
        <f t="shared" si="37"/>
        <v>1</v>
      </c>
      <c r="P267">
        <f t="shared" si="38"/>
        <v>1</v>
      </c>
    </row>
    <row r="268" spans="1:16" x14ac:dyDescent="0.45">
      <c r="A268">
        <v>267</v>
      </c>
      <c r="B268">
        <v>28.4</v>
      </c>
      <c r="C268">
        <v>22</v>
      </c>
      <c r="D268" t="s">
        <v>5</v>
      </c>
      <c r="E268">
        <v>5</v>
      </c>
      <c r="F268">
        <v>267</v>
      </c>
      <c r="G268" t="str">
        <f t="shared" si="39"/>
        <v>C</v>
      </c>
      <c r="H268">
        <f t="shared" si="45"/>
        <v>5</v>
      </c>
      <c r="I268">
        <f t="shared" si="40"/>
        <v>0</v>
      </c>
      <c r="J268">
        <f t="shared" si="41"/>
        <v>13</v>
      </c>
      <c r="K268">
        <f t="shared" si="42"/>
        <v>0</v>
      </c>
      <c r="L268">
        <f t="shared" si="43"/>
        <v>0</v>
      </c>
      <c r="M268" t="str">
        <f t="shared" si="44"/>
        <v>C</v>
      </c>
      <c r="O268">
        <f t="shared" si="37"/>
        <v>1</v>
      </c>
      <c r="P268">
        <f t="shared" si="38"/>
        <v>1</v>
      </c>
    </row>
    <row r="269" spans="1:16" x14ac:dyDescent="0.45">
      <c r="A269">
        <v>268</v>
      </c>
      <c r="B269">
        <v>26.5</v>
      </c>
      <c r="C269">
        <v>0</v>
      </c>
      <c r="D269">
        <v>0</v>
      </c>
      <c r="E269">
        <v>0</v>
      </c>
      <c r="F269">
        <v>268</v>
      </c>
      <c r="G269">
        <f t="shared" si="39"/>
        <v>0</v>
      </c>
      <c r="H269">
        <f t="shared" si="45"/>
        <v>0</v>
      </c>
      <c r="I269">
        <f t="shared" si="40"/>
        <v>1</v>
      </c>
      <c r="J269">
        <f t="shared" si="41"/>
        <v>1</v>
      </c>
      <c r="K269">
        <f t="shared" si="42"/>
        <v>0</v>
      </c>
      <c r="L269">
        <f t="shared" si="43"/>
        <v>0</v>
      </c>
      <c r="M269" t="str">
        <f t="shared" si="44"/>
        <v>C</v>
      </c>
      <c r="O269">
        <f t="shared" si="37"/>
        <v>1</v>
      </c>
      <c r="P269">
        <f t="shared" si="38"/>
        <v>1</v>
      </c>
    </row>
    <row r="270" spans="1:16" x14ac:dyDescent="0.45">
      <c r="A270">
        <v>269</v>
      </c>
      <c r="B270">
        <v>23.3</v>
      </c>
      <c r="C270">
        <v>4</v>
      </c>
      <c r="D270" t="s">
        <v>5</v>
      </c>
      <c r="E270">
        <v>1</v>
      </c>
      <c r="F270">
        <v>269</v>
      </c>
      <c r="G270" t="str">
        <f t="shared" si="39"/>
        <v>C</v>
      </c>
      <c r="H270">
        <f t="shared" si="45"/>
        <v>1</v>
      </c>
      <c r="I270">
        <f t="shared" si="40"/>
        <v>0</v>
      </c>
      <c r="J270">
        <f t="shared" si="41"/>
        <v>1</v>
      </c>
      <c r="K270">
        <f t="shared" si="42"/>
        <v>1</v>
      </c>
      <c r="L270">
        <f t="shared" si="43"/>
        <v>0</v>
      </c>
      <c r="M270" t="str">
        <f t="shared" si="44"/>
        <v>C</v>
      </c>
      <c r="O270">
        <f t="shared" si="37"/>
        <v>1</v>
      </c>
      <c r="P270">
        <f t="shared" si="38"/>
        <v>1</v>
      </c>
    </row>
    <row r="271" spans="1:16" x14ac:dyDescent="0.45">
      <c r="A271">
        <v>270</v>
      </c>
      <c r="B271">
        <v>19.5</v>
      </c>
      <c r="C271">
        <v>6</v>
      </c>
      <c r="D271" t="s">
        <v>5</v>
      </c>
      <c r="E271">
        <v>1</v>
      </c>
      <c r="F271">
        <v>270</v>
      </c>
      <c r="G271" t="str">
        <f t="shared" si="39"/>
        <v>C</v>
      </c>
      <c r="H271">
        <f t="shared" si="45"/>
        <v>1</v>
      </c>
      <c r="I271">
        <f t="shared" si="40"/>
        <v>0</v>
      </c>
      <c r="J271">
        <f t="shared" si="41"/>
        <v>2</v>
      </c>
      <c r="K271">
        <f t="shared" si="42"/>
        <v>0</v>
      </c>
      <c r="L271">
        <f t="shared" si="43"/>
        <v>0</v>
      </c>
      <c r="M271" t="str">
        <f t="shared" si="44"/>
        <v>C</v>
      </c>
      <c r="O271">
        <f t="shared" si="37"/>
        <v>1</v>
      </c>
      <c r="P271">
        <f t="shared" si="38"/>
        <v>1</v>
      </c>
    </row>
    <row r="272" spans="1:16" x14ac:dyDescent="0.45">
      <c r="A272">
        <v>271</v>
      </c>
      <c r="B272">
        <v>16</v>
      </c>
      <c r="C272">
        <v>6</v>
      </c>
      <c r="D272" t="s">
        <v>5</v>
      </c>
      <c r="E272">
        <v>1</v>
      </c>
      <c r="F272">
        <v>271</v>
      </c>
      <c r="G272" t="str">
        <f t="shared" si="39"/>
        <v>C</v>
      </c>
      <c r="H272">
        <f t="shared" si="45"/>
        <v>1</v>
      </c>
      <c r="I272">
        <f t="shared" si="40"/>
        <v>0</v>
      </c>
      <c r="J272">
        <f t="shared" si="41"/>
        <v>3</v>
      </c>
      <c r="K272">
        <f t="shared" si="42"/>
        <v>0</v>
      </c>
      <c r="L272">
        <f t="shared" si="43"/>
        <v>0</v>
      </c>
      <c r="M272" t="str">
        <f t="shared" si="44"/>
        <v>C</v>
      </c>
      <c r="O272">
        <f t="shared" si="37"/>
        <v>1</v>
      </c>
      <c r="P272">
        <f t="shared" si="38"/>
        <v>1</v>
      </c>
    </row>
    <row r="273" spans="1:16" x14ac:dyDescent="0.45">
      <c r="A273">
        <v>272</v>
      </c>
      <c r="B273">
        <v>13.7</v>
      </c>
      <c r="C273">
        <v>9</v>
      </c>
      <c r="D273" t="s">
        <v>5</v>
      </c>
      <c r="E273">
        <v>2</v>
      </c>
      <c r="F273">
        <v>272</v>
      </c>
      <c r="G273" t="str">
        <f t="shared" si="39"/>
        <v>C</v>
      </c>
      <c r="H273">
        <f t="shared" si="45"/>
        <v>2</v>
      </c>
      <c r="I273">
        <f t="shared" si="40"/>
        <v>0</v>
      </c>
      <c r="J273">
        <f t="shared" si="41"/>
        <v>4</v>
      </c>
      <c r="K273">
        <f t="shared" si="42"/>
        <v>0</v>
      </c>
      <c r="L273">
        <f t="shared" si="43"/>
        <v>1</v>
      </c>
      <c r="M273" t="str">
        <f t="shared" si="44"/>
        <v>C</v>
      </c>
      <c r="O273">
        <f t="shared" si="37"/>
        <v>1</v>
      </c>
      <c r="P273">
        <f t="shared" si="38"/>
        <v>1</v>
      </c>
    </row>
    <row r="274" spans="1:16" x14ac:dyDescent="0.45">
      <c r="A274">
        <v>273</v>
      </c>
      <c r="B274">
        <v>12.9</v>
      </c>
      <c r="C274">
        <v>7</v>
      </c>
      <c r="D274" t="s">
        <v>5</v>
      </c>
      <c r="E274">
        <v>2</v>
      </c>
      <c r="F274">
        <v>273</v>
      </c>
      <c r="G274" t="str">
        <f t="shared" si="39"/>
        <v>C</v>
      </c>
      <c r="H274">
        <f t="shared" si="45"/>
        <v>2</v>
      </c>
      <c r="I274">
        <f t="shared" si="40"/>
        <v>0</v>
      </c>
      <c r="J274">
        <f t="shared" si="41"/>
        <v>5</v>
      </c>
      <c r="K274">
        <f t="shared" si="42"/>
        <v>0</v>
      </c>
      <c r="L274">
        <f t="shared" si="43"/>
        <v>0</v>
      </c>
      <c r="M274" t="str">
        <f t="shared" si="44"/>
        <v>C</v>
      </c>
      <c r="O274">
        <f t="shared" si="37"/>
        <v>1</v>
      </c>
      <c r="P274">
        <f t="shared" si="38"/>
        <v>1</v>
      </c>
    </row>
    <row r="275" spans="1:16" x14ac:dyDescent="0.45">
      <c r="A275">
        <v>274</v>
      </c>
      <c r="B275">
        <v>13.5</v>
      </c>
      <c r="C275">
        <v>1</v>
      </c>
      <c r="D275" t="s">
        <v>5</v>
      </c>
      <c r="E275">
        <v>2</v>
      </c>
      <c r="F275">
        <v>274</v>
      </c>
      <c r="G275" t="str">
        <f t="shared" si="39"/>
        <v>C</v>
      </c>
      <c r="H275">
        <f t="shared" si="45"/>
        <v>2</v>
      </c>
      <c r="I275">
        <f t="shared" si="40"/>
        <v>0</v>
      </c>
      <c r="J275">
        <f t="shared" si="41"/>
        <v>6</v>
      </c>
      <c r="K275">
        <f t="shared" si="42"/>
        <v>0</v>
      </c>
      <c r="L275">
        <f t="shared" si="43"/>
        <v>0</v>
      </c>
      <c r="M275" t="str">
        <f t="shared" si="44"/>
        <v>C</v>
      </c>
      <c r="O275">
        <f t="shared" si="37"/>
        <v>1</v>
      </c>
      <c r="P275">
        <f t="shared" si="38"/>
        <v>1</v>
      </c>
    </row>
    <row r="276" spans="1:16" x14ac:dyDescent="0.45">
      <c r="A276">
        <v>275</v>
      </c>
      <c r="B276">
        <v>15</v>
      </c>
      <c r="C276">
        <v>18</v>
      </c>
      <c r="D276" t="s">
        <v>5</v>
      </c>
      <c r="E276">
        <v>3</v>
      </c>
      <c r="F276">
        <v>275</v>
      </c>
      <c r="G276" t="str">
        <f t="shared" si="39"/>
        <v>C</v>
      </c>
      <c r="H276">
        <f t="shared" si="45"/>
        <v>3</v>
      </c>
      <c r="I276">
        <f t="shared" si="40"/>
        <v>0</v>
      </c>
      <c r="J276">
        <f t="shared" si="41"/>
        <v>7</v>
      </c>
      <c r="K276">
        <f t="shared" si="42"/>
        <v>0</v>
      </c>
      <c r="L276">
        <f t="shared" si="43"/>
        <v>0</v>
      </c>
      <c r="M276" t="str">
        <f t="shared" si="44"/>
        <v>C</v>
      </c>
      <c r="O276">
        <f t="shared" si="37"/>
        <v>1</v>
      </c>
      <c r="P276">
        <f t="shared" si="38"/>
        <v>1</v>
      </c>
    </row>
    <row r="277" spans="1:16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v>276</v>
      </c>
      <c r="G277" t="str">
        <f t="shared" si="39"/>
        <v>C</v>
      </c>
      <c r="H277">
        <f t="shared" si="45"/>
        <v>3</v>
      </c>
      <c r="I277">
        <f t="shared" si="40"/>
        <v>0</v>
      </c>
      <c r="J277">
        <f t="shared" si="41"/>
        <v>8</v>
      </c>
      <c r="K277">
        <f t="shared" si="42"/>
        <v>0</v>
      </c>
      <c r="L277">
        <f t="shared" si="43"/>
        <v>0</v>
      </c>
      <c r="M277" t="str">
        <f t="shared" si="44"/>
        <v>C</v>
      </c>
      <c r="O277">
        <f t="shared" si="37"/>
        <v>1</v>
      </c>
      <c r="P277">
        <f t="shared" si="38"/>
        <v>1</v>
      </c>
    </row>
    <row r="278" spans="1:16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v>277</v>
      </c>
      <c r="G278" t="str">
        <f t="shared" si="39"/>
        <v>C</v>
      </c>
      <c r="H278">
        <f t="shared" si="45"/>
        <v>3</v>
      </c>
      <c r="I278">
        <f t="shared" si="40"/>
        <v>0</v>
      </c>
      <c r="J278">
        <f t="shared" si="41"/>
        <v>9</v>
      </c>
      <c r="K278">
        <f t="shared" si="42"/>
        <v>0</v>
      </c>
      <c r="L278">
        <f t="shared" si="43"/>
        <v>0</v>
      </c>
      <c r="M278" t="str">
        <f t="shared" si="44"/>
        <v>C</v>
      </c>
      <c r="O278">
        <f t="shared" si="37"/>
        <v>1</v>
      </c>
      <c r="P278">
        <f t="shared" si="38"/>
        <v>1</v>
      </c>
    </row>
    <row r="279" spans="1:16" x14ac:dyDescent="0.45">
      <c r="A279">
        <v>278</v>
      </c>
      <c r="B279">
        <v>16.3</v>
      </c>
      <c r="C279">
        <v>10</v>
      </c>
      <c r="D279" t="s">
        <v>5</v>
      </c>
      <c r="E279">
        <v>4</v>
      </c>
      <c r="F279">
        <v>278</v>
      </c>
      <c r="G279" t="str">
        <f t="shared" si="39"/>
        <v>C</v>
      </c>
      <c r="H279">
        <f t="shared" si="45"/>
        <v>4</v>
      </c>
      <c r="I279">
        <f t="shared" si="40"/>
        <v>0</v>
      </c>
      <c r="J279">
        <f t="shared" si="41"/>
        <v>10</v>
      </c>
      <c r="K279">
        <f t="shared" si="42"/>
        <v>0</v>
      </c>
      <c r="L279">
        <f t="shared" si="43"/>
        <v>0</v>
      </c>
      <c r="M279" t="str">
        <f t="shared" si="44"/>
        <v>C</v>
      </c>
      <c r="O279">
        <f t="shared" si="37"/>
        <v>1</v>
      </c>
      <c r="P279">
        <f t="shared" si="38"/>
        <v>1</v>
      </c>
    </row>
    <row r="280" spans="1:16" x14ac:dyDescent="0.45">
      <c r="A280">
        <v>279</v>
      </c>
      <c r="B280">
        <v>14</v>
      </c>
      <c r="C280">
        <v>6</v>
      </c>
      <c r="D280" t="s">
        <v>5</v>
      </c>
      <c r="E280">
        <v>4</v>
      </c>
      <c r="F280">
        <v>279</v>
      </c>
      <c r="G280" t="str">
        <f t="shared" si="39"/>
        <v>C</v>
      </c>
      <c r="H280">
        <f t="shared" si="45"/>
        <v>4</v>
      </c>
      <c r="I280">
        <f t="shared" si="40"/>
        <v>0</v>
      </c>
      <c r="J280">
        <f t="shared" si="41"/>
        <v>11</v>
      </c>
      <c r="K280">
        <f t="shared" si="42"/>
        <v>0</v>
      </c>
      <c r="L280">
        <f t="shared" si="43"/>
        <v>0</v>
      </c>
      <c r="M280" t="str">
        <f t="shared" si="44"/>
        <v>C</v>
      </c>
      <c r="O280">
        <f t="shared" si="37"/>
        <v>1</v>
      </c>
      <c r="P280">
        <f t="shared" si="38"/>
        <v>1</v>
      </c>
    </row>
    <row r="281" spans="1:16" x14ac:dyDescent="0.45">
      <c r="A281">
        <v>280</v>
      </c>
      <c r="B281">
        <v>10.5</v>
      </c>
      <c r="C281">
        <v>20</v>
      </c>
      <c r="D281" t="s">
        <v>5</v>
      </c>
      <c r="E281">
        <v>4</v>
      </c>
      <c r="F281">
        <v>280</v>
      </c>
      <c r="G281" t="str">
        <f t="shared" si="39"/>
        <v>C</v>
      </c>
      <c r="H281">
        <f t="shared" si="45"/>
        <v>4</v>
      </c>
      <c r="I281">
        <f t="shared" si="40"/>
        <v>0</v>
      </c>
      <c r="J281">
        <f t="shared" si="41"/>
        <v>12</v>
      </c>
      <c r="K281">
        <f t="shared" si="42"/>
        <v>0</v>
      </c>
      <c r="L281">
        <f t="shared" si="43"/>
        <v>0</v>
      </c>
      <c r="M281" t="str">
        <f t="shared" si="44"/>
        <v>C</v>
      </c>
      <c r="O281">
        <f t="shared" si="37"/>
        <v>1</v>
      </c>
      <c r="P281">
        <f t="shared" si="38"/>
        <v>1</v>
      </c>
    </row>
    <row r="282" spans="1:16" x14ac:dyDescent="0.45">
      <c r="A282">
        <v>281</v>
      </c>
      <c r="B282">
        <v>6.7</v>
      </c>
      <c r="C282">
        <v>17</v>
      </c>
      <c r="D282" t="s">
        <v>5</v>
      </c>
      <c r="E282">
        <v>5</v>
      </c>
      <c r="F282">
        <v>281</v>
      </c>
      <c r="G282" t="str">
        <f t="shared" si="39"/>
        <v>C</v>
      </c>
      <c r="H282">
        <f t="shared" si="45"/>
        <v>5</v>
      </c>
      <c r="I282">
        <f t="shared" si="40"/>
        <v>0</v>
      </c>
      <c r="J282">
        <f t="shared" si="41"/>
        <v>13</v>
      </c>
      <c r="K282">
        <f t="shared" si="42"/>
        <v>0</v>
      </c>
      <c r="L282">
        <f t="shared" si="43"/>
        <v>0</v>
      </c>
      <c r="M282" t="str">
        <f t="shared" si="44"/>
        <v>S</v>
      </c>
      <c r="O282">
        <f t="shared" si="37"/>
        <v>1</v>
      </c>
      <c r="P282">
        <f t="shared" si="38"/>
        <v>1</v>
      </c>
    </row>
    <row r="283" spans="1:16" x14ac:dyDescent="0.45">
      <c r="A283">
        <v>282</v>
      </c>
      <c r="B283">
        <v>3.5</v>
      </c>
      <c r="C283">
        <v>13</v>
      </c>
      <c r="D283" t="s">
        <v>5</v>
      </c>
      <c r="E283">
        <v>5</v>
      </c>
      <c r="F283">
        <v>282</v>
      </c>
      <c r="G283" t="str">
        <f t="shared" si="39"/>
        <v>C</v>
      </c>
      <c r="H283">
        <f t="shared" si="45"/>
        <v>5</v>
      </c>
      <c r="I283">
        <f t="shared" si="40"/>
        <v>0</v>
      </c>
      <c r="J283">
        <f t="shared" si="41"/>
        <v>14</v>
      </c>
      <c r="K283">
        <f t="shared" si="42"/>
        <v>0</v>
      </c>
      <c r="L283">
        <f t="shared" si="43"/>
        <v>0</v>
      </c>
      <c r="M283" t="str">
        <f t="shared" si="44"/>
        <v>S</v>
      </c>
      <c r="O283">
        <f t="shared" si="37"/>
        <v>1</v>
      </c>
      <c r="P283">
        <f t="shared" si="38"/>
        <v>1</v>
      </c>
    </row>
    <row r="284" spans="1:16" x14ac:dyDescent="0.45">
      <c r="A284">
        <v>283</v>
      </c>
      <c r="B284">
        <v>1.6</v>
      </c>
      <c r="C284">
        <v>18</v>
      </c>
      <c r="D284" t="s">
        <v>5</v>
      </c>
      <c r="E284">
        <v>5</v>
      </c>
      <c r="F284">
        <v>283</v>
      </c>
      <c r="G284" t="str">
        <f t="shared" si="39"/>
        <v>C</v>
      </c>
      <c r="H284">
        <f t="shared" si="45"/>
        <v>5</v>
      </c>
      <c r="I284">
        <f t="shared" si="40"/>
        <v>0</v>
      </c>
      <c r="J284">
        <f t="shared" si="41"/>
        <v>15</v>
      </c>
      <c r="K284">
        <f t="shared" si="42"/>
        <v>0</v>
      </c>
      <c r="L284">
        <f t="shared" si="43"/>
        <v>0</v>
      </c>
      <c r="M284" t="str">
        <f t="shared" si="44"/>
        <v>S</v>
      </c>
      <c r="O284">
        <f t="shared" si="37"/>
        <v>1</v>
      </c>
      <c r="P284">
        <f t="shared" si="38"/>
        <v>1</v>
      </c>
    </row>
    <row r="285" spans="1:16" x14ac:dyDescent="0.45">
      <c r="A285">
        <v>284</v>
      </c>
      <c r="B285">
        <v>1.4</v>
      </c>
      <c r="C285">
        <v>20</v>
      </c>
      <c r="D285" t="s">
        <v>5</v>
      </c>
      <c r="E285">
        <v>5</v>
      </c>
      <c r="F285">
        <v>284</v>
      </c>
      <c r="G285" t="str">
        <f t="shared" si="39"/>
        <v>C</v>
      </c>
      <c r="H285">
        <f t="shared" si="45"/>
        <v>5</v>
      </c>
      <c r="I285">
        <f t="shared" si="40"/>
        <v>0</v>
      </c>
      <c r="J285">
        <f t="shared" si="41"/>
        <v>16</v>
      </c>
      <c r="K285">
        <f t="shared" si="42"/>
        <v>0</v>
      </c>
      <c r="L285">
        <f t="shared" si="43"/>
        <v>0</v>
      </c>
      <c r="M285" t="str">
        <f t="shared" si="44"/>
        <v>S</v>
      </c>
      <c r="O285">
        <f t="shared" si="37"/>
        <v>1</v>
      </c>
      <c r="P285">
        <f t="shared" si="38"/>
        <v>1</v>
      </c>
    </row>
    <row r="286" spans="1:16" x14ac:dyDescent="0.45">
      <c r="A286">
        <v>285</v>
      </c>
      <c r="B286">
        <v>2.8</v>
      </c>
      <c r="C286">
        <v>0</v>
      </c>
      <c r="D286">
        <v>0</v>
      </c>
      <c r="E286">
        <v>0</v>
      </c>
      <c r="F286">
        <v>285</v>
      </c>
      <c r="G286">
        <f t="shared" si="39"/>
        <v>0</v>
      </c>
      <c r="H286">
        <f t="shared" si="45"/>
        <v>0</v>
      </c>
      <c r="I286">
        <f t="shared" si="40"/>
        <v>1</v>
      </c>
      <c r="J286">
        <f t="shared" si="41"/>
        <v>1</v>
      </c>
      <c r="K286">
        <f t="shared" si="42"/>
        <v>0</v>
      </c>
      <c r="L286">
        <f t="shared" si="43"/>
        <v>0</v>
      </c>
      <c r="M286" t="str">
        <f t="shared" si="44"/>
        <v>S</v>
      </c>
      <c r="O286">
        <f t="shared" si="37"/>
        <v>1</v>
      </c>
      <c r="P286">
        <f t="shared" si="38"/>
        <v>1</v>
      </c>
    </row>
    <row r="287" spans="1:16" x14ac:dyDescent="0.45">
      <c r="A287">
        <v>286</v>
      </c>
      <c r="B287">
        <v>5.2</v>
      </c>
      <c r="C287">
        <v>6</v>
      </c>
      <c r="D287" t="s">
        <v>6</v>
      </c>
      <c r="E287">
        <v>1</v>
      </c>
      <c r="F287">
        <v>286</v>
      </c>
      <c r="G287" t="str">
        <f t="shared" si="39"/>
        <v>S</v>
      </c>
      <c r="H287">
        <f t="shared" si="45"/>
        <v>1</v>
      </c>
      <c r="I287">
        <f t="shared" si="40"/>
        <v>0</v>
      </c>
      <c r="J287">
        <f t="shared" si="41"/>
        <v>1</v>
      </c>
      <c r="K287">
        <f t="shared" si="42"/>
        <v>1</v>
      </c>
      <c r="L287">
        <f t="shared" si="43"/>
        <v>0</v>
      </c>
      <c r="M287" t="str">
        <f t="shared" si="44"/>
        <v>S</v>
      </c>
      <c r="O287">
        <f t="shared" si="37"/>
        <v>1</v>
      </c>
      <c r="P287">
        <f t="shared" si="38"/>
        <v>1</v>
      </c>
    </row>
    <row r="288" spans="1:16" x14ac:dyDescent="0.45">
      <c r="A288">
        <v>287</v>
      </c>
      <c r="B288">
        <v>7.7</v>
      </c>
      <c r="C288">
        <v>5</v>
      </c>
      <c r="D288" t="s">
        <v>6</v>
      </c>
      <c r="E288">
        <v>1</v>
      </c>
      <c r="F288">
        <v>287</v>
      </c>
      <c r="G288" t="str">
        <f t="shared" si="39"/>
        <v>S</v>
      </c>
      <c r="H288">
        <f t="shared" si="45"/>
        <v>1</v>
      </c>
      <c r="I288">
        <f t="shared" si="40"/>
        <v>0</v>
      </c>
      <c r="J288">
        <f t="shared" si="41"/>
        <v>2</v>
      </c>
      <c r="K288">
        <f t="shared" si="42"/>
        <v>0</v>
      </c>
      <c r="L288">
        <f t="shared" si="43"/>
        <v>0</v>
      </c>
      <c r="M288" t="str">
        <f t="shared" si="44"/>
        <v>S</v>
      </c>
      <c r="O288">
        <f t="shared" si="37"/>
        <v>1</v>
      </c>
      <c r="P288">
        <f t="shared" si="38"/>
        <v>1</v>
      </c>
    </row>
    <row r="289" spans="1:16" x14ac:dyDescent="0.45">
      <c r="A289">
        <v>288</v>
      </c>
      <c r="B289">
        <v>9.6</v>
      </c>
      <c r="C289">
        <v>1</v>
      </c>
      <c r="D289" t="s">
        <v>6</v>
      </c>
      <c r="E289">
        <v>1</v>
      </c>
      <c r="F289">
        <v>288</v>
      </c>
      <c r="G289" t="str">
        <f t="shared" si="39"/>
        <v>S</v>
      </c>
      <c r="H289">
        <f t="shared" si="45"/>
        <v>1</v>
      </c>
      <c r="I289">
        <f t="shared" si="40"/>
        <v>0</v>
      </c>
      <c r="J289">
        <f t="shared" si="41"/>
        <v>3</v>
      </c>
      <c r="K289">
        <f t="shared" si="42"/>
        <v>0</v>
      </c>
      <c r="L289">
        <f t="shared" si="43"/>
        <v>0</v>
      </c>
      <c r="M289" t="str">
        <f t="shared" si="44"/>
        <v>S</v>
      </c>
      <c r="O289">
        <f t="shared" si="37"/>
        <v>1</v>
      </c>
      <c r="P289">
        <f t="shared" si="38"/>
        <v>1</v>
      </c>
    </row>
    <row r="290" spans="1:16" x14ac:dyDescent="0.45">
      <c r="A290">
        <v>289</v>
      </c>
      <c r="B290">
        <v>10.1</v>
      </c>
      <c r="C290">
        <v>8</v>
      </c>
      <c r="D290" t="s">
        <v>6</v>
      </c>
      <c r="E290">
        <v>2</v>
      </c>
      <c r="F290">
        <v>289</v>
      </c>
      <c r="G290" t="str">
        <f t="shared" si="39"/>
        <v>S</v>
      </c>
      <c r="H290">
        <f t="shared" si="45"/>
        <v>2</v>
      </c>
      <c r="I290">
        <f t="shared" si="40"/>
        <v>0</v>
      </c>
      <c r="J290">
        <f t="shared" si="41"/>
        <v>4</v>
      </c>
      <c r="K290">
        <f t="shared" si="42"/>
        <v>0</v>
      </c>
      <c r="L290">
        <f t="shared" si="43"/>
        <v>1</v>
      </c>
      <c r="M290" t="str">
        <f t="shared" si="44"/>
        <v>C</v>
      </c>
      <c r="O290">
        <f t="shared" si="37"/>
        <v>1</v>
      </c>
      <c r="P290">
        <f t="shared" si="38"/>
        <v>1</v>
      </c>
    </row>
    <row r="291" spans="1:16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v>290</v>
      </c>
      <c r="G291" t="str">
        <f t="shared" si="39"/>
        <v>S</v>
      </c>
      <c r="H291">
        <f t="shared" si="45"/>
        <v>2</v>
      </c>
      <c r="I291">
        <f t="shared" si="40"/>
        <v>0</v>
      </c>
      <c r="J291">
        <f t="shared" si="41"/>
        <v>5</v>
      </c>
      <c r="K291">
        <f t="shared" si="42"/>
        <v>0</v>
      </c>
      <c r="L291">
        <f t="shared" si="43"/>
        <v>0</v>
      </c>
      <c r="M291" t="str">
        <f t="shared" si="44"/>
        <v>S</v>
      </c>
      <c r="O291">
        <f t="shared" si="37"/>
        <v>1</v>
      </c>
      <c r="P291">
        <f t="shared" si="38"/>
        <v>1</v>
      </c>
    </row>
    <row r="292" spans="1:16" x14ac:dyDescent="0.45">
      <c r="A292">
        <v>291</v>
      </c>
      <c r="B292">
        <v>7.4</v>
      </c>
      <c r="C292">
        <v>5</v>
      </c>
      <c r="D292" t="s">
        <v>6</v>
      </c>
      <c r="E292">
        <v>2</v>
      </c>
      <c r="F292">
        <v>291</v>
      </c>
      <c r="G292" t="str">
        <f t="shared" si="39"/>
        <v>S</v>
      </c>
      <c r="H292">
        <f t="shared" si="45"/>
        <v>2</v>
      </c>
      <c r="I292">
        <f t="shared" si="40"/>
        <v>0</v>
      </c>
      <c r="J292">
        <f t="shared" si="41"/>
        <v>6</v>
      </c>
      <c r="K292">
        <f t="shared" si="42"/>
        <v>0</v>
      </c>
      <c r="L292">
        <f t="shared" si="43"/>
        <v>0</v>
      </c>
      <c r="M292" t="str">
        <f t="shared" si="44"/>
        <v>S</v>
      </c>
      <c r="O292">
        <f t="shared" si="37"/>
        <v>1</v>
      </c>
      <c r="P292">
        <f t="shared" si="38"/>
        <v>1</v>
      </c>
    </row>
    <row r="293" spans="1:16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v>292</v>
      </c>
      <c r="G293" t="str">
        <f t="shared" si="39"/>
        <v>S</v>
      </c>
      <c r="H293">
        <f t="shared" si="45"/>
        <v>3</v>
      </c>
      <c r="I293">
        <f t="shared" si="40"/>
        <v>0</v>
      </c>
      <c r="J293">
        <f t="shared" si="41"/>
        <v>7</v>
      </c>
      <c r="K293">
        <f t="shared" si="42"/>
        <v>0</v>
      </c>
      <c r="L293">
        <f t="shared" si="43"/>
        <v>0</v>
      </c>
      <c r="M293" t="str">
        <f t="shared" si="44"/>
        <v>S</v>
      </c>
      <c r="O293">
        <f t="shared" si="37"/>
        <v>1</v>
      </c>
      <c r="P293">
        <f t="shared" si="38"/>
        <v>1</v>
      </c>
    </row>
    <row r="294" spans="1:16" x14ac:dyDescent="0.45">
      <c r="A294">
        <v>293</v>
      </c>
      <c r="B294">
        <v>3.5</v>
      </c>
      <c r="C294">
        <v>9</v>
      </c>
      <c r="D294" t="s">
        <v>6</v>
      </c>
      <c r="E294">
        <v>3</v>
      </c>
      <c r="F294">
        <v>293</v>
      </c>
      <c r="G294" t="str">
        <f t="shared" si="39"/>
        <v>S</v>
      </c>
      <c r="H294">
        <f t="shared" si="45"/>
        <v>3</v>
      </c>
      <c r="I294">
        <f t="shared" si="40"/>
        <v>0</v>
      </c>
      <c r="J294">
        <f t="shared" si="41"/>
        <v>8</v>
      </c>
      <c r="K294">
        <f t="shared" si="42"/>
        <v>0</v>
      </c>
      <c r="L294">
        <f t="shared" si="43"/>
        <v>0</v>
      </c>
      <c r="M294" t="str">
        <f t="shared" si="44"/>
        <v>S</v>
      </c>
      <c r="O294">
        <f t="shared" si="37"/>
        <v>1</v>
      </c>
      <c r="P294">
        <f t="shared" si="38"/>
        <v>1</v>
      </c>
    </row>
    <row r="295" spans="1:16" x14ac:dyDescent="0.45">
      <c r="A295">
        <v>294</v>
      </c>
      <c r="B295">
        <v>3.2</v>
      </c>
      <c r="C295">
        <v>4</v>
      </c>
      <c r="D295" t="s">
        <v>6</v>
      </c>
      <c r="E295">
        <v>3</v>
      </c>
      <c r="F295">
        <v>294</v>
      </c>
      <c r="G295" t="str">
        <f t="shared" si="39"/>
        <v>S</v>
      </c>
      <c r="H295">
        <f t="shared" si="45"/>
        <v>3</v>
      </c>
      <c r="I295">
        <f t="shared" si="40"/>
        <v>0</v>
      </c>
      <c r="J295">
        <f t="shared" si="41"/>
        <v>9</v>
      </c>
      <c r="K295">
        <f t="shared" si="42"/>
        <v>0</v>
      </c>
      <c r="L295">
        <f t="shared" si="43"/>
        <v>0</v>
      </c>
      <c r="M295" t="str">
        <f t="shared" si="44"/>
        <v>S</v>
      </c>
      <c r="O295">
        <f t="shared" si="37"/>
        <v>1</v>
      </c>
      <c r="P295">
        <f t="shared" si="38"/>
        <v>1</v>
      </c>
    </row>
    <row r="296" spans="1:16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v>295</v>
      </c>
      <c r="G296" t="str">
        <f t="shared" si="39"/>
        <v>S</v>
      </c>
      <c r="H296">
        <f t="shared" si="45"/>
        <v>4</v>
      </c>
      <c r="I296">
        <f t="shared" si="40"/>
        <v>0</v>
      </c>
      <c r="J296">
        <f t="shared" si="41"/>
        <v>10</v>
      </c>
      <c r="K296">
        <f t="shared" si="42"/>
        <v>0</v>
      </c>
      <c r="L296">
        <f t="shared" si="43"/>
        <v>0</v>
      </c>
      <c r="M296" t="str">
        <f t="shared" si="44"/>
        <v>S</v>
      </c>
      <c r="O296">
        <f t="shared" si="37"/>
        <v>1</v>
      </c>
      <c r="P296">
        <f t="shared" si="38"/>
        <v>1</v>
      </c>
    </row>
    <row r="297" spans="1:16" x14ac:dyDescent="0.45">
      <c r="A297">
        <v>296</v>
      </c>
      <c r="B297">
        <v>7.5</v>
      </c>
      <c r="C297">
        <v>21</v>
      </c>
      <c r="D297" t="s">
        <v>6</v>
      </c>
      <c r="E297">
        <v>4</v>
      </c>
      <c r="F297">
        <v>296</v>
      </c>
      <c r="G297" t="str">
        <f t="shared" si="39"/>
        <v>S</v>
      </c>
      <c r="H297">
        <f t="shared" si="45"/>
        <v>4</v>
      </c>
      <c r="I297">
        <f t="shared" si="40"/>
        <v>0</v>
      </c>
      <c r="J297">
        <f t="shared" si="41"/>
        <v>11</v>
      </c>
      <c r="K297">
        <f t="shared" si="42"/>
        <v>0</v>
      </c>
      <c r="L297">
        <f t="shared" si="43"/>
        <v>0</v>
      </c>
      <c r="M297" t="str">
        <f t="shared" si="44"/>
        <v>S</v>
      </c>
      <c r="O297">
        <f t="shared" si="37"/>
        <v>1</v>
      </c>
      <c r="P297">
        <f t="shared" si="38"/>
        <v>1</v>
      </c>
    </row>
    <row r="298" spans="1:16" x14ac:dyDescent="0.45">
      <c r="A298">
        <v>297</v>
      </c>
      <c r="B298">
        <v>11.3</v>
      </c>
      <c r="C298">
        <v>8</v>
      </c>
      <c r="D298" t="s">
        <v>6</v>
      </c>
      <c r="E298">
        <v>5</v>
      </c>
      <c r="F298">
        <v>297</v>
      </c>
      <c r="G298" t="str">
        <f t="shared" si="39"/>
        <v>S</v>
      </c>
      <c r="H298">
        <f t="shared" si="45"/>
        <v>4</v>
      </c>
      <c r="I298">
        <f t="shared" si="40"/>
        <v>0</v>
      </c>
      <c r="J298">
        <f t="shared" si="41"/>
        <v>12</v>
      </c>
      <c r="K298">
        <f t="shared" si="42"/>
        <v>0</v>
      </c>
      <c r="L298">
        <f t="shared" si="43"/>
        <v>0</v>
      </c>
      <c r="M298" t="str">
        <f t="shared" si="44"/>
        <v>C</v>
      </c>
      <c r="O298">
        <f t="shared" si="37"/>
        <v>0</v>
      </c>
      <c r="P298">
        <f t="shared" si="38"/>
        <v>0</v>
      </c>
    </row>
    <row r="299" spans="1:16" x14ac:dyDescent="0.45">
      <c r="A299">
        <v>298</v>
      </c>
      <c r="B299">
        <v>15.2</v>
      </c>
      <c r="C299">
        <v>23</v>
      </c>
      <c r="D299" t="s">
        <v>6</v>
      </c>
      <c r="E299">
        <v>5</v>
      </c>
      <c r="F299">
        <v>298</v>
      </c>
      <c r="G299" t="str">
        <f t="shared" si="39"/>
        <v>S</v>
      </c>
      <c r="H299">
        <f t="shared" si="45"/>
        <v>5</v>
      </c>
      <c r="I299">
        <f t="shared" si="40"/>
        <v>0</v>
      </c>
      <c r="J299">
        <f t="shared" si="41"/>
        <v>13</v>
      </c>
      <c r="K299">
        <f t="shared" si="42"/>
        <v>0</v>
      </c>
      <c r="L299">
        <f t="shared" si="43"/>
        <v>0</v>
      </c>
      <c r="M299" t="str">
        <f t="shared" si="44"/>
        <v>C</v>
      </c>
      <c r="O299">
        <f t="shared" si="37"/>
        <v>1</v>
      </c>
      <c r="P299">
        <f t="shared" si="38"/>
        <v>1</v>
      </c>
    </row>
    <row r="300" spans="1:16" x14ac:dyDescent="0.45">
      <c r="A300">
        <v>299</v>
      </c>
      <c r="B300">
        <v>18.3</v>
      </c>
      <c r="C300">
        <v>0</v>
      </c>
      <c r="D300">
        <v>0</v>
      </c>
      <c r="E300">
        <v>0</v>
      </c>
      <c r="F300">
        <v>299</v>
      </c>
      <c r="G300">
        <f t="shared" si="39"/>
        <v>0</v>
      </c>
      <c r="H300">
        <f t="shared" si="45"/>
        <v>0</v>
      </c>
      <c r="I300">
        <f t="shared" si="40"/>
        <v>1</v>
      </c>
      <c r="J300">
        <f t="shared" si="41"/>
        <v>1</v>
      </c>
      <c r="K300">
        <f t="shared" si="42"/>
        <v>0</v>
      </c>
      <c r="L300">
        <f t="shared" si="43"/>
        <v>0</v>
      </c>
      <c r="M300" t="str">
        <f t="shared" si="44"/>
        <v>C</v>
      </c>
      <c r="O300">
        <f t="shared" si="37"/>
        <v>1</v>
      </c>
      <c r="P300">
        <f t="shared" si="38"/>
        <v>1</v>
      </c>
    </row>
    <row r="301" spans="1:16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v>300</v>
      </c>
      <c r="G301" t="str">
        <f t="shared" si="39"/>
        <v>C</v>
      </c>
      <c r="H301">
        <f t="shared" si="45"/>
        <v>1</v>
      </c>
      <c r="I301">
        <f t="shared" si="40"/>
        <v>0</v>
      </c>
      <c r="J301">
        <f t="shared" si="41"/>
        <v>1</v>
      </c>
      <c r="K301">
        <f t="shared" si="42"/>
        <v>1</v>
      </c>
      <c r="L301">
        <f t="shared" si="43"/>
        <v>0</v>
      </c>
      <c r="M301" t="str">
        <f t="shared" si="44"/>
        <v>C</v>
      </c>
      <c r="O301">
        <f t="shared" si="37"/>
        <v>1</v>
      </c>
      <c r="P301">
        <f t="shared" si="38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8E8F-8A5C-41BF-8D9A-74DB575805B1}">
  <dimension ref="A1:P301"/>
  <sheetViews>
    <sheetView tabSelected="1" workbookViewId="0">
      <selection activeCell="O5" sqref="O5"/>
    </sheetView>
  </sheetViews>
  <sheetFormatPr defaultRowHeight="14.25" x14ac:dyDescent="0.45"/>
  <cols>
    <col min="1" max="1" width="5.06640625" bestFit="1" customWidth="1"/>
    <col min="2" max="2" width="10.9296875" bestFit="1" customWidth="1"/>
    <col min="3" max="3" width="4.9296875" bestFit="1" customWidth="1"/>
    <col min="4" max="4" width="14.265625" bestFit="1" customWidth="1"/>
    <col min="5" max="5" width="13.73046875" bestFit="1" customWidth="1"/>
    <col min="7" max="7" width="14.265625" bestFit="1" customWidth="1"/>
    <col min="8" max="8" width="13.73046875" bestFit="1" customWidth="1"/>
    <col min="9" max="9" width="13.73046875" customWidth="1"/>
    <col min="11" max="11" width="10.73046875" bestFit="1" customWidth="1"/>
    <col min="12" max="12" width="12.8632812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3</v>
      </c>
      <c r="H1" t="s">
        <v>4</v>
      </c>
      <c r="I1" t="s">
        <v>30</v>
      </c>
      <c r="J1" t="s">
        <v>29</v>
      </c>
      <c r="K1" t="s">
        <v>31</v>
      </c>
      <c r="L1" t="s">
        <v>32</v>
      </c>
      <c r="M1" t="s">
        <v>12</v>
      </c>
      <c r="N1">
        <v>1</v>
      </c>
    </row>
    <row r="2" spans="1:16" x14ac:dyDescent="0.45">
      <c r="A2">
        <v>1</v>
      </c>
      <c r="B2">
        <v>19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M2" t="str">
        <f>IF(B2&lt;10,"S","C")</f>
        <v>C</v>
      </c>
      <c r="N2">
        <f>IF(G2=D2,1,0)</f>
        <v>1</v>
      </c>
      <c r="P2">
        <f>COUNTIF(N2:N301,1)</f>
        <v>286</v>
      </c>
    </row>
    <row r="3" spans="1:16" x14ac:dyDescent="0.45">
      <c r="A3">
        <v>2</v>
      </c>
      <c r="B3">
        <v>22</v>
      </c>
      <c r="C3">
        <v>1</v>
      </c>
      <c r="D3" t="s">
        <v>5</v>
      </c>
      <c r="E3">
        <v>1</v>
      </c>
      <c r="F3">
        <v>2</v>
      </c>
      <c r="G3" t="str">
        <f>IF(I3=1,0, IF(K3=1,M3,G2))</f>
        <v>C</v>
      </c>
      <c r="H3">
        <f t="shared" ref="H3:H5" si="0">IF(I3=1,0,IF(K3=1,1,IF(MOD(J2,3)=0, IF(H2+1&gt;5,5,H2+1),H2)))</f>
        <v>1</v>
      </c>
      <c r="I3">
        <f>IF(AND(H2=5,C2&gt;=20),1,0)</f>
        <v>0</v>
      </c>
      <c r="J3">
        <f>IF(G3=G2,J2+1,1)</f>
        <v>1</v>
      </c>
      <c r="K3">
        <f>IF(AND(G2=0,H2=0),1,0)</f>
        <v>1</v>
      </c>
      <c r="L3">
        <f>IF(J2=3,1,0)</f>
        <v>0</v>
      </c>
      <c r="M3" t="str">
        <f>IF(B3&lt;10,"S","C")</f>
        <v>C</v>
      </c>
      <c r="N3">
        <f t="shared" ref="N3:N66" si="1">IF(G3=D3,1,0)</f>
        <v>1</v>
      </c>
    </row>
    <row r="4" spans="1:16" x14ac:dyDescent="0.45">
      <c r="A4">
        <v>3</v>
      </c>
      <c r="B4">
        <v>23.6</v>
      </c>
      <c r="C4">
        <v>4</v>
      </c>
      <c r="D4" t="s">
        <v>5</v>
      </c>
      <c r="E4">
        <v>1</v>
      </c>
      <c r="F4">
        <v>3</v>
      </c>
      <c r="G4" t="str">
        <f t="shared" ref="G4:G67" si="2">IF(I4=1,0, IF(K4=1,M4,G3))</f>
        <v>C</v>
      </c>
      <c r="H4">
        <f t="shared" si="0"/>
        <v>1</v>
      </c>
      <c r="I4">
        <f t="shared" ref="I4:I67" si="3">IF(AND(H3=5,C3&gt;=20),1,0)</f>
        <v>0</v>
      </c>
      <c r="J4">
        <f t="shared" ref="J4:J67" si="4">IF(G4=G3,J3+1,1)</f>
        <v>2</v>
      </c>
      <c r="K4">
        <f t="shared" ref="K4:K67" si="5">IF(AND(G3=0,H3=0),1,0)</f>
        <v>0</v>
      </c>
      <c r="L4">
        <f t="shared" ref="L4:L67" si="6">IF(J3=3,1,0)</f>
        <v>0</v>
      </c>
      <c r="M4" t="str">
        <f t="shared" ref="M4:M67" si="7">IF(B4&lt;10,"S","C")</f>
        <v>C</v>
      </c>
      <c r="N4">
        <f t="shared" si="1"/>
        <v>1</v>
      </c>
    </row>
    <row r="5" spans="1:16" x14ac:dyDescent="0.45">
      <c r="A5">
        <v>4</v>
      </c>
      <c r="B5">
        <v>23.6</v>
      </c>
      <c r="C5">
        <v>4</v>
      </c>
      <c r="D5" t="s">
        <v>5</v>
      </c>
      <c r="E5">
        <v>1</v>
      </c>
      <c r="F5">
        <v>4</v>
      </c>
      <c r="G5" t="str">
        <f t="shared" si="2"/>
        <v>C</v>
      </c>
      <c r="H5">
        <f t="shared" si="0"/>
        <v>1</v>
      </c>
      <c r="I5">
        <f t="shared" si="3"/>
        <v>0</v>
      </c>
      <c r="J5">
        <f t="shared" si="4"/>
        <v>3</v>
      </c>
      <c r="K5">
        <f t="shared" si="5"/>
        <v>0</v>
      </c>
      <c r="L5">
        <f t="shared" si="6"/>
        <v>0</v>
      </c>
      <c r="M5" t="str">
        <f t="shared" si="7"/>
        <v>C</v>
      </c>
      <c r="N5">
        <f t="shared" si="1"/>
        <v>1</v>
      </c>
    </row>
    <row r="6" spans="1:16" x14ac:dyDescent="0.45">
      <c r="A6">
        <v>5</v>
      </c>
      <c r="B6">
        <v>22.3</v>
      </c>
      <c r="C6">
        <v>10</v>
      </c>
      <c r="D6" t="s">
        <v>5</v>
      </c>
      <c r="E6">
        <v>2</v>
      </c>
      <c r="F6">
        <v>5</v>
      </c>
      <c r="G6" t="str">
        <f t="shared" si="2"/>
        <v>C</v>
      </c>
      <c r="H6">
        <f>IF(I6=1,0,IF(K6=1,1,IF(MOD(J5,3)=0, IF(H5+1&gt;5,5,H5+1),H5)))</f>
        <v>2</v>
      </c>
      <c r="I6">
        <f t="shared" si="3"/>
        <v>0</v>
      </c>
      <c r="J6">
        <f t="shared" si="4"/>
        <v>4</v>
      </c>
      <c r="K6">
        <f t="shared" si="5"/>
        <v>0</v>
      </c>
      <c r="L6">
        <f t="shared" si="6"/>
        <v>1</v>
      </c>
      <c r="M6" t="str">
        <f t="shared" si="7"/>
        <v>C</v>
      </c>
      <c r="N6">
        <f t="shared" si="1"/>
        <v>1</v>
      </c>
    </row>
    <row r="7" spans="1:16" x14ac:dyDescent="0.45">
      <c r="A7">
        <v>6</v>
      </c>
      <c r="B7">
        <v>20.399999999999999</v>
      </c>
      <c r="C7">
        <v>8</v>
      </c>
      <c r="D7" t="s">
        <v>5</v>
      </c>
      <c r="E7">
        <v>2</v>
      </c>
      <c r="F7">
        <v>6</v>
      </c>
      <c r="G7" t="str">
        <f t="shared" si="2"/>
        <v>C</v>
      </c>
      <c r="H7">
        <f t="shared" ref="H7:H70" si="8">IF(I7=1,0,IF(K7=1,1,IF(MOD(J6,3)=0, IF(H6+1&gt;5,5,H6+1),H6)))</f>
        <v>2</v>
      </c>
      <c r="I7">
        <f t="shared" si="3"/>
        <v>0</v>
      </c>
      <c r="J7">
        <f t="shared" si="4"/>
        <v>5</v>
      </c>
      <c r="K7">
        <f t="shared" si="5"/>
        <v>0</v>
      </c>
      <c r="L7">
        <f t="shared" si="6"/>
        <v>0</v>
      </c>
      <c r="M7" t="str">
        <f t="shared" si="7"/>
        <v>C</v>
      </c>
      <c r="N7">
        <f t="shared" si="1"/>
        <v>1</v>
      </c>
    </row>
    <row r="8" spans="1:16" x14ac:dyDescent="0.45">
      <c r="A8">
        <v>7</v>
      </c>
      <c r="B8">
        <v>18.899999999999999</v>
      </c>
      <c r="C8">
        <v>10</v>
      </c>
      <c r="D8" t="s">
        <v>5</v>
      </c>
      <c r="E8">
        <v>2</v>
      </c>
      <c r="F8">
        <v>7</v>
      </c>
      <c r="G8" t="str">
        <f t="shared" si="2"/>
        <v>C</v>
      </c>
      <c r="H8">
        <f t="shared" si="8"/>
        <v>2</v>
      </c>
      <c r="I8">
        <f t="shared" si="3"/>
        <v>0</v>
      </c>
      <c r="J8">
        <f t="shared" si="4"/>
        <v>6</v>
      </c>
      <c r="K8">
        <f t="shared" si="5"/>
        <v>0</v>
      </c>
      <c r="L8">
        <f t="shared" si="6"/>
        <v>0</v>
      </c>
      <c r="M8" t="str">
        <f t="shared" si="7"/>
        <v>C</v>
      </c>
      <c r="N8">
        <f t="shared" si="1"/>
        <v>1</v>
      </c>
    </row>
    <row r="9" spans="1:16" x14ac:dyDescent="0.45">
      <c r="A9">
        <v>8</v>
      </c>
      <c r="B9">
        <v>18.5</v>
      </c>
      <c r="C9">
        <v>11</v>
      </c>
      <c r="D9" t="s">
        <v>5</v>
      </c>
      <c r="E9">
        <v>3</v>
      </c>
      <c r="F9">
        <v>8</v>
      </c>
      <c r="G9" t="str">
        <f t="shared" si="2"/>
        <v>C</v>
      </c>
      <c r="H9">
        <f t="shared" si="8"/>
        <v>3</v>
      </c>
      <c r="I9">
        <f t="shared" si="3"/>
        <v>0</v>
      </c>
      <c r="J9">
        <f t="shared" si="4"/>
        <v>7</v>
      </c>
      <c r="K9">
        <f t="shared" si="5"/>
        <v>0</v>
      </c>
      <c r="L9">
        <f t="shared" si="6"/>
        <v>0</v>
      </c>
      <c r="M9" t="str">
        <f t="shared" si="7"/>
        <v>C</v>
      </c>
      <c r="N9">
        <f t="shared" si="1"/>
        <v>1</v>
      </c>
    </row>
    <row r="10" spans="1:16" x14ac:dyDescent="0.45">
      <c r="A10">
        <v>9</v>
      </c>
      <c r="B10">
        <v>19.5</v>
      </c>
      <c r="C10">
        <v>14</v>
      </c>
      <c r="D10" t="s">
        <v>5</v>
      </c>
      <c r="E10">
        <v>3</v>
      </c>
      <c r="F10">
        <v>9</v>
      </c>
      <c r="G10" t="str">
        <f t="shared" si="2"/>
        <v>C</v>
      </c>
      <c r="H10">
        <f t="shared" si="8"/>
        <v>3</v>
      </c>
      <c r="I10">
        <f t="shared" si="3"/>
        <v>0</v>
      </c>
      <c r="J10">
        <f t="shared" si="4"/>
        <v>8</v>
      </c>
      <c r="K10">
        <f t="shared" si="5"/>
        <v>0</v>
      </c>
      <c r="L10">
        <f t="shared" si="6"/>
        <v>0</v>
      </c>
      <c r="M10" t="str">
        <f t="shared" si="7"/>
        <v>C</v>
      </c>
      <c r="N10">
        <f t="shared" si="1"/>
        <v>1</v>
      </c>
    </row>
    <row r="11" spans="1:16" x14ac:dyDescent="0.45">
      <c r="A11">
        <v>10</v>
      </c>
      <c r="B11">
        <v>21.8</v>
      </c>
      <c r="C11">
        <v>15</v>
      </c>
      <c r="D11" t="s">
        <v>5</v>
      </c>
      <c r="E11">
        <v>3</v>
      </c>
      <c r="F11">
        <v>10</v>
      </c>
      <c r="G11" t="str">
        <f t="shared" si="2"/>
        <v>C</v>
      </c>
      <c r="H11">
        <f t="shared" si="8"/>
        <v>3</v>
      </c>
      <c r="I11">
        <f t="shared" si="3"/>
        <v>0</v>
      </c>
      <c r="J11">
        <f t="shared" si="4"/>
        <v>9</v>
      </c>
      <c r="K11">
        <f t="shared" si="5"/>
        <v>0</v>
      </c>
      <c r="L11">
        <f t="shared" si="6"/>
        <v>0</v>
      </c>
      <c r="M11" t="str">
        <f t="shared" si="7"/>
        <v>C</v>
      </c>
      <c r="N11">
        <f t="shared" si="1"/>
        <v>1</v>
      </c>
    </row>
    <row r="12" spans="1:16" x14ac:dyDescent="0.45">
      <c r="A12">
        <v>11</v>
      </c>
      <c r="B12">
        <v>24.8</v>
      </c>
      <c r="C12">
        <v>3</v>
      </c>
      <c r="D12" t="s">
        <v>5</v>
      </c>
      <c r="E12">
        <v>4</v>
      </c>
      <c r="F12">
        <v>11</v>
      </c>
      <c r="G12" t="str">
        <f t="shared" si="2"/>
        <v>C</v>
      </c>
      <c r="H12">
        <f t="shared" si="8"/>
        <v>4</v>
      </c>
      <c r="I12">
        <f t="shared" si="3"/>
        <v>0</v>
      </c>
      <c r="J12">
        <f t="shared" si="4"/>
        <v>10</v>
      </c>
      <c r="K12">
        <f t="shared" si="5"/>
        <v>0</v>
      </c>
      <c r="L12">
        <f t="shared" si="6"/>
        <v>0</v>
      </c>
      <c r="M12" t="str">
        <f t="shared" si="7"/>
        <v>C</v>
      </c>
      <c r="N12">
        <f t="shared" si="1"/>
        <v>1</v>
      </c>
    </row>
    <row r="13" spans="1:16" x14ac:dyDescent="0.45">
      <c r="A13">
        <v>12</v>
      </c>
      <c r="B13">
        <v>27.7</v>
      </c>
      <c r="C13">
        <v>23</v>
      </c>
      <c r="D13" t="s">
        <v>5</v>
      </c>
      <c r="E13">
        <v>4</v>
      </c>
      <c r="F13">
        <v>12</v>
      </c>
      <c r="G13" t="str">
        <f t="shared" si="2"/>
        <v>C</v>
      </c>
      <c r="H13">
        <f t="shared" si="8"/>
        <v>4</v>
      </c>
      <c r="I13">
        <f t="shared" si="3"/>
        <v>0</v>
      </c>
      <c r="J13">
        <f t="shared" si="4"/>
        <v>11</v>
      </c>
      <c r="K13">
        <f t="shared" si="5"/>
        <v>0</v>
      </c>
      <c r="L13">
        <f t="shared" si="6"/>
        <v>0</v>
      </c>
      <c r="M13" t="str">
        <f t="shared" si="7"/>
        <v>C</v>
      </c>
      <c r="N13">
        <f t="shared" si="1"/>
        <v>1</v>
      </c>
    </row>
    <row r="14" spans="1:16" x14ac:dyDescent="0.45">
      <c r="A14">
        <v>13</v>
      </c>
      <c r="B14">
        <v>29.5</v>
      </c>
      <c r="C14">
        <v>17</v>
      </c>
      <c r="D14" t="s">
        <v>5</v>
      </c>
      <c r="E14">
        <v>4</v>
      </c>
      <c r="F14">
        <v>13</v>
      </c>
      <c r="G14" t="str">
        <f t="shared" si="2"/>
        <v>C</v>
      </c>
      <c r="H14">
        <f t="shared" si="8"/>
        <v>4</v>
      </c>
      <c r="I14">
        <f t="shared" si="3"/>
        <v>0</v>
      </c>
      <c r="J14">
        <f t="shared" si="4"/>
        <v>12</v>
      </c>
      <c r="K14">
        <f t="shared" si="5"/>
        <v>0</v>
      </c>
      <c r="L14">
        <f t="shared" si="6"/>
        <v>0</v>
      </c>
      <c r="M14" t="str">
        <f t="shared" si="7"/>
        <v>C</v>
      </c>
      <c r="N14">
        <f t="shared" si="1"/>
        <v>1</v>
      </c>
    </row>
    <row r="15" spans="1:16" x14ac:dyDescent="0.45">
      <c r="A15">
        <v>14</v>
      </c>
      <c r="B15">
        <v>29.8</v>
      </c>
      <c r="C15">
        <v>15</v>
      </c>
      <c r="D15" t="s">
        <v>5</v>
      </c>
      <c r="E15">
        <v>5</v>
      </c>
      <c r="F15">
        <v>14</v>
      </c>
      <c r="G15" t="str">
        <f t="shared" si="2"/>
        <v>C</v>
      </c>
      <c r="H15">
        <f t="shared" si="8"/>
        <v>5</v>
      </c>
      <c r="I15">
        <f t="shared" si="3"/>
        <v>0</v>
      </c>
      <c r="J15">
        <f t="shared" si="4"/>
        <v>13</v>
      </c>
      <c r="K15">
        <f t="shared" si="5"/>
        <v>0</v>
      </c>
      <c r="L15">
        <f t="shared" si="6"/>
        <v>0</v>
      </c>
      <c r="M15" t="str">
        <f t="shared" si="7"/>
        <v>C</v>
      </c>
      <c r="N15">
        <f t="shared" si="1"/>
        <v>1</v>
      </c>
    </row>
    <row r="16" spans="1:16" x14ac:dyDescent="0.45">
      <c r="A16">
        <v>15</v>
      </c>
      <c r="B16">
        <v>28.3</v>
      </c>
      <c r="C16">
        <v>22</v>
      </c>
      <c r="D16" t="s">
        <v>5</v>
      </c>
      <c r="E16">
        <v>5</v>
      </c>
      <c r="F16">
        <v>15</v>
      </c>
      <c r="G16" t="str">
        <f t="shared" si="2"/>
        <v>C</v>
      </c>
      <c r="H16">
        <f t="shared" si="8"/>
        <v>5</v>
      </c>
      <c r="I16">
        <f t="shared" si="3"/>
        <v>0</v>
      </c>
      <c r="J16">
        <f t="shared" si="4"/>
        <v>14</v>
      </c>
      <c r="K16">
        <f t="shared" si="5"/>
        <v>0</v>
      </c>
      <c r="L16">
        <f t="shared" si="6"/>
        <v>0</v>
      </c>
      <c r="M16" t="str">
        <f t="shared" si="7"/>
        <v>C</v>
      </c>
      <c r="N16">
        <f t="shared" si="1"/>
        <v>1</v>
      </c>
    </row>
    <row r="17" spans="1:14" x14ac:dyDescent="0.45">
      <c r="A17">
        <v>16</v>
      </c>
      <c r="B17">
        <v>25.5</v>
      </c>
      <c r="C17">
        <v>0</v>
      </c>
      <c r="D17">
        <v>0</v>
      </c>
      <c r="E17">
        <v>0</v>
      </c>
      <c r="F17">
        <v>16</v>
      </c>
      <c r="G17">
        <f t="shared" si="2"/>
        <v>0</v>
      </c>
      <c r="H17">
        <f t="shared" si="8"/>
        <v>0</v>
      </c>
      <c r="I17">
        <f t="shared" si="3"/>
        <v>1</v>
      </c>
      <c r="J17">
        <f t="shared" si="4"/>
        <v>1</v>
      </c>
      <c r="K17">
        <f t="shared" si="5"/>
        <v>0</v>
      </c>
      <c r="L17">
        <f t="shared" si="6"/>
        <v>0</v>
      </c>
      <c r="M17" t="str">
        <f t="shared" si="7"/>
        <v>C</v>
      </c>
      <c r="N17">
        <f t="shared" si="1"/>
        <v>1</v>
      </c>
    </row>
    <row r="18" spans="1:14" x14ac:dyDescent="0.45">
      <c r="A18">
        <v>17</v>
      </c>
      <c r="B18">
        <v>22</v>
      </c>
      <c r="C18">
        <v>2</v>
      </c>
      <c r="D18" t="s">
        <v>5</v>
      </c>
      <c r="E18">
        <v>1</v>
      </c>
      <c r="F18">
        <v>17</v>
      </c>
      <c r="G18" t="str">
        <f t="shared" si="2"/>
        <v>C</v>
      </c>
      <c r="H18">
        <f t="shared" si="8"/>
        <v>1</v>
      </c>
      <c r="I18">
        <f t="shared" si="3"/>
        <v>0</v>
      </c>
      <c r="J18">
        <f t="shared" si="4"/>
        <v>1</v>
      </c>
      <c r="K18">
        <f t="shared" si="5"/>
        <v>1</v>
      </c>
      <c r="L18">
        <f t="shared" si="6"/>
        <v>0</v>
      </c>
      <c r="M18" t="str">
        <f t="shared" si="7"/>
        <v>C</v>
      </c>
      <c r="N18">
        <f t="shared" si="1"/>
        <v>1</v>
      </c>
    </row>
    <row r="19" spans="1:14" x14ac:dyDescent="0.4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v>18</v>
      </c>
      <c r="G19" t="str">
        <f t="shared" si="2"/>
        <v>C</v>
      </c>
      <c r="H19">
        <f t="shared" si="8"/>
        <v>1</v>
      </c>
      <c r="I19">
        <f t="shared" si="3"/>
        <v>0</v>
      </c>
      <c r="J19">
        <f t="shared" si="4"/>
        <v>2</v>
      </c>
      <c r="K19">
        <f t="shared" si="5"/>
        <v>0</v>
      </c>
      <c r="L19">
        <f t="shared" si="6"/>
        <v>0</v>
      </c>
      <c r="M19" t="str">
        <f t="shared" si="7"/>
        <v>C</v>
      </c>
      <c r="N19">
        <f t="shared" si="1"/>
        <v>1</v>
      </c>
    </row>
    <row r="20" spans="1:14" x14ac:dyDescent="0.4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v>19</v>
      </c>
      <c r="G20" t="str">
        <f t="shared" si="2"/>
        <v>C</v>
      </c>
      <c r="H20">
        <f t="shared" si="8"/>
        <v>1</v>
      </c>
      <c r="I20">
        <f t="shared" si="3"/>
        <v>0</v>
      </c>
      <c r="J20">
        <f t="shared" si="4"/>
        <v>3</v>
      </c>
      <c r="K20">
        <f t="shared" si="5"/>
        <v>0</v>
      </c>
      <c r="L20">
        <f t="shared" si="6"/>
        <v>0</v>
      </c>
      <c r="M20" t="str">
        <f t="shared" si="7"/>
        <v>C</v>
      </c>
      <c r="N20">
        <f t="shared" si="1"/>
        <v>1</v>
      </c>
    </row>
    <row r="21" spans="1:14" x14ac:dyDescent="0.45">
      <c r="A21">
        <v>20</v>
      </c>
      <c r="B21">
        <v>16.3</v>
      </c>
      <c r="C21">
        <v>12</v>
      </c>
      <c r="D21" t="s">
        <v>5</v>
      </c>
      <c r="E21">
        <v>2</v>
      </c>
      <c r="F21">
        <v>20</v>
      </c>
      <c r="G21" t="str">
        <f t="shared" si="2"/>
        <v>C</v>
      </c>
      <c r="H21">
        <f t="shared" si="8"/>
        <v>2</v>
      </c>
      <c r="I21">
        <f t="shared" si="3"/>
        <v>0</v>
      </c>
      <c r="J21">
        <f t="shared" si="4"/>
        <v>4</v>
      </c>
      <c r="K21">
        <f t="shared" si="5"/>
        <v>0</v>
      </c>
      <c r="L21">
        <f t="shared" si="6"/>
        <v>1</v>
      </c>
      <c r="M21" t="str">
        <f t="shared" si="7"/>
        <v>C</v>
      </c>
      <c r="N21">
        <f t="shared" si="1"/>
        <v>1</v>
      </c>
    </row>
    <row r="22" spans="1:14" x14ac:dyDescent="0.4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v>21</v>
      </c>
      <c r="G22" t="str">
        <f t="shared" si="2"/>
        <v>C</v>
      </c>
      <c r="H22">
        <f t="shared" si="8"/>
        <v>2</v>
      </c>
      <c r="I22">
        <f t="shared" si="3"/>
        <v>0</v>
      </c>
      <c r="J22">
        <f t="shared" si="4"/>
        <v>5</v>
      </c>
      <c r="K22">
        <f t="shared" si="5"/>
        <v>0</v>
      </c>
      <c r="L22">
        <f t="shared" si="6"/>
        <v>0</v>
      </c>
      <c r="M22" t="str">
        <f t="shared" si="7"/>
        <v>C</v>
      </c>
      <c r="N22">
        <f t="shared" si="1"/>
        <v>1</v>
      </c>
    </row>
    <row r="23" spans="1:14" x14ac:dyDescent="0.45">
      <c r="A23">
        <v>22</v>
      </c>
      <c r="B23">
        <v>18.7</v>
      </c>
      <c r="C23">
        <v>6</v>
      </c>
      <c r="D23" t="s">
        <v>5</v>
      </c>
      <c r="E23">
        <v>2</v>
      </c>
      <c r="F23">
        <v>22</v>
      </c>
      <c r="G23" t="str">
        <f t="shared" si="2"/>
        <v>C</v>
      </c>
      <c r="H23">
        <f t="shared" si="8"/>
        <v>2</v>
      </c>
      <c r="I23">
        <f t="shared" si="3"/>
        <v>0</v>
      </c>
      <c r="J23">
        <f t="shared" si="4"/>
        <v>6</v>
      </c>
      <c r="K23">
        <f t="shared" si="5"/>
        <v>0</v>
      </c>
      <c r="L23">
        <f t="shared" si="6"/>
        <v>0</v>
      </c>
      <c r="M23" t="str">
        <f t="shared" si="7"/>
        <v>C</v>
      </c>
      <c r="N23">
        <f t="shared" si="1"/>
        <v>1</v>
      </c>
    </row>
    <row r="24" spans="1:14" x14ac:dyDescent="0.45">
      <c r="A24">
        <v>23</v>
      </c>
      <c r="B24">
        <v>20.2</v>
      </c>
      <c r="C24">
        <v>18</v>
      </c>
      <c r="D24" t="s">
        <v>5</v>
      </c>
      <c r="E24">
        <v>2</v>
      </c>
      <c r="F24">
        <v>23</v>
      </c>
      <c r="G24" t="str">
        <f t="shared" si="2"/>
        <v>C</v>
      </c>
      <c r="H24">
        <f t="shared" si="8"/>
        <v>3</v>
      </c>
      <c r="I24">
        <f t="shared" si="3"/>
        <v>0</v>
      </c>
      <c r="J24">
        <f t="shared" si="4"/>
        <v>7</v>
      </c>
      <c r="K24">
        <f t="shared" si="5"/>
        <v>0</v>
      </c>
      <c r="L24">
        <f t="shared" si="6"/>
        <v>0</v>
      </c>
      <c r="M24" t="str">
        <f t="shared" si="7"/>
        <v>C</v>
      </c>
      <c r="N24">
        <f t="shared" si="1"/>
        <v>1</v>
      </c>
    </row>
    <row r="25" spans="1:14" x14ac:dyDescent="0.45">
      <c r="A25">
        <v>24</v>
      </c>
      <c r="B25">
        <v>20.8</v>
      </c>
      <c r="C25">
        <v>15</v>
      </c>
      <c r="D25" t="s">
        <v>5</v>
      </c>
      <c r="E25">
        <v>3</v>
      </c>
      <c r="F25">
        <v>24</v>
      </c>
      <c r="G25" t="str">
        <f t="shared" si="2"/>
        <v>C</v>
      </c>
      <c r="H25">
        <f t="shared" si="8"/>
        <v>3</v>
      </c>
      <c r="I25">
        <f t="shared" si="3"/>
        <v>0</v>
      </c>
      <c r="J25">
        <f t="shared" si="4"/>
        <v>8</v>
      </c>
      <c r="K25">
        <f t="shared" si="5"/>
        <v>0</v>
      </c>
      <c r="L25">
        <f t="shared" si="6"/>
        <v>0</v>
      </c>
      <c r="M25" t="str">
        <f t="shared" si="7"/>
        <v>C</v>
      </c>
      <c r="N25">
        <f t="shared" si="1"/>
        <v>1</v>
      </c>
    </row>
    <row r="26" spans="1:14" x14ac:dyDescent="0.4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v>25</v>
      </c>
      <c r="G26" t="str">
        <f t="shared" si="2"/>
        <v>C</v>
      </c>
      <c r="H26">
        <f t="shared" si="8"/>
        <v>3</v>
      </c>
      <c r="I26">
        <f t="shared" si="3"/>
        <v>0</v>
      </c>
      <c r="J26">
        <f t="shared" si="4"/>
        <v>9</v>
      </c>
      <c r="K26">
        <f t="shared" si="5"/>
        <v>0</v>
      </c>
      <c r="L26">
        <f t="shared" si="6"/>
        <v>0</v>
      </c>
      <c r="M26" t="str">
        <f t="shared" si="7"/>
        <v>C</v>
      </c>
      <c r="N26">
        <f t="shared" si="1"/>
        <v>1</v>
      </c>
    </row>
    <row r="27" spans="1:14" x14ac:dyDescent="0.45">
      <c r="A27">
        <v>26</v>
      </c>
      <c r="B27">
        <v>17.5</v>
      </c>
      <c r="C27">
        <v>19</v>
      </c>
      <c r="D27" t="s">
        <v>5</v>
      </c>
      <c r="E27">
        <v>4</v>
      </c>
      <c r="F27">
        <v>26</v>
      </c>
      <c r="G27" t="str">
        <f t="shared" si="2"/>
        <v>C</v>
      </c>
      <c r="H27">
        <f t="shared" si="8"/>
        <v>4</v>
      </c>
      <c r="I27">
        <f t="shared" si="3"/>
        <v>0</v>
      </c>
      <c r="J27">
        <f t="shared" si="4"/>
        <v>10</v>
      </c>
      <c r="K27">
        <f t="shared" si="5"/>
        <v>0</v>
      </c>
      <c r="L27">
        <f t="shared" si="6"/>
        <v>0</v>
      </c>
      <c r="M27" t="str">
        <f t="shared" si="7"/>
        <v>C</v>
      </c>
      <c r="N27">
        <f t="shared" si="1"/>
        <v>1</v>
      </c>
    </row>
    <row r="28" spans="1:14" x14ac:dyDescent="0.45">
      <c r="A28">
        <v>27</v>
      </c>
      <c r="B28">
        <v>13.9</v>
      </c>
      <c r="C28">
        <v>18</v>
      </c>
      <c r="D28" t="s">
        <v>5</v>
      </c>
      <c r="E28">
        <v>4</v>
      </c>
      <c r="F28">
        <v>27</v>
      </c>
      <c r="G28" t="str">
        <f t="shared" si="2"/>
        <v>C</v>
      </c>
      <c r="H28">
        <f t="shared" si="8"/>
        <v>4</v>
      </c>
      <c r="I28">
        <f t="shared" si="3"/>
        <v>0</v>
      </c>
      <c r="J28">
        <f t="shared" si="4"/>
        <v>11</v>
      </c>
      <c r="K28">
        <f t="shared" si="5"/>
        <v>0</v>
      </c>
      <c r="L28">
        <f t="shared" si="6"/>
        <v>0</v>
      </c>
      <c r="M28" t="str">
        <f t="shared" si="7"/>
        <v>C</v>
      </c>
      <c r="N28">
        <f t="shared" si="1"/>
        <v>1</v>
      </c>
    </row>
    <row r="29" spans="1:14" x14ac:dyDescent="0.45">
      <c r="A29">
        <v>28</v>
      </c>
      <c r="B29">
        <v>9.9</v>
      </c>
      <c r="C29">
        <v>4</v>
      </c>
      <c r="D29" t="s">
        <v>5</v>
      </c>
      <c r="E29">
        <v>4</v>
      </c>
      <c r="F29">
        <v>28</v>
      </c>
      <c r="G29" t="str">
        <f t="shared" si="2"/>
        <v>C</v>
      </c>
      <c r="H29">
        <f t="shared" si="8"/>
        <v>4</v>
      </c>
      <c r="I29">
        <f t="shared" si="3"/>
        <v>0</v>
      </c>
      <c r="J29">
        <f t="shared" si="4"/>
        <v>12</v>
      </c>
      <c r="K29">
        <f t="shared" si="5"/>
        <v>0</v>
      </c>
      <c r="L29">
        <f t="shared" si="6"/>
        <v>0</v>
      </c>
      <c r="M29" t="str">
        <f t="shared" si="7"/>
        <v>S</v>
      </c>
      <c r="N29">
        <f t="shared" si="1"/>
        <v>1</v>
      </c>
    </row>
    <row r="30" spans="1:14" x14ac:dyDescent="0.45">
      <c r="A30">
        <v>29</v>
      </c>
      <c r="B30">
        <v>6.4</v>
      </c>
      <c r="C30">
        <v>17</v>
      </c>
      <c r="D30" t="s">
        <v>5</v>
      </c>
      <c r="E30">
        <v>5</v>
      </c>
      <c r="F30">
        <v>29</v>
      </c>
      <c r="G30" t="str">
        <f t="shared" si="2"/>
        <v>C</v>
      </c>
      <c r="H30">
        <f t="shared" si="8"/>
        <v>5</v>
      </c>
      <c r="I30">
        <f t="shared" si="3"/>
        <v>0</v>
      </c>
      <c r="J30">
        <f t="shared" si="4"/>
        <v>13</v>
      </c>
      <c r="K30">
        <f t="shared" si="5"/>
        <v>0</v>
      </c>
      <c r="L30">
        <f t="shared" si="6"/>
        <v>0</v>
      </c>
      <c r="M30" t="str">
        <f t="shared" si="7"/>
        <v>S</v>
      </c>
      <c r="N30">
        <f t="shared" si="1"/>
        <v>1</v>
      </c>
    </row>
    <row r="31" spans="1:14" x14ac:dyDescent="0.45">
      <c r="A31">
        <v>30</v>
      </c>
      <c r="B31">
        <v>4.2</v>
      </c>
      <c r="C31">
        <v>14</v>
      </c>
      <c r="D31" t="s">
        <v>5</v>
      </c>
      <c r="E31">
        <v>5</v>
      </c>
      <c r="F31">
        <v>30</v>
      </c>
      <c r="G31" t="str">
        <f t="shared" si="2"/>
        <v>C</v>
      </c>
      <c r="H31">
        <f t="shared" si="8"/>
        <v>5</v>
      </c>
      <c r="I31">
        <f t="shared" si="3"/>
        <v>0</v>
      </c>
      <c r="J31">
        <f t="shared" si="4"/>
        <v>14</v>
      </c>
      <c r="K31">
        <f t="shared" si="5"/>
        <v>0</v>
      </c>
      <c r="L31">
        <f t="shared" si="6"/>
        <v>0</v>
      </c>
      <c r="M31" t="str">
        <f t="shared" si="7"/>
        <v>S</v>
      </c>
      <c r="N31">
        <f t="shared" si="1"/>
        <v>1</v>
      </c>
    </row>
    <row r="32" spans="1:14" x14ac:dyDescent="0.45">
      <c r="A32">
        <v>31</v>
      </c>
      <c r="B32">
        <v>3.6</v>
      </c>
      <c r="C32">
        <v>12</v>
      </c>
      <c r="D32" t="s">
        <v>5</v>
      </c>
      <c r="E32">
        <v>5</v>
      </c>
      <c r="F32">
        <v>31</v>
      </c>
      <c r="G32" t="str">
        <f t="shared" si="2"/>
        <v>C</v>
      </c>
      <c r="H32">
        <f t="shared" si="8"/>
        <v>5</v>
      </c>
      <c r="I32">
        <f t="shared" si="3"/>
        <v>0</v>
      </c>
      <c r="J32">
        <f t="shared" si="4"/>
        <v>15</v>
      </c>
      <c r="K32">
        <f t="shared" si="5"/>
        <v>0</v>
      </c>
      <c r="L32">
        <f t="shared" si="6"/>
        <v>0</v>
      </c>
      <c r="M32" t="str">
        <f t="shared" si="7"/>
        <v>S</v>
      </c>
      <c r="N32">
        <f t="shared" si="1"/>
        <v>1</v>
      </c>
    </row>
    <row r="33" spans="1:14" x14ac:dyDescent="0.4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v>32</v>
      </c>
      <c r="G33" t="str">
        <f t="shared" si="2"/>
        <v>C</v>
      </c>
      <c r="H33">
        <f t="shared" si="8"/>
        <v>5</v>
      </c>
      <c r="I33">
        <f t="shared" si="3"/>
        <v>0</v>
      </c>
      <c r="J33">
        <f t="shared" si="4"/>
        <v>16</v>
      </c>
      <c r="K33">
        <f t="shared" si="5"/>
        <v>0</v>
      </c>
      <c r="L33">
        <f t="shared" si="6"/>
        <v>0</v>
      </c>
      <c r="M33" t="str">
        <f t="shared" si="7"/>
        <v>S</v>
      </c>
      <c r="N33">
        <f t="shared" si="1"/>
        <v>1</v>
      </c>
    </row>
    <row r="34" spans="1:14" x14ac:dyDescent="0.45">
      <c r="A34">
        <v>33</v>
      </c>
      <c r="B34">
        <v>6.6</v>
      </c>
      <c r="C34">
        <v>17</v>
      </c>
      <c r="D34" t="s">
        <v>5</v>
      </c>
      <c r="E34">
        <v>5</v>
      </c>
      <c r="F34">
        <v>33</v>
      </c>
      <c r="G34" t="str">
        <f t="shared" si="2"/>
        <v>C</v>
      </c>
      <c r="H34">
        <f t="shared" si="8"/>
        <v>5</v>
      </c>
      <c r="I34">
        <f t="shared" si="3"/>
        <v>0</v>
      </c>
      <c r="J34">
        <f t="shared" si="4"/>
        <v>17</v>
      </c>
      <c r="K34">
        <f t="shared" si="5"/>
        <v>0</v>
      </c>
      <c r="L34">
        <f t="shared" si="6"/>
        <v>0</v>
      </c>
      <c r="M34" t="str">
        <f t="shared" si="7"/>
        <v>S</v>
      </c>
      <c r="N34">
        <f t="shared" si="1"/>
        <v>1</v>
      </c>
    </row>
    <row r="35" spans="1:14" x14ac:dyDescent="0.4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v>34</v>
      </c>
      <c r="G35" t="str">
        <f t="shared" si="2"/>
        <v>C</v>
      </c>
      <c r="H35">
        <f t="shared" si="8"/>
        <v>5</v>
      </c>
      <c r="I35">
        <f t="shared" si="3"/>
        <v>0</v>
      </c>
      <c r="J35">
        <f t="shared" si="4"/>
        <v>18</v>
      </c>
      <c r="K35">
        <f t="shared" si="5"/>
        <v>0</v>
      </c>
      <c r="L35">
        <f t="shared" si="6"/>
        <v>0</v>
      </c>
      <c r="M35" t="str">
        <f t="shared" si="7"/>
        <v>S</v>
      </c>
      <c r="N35">
        <f t="shared" si="1"/>
        <v>1</v>
      </c>
    </row>
    <row r="36" spans="1:14" x14ac:dyDescent="0.45">
      <c r="A36">
        <v>35</v>
      </c>
      <c r="B36">
        <v>10</v>
      </c>
      <c r="C36">
        <v>0</v>
      </c>
      <c r="D36">
        <v>0</v>
      </c>
      <c r="E36">
        <v>0</v>
      </c>
      <c r="F36">
        <v>35</v>
      </c>
      <c r="G36">
        <f t="shared" si="2"/>
        <v>0</v>
      </c>
      <c r="H36">
        <f t="shared" si="8"/>
        <v>0</v>
      </c>
      <c r="I36">
        <f t="shared" si="3"/>
        <v>1</v>
      </c>
      <c r="J36">
        <f t="shared" si="4"/>
        <v>1</v>
      </c>
      <c r="K36">
        <f t="shared" si="5"/>
        <v>0</v>
      </c>
      <c r="L36">
        <f t="shared" si="6"/>
        <v>0</v>
      </c>
      <c r="M36" t="str">
        <f t="shared" si="7"/>
        <v>C</v>
      </c>
      <c r="N36">
        <f t="shared" si="1"/>
        <v>1</v>
      </c>
    </row>
    <row r="37" spans="1:14" x14ac:dyDescent="0.45">
      <c r="A37">
        <v>36</v>
      </c>
      <c r="B37">
        <v>10.1</v>
      </c>
      <c r="C37">
        <v>3</v>
      </c>
      <c r="D37" t="s">
        <v>5</v>
      </c>
      <c r="E37">
        <v>1</v>
      </c>
      <c r="F37">
        <v>36</v>
      </c>
      <c r="G37" t="str">
        <f t="shared" si="2"/>
        <v>C</v>
      </c>
      <c r="H37">
        <f t="shared" si="8"/>
        <v>1</v>
      </c>
      <c r="I37">
        <f t="shared" si="3"/>
        <v>0</v>
      </c>
      <c r="J37">
        <f t="shared" si="4"/>
        <v>1</v>
      </c>
      <c r="K37">
        <f t="shared" si="5"/>
        <v>1</v>
      </c>
      <c r="L37">
        <f t="shared" si="6"/>
        <v>0</v>
      </c>
      <c r="M37" t="str">
        <f t="shared" si="7"/>
        <v>C</v>
      </c>
      <c r="N37">
        <f t="shared" si="1"/>
        <v>1</v>
      </c>
    </row>
    <row r="38" spans="1:14" x14ac:dyDescent="0.4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v>37</v>
      </c>
      <c r="G38" t="str">
        <f t="shared" si="2"/>
        <v>C</v>
      </c>
      <c r="H38">
        <f t="shared" si="8"/>
        <v>1</v>
      </c>
      <c r="I38">
        <f t="shared" si="3"/>
        <v>0</v>
      </c>
      <c r="J38">
        <f t="shared" si="4"/>
        <v>2</v>
      </c>
      <c r="K38">
        <f t="shared" si="5"/>
        <v>0</v>
      </c>
      <c r="L38">
        <f t="shared" si="6"/>
        <v>0</v>
      </c>
      <c r="M38" t="str">
        <f t="shared" si="7"/>
        <v>S</v>
      </c>
      <c r="N38">
        <f t="shared" si="1"/>
        <v>1</v>
      </c>
    </row>
    <row r="39" spans="1:14" x14ac:dyDescent="0.45">
      <c r="A39">
        <v>38</v>
      </c>
      <c r="B39">
        <v>6.4</v>
      </c>
      <c r="C39">
        <v>5</v>
      </c>
      <c r="D39" t="s">
        <v>5</v>
      </c>
      <c r="E39">
        <v>1</v>
      </c>
      <c r="F39">
        <v>38</v>
      </c>
      <c r="G39" t="str">
        <f t="shared" si="2"/>
        <v>C</v>
      </c>
      <c r="H39">
        <f t="shared" si="8"/>
        <v>1</v>
      </c>
      <c r="I39">
        <f t="shared" si="3"/>
        <v>0</v>
      </c>
      <c r="J39">
        <f t="shared" si="4"/>
        <v>3</v>
      </c>
      <c r="K39">
        <f t="shared" si="5"/>
        <v>0</v>
      </c>
      <c r="L39">
        <f t="shared" si="6"/>
        <v>0</v>
      </c>
      <c r="M39" t="str">
        <f t="shared" si="7"/>
        <v>S</v>
      </c>
      <c r="N39">
        <f t="shared" si="1"/>
        <v>1</v>
      </c>
    </row>
    <row r="40" spans="1:14" x14ac:dyDescent="0.45">
      <c r="A40">
        <v>39</v>
      </c>
      <c r="B40">
        <v>3.8</v>
      </c>
      <c r="C40">
        <v>11</v>
      </c>
      <c r="D40" t="s">
        <v>5</v>
      </c>
      <c r="E40">
        <v>2</v>
      </c>
      <c r="F40">
        <v>39</v>
      </c>
      <c r="G40" t="str">
        <f t="shared" si="2"/>
        <v>C</v>
      </c>
      <c r="H40">
        <f t="shared" si="8"/>
        <v>2</v>
      </c>
      <c r="I40">
        <f t="shared" si="3"/>
        <v>0</v>
      </c>
      <c r="J40">
        <f t="shared" si="4"/>
        <v>4</v>
      </c>
      <c r="K40">
        <f t="shared" si="5"/>
        <v>0</v>
      </c>
      <c r="L40">
        <f t="shared" si="6"/>
        <v>1</v>
      </c>
      <c r="M40" t="str">
        <f t="shared" si="7"/>
        <v>S</v>
      </c>
      <c r="N40">
        <f t="shared" si="1"/>
        <v>1</v>
      </c>
    </row>
    <row r="41" spans="1:14" x14ac:dyDescent="0.45">
      <c r="A41">
        <v>40</v>
      </c>
      <c r="B41">
        <v>1.7</v>
      </c>
      <c r="C41">
        <v>6</v>
      </c>
      <c r="D41" t="s">
        <v>5</v>
      </c>
      <c r="E41">
        <v>2</v>
      </c>
      <c r="F41">
        <v>40</v>
      </c>
      <c r="G41" t="str">
        <f t="shared" si="2"/>
        <v>C</v>
      </c>
      <c r="H41">
        <f t="shared" si="8"/>
        <v>2</v>
      </c>
      <c r="I41">
        <f t="shared" si="3"/>
        <v>0</v>
      </c>
      <c r="J41">
        <f t="shared" si="4"/>
        <v>5</v>
      </c>
      <c r="K41">
        <f t="shared" si="5"/>
        <v>0</v>
      </c>
      <c r="L41">
        <f t="shared" si="6"/>
        <v>0</v>
      </c>
      <c r="M41" t="str">
        <f t="shared" si="7"/>
        <v>S</v>
      </c>
      <c r="N41">
        <f t="shared" si="1"/>
        <v>1</v>
      </c>
    </row>
    <row r="42" spans="1:14" x14ac:dyDescent="0.45">
      <c r="A42">
        <v>41</v>
      </c>
      <c r="B42">
        <v>1</v>
      </c>
      <c r="C42">
        <v>3</v>
      </c>
      <c r="D42" t="s">
        <v>5</v>
      </c>
      <c r="E42">
        <v>2</v>
      </c>
      <c r="F42">
        <v>41</v>
      </c>
      <c r="G42" t="str">
        <f t="shared" si="2"/>
        <v>C</v>
      </c>
      <c r="H42">
        <f t="shared" si="8"/>
        <v>2</v>
      </c>
      <c r="I42">
        <f t="shared" si="3"/>
        <v>0</v>
      </c>
      <c r="J42">
        <f t="shared" si="4"/>
        <v>6</v>
      </c>
      <c r="K42">
        <f t="shared" si="5"/>
        <v>0</v>
      </c>
      <c r="L42">
        <f t="shared" si="6"/>
        <v>0</v>
      </c>
      <c r="M42" t="str">
        <f t="shared" si="7"/>
        <v>S</v>
      </c>
      <c r="N42">
        <f t="shared" si="1"/>
        <v>1</v>
      </c>
    </row>
    <row r="43" spans="1:14" x14ac:dyDescent="0.45">
      <c r="A43">
        <v>42</v>
      </c>
      <c r="B43">
        <v>2</v>
      </c>
      <c r="C43">
        <v>17</v>
      </c>
      <c r="D43" t="s">
        <v>5</v>
      </c>
      <c r="E43">
        <v>3</v>
      </c>
      <c r="F43">
        <v>42</v>
      </c>
      <c r="G43" t="str">
        <f t="shared" si="2"/>
        <v>C</v>
      </c>
      <c r="H43">
        <f t="shared" si="8"/>
        <v>3</v>
      </c>
      <c r="I43">
        <f t="shared" si="3"/>
        <v>0</v>
      </c>
      <c r="J43">
        <f t="shared" si="4"/>
        <v>7</v>
      </c>
      <c r="K43">
        <f t="shared" si="5"/>
        <v>0</v>
      </c>
      <c r="L43">
        <f t="shared" si="6"/>
        <v>0</v>
      </c>
      <c r="M43" t="str">
        <f t="shared" si="7"/>
        <v>S</v>
      </c>
      <c r="N43">
        <f t="shared" si="1"/>
        <v>1</v>
      </c>
    </row>
    <row r="44" spans="1:14" x14ac:dyDescent="0.4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v>43</v>
      </c>
      <c r="G44" t="str">
        <f t="shared" si="2"/>
        <v>C</v>
      </c>
      <c r="H44">
        <f t="shared" si="8"/>
        <v>3</v>
      </c>
      <c r="I44">
        <f t="shared" si="3"/>
        <v>0</v>
      </c>
      <c r="J44">
        <f t="shared" si="4"/>
        <v>8</v>
      </c>
      <c r="K44">
        <f t="shared" si="5"/>
        <v>0</v>
      </c>
      <c r="L44">
        <f t="shared" si="6"/>
        <v>0</v>
      </c>
      <c r="M44" t="str">
        <f t="shared" si="7"/>
        <v>S</v>
      </c>
      <c r="N44">
        <f t="shared" si="1"/>
        <v>1</v>
      </c>
    </row>
    <row r="45" spans="1:14" x14ac:dyDescent="0.4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v>44</v>
      </c>
      <c r="G45" t="str">
        <f t="shared" si="2"/>
        <v>C</v>
      </c>
      <c r="H45">
        <f t="shared" si="8"/>
        <v>3</v>
      </c>
      <c r="I45">
        <f t="shared" si="3"/>
        <v>0</v>
      </c>
      <c r="J45">
        <f t="shared" si="4"/>
        <v>9</v>
      </c>
      <c r="K45">
        <f t="shared" si="5"/>
        <v>0</v>
      </c>
      <c r="L45">
        <f t="shared" si="6"/>
        <v>0</v>
      </c>
      <c r="M45" t="str">
        <f t="shared" si="7"/>
        <v>S</v>
      </c>
      <c r="N45">
        <f t="shared" si="1"/>
        <v>1</v>
      </c>
    </row>
    <row r="46" spans="1:14" x14ac:dyDescent="0.45">
      <c r="A46">
        <v>45</v>
      </c>
      <c r="B46">
        <v>11.8</v>
      </c>
      <c r="C46">
        <v>2</v>
      </c>
      <c r="D46" t="s">
        <v>5</v>
      </c>
      <c r="E46">
        <v>4</v>
      </c>
      <c r="F46">
        <v>45</v>
      </c>
      <c r="G46" t="str">
        <f t="shared" si="2"/>
        <v>C</v>
      </c>
      <c r="H46">
        <f t="shared" si="8"/>
        <v>4</v>
      </c>
      <c r="I46">
        <f t="shared" si="3"/>
        <v>0</v>
      </c>
      <c r="J46">
        <f t="shared" si="4"/>
        <v>10</v>
      </c>
      <c r="K46">
        <f t="shared" si="5"/>
        <v>0</v>
      </c>
      <c r="L46">
        <f t="shared" si="6"/>
        <v>0</v>
      </c>
      <c r="M46" t="str">
        <f t="shared" si="7"/>
        <v>C</v>
      </c>
      <c r="N46">
        <f t="shared" si="1"/>
        <v>1</v>
      </c>
    </row>
    <row r="47" spans="1:14" x14ac:dyDescent="0.45">
      <c r="A47">
        <v>46</v>
      </c>
      <c r="B47">
        <v>14.7</v>
      </c>
      <c r="C47">
        <v>1</v>
      </c>
      <c r="D47" t="s">
        <v>5</v>
      </c>
      <c r="E47">
        <v>4</v>
      </c>
      <c r="F47">
        <v>46</v>
      </c>
      <c r="G47" t="str">
        <f t="shared" si="2"/>
        <v>C</v>
      </c>
      <c r="H47">
        <f t="shared" si="8"/>
        <v>4</v>
      </c>
      <c r="I47">
        <f t="shared" si="3"/>
        <v>0</v>
      </c>
      <c r="J47">
        <f t="shared" si="4"/>
        <v>11</v>
      </c>
      <c r="K47">
        <f t="shared" si="5"/>
        <v>0</v>
      </c>
      <c r="L47">
        <f t="shared" si="6"/>
        <v>0</v>
      </c>
      <c r="M47" t="str">
        <f t="shared" si="7"/>
        <v>C</v>
      </c>
      <c r="N47">
        <f t="shared" si="1"/>
        <v>1</v>
      </c>
    </row>
    <row r="48" spans="1:14" x14ac:dyDescent="0.45">
      <c r="A48">
        <v>47</v>
      </c>
      <c r="B48">
        <v>16.3</v>
      </c>
      <c r="C48">
        <v>11</v>
      </c>
      <c r="D48" t="s">
        <v>5</v>
      </c>
      <c r="E48">
        <v>4</v>
      </c>
      <c r="F48">
        <v>47</v>
      </c>
      <c r="G48" t="str">
        <f t="shared" si="2"/>
        <v>C</v>
      </c>
      <c r="H48">
        <f t="shared" si="8"/>
        <v>4</v>
      </c>
      <c r="I48">
        <f t="shared" si="3"/>
        <v>0</v>
      </c>
      <c r="J48">
        <f t="shared" si="4"/>
        <v>12</v>
      </c>
      <c r="K48">
        <f t="shared" si="5"/>
        <v>0</v>
      </c>
      <c r="L48">
        <f t="shared" si="6"/>
        <v>0</v>
      </c>
      <c r="M48" t="str">
        <f t="shared" si="7"/>
        <v>C</v>
      </c>
      <c r="N48">
        <f t="shared" si="1"/>
        <v>1</v>
      </c>
    </row>
    <row r="49" spans="1:14" x14ac:dyDescent="0.45">
      <c r="A49">
        <v>48</v>
      </c>
      <c r="B49">
        <v>16.3</v>
      </c>
      <c r="C49">
        <v>25</v>
      </c>
      <c r="D49" t="s">
        <v>5</v>
      </c>
      <c r="E49">
        <v>5</v>
      </c>
      <c r="F49">
        <v>48</v>
      </c>
      <c r="G49" t="str">
        <f t="shared" si="2"/>
        <v>C</v>
      </c>
      <c r="H49">
        <f t="shared" si="8"/>
        <v>5</v>
      </c>
      <c r="I49">
        <f t="shared" si="3"/>
        <v>0</v>
      </c>
      <c r="J49">
        <f t="shared" si="4"/>
        <v>13</v>
      </c>
      <c r="K49">
        <f t="shared" si="5"/>
        <v>0</v>
      </c>
      <c r="L49">
        <f t="shared" si="6"/>
        <v>0</v>
      </c>
      <c r="M49" t="str">
        <f t="shared" si="7"/>
        <v>C</v>
      </c>
      <c r="N49">
        <f t="shared" si="1"/>
        <v>1</v>
      </c>
    </row>
    <row r="50" spans="1:14" x14ac:dyDescent="0.45">
      <c r="A50">
        <v>49</v>
      </c>
      <c r="B50">
        <v>15.2</v>
      </c>
      <c r="C50">
        <v>0</v>
      </c>
      <c r="D50">
        <v>0</v>
      </c>
      <c r="E50">
        <v>0</v>
      </c>
      <c r="F50">
        <v>49</v>
      </c>
      <c r="G50">
        <f t="shared" si="2"/>
        <v>0</v>
      </c>
      <c r="H50">
        <f t="shared" si="8"/>
        <v>0</v>
      </c>
      <c r="I50">
        <f t="shared" si="3"/>
        <v>1</v>
      </c>
      <c r="J50">
        <f t="shared" si="4"/>
        <v>1</v>
      </c>
      <c r="K50">
        <f t="shared" si="5"/>
        <v>0</v>
      </c>
      <c r="L50">
        <f t="shared" si="6"/>
        <v>0</v>
      </c>
      <c r="M50" t="str">
        <f t="shared" si="7"/>
        <v>C</v>
      </c>
      <c r="N50">
        <f t="shared" si="1"/>
        <v>1</v>
      </c>
    </row>
    <row r="51" spans="1:14" x14ac:dyDescent="0.45">
      <c r="A51">
        <v>50</v>
      </c>
      <c r="B51">
        <v>13.6</v>
      </c>
      <c r="C51">
        <v>2</v>
      </c>
      <c r="D51" t="s">
        <v>5</v>
      </c>
      <c r="E51">
        <v>1</v>
      </c>
      <c r="F51">
        <v>50</v>
      </c>
      <c r="G51" t="str">
        <f t="shared" si="2"/>
        <v>C</v>
      </c>
      <c r="H51">
        <f t="shared" si="8"/>
        <v>1</v>
      </c>
      <c r="I51">
        <f t="shared" si="3"/>
        <v>0</v>
      </c>
      <c r="J51">
        <f t="shared" si="4"/>
        <v>1</v>
      </c>
      <c r="K51">
        <f t="shared" si="5"/>
        <v>1</v>
      </c>
      <c r="L51">
        <f t="shared" si="6"/>
        <v>0</v>
      </c>
      <c r="M51" t="str">
        <f t="shared" si="7"/>
        <v>C</v>
      </c>
      <c r="N51">
        <f t="shared" si="1"/>
        <v>1</v>
      </c>
    </row>
    <row r="52" spans="1:14" x14ac:dyDescent="0.45">
      <c r="A52">
        <v>51</v>
      </c>
      <c r="B52">
        <v>12.5</v>
      </c>
      <c r="C52">
        <v>3</v>
      </c>
      <c r="D52" t="s">
        <v>5</v>
      </c>
      <c r="E52">
        <v>1</v>
      </c>
      <c r="F52">
        <v>51</v>
      </c>
      <c r="G52" t="str">
        <f t="shared" si="2"/>
        <v>C</v>
      </c>
      <c r="H52">
        <f t="shared" si="8"/>
        <v>1</v>
      </c>
      <c r="I52">
        <f t="shared" si="3"/>
        <v>0</v>
      </c>
      <c r="J52">
        <f t="shared" si="4"/>
        <v>2</v>
      </c>
      <c r="K52">
        <f t="shared" si="5"/>
        <v>0</v>
      </c>
      <c r="L52">
        <f t="shared" si="6"/>
        <v>0</v>
      </c>
      <c r="M52" t="str">
        <f t="shared" si="7"/>
        <v>C</v>
      </c>
      <c r="N52">
        <f t="shared" si="1"/>
        <v>1</v>
      </c>
    </row>
    <row r="53" spans="1:14" x14ac:dyDescent="0.45">
      <c r="A53">
        <v>52</v>
      </c>
      <c r="B53">
        <v>12.5</v>
      </c>
      <c r="C53">
        <v>2</v>
      </c>
      <c r="D53" t="s">
        <v>5</v>
      </c>
      <c r="E53">
        <v>1</v>
      </c>
      <c r="F53">
        <v>52</v>
      </c>
      <c r="G53" t="str">
        <f t="shared" si="2"/>
        <v>C</v>
      </c>
      <c r="H53">
        <f t="shared" si="8"/>
        <v>1</v>
      </c>
      <c r="I53">
        <f t="shared" si="3"/>
        <v>0</v>
      </c>
      <c r="J53">
        <f t="shared" si="4"/>
        <v>3</v>
      </c>
      <c r="K53">
        <f t="shared" si="5"/>
        <v>0</v>
      </c>
      <c r="L53">
        <f t="shared" si="6"/>
        <v>0</v>
      </c>
      <c r="M53" t="str">
        <f t="shared" si="7"/>
        <v>C</v>
      </c>
      <c r="N53">
        <f t="shared" si="1"/>
        <v>1</v>
      </c>
    </row>
    <row r="54" spans="1:14" x14ac:dyDescent="0.45">
      <c r="A54">
        <v>53</v>
      </c>
      <c r="B54">
        <v>14.1</v>
      </c>
      <c r="C54">
        <v>4</v>
      </c>
      <c r="D54" t="s">
        <v>5</v>
      </c>
      <c r="E54">
        <v>2</v>
      </c>
      <c r="F54">
        <v>53</v>
      </c>
      <c r="G54" t="str">
        <f t="shared" si="2"/>
        <v>C</v>
      </c>
      <c r="H54">
        <f t="shared" si="8"/>
        <v>2</v>
      </c>
      <c r="I54">
        <f t="shared" si="3"/>
        <v>0</v>
      </c>
      <c r="J54">
        <f t="shared" si="4"/>
        <v>4</v>
      </c>
      <c r="K54">
        <f t="shared" si="5"/>
        <v>0</v>
      </c>
      <c r="L54">
        <f t="shared" si="6"/>
        <v>1</v>
      </c>
      <c r="M54" t="str">
        <f t="shared" si="7"/>
        <v>C</v>
      </c>
      <c r="N54">
        <f t="shared" si="1"/>
        <v>1</v>
      </c>
    </row>
    <row r="55" spans="1:14" x14ac:dyDescent="0.4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v>54</v>
      </c>
      <c r="G55" t="str">
        <f t="shared" si="2"/>
        <v>C</v>
      </c>
      <c r="H55">
        <f t="shared" si="8"/>
        <v>2</v>
      </c>
      <c r="I55">
        <f t="shared" si="3"/>
        <v>0</v>
      </c>
      <c r="J55">
        <f t="shared" si="4"/>
        <v>5</v>
      </c>
      <c r="K55">
        <f t="shared" si="5"/>
        <v>0</v>
      </c>
      <c r="L55">
        <f t="shared" si="6"/>
        <v>0</v>
      </c>
      <c r="M55" t="str">
        <f t="shared" si="7"/>
        <v>C</v>
      </c>
      <c r="N55">
        <f t="shared" si="1"/>
        <v>1</v>
      </c>
    </row>
    <row r="56" spans="1:14" x14ac:dyDescent="0.45">
      <c r="A56">
        <v>55</v>
      </c>
      <c r="B56">
        <v>20.9</v>
      </c>
      <c r="C56">
        <v>9</v>
      </c>
      <c r="D56" t="s">
        <v>5</v>
      </c>
      <c r="E56">
        <v>2</v>
      </c>
      <c r="F56">
        <v>55</v>
      </c>
      <c r="G56" t="str">
        <f t="shared" si="2"/>
        <v>C</v>
      </c>
      <c r="H56">
        <f t="shared" si="8"/>
        <v>2</v>
      </c>
      <c r="I56">
        <f t="shared" si="3"/>
        <v>0</v>
      </c>
      <c r="J56">
        <f t="shared" si="4"/>
        <v>6</v>
      </c>
      <c r="K56">
        <f t="shared" si="5"/>
        <v>0</v>
      </c>
      <c r="L56">
        <f t="shared" si="6"/>
        <v>0</v>
      </c>
      <c r="M56" t="str">
        <f t="shared" si="7"/>
        <v>C</v>
      </c>
      <c r="N56">
        <f t="shared" si="1"/>
        <v>1</v>
      </c>
    </row>
    <row r="57" spans="1:14" x14ac:dyDescent="0.45">
      <c r="A57">
        <v>56</v>
      </c>
      <c r="B57">
        <v>24.5</v>
      </c>
      <c r="C57">
        <v>2</v>
      </c>
      <c r="D57" t="s">
        <v>5</v>
      </c>
      <c r="E57">
        <v>3</v>
      </c>
      <c r="F57">
        <v>56</v>
      </c>
      <c r="G57" t="str">
        <f t="shared" si="2"/>
        <v>C</v>
      </c>
      <c r="H57">
        <f t="shared" si="8"/>
        <v>3</v>
      </c>
      <c r="I57">
        <f t="shared" si="3"/>
        <v>0</v>
      </c>
      <c r="J57">
        <f t="shared" si="4"/>
        <v>7</v>
      </c>
      <c r="K57">
        <f t="shared" si="5"/>
        <v>0</v>
      </c>
      <c r="L57">
        <f t="shared" si="6"/>
        <v>0</v>
      </c>
      <c r="M57" t="str">
        <f t="shared" si="7"/>
        <v>C</v>
      </c>
      <c r="N57">
        <f t="shared" si="1"/>
        <v>1</v>
      </c>
    </row>
    <row r="58" spans="1:14" x14ac:dyDescent="0.45">
      <c r="A58">
        <v>57</v>
      </c>
      <c r="B58">
        <v>27.3</v>
      </c>
      <c r="C58">
        <v>16</v>
      </c>
      <c r="D58" t="s">
        <v>5</v>
      </c>
      <c r="E58">
        <v>3</v>
      </c>
      <c r="F58">
        <v>57</v>
      </c>
      <c r="G58" t="str">
        <f t="shared" si="2"/>
        <v>C</v>
      </c>
      <c r="H58">
        <f t="shared" si="8"/>
        <v>3</v>
      </c>
      <c r="I58">
        <f t="shared" si="3"/>
        <v>0</v>
      </c>
      <c r="J58">
        <f t="shared" si="4"/>
        <v>8</v>
      </c>
      <c r="K58">
        <f t="shared" si="5"/>
        <v>0</v>
      </c>
      <c r="L58">
        <f t="shared" si="6"/>
        <v>0</v>
      </c>
      <c r="M58" t="str">
        <f t="shared" si="7"/>
        <v>C</v>
      </c>
      <c r="N58">
        <f t="shared" si="1"/>
        <v>1</v>
      </c>
    </row>
    <row r="59" spans="1:14" x14ac:dyDescent="0.45">
      <c r="A59">
        <v>58</v>
      </c>
      <c r="B59">
        <v>28.4</v>
      </c>
      <c r="C59">
        <v>14</v>
      </c>
      <c r="D59" t="s">
        <v>5</v>
      </c>
      <c r="E59">
        <v>3</v>
      </c>
      <c r="F59">
        <v>58</v>
      </c>
      <c r="G59" t="str">
        <f t="shared" si="2"/>
        <v>C</v>
      </c>
      <c r="H59">
        <f t="shared" si="8"/>
        <v>3</v>
      </c>
      <c r="I59">
        <f t="shared" si="3"/>
        <v>0</v>
      </c>
      <c r="J59">
        <f t="shared" si="4"/>
        <v>9</v>
      </c>
      <c r="K59">
        <f t="shared" si="5"/>
        <v>0</v>
      </c>
      <c r="L59">
        <f t="shared" si="6"/>
        <v>0</v>
      </c>
      <c r="M59" t="str">
        <f t="shared" si="7"/>
        <v>C</v>
      </c>
      <c r="N59">
        <f t="shared" si="1"/>
        <v>1</v>
      </c>
    </row>
    <row r="60" spans="1:14" x14ac:dyDescent="0.45">
      <c r="A60">
        <v>59</v>
      </c>
      <c r="B60">
        <v>27.8</v>
      </c>
      <c r="C60">
        <v>14</v>
      </c>
      <c r="D60" t="s">
        <v>5</v>
      </c>
      <c r="E60">
        <v>3</v>
      </c>
      <c r="F60">
        <v>59</v>
      </c>
      <c r="G60" t="str">
        <f t="shared" si="2"/>
        <v>C</v>
      </c>
      <c r="H60">
        <f t="shared" si="8"/>
        <v>4</v>
      </c>
      <c r="I60">
        <f t="shared" si="3"/>
        <v>0</v>
      </c>
      <c r="J60">
        <f t="shared" si="4"/>
        <v>10</v>
      </c>
      <c r="K60">
        <f t="shared" si="5"/>
        <v>0</v>
      </c>
      <c r="L60">
        <f t="shared" si="6"/>
        <v>0</v>
      </c>
      <c r="M60" t="str">
        <f t="shared" si="7"/>
        <v>C</v>
      </c>
      <c r="N60">
        <f t="shared" si="1"/>
        <v>1</v>
      </c>
    </row>
    <row r="61" spans="1:14" x14ac:dyDescent="0.45">
      <c r="A61">
        <v>60</v>
      </c>
      <c r="B61">
        <v>25.9</v>
      </c>
      <c r="C61">
        <v>6</v>
      </c>
      <c r="D61" t="s">
        <v>5</v>
      </c>
      <c r="E61">
        <v>4</v>
      </c>
      <c r="F61">
        <v>60</v>
      </c>
      <c r="G61" t="str">
        <f t="shared" si="2"/>
        <v>C</v>
      </c>
      <c r="H61">
        <f t="shared" si="8"/>
        <v>4</v>
      </c>
      <c r="I61">
        <f t="shared" si="3"/>
        <v>0</v>
      </c>
      <c r="J61">
        <f t="shared" si="4"/>
        <v>11</v>
      </c>
      <c r="K61">
        <f t="shared" si="5"/>
        <v>0</v>
      </c>
      <c r="L61">
        <f t="shared" si="6"/>
        <v>0</v>
      </c>
      <c r="M61" t="str">
        <f t="shared" si="7"/>
        <v>C</v>
      </c>
      <c r="N61">
        <f t="shared" si="1"/>
        <v>1</v>
      </c>
    </row>
    <row r="62" spans="1:14" x14ac:dyDescent="0.45">
      <c r="A62">
        <v>61</v>
      </c>
      <c r="B62">
        <v>23.4</v>
      </c>
      <c r="C62">
        <v>21</v>
      </c>
      <c r="D62" t="s">
        <v>5</v>
      </c>
      <c r="E62">
        <v>4</v>
      </c>
      <c r="F62">
        <v>61</v>
      </c>
      <c r="G62" t="str">
        <f t="shared" si="2"/>
        <v>C</v>
      </c>
      <c r="H62">
        <f t="shared" si="8"/>
        <v>4</v>
      </c>
      <c r="I62">
        <f t="shared" si="3"/>
        <v>0</v>
      </c>
      <c r="J62">
        <f t="shared" si="4"/>
        <v>12</v>
      </c>
      <c r="K62">
        <f t="shared" si="5"/>
        <v>0</v>
      </c>
      <c r="L62">
        <f t="shared" si="6"/>
        <v>0</v>
      </c>
      <c r="M62" t="str">
        <f t="shared" si="7"/>
        <v>C</v>
      </c>
      <c r="N62">
        <f t="shared" si="1"/>
        <v>1</v>
      </c>
    </row>
    <row r="63" spans="1:14" x14ac:dyDescent="0.45">
      <c r="A63">
        <v>62</v>
      </c>
      <c r="B63">
        <v>21.2</v>
      </c>
      <c r="C63">
        <v>21</v>
      </c>
      <c r="D63" t="s">
        <v>5</v>
      </c>
      <c r="E63">
        <v>5</v>
      </c>
      <c r="F63">
        <v>62</v>
      </c>
      <c r="G63" t="str">
        <f t="shared" si="2"/>
        <v>C</v>
      </c>
      <c r="H63">
        <f t="shared" si="8"/>
        <v>5</v>
      </c>
      <c r="I63">
        <f t="shared" si="3"/>
        <v>0</v>
      </c>
      <c r="J63">
        <f t="shared" si="4"/>
        <v>13</v>
      </c>
      <c r="K63">
        <f t="shared" si="5"/>
        <v>0</v>
      </c>
      <c r="L63">
        <f t="shared" si="6"/>
        <v>0</v>
      </c>
      <c r="M63" t="str">
        <f t="shared" si="7"/>
        <v>C</v>
      </c>
      <c r="N63">
        <f t="shared" si="1"/>
        <v>1</v>
      </c>
    </row>
    <row r="64" spans="1:14" x14ac:dyDescent="0.45">
      <c r="A64">
        <v>63</v>
      </c>
      <c r="B64">
        <v>20</v>
      </c>
      <c r="C64">
        <v>0</v>
      </c>
      <c r="D64">
        <v>0</v>
      </c>
      <c r="E64">
        <v>0</v>
      </c>
      <c r="F64">
        <v>63</v>
      </c>
      <c r="G64">
        <f t="shared" si="2"/>
        <v>0</v>
      </c>
      <c r="H64">
        <f t="shared" si="8"/>
        <v>0</v>
      </c>
      <c r="I64">
        <f t="shared" si="3"/>
        <v>1</v>
      </c>
      <c r="J64">
        <f t="shared" si="4"/>
        <v>1</v>
      </c>
      <c r="K64">
        <f t="shared" si="5"/>
        <v>0</v>
      </c>
      <c r="L64">
        <f t="shared" si="6"/>
        <v>0</v>
      </c>
      <c r="M64" t="str">
        <f t="shared" si="7"/>
        <v>C</v>
      </c>
      <c r="N64">
        <f t="shared" si="1"/>
        <v>1</v>
      </c>
    </row>
    <row r="65" spans="1:14" x14ac:dyDescent="0.45">
      <c r="A65">
        <v>64</v>
      </c>
      <c r="B65">
        <v>20.3</v>
      </c>
      <c r="C65">
        <v>4</v>
      </c>
      <c r="D65" t="s">
        <v>5</v>
      </c>
      <c r="E65">
        <v>1</v>
      </c>
      <c r="F65">
        <v>64</v>
      </c>
      <c r="G65" t="str">
        <f t="shared" si="2"/>
        <v>C</v>
      </c>
      <c r="H65">
        <f t="shared" si="8"/>
        <v>1</v>
      </c>
      <c r="I65">
        <f t="shared" si="3"/>
        <v>0</v>
      </c>
      <c r="J65">
        <f t="shared" si="4"/>
        <v>1</v>
      </c>
      <c r="K65">
        <f t="shared" si="5"/>
        <v>1</v>
      </c>
      <c r="L65">
        <f t="shared" si="6"/>
        <v>0</v>
      </c>
      <c r="M65" t="str">
        <f t="shared" si="7"/>
        <v>C</v>
      </c>
      <c r="N65">
        <f t="shared" si="1"/>
        <v>1</v>
      </c>
    </row>
    <row r="66" spans="1:14" x14ac:dyDescent="0.45">
      <c r="A66">
        <v>65</v>
      </c>
      <c r="B66">
        <v>21.8</v>
      </c>
      <c r="C66">
        <v>6</v>
      </c>
      <c r="D66" t="s">
        <v>5</v>
      </c>
      <c r="E66">
        <v>1</v>
      </c>
      <c r="F66">
        <v>65</v>
      </c>
      <c r="G66" t="str">
        <f t="shared" si="2"/>
        <v>C</v>
      </c>
      <c r="H66">
        <f t="shared" si="8"/>
        <v>1</v>
      </c>
      <c r="I66">
        <f t="shared" si="3"/>
        <v>0</v>
      </c>
      <c r="J66">
        <f t="shared" si="4"/>
        <v>2</v>
      </c>
      <c r="K66">
        <f t="shared" si="5"/>
        <v>0</v>
      </c>
      <c r="L66">
        <f t="shared" si="6"/>
        <v>0</v>
      </c>
      <c r="M66" t="str">
        <f t="shared" si="7"/>
        <v>C</v>
      </c>
      <c r="N66">
        <f t="shared" si="1"/>
        <v>1</v>
      </c>
    </row>
    <row r="67" spans="1:14" x14ac:dyDescent="0.45">
      <c r="A67">
        <v>66</v>
      </c>
      <c r="B67">
        <v>24</v>
      </c>
      <c r="C67">
        <v>3</v>
      </c>
      <c r="D67" t="s">
        <v>5</v>
      </c>
      <c r="E67">
        <v>1</v>
      </c>
      <c r="F67">
        <v>66</v>
      </c>
      <c r="G67" t="str">
        <f t="shared" si="2"/>
        <v>C</v>
      </c>
      <c r="H67">
        <f t="shared" si="8"/>
        <v>1</v>
      </c>
      <c r="I67">
        <f t="shared" si="3"/>
        <v>0</v>
      </c>
      <c r="J67">
        <f t="shared" si="4"/>
        <v>3</v>
      </c>
      <c r="K67">
        <f t="shared" si="5"/>
        <v>0</v>
      </c>
      <c r="L67">
        <f t="shared" si="6"/>
        <v>0</v>
      </c>
      <c r="M67" t="str">
        <f t="shared" si="7"/>
        <v>C</v>
      </c>
      <c r="N67">
        <f t="shared" ref="N67:N130" si="9">IF(G67=D67,1,0)</f>
        <v>1</v>
      </c>
    </row>
    <row r="68" spans="1:14" x14ac:dyDescent="0.45">
      <c r="A68">
        <v>67</v>
      </c>
      <c r="B68">
        <v>26.1</v>
      </c>
      <c r="C68">
        <v>7</v>
      </c>
      <c r="D68" t="s">
        <v>5</v>
      </c>
      <c r="E68">
        <v>2</v>
      </c>
      <c r="F68">
        <v>67</v>
      </c>
      <c r="G68" t="str">
        <f t="shared" ref="G68:G131" si="10">IF(I68=1,0, IF(K68=1,M68,G67))</f>
        <v>C</v>
      </c>
      <c r="H68">
        <f t="shared" si="8"/>
        <v>2</v>
      </c>
      <c r="I68">
        <f t="shared" ref="I68:I131" si="11">IF(AND(H67=5,C67&gt;=20),1,0)</f>
        <v>0</v>
      </c>
      <c r="J68">
        <f t="shared" ref="J68:J131" si="12">IF(G68=G67,J67+1,1)</f>
        <v>4</v>
      </c>
      <c r="K68">
        <f t="shared" ref="K68:K131" si="13">IF(AND(G67=0,H67=0),1,0)</f>
        <v>0</v>
      </c>
      <c r="L68">
        <f t="shared" ref="L68:L131" si="14">IF(J67=3,1,0)</f>
        <v>1</v>
      </c>
      <c r="M68" t="str">
        <f t="shared" ref="M68:M131" si="15">IF(B68&lt;10,"S","C")</f>
        <v>C</v>
      </c>
      <c r="N68">
        <f t="shared" si="9"/>
        <v>1</v>
      </c>
    </row>
    <row r="69" spans="1:14" x14ac:dyDescent="0.45">
      <c r="A69">
        <v>68</v>
      </c>
      <c r="B69">
        <v>27.3</v>
      </c>
      <c r="C69">
        <v>6</v>
      </c>
      <c r="D69" t="s">
        <v>5</v>
      </c>
      <c r="E69">
        <v>2</v>
      </c>
      <c r="F69">
        <v>68</v>
      </c>
      <c r="G69" t="str">
        <f t="shared" si="10"/>
        <v>C</v>
      </c>
      <c r="H69">
        <f t="shared" si="8"/>
        <v>2</v>
      </c>
      <c r="I69">
        <f t="shared" si="11"/>
        <v>0</v>
      </c>
      <c r="J69">
        <f t="shared" si="12"/>
        <v>5</v>
      </c>
      <c r="K69">
        <f t="shared" si="13"/>
        <v>0</v>
      </c>
      <c r="L69">
        <f t="shared" si="14"/>
        <v>0</v>
      </c>
      <c r="M69" t="str">
        <f t="shared" si="15"/>
        <v>C</v>
      </c>
      <c r="N69">
        <f t="shared" si="9"/>
        <v>1</v>
      </c>
    </row>
    <row r="70" spans="1:14" x14ac:dyDescent="0.45">
      <c r="A70">
        <v>69</v>
      </c>
      <c r="B70">
        <v>26.8</v>
      </c>
      <c r="C70">
        <v>8</v>
      </c>
      <c r="D70" t="s">
        <v>5</v>
      </c>
      <c r="E70">
        <v>2</v>
      </c>
      <c r="F70">
        <v>69</v>
      </c>
      <c r="G70" t="str">
        <f t="shared" si="10"/>
        <v>C</v>
      </c>
      <c r="H70">
        <f t="shared" si="8"/>
        <v>2</v>
      </c>
      <c r="I70">
        <f t="shared" si="11"/>
        <v>0</v>
      </c>
      <c r="J70">
        <f t="shared" si="12"/>
        <v>6</v>
      </c>
      <c r="K70">
        <f t="shared" si="13"/>
        <v>0</v>
      </c>
      <c r="L70">
        <f t="shared" si="14"/>
        <v>0</v>
      </c>
      <c r="M70" t="str">
        <f t="shared" si="15"/>
        <v>C</v>
      </c>
      <c r="N70">
        <f t="shared" si="9"/>
        <v>1</v>
      </c>
    </row>
    <row r="71" spans="1:14" x14ac:dyDescent="0.45">
      <c r="A71">
        <v>70</v>
      </c>
      <c r="B71">
        <v>24.7</v>
      </c>
      <c r="C71">
        <v>3</v>
      </c>
      <c r="D71" t="s">
        <v>5</v>
      </c>
      <c r="E71">
        <v>3</v>
      </c>
      <c r="F71">
        <v>70</v>
      </c>
      <c r="G71" t="str">
        <f t="shared" si="10"/>
        <v>C</v>
      </c>
      <c r="H71">
        <f t="shared" ref="H71:H134" si="16">IF(I71=1,0,IF(K71=1,1,IF(MOD(J70,3)=0, IF(H70+1&gt;5,5,H70+1),H70)))</f>
        <v>3</v>
      </c>
      <c r="I71">
        <f t="shared" si="11"/>
        <v>0</v>
      </c>
      <c r="J71">
        <f t="shared" si="12"/>
        <v>7</v>
      </c>
      <c r="K71">
        <f t="shared" si="13"/>
        <v>0</v>
      </c>
      <c r="L71">
        <f t="shared" si="14"/>
        <v>0</v>
      </c>
      <c r="M71" t="str">
        <f t="shared" si="15"/>
        <v>C</v>
      </c>
      <c r="N71">
        <f t="shared" si="9"/>
        <v>1</v>
      </c>
    </row>
    <row r="72" spans="1:14" x14ac:dyDescent="0.45">
      <c r="A72">
        <v>71</v>
      </c>
      <c r="B72">
        <v>21.2</v>
      </c>
      <c r="C72">
        <v>16</v>
      </c>
      <c r="D72" t="s">
        <v>5</v>
      </c>
      <c r="E72">
        <v>3</v>
      </c>
      <c r="F72">
        <v>71</v>
      </c>
      <c r="G72" t="str">
        <f t="shared" si="10"/>
        <v>C</v>
      </c>
      <c r="H72">
        <f t="shared" si="16"/>
        <v>3</v>
      </c>
      <c r="I72">
        <f t="shared" si="11"/>
        <v>0</v>
      </c>
      <c r="J72">
        <f t="shared" si="12"/>
        <v>8</v>
      </c>
      <c r="K72">
        <f t="shared" si="13"/>
        <v>0</v>
      </c>
      <c r="L72">
        <f t="shared" si="14"/>
        <v>0</v>
      </c>
      <c r="M72" t="str">
        <f t="shared" si="15"/>
        <v>C</v>
      </c>
      <c r="N72">
        <f t="shared" si="9"/>
        <v>1</v>
      </c>
    </row>
    <row r="73" spans="1:14" x14ac:dyDescent="0.45">
      <c r="A73">
        <v>72</v>
      </c>
      <c r="B73">
        <v>17.3</v>
      </c>
      <c r="C73">
        <v>8</v>
      </c>
      <c r="D73" t="s">
        <v>5</v>
      </c>
      <c r="E73">
        <v>3</v>
      </c>
      <c r="F73">
        <v>72</v>
      </c>
      <c r="G73" t="str">
        <f t="shared" si="10"/>
        <v>C</v>
      </c>
      <c r="H73">
        <f t="shared" si="16"/>
        <v>3</v>
      </c>
      <c r="I73">
        <f t="shared" si="11"/>
        <v>0</v>
      </c>
      <c r="J73">
        <f t="shared" si="12"/>
        <v>9</v>
      </c>
      <c r="K73">
        <f t="shared" si="13"/>
        <v>0</v>
      </c>
      <c r="L73">
        <f t="shared" si="14"/>
        <v>0</v>
      </c>
      <c r="M73" t="str">
        <f t="shared" si="15"/>
        <v>C</v>
      </c>
      <c r="N73">
        <f t="shared" si="9"/>
        <v>1</v>
      </c>
    </row>
    <row r="74" spans="1:14" x14ac:dyDescent="0.45">
      <c r="A74">
        <v>73</v>
      </c>
      <c r="B74">
        <v>13.7</v>
      </c>
      <c r="C74">
        <v>19</v>
      </c>
      <c r="D74" t="s">
        <v>5</v>
      </c>
      <c r="E74">
        <v>4</v>
      </c>
      <c r="F74">
        <v>73</v>
      </c>
      <c r="G74" t="str">
        <f t="shared" si="10"/>
        <v>C</v>
      </c>
      <c r="H74">
        <f t="shared" si="16"/>
        <v>4</v>
      </c>
      <c r="I74">
        <f t="shared" si="11"/>
        <v>0</v>
      </c>
      <c r="J74">
        <f t="shared" si="12"/>
        <v>10</v>
      </c>
      <c r="K74">
        <f t="shared" si="13"/>
        <v>0</v>
      </c>
      <c r="L74">
        <f t="shared" si="14"/>
        <v>0</v>
      </c>
      <c r="M74" t="str">
        <f t="shared" si="15"/>
        <v>C</v>
      </c>
      <c r="N74">
        <f t="shared" si="9"/>
        <v>1</v>
      </c>
    </row>
    <row r="75" spans="1:14" x14ac:dyDescent="0.45">
      <c r="A75">
        <v>74</v>
      </c>
      <c r="B75">
        <v>11.3</v>
      </c>
      <c r="C75">
        <v>5</v>
      </c>
      <c r="D75" t="s">
        <v>5</v>
      </c>
      <c r="E75">
        <v>4</v>
      </c>
      <c r="F75">
        <v>74</v>
      </c>
      <c r="G75" t="str">
        <f t="shared" si="10"/>
        <v>C</v>
      </c>
      <c r="H75">
        <f t="shared" si="16"/>
        <v>4</v>
      </c>
      <c r="I75">
        <f t="shared" si="11"/>
        <v>0</v>
      </c>
      <c r="J75">
        <f t="shared" si="12"/>
        <v>11</v>
      </c>
      <c r="K75">
        <f t="shared" si="13"/>
        <v>0</v>
      </c>
      <c r="L75">
        <f t="shared" si="14"/>
        <v>0</v>
      </c>
      <c r="M75" t="str">
        <f t="shared" si="15"/>
        <v>C</v>
      </c>
      <c r="N75">
        <f t="shared" si="9"/>
        <v>1</v>
      </c>
    </row>
    <row r="76" spans="1:14" x14ac:dyDescent="0.45">
      <c r="A76">
        <v>75</v>
      </c>
      <c r="B76">
        <v>10.5</v>
      </c>
      <c r="C76">
        <v>2</v>
      </c>
      <c r="D76" t="s">
        <v>5</v>
      </c>
      <c r="E76">
        <v>4</v>
      </c>
      <c r="F76">
        <v>75</v>
      </c>
      <c r="G76" t="str">
        <f t="shared" si="10"/>
        <v>C</v>
      </c>
      <c r="H76">
        <f t="shared" si="16"/>
        <v>4</v>
      </c>
      <c r="I76">
        <f t="shared" si="11"/>
        <v>0</v>
      </c>
      <c r="J76">
        <f t="shared" si="12"/>
        <v>12</v>
      </c>
      <c r="K76">
        <f t="shared" si="13"/>
        <v>0</v>
      </c>
      <c r="L76">
        <f t="shared" si="14"/>
        <v>0</v>
      </c>
      <c r="M76" t="str">
        <f t="shared" si="15"/>
        <v>C</v>
      </c>
      <c r="N76">
        <f t="shared" si="9"/>
        <v>1</v>
      </c>
    </row>
    <row r="77" spans="1:14" x14ac:dyDescent="0.45">
      <c r="A77">
        <v>76</v>
      </c>
      <c r="B77">
        <v>11</v>
      </c>
      <c r="C77">
        <v>22</v>
      </c>
      <c r="D77" t="s">
        <v>5</v>
      </c>
      <c r="E77">
        <v>5</v>
      </c>
      <c r="F77">
        <v>76</v>
      </c>
      <c r="G77" t="str">
        <f t="shared" si="10"/>
        <v>C</v>
      </c>
      <c r="H77">
        <f t="shared" si="16"/>
        <v>5</v>
      </c>
      <c r="I77">
        <f t="shared" si="11"/>
        <v>0</v>
      </c>
      <c r="J77">
        <f t="shared" si="12"/>
        <v>13</v>
      </c>
      <c r="K77">
        <f t="shared" si="13"/>
        <v>0</v>
      </c>
      <c r="L77">
        <f t="shared" si="14"/>
        <v>0</v>
      </c>
      <c r="M77" t="str">
        <f t="shared" si="15"/>
        <v>C</v>
      </c>
      <c r="N77">
        <f t="shared" si="9"/>
        <v>1</v>
      </c>
    </row>
    <row r="78" spans="1:14" x14ac:dyDescent="0.45">
      <c r="A78">
        <v>77</v>
      </c>
      <c r="B78">
        <v>12.5</v>
      </c>
      <c r="C78">
        <v>0</v>
      </c>
      <c r="D78">
        <v>0</v>
      </c>
      <c r="E78">
        <v>0</v>
      </c>
      <c r="F78">
        <v>77</v>
      </c>
      <c r="G78">
        <f t="shared" si="10"/>
        <v>0</v>
      </c>
      <c r="H78">
        <f t="shared" si="16"/>
        <v>0</v>
      </c>
      <c r="I78">
        <f t="shared" si="11"/>
        <v>1</v>
      </c>
      <c r="J78">
        <f t="shared" si="12"/>
        <v>1</v>
      </c>
      <c r="K78">
        <f t="shared" si="13"/>
        <v>0</v>
      </c>
      <c r="L78">
        <f t="shared" si="14"/>
        <v>0</v>
      </c>
      <c r="M78" t="str">
        <f t="shared" si="15"/>
        <v>C</v>
      </c>
      <c r="N78">
        <f t="shared" si="9"/>
        <v>1</v>
      </c>
    </row>
    <row r="79" spans="1:14" x14ac:dyDescent="0.45">
      <c r="A79">
        <v>78</v>
      </c>
      <c r="B79">
        <v>14</v>
      </c>
      <c r="C79">
        <v>2</v>
      </c>
      <c r="D79" t="s">
        <v>5</v>
      </c>
      <c r="E79">
        <v>1</v>
      </c>
      <c r="F79">
        <v>78</v>
      </c>
      <c r="G79" t="str">
        <f t="shared" si="10"/>
        <v>C</v>
      </c>
      <c r="H79">
        <f t="shared" si="16"/>
        <v>1</v>
      </c>
      <c r="I79">
        <f t="shared" si="11"/>
        <v>0</v>
      </c>
      <c r="J79">
        <f t="shared" si="12"/>
        <v>1</v>
      </c>
      <c r="K79">
        <f t="shared" si="13"/>
        <v>1</v>
      </c>
      <c r="L79">
        <f t="shared" si="14"/>
        <v>0</v>
      </c>
      <c r="M79" t="str">
        <f t="shared" si="15"/>
        <v>C</v>
      </c>
      <c r="N79">
        <f t="shared" si="9"/>
        <v>1</v>
      </c>
    </row>
    <row r="80" spans="1:14" x14ac:dyDescent="0.45">
      <c r="A80">
        <v>79</v>
      </c>
      <c r="B80">
        <v>14.7</v>
      </c>
      <c r="C80">
        <v>4</v>
      </c>
      <c r="D80" t="s">
        <v>5</v>
      </c>
      <c r="E80">
        <v>1</v>
      </c>
      <c r="F80">
        <v>79</v>
      </c>
      <c r="G80" t="str">
        <f t="shared" si="10"/>
        <v>C</v>
      </c>
      <c r="H80">
        <f t="shared" si="16"/>
        <v>1</v>
      </c>
      <c r="I80">
        <f t="shared" si="11"/>
        <v>0</v>
      </c>
      <c r="J80">
        <f t="shared" si="12"/>
        <v>2</v>
      </c>
      <c r="K80">
        <f t="shared" si="13"/>
        <v>0</v>
      </c>
      <c r="L80">
        <f t="shared" si="14"/>
        <v>0</v>
      </c>
      <c r="M80" t="str">
        <f t="shared" si="15"/>
        <v>C</v>
      </c>
      <c r="N80">
        <f t="shared" si="9"/>
        <v>1</v>
      </c>
    </row>
    <row r="81" spans="1:14" x14ac:dyDescent="0.45">
      <c r="A81">
        <v>80</v>
      </c>
      <c r="B81">
        <v>14.1</v>
      </c>
      <c r="C81">
        <v>5</v>
      </c>
      <c r="D81" t="s">
        <v>6</v>
      </c>
      <c r="E81">
        <v>1</v>
      </c>
      <c r="F81">
        <v>80</v>
      </c>
      <c r="G81" t="str">
        <f t="shared" si="10"/>
        <v>C</v>
      </c>
      <c r="H81">
        <f t="shared" si="16"/>
        <v>1</v>
      </c>
      <c r="I81">
        <f t="shared" si="11"/>
        <v>0</v>
      </c>
      <c r="J81">
        <f t="shared" si="12"/>
        <v>3</v>
      </c>
      <c r="K81">
        <f t="shared" si="13"/>
        <v>0</v>
      </c>
      <c r="L81">
        <f t="shared" si="14"/>
        <v>0</v>
      </c>
      <c r="M81" t="str">
        <f t="shared" si="15"/>
        <v>C</v>
      </c>
      <c r="N81">
        <f t="shared" si="9"/>
        <v>0</v>
      </c>
    </row>
    <row r="82" spans="1:14" x14ac:dyDescent="0.45">
      <c r="A82">
        <v>81</v>
      </c>
      <c r="B82">
        <v>11.9</v>
      </c>
      <c r="C82">
        <v>8</v>
      </c>
      <c r="D82" t="s">
        <v>5</v>
      </c>
      <c r="E82">
        <v>2</v>
      </c>
      <c r="F82">
        <v>81</v>
      </c>
      <c r="G82" t="str">
        <f t="shared" si="10"/>
        <v>C</v>
      </c>
      <c r="H82">
        <f t="shared" si="16"/>
        <v>2</v>
      </c>
      <c r="I82">
        <f t="shared" si="11"/>
        <v>0</v>
      </c>
      <c r="J82">
        <f t="shared" si="12"/>
        <v>4</v>
      </c>
      <c r="K82">
        <f t="shared" si="13"/>
        <v>0</v>
      </c>
      <c r="L82">
        <f t="shared" si="14"/>
        <v>1</v>
      </c>
      <c r="M82" t="str">
        <f t="shared" si="15"/>
        <v>C</v>
      </c>
      <c r="N82">
        <f t="shared" si="9"/>
        <v>1</v>
      </c>
    </row>
    <row r="83" spans="1:14" x14ac:dyDescent="0.4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v>82</v>
      </c>
      <c r="G83" t="str">
        <f t="shared" si="10"/>
        <v>C</v>
      </c>
      <c r="H83">
        <f t="shared" si="16"/>
        <v>2</v>
      </c>
      <c r="I83">
        <f t="shared" si="11"/>
        <v>0</v>
      </c>
      <c r="J83">
        <f t="shared" si="12"/>
        <v>5</v>
      </c>
      <c r="K83">
        <f t="shared" si="13"/>
        <v>0</v>
      </c>
      <c r="L83">
        <f t="shared" si="14"/>
        <v>0</v>
      </c>
      <c r="M83" t="str">
        <f t="shared" si="15"/>
        <v>S</v>
      </c>
      <c r="N83">
        <f t="shared" si="9"/>
        <v>1</v>
      </c>
    </row>
    <row r="84" spans="1:14" x14ac:dyDescent="0.4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v>83</v>
      </c>
      <c r="G84" t="str">
        <f t="shared" si="10"/>
        <v>C</v>
      </c>
      <c r="H84">
        <f t="shared" si="16"/>
        <v>2</v>
      </c>
      <c r="I84">
        <f t="shared" si="11"/>
        <v>0</v>
      </c>
      <c r="J84">
        <f t="shared" si="12"/>
        <v>6</v>
      </c>
      <c r="K84">
        <f t="shared" si="13"/>
        <v>0</v>
      </c>
      <c r="L84">
        <f t="shared" si="14"/>
        <v>0</v>
      </c>
      <c r="M84" t="str">
        <f t="shared" si="15"/>
        <v>S</v>
      </c>
      <c r="N84">
        <f t="shared" si="9"/>
        <v>1</v>
      </c>
    </row>
    <row r="85" spans="1:14" x14ac:dyDescent="0.4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v>84</v>
      </c>
      <c r="G85" t="str">
        <f t="shared" si="10"/>
        <v>C</v>
      </c>
      <c r="H85">
        <f t="shared" si="16"/>
        <v>3</v>
      </c>
      <c r="I85">
        <f t="shared" si="11"/>
        <v>0</v>
      </c>
      <c r="J85">
        <f t="shared" si="12"/>
        <v>7</v>
      </c>
      <c r="K85">
        <f t="shared" si="13"/>
        <v>0</v>
      </c>
      <c r="L85">
        <f t="shared" si="14"/>
        <v>0</v>
      </c>
      <c r="M85" t="str">
        <f t="shared" si="15"/>
        <v>S</v>
      </c>
      <c r="N85">
        <f t="shared" si="9"/>
        <v>1</v>
      </c>
    </row>
    <row r="86" spans="1:14" x14ac:dyDescent="0.45">
      <c r="A86">
        <v>85</v>
      </c>
      <c r="B86">
        <v>0.5</v>
      </c>
      <c r="C86">
        <v>5</v>
      </c>
      <c r="D86" t="s">
        <v>5</v>
      </c>
      <c r="E86">
        <v>3</v>
      </c>
      <c r="F86">
        <v>85</v>
      </c>
      <c r="G86" t="str">
        <f t="shared" si="10"/>
        <v>C</v>
      </c>
      <c r="H86">
        <f t="shared" si="16"/>
        <v>3</v>
      </c>
      <c r="I86">
        <f t="shared" si="11"/>
        <v>0</v>
      </c>
      <c r="J86">
        <f t="shared" si="12"/>
        <v>8</v>
      </c>
      <c r="K86">
        <f t="shared" si="13"/>
        <v>0</v>
      </c>
      <c r="L86">
        <f t="shared" si="14"/>
        <v>0</v>
      </c>
      <c r="M86" t="str">
        <f t="shared" si="15"/>
        <v>S</v>
      </c>
      <c r="N86">
        <f t="shared" si="9"/>
        <v>1</v>
      </c>
    </row>
    <row r="87" spans="1:14" x14ac:dyDescent="0.45">
      <c r="A87">
        <v>86</v>
      </c>
      <c r="B87">
        <v>0.6</v>
      </c>
      <c r="C87">
        <v>13</v>
      </c>
      <c r="D87" t="s">
        <v>5</v>
      </c>
      <c r="E87">
        <v>3</v>
      </c>
      <c r="F87">
        <v>86</v>
      </c>
      <c r="G87" t="str">
        <f t="shared" si="10"/>
        <v>C</v>
      </c>
      <c r="H87">
        <f t="shared" si="16"/>
        <v>3</v>
      </c>
      <c r="I87">
        <f t="shared" si="11"/>
        <v>0</v>
      </c>
      <c r="J87">
        <f t="shared" si="12"/>
        <v>9</v>
      </c>
      <c r="K87">
        <f t="shared" si="13"/>
        <v>0</v>
      </c>
      <c r="L87">
        <f t="shared" si="14"/>
        <v>0</v>
      </c>
      <c r="M87" t="str">
        <f t="shared" si="15"/>
        <v>S</v>
      </c>
      <c r="N87">
        <f t="shared" si="9"/>
        <v>1</v>
      </c>
    </row>
    <row r="88" spans="1:14" x14ac:dyDescent="0.4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v>87</v>
      </c>
      <c r="G88" t="str">
        <f t="shared" si="10"/>
        <v>C</v>
      </c>
      <c r="H88">
        <f t="shared" si="16"/>
        <v>4</v>
      </c>
      <c r="I88">
        <f t="shared" si="11"/>
        <v>0</v>
      </c>
      <c r="J88">
        <f t="shared" si="12"/>
        <v>10</v>
      </c>
      <c r="K88">
        <f t="shared" si="13"/>
        <v>0</v>
      </c>
      <c r="L88">
        <f t="shared" si="14"/>
        <v>0</v>
      </c>
      <c r="M88" t="str">
        <f t="shared" si="15"/>
        <v>S</v>
      </c>
      <c r="N88">
        <f t="shared" si="9"/>
        <v>1</v>
      </c>
    </row>
    <row r="89" spans="1:14" x14ac:dyDescent="0.45">
      <c r="A89">
        <v>88</v>
      </c>
      <c r="B89">
        <v>5</v>
      </c>
      <c r="C89">
        <v>9</v>
      </c>
      <c r="D89" t="s">
        <v>5</v>
      </c>
      <c r="E89">
        <v>4</v>
      </c>
      <c r="F89">
        <v>88</v>
      </c>
      <c r="G89" t="str">
        <f t="shared" si="10"/>
        <v>C</v>
      </c>
      <c r="H89">
        <f t="shared" si="16"/>
        <v>4</v>
      </c>
      <c r="I89">
        <f t="shared" si="11"/>
        <v>0</v>
      </c>
      <c r="J89">
        <f t="shared" si="12"/>
        <v>11</v>
      </c>
      <c r="K89">
        <f t="shared" si="13"/>
        <v>0</v>
      </c>
      <c r="L89">
        <f t="shared" si="14"/>
        <v>0</v>
      </c>
      <c r="M89" t="str">
        <f t="shared" si="15"/>
        <v>S</v>
      </c>
      <c r="N89">
        <f t="shared" si="9"/>
        <v>1</v>
      </c>
    </row>
    <row r="90" spans="1:14" x14ac:dyDescent="0.45">
      <c r="A90">
        <v>89</v>
      </c>
      <c r="B90">
        <v>7.9</v>
      </c>
      <c r="C90">
        <v>24</v>
      </c>
      <c r="D90" t="s">
        <v>5</v>
      </c>
      <c r="E90">
        <v>4</v>
      </c>
      <c r="F90">
        <v>89</v>
      </c>
      <c r="G90" t="str">
        <f t="shared" si="10"/>
        <v>C</v>
      </c>
      <c r="H90">
        <f t="shared" si="16"/>
        <v>4</v>
      </c>
      <c r="I90">
        <f t="shared" si="11"/>
        <v>0</v>
      </c>
      <c r="J90">
        <f t="shared" si="12"/>
        <v>12</v>
      </c>
      <c r="K90">
        <f t="shared" si="13"/>
        <v>0</v>
      </c>
      <c r="L90">
        <f t="shared" si="14"/>
        <v>0</v>
      </c>
      <c r="M90" t="str">
        <f t="shared" si="15"/>
        <v>S</v>
      </c>
      <c r="N90">
        <f t="shared" si="9"/>
        <v>1</v>
      </c>
    </row>
    <row r="91" spans="1:14" x14ac:dyDescent="0.45">
      <c r="A91">
        <v>90</v>
      </c>
      <c r="B91">
        <v>10</v>
      </c>
      <c r="C91">
        <v>15</v>
      </c>
      <c r="D91" t="s">
        <v>5</v>
      </c>
      <c r="E91">
        <v>5</v>
      </c>
      <c r="F91">
        <v>90</v>
      </c>
      <c r="G91" t="str">
        <f t="shared" si="10"/>
        <v>C</v>
      </c>
      <c r="H91">
        <f t="shared" si="16"/>
        <v>5</v>
      </c>
      <c r="I91">
        <f t="shared" si="11"/>
        <v>0</v>
      </c>
      <c r="J91">
        <f t="shared" si="12"/>
        <v>13</v>
      </c>
      <c r="K91">
        <f t="shared" si="13"/>
        <v>0</v>
      </c>
      <c r="L91">
        <f t="shared" si="14"/>
        <v>0</v>
      </c>
      <c r="M91" t="str">
        <f t="shared" si="15"/>
        <v>C</v>
      </c>
      <c r="N91">
        <f t="shared" si="9"/>
        <v>1</v>
      </c>
    </row>
    <row r="92" spans="1:14" x14ac:dyDescent="0.45">
      <c r="A92">
        <v>91</v>
      </c>
      <c r="B92">
        <v>10.9</v>
      </c>
      <c r="C92">
        <v>29</v>
      </c>
      <c r="D92" t="s">
        <v>5</v>
      </c>
      <c r="E92">
        <v>5</v>
      </c>
      <c r="F92">
        <v>91</v>
      </c>
      <c r="G92" t="str">
        <f t="shared" si="10"/>
        <v>C</v>
      </c>
      <c r="H92">
        <f t="shared" si="16"/>
        <v>5</v>
      </c>
      <c r="I92">
        <f t="shared" si="11"/>
        <v>0</v>
      </c>
      <c r="J92">
        <f t="shared" si="12"/>
        <v>14</v>
      </c>
      <c r="K92">
        <f t="shared" si="13"/>
        <v>0</v>
      </c>
      <c r="L92">
        <f t="shared" si="14"/>
        <v>0</v>
      </c>
      <c r="M92" t="str">
        <f t="shared" si="15"/>
        <v>C</v>
      </c>
      <c r="N92">
        <f t="shared" si="9"/>
        <v>1</v>
      </c>
    </row>
    <row r="93" spans="1:14" x14ac:dyDescent="0.45">
      <c r="A93">
        <v>92</v>
      </c>
      <c r="B93">
        <v>10.3</v>
      </c>
      <c r="C93">
        <v>0</v>
      </c>
      <c r="D93">
        <v>0</v>
      </c>
      <c r="E93">
        <v>0</v>
      </c>
      <c r="F93">
        <v>92</v>
      </c>
      <c r="G93">
        <f t="shared" si="10"/>
        <v>0</v>
      </c>
      <c r="H93">
        <f t="shared" si="16"/>
        <v>0</v>
      </c>
      <c r="I93">
        <f t="shared" si="11"/>
        <v>1</v>
      </c>
      <c r="J93">
        <f t="shared" si="12"/>
        <v>1</v>
      </c>
      <c r="K93">
        <f t="shared" si="13"/>
        <v>0</v>
      </c>
      <c r="L93">
        <f t="shared" si="14"/>
        <v>0</v>
      </c>
      <c r="M93" t="str">
        <f t="shared" si="15"/>
        <v>C</v>
      </c>
      <c r="N93">
        <f t="shared" si="9"/>
        <v>1</v>
      </c>
    </row>
    <row r="94" spans="1:14" x14ac:dyDescent="0.4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v>93</v>
      </c>
      <c r="G94" t="str">
        <f t="shared" si="10"/>
        <v>S</v>
      </c>
      <c r="H94">
        <f t="shared" si="16"/>
        <v>1</v>
      </c>
      <c r="I94">
        <f t="shared" si="11"/>
        <v>0</v>
      </c>
      <c r="J94">
        <f t="shared" si="12"/>
        <v>1</v>
      </c>
      <c r="K94">
        <f t="shared" si="13"/>
        <v>1</v>
      </c>
      <c r="L94">
        <f t="shared" si="14"/>
        <v>0</v>
      </c>
      <c r="M94" t="str">
        <f t="shared" si="15"/>
        <v>S</v>
      </c>
      <c r="N94">
        <f t="shared" si="9"/>
        <v>1</v>
      </c>
    </row>
    <row r="95" spans="1:14" x14ac:dyDescent="0.45">
      <c r="A95">
        <v>94</v>
      </c>
      <c r="B95">
        <v>6.7</v>
      </c>
      <c r="C95">
        <v>3</v>
      </c>
      <c r="D95" t="s">
        <v>6</v>
      </c>
      <c r="E95">
        <v>1</v>
      </c>
      <c r="F95">
        <v>94</v>
      </c>
      <c r="G95" t="str">
        <f t="shared" si="10"/>
        <v>S</v>
      </c>
      <c r="H95">
        <f t="shared" si="16"/>
        <v>1</v>
      </c>
      <c r="I95">
        <f t="shared" si="11"/>
        <v>0</v>
      </c>
      <c r="J95">
        <f t="shared" si="12"/>
        <v>2</v>
      </c>
      <c r="K95">
        <f t="shared" si="13"/>
        <v>0</v>
      </c>
      <c r="L95">
        <f t="shared" si="14"/>
        <v>0</v>
      </c>
      <c r="M95" t="str">
        <f t="shared" si="15"/>
        <v>S</v>
      </c>
      <c r="N95">
        <f t="shared" si="9"/>
        <v>1</v>
      </c>
    </row>
    <row r="96" spans="1:14" x14ac:dyDescent="0.45">
      <c r="A96">
        <v>95</v>
      </c>
      <c r="B96">
        <v>5.3</v>
      </c>
      <c r="C96">
        <v>6</v>
      </c>
      <c r="D96" t="s">
        <v>6</v>
      </c>
      <c r="E96">
        <v>1</v>
      </c>
      <c r="F96">
        <v>95</v>
      </c>
      <c r="G96" t="str">
        <f t="shared" si="10"/>
        <v>S</v>
      </c>
      <c r="H96">
        <f t="shared" si="16"/>
        <v>1</v>
      </c>
      <c r="I96">
        <f t="shared" si="11"/>
        <v>0</v>
      </c>
      <c r="J96">
        <f t="shared" si="12"/>
        <v>3</v>
      </c>
      <c r="K96">
        <f t="shared" si="13"/>
        <v>0</v>
      </c>
      <c r="L96">
        <f t="shared" si="14"/>
        <v>0</v>
      </c>
      <c r="M96" t="str">
        <f t="shared" si="15"/>
        <v>S</v>
      </c>
      <c r="N96">
        <f t="shared" si="9"/>
        <v>1</v>
      </c>
    </row>
    <row r="97" spans="1:14" x14ac:dyDescent="0.45">
      <c r="A97">
        <v>96</v>
      </c>
      <c r="B97">
        <v>5.2</v>
      </c>
      <c r="C97">
        <v>3</v>
      </c>
      <c r="D97" t="s">
        <v>6</v>
      </c>
      <c r="E97">
        <v>2</v>
      </c>
      <c r="F97">
        <v>96</v>
      </c>
      <c r="G97" t="str">
        <f t="shared" si="10"/>
        <v>S</v>
      </c>
      <c r="H97">
        <f t="shared" si="16"/>
        <v>2</v>
      </c>
      <c r="I97">
        <f t="shared" si="11"/>
        <v>0</v>
      </c>
      <c r="J97">
        <f t="shared" si="12"/>
        <v>4</v>
      </c>
      <c r="K97">
        <f t="shared" si="13"/>
        <v>0</v>
      </c>
      <c r="L97">
        <f t="shared" si="14"/>
        <v>1</v>
      </c>
      <c r="M97" t="str">
        <f t="shared" si="15"/>
        <v>S</v>
      </c>
      <c r="N97">
        <f t="shared" si="9"/>
        <v>1</v>
      </c>
    </row>
    <row r="98" spans="1:14" x14ac:dyDescent="0.45">
      <c r="A98">
        <v>97</v>
      </c>
      <c r="B98">
        <v>6.8</v>
      </c>
      <c r="C98">
        <v>2</v>
      </c>
      <c r="D98" t="s">
        <v>6</v>
      </c>
      <c r="E98">
        <v>2</v>
      </c>
      <c r="F98">
        <v>97</v>
      </c>
      <c r="G98" t="str">
        <f t="shared" si="10"/>
        <v>S</v>
      </c>
      <c r="H98">
        <f t="shared" si="16"/>
        <v>2</v>
      </c>
      <c r="I98">
        <f t="shared" si="11"/>
        <v>0</v>
      </c>
      <c r="J98">
        <f t="shared" si="12"/>
        <v>5</v>
      </c>
      <c r="K98">
        <f t="shared" si="13"/>
        <v>0</v>
      </c>
      <c r="L98">
        <f t="shared" si="14"/>
        <v>0</v>
      </c>
      <c r="M98" t="str">
        <f t="shared" si="15"/>
        <v>S</v>
      </c>
      <c r="N98">
        <f t="shared" si="9"/>
        <v>1</v>
      </c>
    </row>
    <row r="99" spans="1:14" x14ac:dyDescent="0.4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v>98</v>
      </c>
      <c r="G99" t="str">
        <f t="shared" si="10"/>
        <v>S</v>
      </c>
      <c r="H99">
        <f t="shared" si="16"/>
        <v>2</v>
      </c>
      <c r="I99">
        <f t="shared" si="11"/>
        <v>0</v>
      </c>
      <c r="J99">
        <f t="shared" si="12"/>
        <v>6</v>
      </c>
      <c r="K99">
        <f t="shared" si="13"/>
        <v>0</v>
      </c>
      <c r="L99">
        <f t="shared" si="14"/>
        <v>0</v>
      </c>
      <c r="M99" t="str">
        <f t="shared" si="15"/>
        <v>S</v>
      </c>
      <c r="N99">
        <f t="shared" si="9"/>
        <v>1</v>
      </c>
    </row>
    <row r="100" spans="1:14" x14ac:dyDescent="0.45">
      <c r="A100">
        <v>99</v>
      </c>
      <c r="B100">
        <v>13.7</v>
      </c>
      <c r="C100">
        <v>8</v>
      </c>
      <c r="D100" t="s">
        <v>6</v>
      </c>
      <c r="E100">
        <v>3</v>
      </c>
      <c r="F100">
        <v>99</v>
      </c>
      <c r="G100" t="str">
        <f t="shared" si="10"/>
        <v>S</v>
      </c>
      <c r="H100">
        <f t="shared" si="16"/>
        <v>3</v>
      </c>
      <c r="I100">
        <f t="shared" si="11"/>
        <v>0</v>
      </c>
      <c r="J100">
        <f t="shared" si="12"/>
        <v>7</v>
      </c>
      <c r="K100">
        <f t="shared" si="13"/>
        <v>0</v>
      </c>
      <c r="L100">
        <f t="shared" si="14"/>
        <v>0</v>
      </c>
      <c r="M100" t="str">
        <f t="shared" si="15"/>
        <v>C</v>
      </c>
      <c r="N100">
        <f t="shared" si="9"/>
        <v>1</v>
      </c>
    </row>
    <row r="101" spans="1:14" x14ac:dyDescent="0.45">
      <c r="A101">
        <v>100</v>
      </c>
      <c r="B101">
        <v>17.7</v>
      </c>
      <c r="C101">
        <v>6</v>
      </c>
      <c r="D101" t="s">
        <v>6</v>
      </c>
      <c r="E101">
        <v>3</v>
      </c>
      <c r="F101">
        <v>100</v>
      </c>
      <c r="G101" t="str">
        <f t="shared" si="10"/>
        <v>S</v>
      </c>
      <c r="H101">
        <f t="shared" si="16"/>
        <v>3</v>
      </c>
      <c r="I101">
        <f t="shared" si="11"/>
        <v>0</v>
      </c>
      <c r="J101">
        <f t="shared" si="12"/>
        <v>8</v>
      </c>
      <c r="K101">
        <f t="shared" si="13"/>
        <v>0</v>
      </c>
      <c r="L101">
        <f t="shared" si="14"/>
        <v>0</v>
      </c>
      <c r="M101" t="str">
        <f t="shared" si="15"/>
        <v>C</v>
      </c>
      <c r="N101">
        <f t="shared" si="9"/>
        <v>1</v>
      </c>
    </row>
    <row r="102" spans="1:14" x14ac:dyDescent="0.45">
      <c r="A102">
        <v>101</v>
      </c>
      <c r="B102">
        <v>20.8</v>
      </c>
      <c r="C102">
        <v>5</v>
      </c>
      <c r="D102" t="s">
        <v>6</v>
      </c>
      <c r="E102">
        <v>3</v>
      </c>
      <c r="F102">
        <v>101</v>
      </c>
      <c r="G102" t="str">
        <f t="shared" si="10"/>
        <v>S</v>
      </c>
      <c r="H102">
        <f t="shared" si="16"/>
        <v>3</v>
      </c>
      <c r="I102">
        <f t="shared" si="11"/>
        <v>0</v>
      </c>
      <c r="J102">
        <f t="shared" si="12"/>
        <v>9</v>
      </c>
      <c r="K102">
        <f t="shared" si="13"/>
        <v>0</v>
      </c>
      <c r="L102">
        <f t="shared" si="14"/>
        <v>0</v>
      </c>
      <c r="M102" t="str">
        <f t="shared" si="15"/>
        <v>C</v>
      </c>
      <c r="N102">
        <f t="shared" si="9"/>
        <v>1</v>
      </c>
    </row>
    <row r="103" spans="1:14" x14ac:dyDescent="0.45">
      <c r="A103">
        <v>102</v>
      </c>
      <c r="B103">
        <v>22.4</v>
      </c>
      <c r="C103">
        <v>20</v>
      </c>
      <c r="D103" t="s">
        <v>6</v>
      </c>
      <c r="E103">
        <v>4</v>
      </c>
      <c r="F103">
        <v>102</v>
      </c>
      <c r="G103" t="str">
        <f t="shared" si="10"/>
        <v>S</v>
      </c>
      <c r="H103">
        <f t="shared" si="16"/>
        <v>4</v>
      </c>
      <c r="I103">
        <f t="shared" si="11"/>
        <v>0</v>
      </c>
      <c r="J103">
        <f t="shared" si="12"/>
        <v>10</v>
      </c>
      <c r="K103">
        <f t="shared" si="13"/>
        <v>0</v>
      </c>
      <c r="L103">
        <f t="shared" si="14"/>
        <v>0</v>
      </c>
      <c r="M103" t="str">
        <f t="shared" si="15"/>
        <v>C</v>
      </c>
      <c r="N103">
        <f t="shared" si="9"/>
        <v>1</v>
      </c>
    </row>
    <row r="104" spans="1:14" x14ac:dyDescent="0.45">
      <c r="A104">
        <v>103</v>
      </c>
      <c r="B104">
        <v>22.5</v>
      </c>
      <c r="C104">
        <v>17</v>
      </c>
      <c r="D104" t="s">
        <v>6</v>
      </c>
      <c r="E104">
        <v>4</v>
      </c>
      <c r="F104">
        <v>103</v>
      </c>
      <c r="G104" t="str">
        <f t="shared" si="10"/>
        <v>S</v>
      </c>
      <c r="H104">
        <f t="shared" si="16"/>
        <v>4</v>
      </c>
      <c r="I104">
        <f t="shared" si="11"/>
        <v>0</v>
      </c>
      <c r="J104">
        <f t="shared" si="12"/>
        <v>11</v>
      </c>
      <c r="K104">
        <f t="shared" si="13"/>
        <v>0</v>
      </c>
      <c r="L104">
        <f t="shared" si="14"/>
        <v>0</v>
      </c>
      <c r="M104" t="str">
        <f t="shared" si="15"/>
        <v>C</v>
      </c>
      <c r="N104">
        <f t="shared" si="9"/>
        <v>1</v>
      </c>
    </row>
    <row r="105" spans="1:14" x14ac:dyDescent="0.45">
      <c r="A105">
        <v>104</v>
      </c>
      <c r="B105">
        <v>21.2</v>
      </c>
      <c r="C105">
        <v>11</v>
      </c>
      <c r="D105" t="s">
        <v>6</v>
      </c>
      <c r="E105">
        <v>4</v>
      </c>
      <c r="F105">
        <v>104</v>
      </c>
      <c r="G105" t="str">
        <f t="shared" si="10"/>
        <v>S</v>
      </c>
      <c r="H105">
        <f t="shared" si="16"/>
        <v>4</v>
      </c>
      <c r="I105">
        <f t="shared" si="11"/>
        <v>0</v>
      </c>
      <c r="J105">
        <f t="shared" si="12"/>
        <v>12</v>
      </c>
      <c r="K105">
        <f t="shared" si="13"/>
        <v>0</v>
      </c>
      <c r="L105">
        <f t="shared" si="14"/>
        <v>0</v>
      </c>
      <c r="M105" t="str">
        <f t="shared" si="15"/>
        <v>C</v>
      </c>
      <c r="N105">
        <f t="shared" si="9"/>
        <v>1</v>
      </c>
    </row>
    <row r="106" spans="1:14" x14ac:dyDescent="0.45">
      <c r="A106">
        <v>105</v>
      </c>
      <c r="B106">
        <v>19.5</v>
      </c>
      <c r="C106">
        <v>27</v>
      </c>
      <c r="D106" t="s">
        <v>6</v>
      </c>
      <c r="E106">
        <v>5</v>
      </c>
      <c r="F106">
        <v>105</v>
      </c>
      <c r="G106" t="str">
        <f t="shared" si="10"/>
        <v>S</v>
      </c>
      <c r="H106">
        <f t="shared" si="16"/>
        <v>5</v>
      </c>
      <c r="I106">
        <f t="shared" si="11"/>
        <v>0</v>
      </c>
      <c r="J106">
        <f t="shared" si="12"/>
        <v>13</v>
      </c>
      <c r="K106">
        <f t="shared" si="13"/>
        <v>0</v>
      </c>
      <c r="L106">
        <f t="shared" si="14"/>
        <v>0</v>
      </c>
      <c r="M106" t="str">
        <f t="shared" si="15"/>
        <v>C</v>
      </c>
      <c r="N106">
        <f t="shared" si="9"/>
        <v>1</v>
      </c>
    </row>
    <row r="107" spans="1:14" x14ac:dyDescent="0.4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v>106</v>
      </c>
      <c r="G107">
        <f t="shared" si="10"/>
        <v>0</v>
      </c>
      <c r="H107">
        <f t="shared" si="16"/>
        <v>0</v>
      </c>
      <c r="I107">
        <f t="shared" si="11"/>
        <v>1</v>
      </c>
      <c r="J107">
        <f t="shared" si="12"/>
        <v>1</v>
      </c>
      <c r="K107">
        <f t="shared" si="13"/>
        <v>0</v>
      </c>
      <c r="L107">
        <f t="shared" si="14"/>
        <v>0</v>
      </c>
      <c r="M107" t="str">
        <f t="shared" si="15"/>
        <v>C</v>
      </c>
      <c r="N107">
        <f t="shared" si="9"/>
        <v>1</v>
      </c>
    </row>
    <row r="108" spans="1:14" x14ac:dyDescent="0.45">
      <c r="A108">
        <v>107</v>
      </c>
      <c r="B108">
        <v>17.8</v>
      </c>
      <c r="C108">
        <v>5</v>
      </c>
      <c r="D108" t="s">
        <v>5</v>
      </c>
      <c r="E108">
        <v>1</v>
      </c>
      <c r="F108">
        <v>107</v>
      </c>
      <c r="G108" t="str">
        <f t="shared" si="10"/>
        <v>C</v>
      </c>
      <c r="H108">
        <f t="shared" si="16"/>
        <v>1</v>
      </c>
      <c r="I108">
        <f t="shared" si="11"/>
        <v>0</v>
      </c>
      <c r="J108">
        <f t="shared" si="12"/>
        <v>1</v>
      </c>
      <c r="K108">
        <f t="shared" si="13"/>
        <v>1</v>
      </c>
      <c r="L108">
        <f t="shared" si="14"/>
        <v>0</v>
      </c>
      <c r="M108" t="str">
        <f t="shared" si="15"/>
        <v>C</v>
      </c>
      <c r="N108">
        <f t="shared" si="9"/>
        <v>1</v>
      </c>
    </row>
    <row r="109" spans="1:14" x14ac:dyDescent="0.4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v>108</v>
      </c>
      <c r="G109" t="str">
        <f t="shared" si="10"/>
        <v>C</v>
      </c>
      <c r="H109">
        <f t="shared" si="16"/>
        <v>1</v>
      </c>
      <c r="I109">
        <f t="shared" si="11"/>
        <v>0</v>
      </c>
      <c r="J109">
        <f t="shared" si="12"/>
        <v>2</v>
      </c>
      <c r="K109">
        <f t="shared" si="13"/>
        <v>0</v>
      </c>
      <c r="L109">
        <f t="shared" si="14"/>
        <v>0</v>
      </c>
      <c r="M109" t="str">
        <f t="shared" si="15"/>
        <v>C</v>
      </c>
      <c r="N109">
        <f t="shared" si="9"/>
        <v>1</v>
      </c>
    </row>
    <row r="110" spans="1:14" x14ac:dyDescent="0.45">
      <c r="A110">
        <v>109</v>
      </c>
      <c r="B110">
        <v>21.3</v>
      </c>
      <c r="C110">
        <v>1</v>
      </c>
      <c r="D110" t="s">
        <v>5</v>
      </c>
      <c r="E110">
        <v>1</v>
      </c>
      <c r="F110">
        <v>109</v>
      </c>
      <c r="G110" t="str">
        <f t="shared" si="10"/>
        <v>C</v>
      </c>
      <c r="H110">
        <f t="shared" si="16"/>
        <v>1</v>
      </c>
      <c r="I110">
        <f t="shared" si="11"/>
        <v>0</v>
      </c>
      <c r="J110">
        <f t="shared" si="12"/>
        <v>3</v>
      </c>
      <c r="K110">
        <f t="shared" si="13"/>
        <v>0</v>
      </c>
      <c r="L110">
        <f t="shared" si="14"/>
        <v>0</v>
      </c>
      <c r="M110" t="str">
        <f t="shared" si="15"/>
        <v>C</v>
      </c>
      <c r="N110">
        <f t="shared" si="9"/>
        <v>1</v>
      </c>
    </row>
    <row r="111" spans="1:14" x14ac:dyDescent="0.45">
      <c r="A111">
        <v>110</v>
      </c>
      <c r="B111">
        <v>24.5</v>
      </c>
      <c r="C111">
        <v>7</v>
      </c>
      <c r="D111" t="s">
        <v>5</v>
      </c>
      <c r="E111">
        <v>2</v>
      </c>
      <c r="F111">
        <v>110</v>
      </c>
      <c r="G111" t="str">
        <f t="shared" si="10"/>
        <v>C</v>
      </c>
      <c r="H111">
        <f t="shared" si="16"/>
        <v>2</v>
      </c>
      <c r="I111">
        <f t="shared" si="11"/>
        <v>0</v>
      </c>
      <c r="J111">
        <f t="shared" si="12"/>
        <v>4</v>
      </c>
      <c r="K111">
        <f t="shared" si="13"/>
        <v>0</v>
      </c>
      <c r="L111">
        <f t="shared" si="14"/>
        <v>1</v>
      </c>
      <c r="M111" t="str">
        <f t="shared" si="15"/>
        <v>C</v>
      </c>
      <c r="N111">
        <f t="shared" si="9"/>
        <v>1</v>
      </c>
    </row>
    <row r="112" spans="1:14" x14ac:dyDescent="0.45">
      <c r="A112">
        <v>111</v>
      </c>
      <c r="B112">
        <v>27.5</v>
      </c>
      <c r="C112">
        <v>12</v>
      </c>
      <c r="D112" t="s">
        <v>5</v>
      </c>
      <c r="E112">
        <v>2</v>
      </c>
      <c r="F112">
        <v>111</v>
      </c>
      <c r="G112" t="str">
        <f t="shared" si="10"/>
        <v>C</v>
      </c>
      <c r="H112">
        <f t="shared" si="16"/>
        <v>2</v>
      </c>
      <c r="I112">
        <f t="shared" si="11"/>
        <v>0</v>
      </c>
      <c r="J112">
        <f t="shared" si="12"/>
        <v>5</v>
      </c>
      <c r="K112">
        <f t="shared" si="13"/>
        <v>0</v>
      </c>
      <c r="L112">
        <f t="shared" si="14"/>
        <v>0</v>
      </c>
      <c r="M112" t="str">
        <f t="shared" si="15"/>
        <v>C</v>
      </c>
      <c r="N112">
        <f t="shared" si="9"/>
        <v>1</v>
      </c>
    </row>
    <row r="113" spans="1:14" x14ac:dyDescent="0.45">
      <c r="A113">
        <v>112</v>
      </c>
      <c r="B113">
        <v>29.5</v>
      </c>
      <c r="C113">
        <v>6</v>
      </c>
      <c r="D113" t="s">
        <v>5</v>
      </c>
      <c r="E113">
        <v>2</v>
      </c>
      <c r="F113">
        <v>112</v>
      </c>
      <c r="G113" t="str">
        <f t="shared" si="10"/>
        <v>C</v>
      </c>
      <c r="H113">
        <f t="shared" si="16"/>
        <v>2</v>
      </c>
      <c r="I113">
        <f t="shared" si="11"/>
        <v>0</v>
      </c>
      <c r="J113">
        <f t="shared" si="12"/>
        <v>6</v>
      </c>
      <c r="K113">
        <f t="shared" si="13"/>
        <v>0</v>
      </c>
      <c r="L113">
        <f t="shared" si="14"/>
        <v>0</v>
      </c>
      <c r="M113" t="str">
        <f t="shared" si="15"/>
        <v>C</v>
      </c>
      <c r="N113">
        <f t="shared" si="9"/>
        <v>1</v>
      </c>
    </row>
    <row r="114" spans="1:14" x14ac:dyDescent="0.45">
      <c r="A114">
        <v>113</v>
      </c>
      <c r="B114">
        <v>29.9</v>
      </c>
      <c r="C114">
        <v>5</v>
      </c>
      <c r="D114" t="s">
        <v>5</v>
      </c>
      <c r="E114">
        <v>3</v>
      </c>
      <c r="F114">
        <v>113</v>
      </c>
      <c r="G114" t="str">
        <f t="shared" si="10"/>
        <v>C</v>
      </c>
      <c r="H114">
        <f t="shared" si="16"/>
        <v>3</v>
      </c>
      <c r="I114">
        <f t="shared" si="11"/>
        <v>0</v>
      </c>
      <c r="J114">
        <f t="shared" si="12"/>
        <v>7</v>
      </c>
      <c r="K114">
        <f t="shared" si="13"/>
        <v>0</v>
      </c>
      <c r="L114">
        <f t="shared" si="14"/>
        <v>0</v>
      </c>
      <c r="M114" t="str">
        <f t="shared" si="15"/>
        <v>C</v>
      </c>
      <c r="N114">
        <f t="shared" si="9"/>
        <v>1</v>
      </c>
    </row>
    <row r="115" spans="1:14" x14ac:dyDescent="0.45">
      <c r="A115">
        <v>114</v>
      </c>
      <c r="B115">
        <v>28.6</v>
      </c>
      <c r="C115">
        <v>6</v>
      </c>
      <c r="D115" t="s">
        <v>5</v>
      </c>
      <c r="E115">
        <v>3</v>
      </c>
      <c r="F115">
        <v>114</v>
      </c>
      <c r="G115" t="str">
        <f t="shared" si="10"/>
        <v>C</v>
      </c>
      <c r="H115">
        <f t="shared" si="16"/>
        <v>3</v>
      </c>
      <c r="I115">
        <f t="shared" si="11"/>
        <v>0</v>
      </c>
      <c r="J115">
        <f t="shared" si="12"/>
        <v>8</v>
      </c>
      <c r="K115">
        <f t="shared" si="13"/>
        <v>0</v>
      </c>
      <c r="L115">
        <f t="shared" si="14"/>
        <v>0</v>
      </c>
      <c r="M115" t="str">
        <f t="shared" si="15"/>
        <v>C</v>
      </c>
      <c r="N115">
        <f t="shared" si="9"/>
        <v>1</v>
      </c>
    </row>
    <row r="116" spans="1:14" x14ac:dyDescent="0.45">
      <c r="A116">
        <v>115</v>
      </c>
      <c r="B116">
        <v>25.9</v>
      </c>
      <c r="C116">
        <v>6</v>
      </c>
      <c r="D116" t="s">
        <v>5</v>
      </c>
      <c r="E116">
        <v>3</v>
      </c>
      <c r="F116">
        <v>115</v>
      </c>
      <c r="G116" t="str">
        <f t="shared" si="10"/>
        <v>C</v>
      </c>
      <c r="H116">
        <f t="shared" si="16"/>
        <v>3</v>
      </c>
      <c r="I116">
        <f t="shared" si="11"/>
        <v>0</v>
      </c>
      <c r="J116">
        <f t="shared" si="12"/>
        <v>9</v>
      </c>
      <c r="K116">
        <f t="shared" si="13"/>
        <v>0</v>
      </c>
      <c r="L116">
        <f t="shared" si="14"/>
        <v>0</v>
      </c>
      <c r="M116" t="str">
        <f t="shared" si="15"/>
        <v>C</v>
      </c>
      <c r="N116">
        <f t="shared" si="9"/>
        <v>1</v>
      </c>
    </row>
    <row r="117" spans="1:14" x14ac:dyDescent="0.45">
      <c r="A117">
        <v>116</v>
      </c>
      <c r="B117">
        <v>22.6</v>
      </c>
      <c r="C117">
        <v>23</v>
      </c>
      <c r="D117" t="s">
        <v>5</v>
      </c>
      <c r="E117">
        <v>4</v>
      </c>
      <c r="F117">
        <v>116</v>
      </c>
      <c r="G117" t="str">
        <f t="shared" si="10"/>
        <v>C</v>
      </c>
      <c r="H117">
        <f t="shared" si="16"/>
        <v>4</v>
      </c>
      <c r="I117">
        <f t="shared" si="11"/>
        <v>0</v>
      </c>
      <c r="J117">
        <f t="shared" si="12"/>
        <v>10</v>
      </c>
      <c r="K117">
        <f t="shared" si="13"/>
        <v>0</v>
      </c>
      <c r="L117">
        <f t="shared" si="14"/>
        <v>0</v>
      </c>
      <c r="M117" t="str">
        <f t="shared" si="15"/>
        <v>C</v>
      </c>
      <c r="N117">
        <f t="shared" si="9"/>
        <v>1</v>
      </c>
    </row>
    <row r="118" spans="1:14" x14ac:dyDescent="0.45">
      <c r="A118">
        <v>117</v>
      </c>
      <c r="B118">
        <v>19.7</v>
      </c>
      <c r="C118">
        <v>16</v>
      </c>
      <c r="D118" t="s">
        <v>5</v>
      </c>
      <c r="E118">
        <v>4</v>
      </c>
      <c r="F118">
        <v>117</v>
      </c>
      <c r="G118" t="str">
        <f t="shared" si="10"/>
        <v>C</v>
      </c>
      <c r="H118">
        <f t="shared" si="16"/>
        <v>4</v>
      </c>
      <c r="I118">
        <f t="shared" si="11"/>
        <v>0</v>
      </c>
      <c r="J118">
        <f t="shared" si="12"/>
        <v>11</v>
      </c>
      <c r="K118">
        <f t="shared" si="13"/>
        <v>0</v>
      </c>
      <c r="L118">
        <f t="shared" si="14"/>
        <v>0</v>
      </c>
      <c r="M118" t="str">
        <f t="shared" si="15"/>
        <v>C</v>
      </c>
      <c r="N118">
        <f t="shared" si="9"/>
        <v>1</v>
      </c>
    </row>
    <row r="119" spans="1:14" x14ac:dyDescent="0.45">
      <c r="A119">
        <v>118</v>
      </c>
      <c r="B119">
        <v>17.8</v>
      </c>
      <c r="C119">
        <v>1</v>
      </c>
      <c r="D119" t="s">
        <v>5</v>
      </c>
      <c r="E119">
        <v>4</v>
      </c>
      <c r="F119">
        <v>118</v>
      </c>
      <c r="G119" t="str">
        <f t="shared" si="10"/>
        <v>C</v>
      </c>
      <c r="H119">
        <f t="shared" si="16"/>
        <v>4</v>
      </c>
      <c r="I119">
        <f t="shared" si="11"/>
        <v>0</v>
      </c>
      <c r="J119">
        <f t="shared" si="12"/>
        <v>12</v>
      </c>
      <c r="K119">
        <f t="shared" si="13"/>
        <v>0</v>
      </c>
      <c r="L119">
        <f t="shared" si="14"/>
        <v>0</v>
      </c>
      <c r="M119" t="str">
        <f t="shared" si="15"/>
        <v>C</v>
      </c>
      <c r="N119">
        <f t="shared" si="9"/>
        <v>1</v>
      </c>
    </row>
    <row r="120" spans="1:14" x14ac:dyDescent="0.45">
      <c r="A120">
        <v>119</v>
      </c>
      <c r="B120">
        <v>17.3</v>
      </c>
      <c r="C120">
        <v>27</v>
      </c>
      <c r="D120" t="s">
        <v>5</v>
      </c>
      <c r="E120">
        <v>5</v>
      </c>
      <c r="F120">
        <v>119</v>
      </c>
      <c r="G120" t="str">
        <f t="shared" si="10"/>
        <v>C</v>
      </c>
      <c r="H120">
        <f t="shared" si="16"/>
        <v>5</v>
      </c>
      <c r="I120">
        <f t="shared" si="11"/>
        <v>0</v>
      </c>
      <c r="J120">
        <f t="shared" si="12"/>
        <v>13</v>
      </c>
      <c r="K120">
        <f t="shared" si="13"/>
        <v>0</v>
      </c>
      <c r="L120">
        <f t="shared" si="14"/>
        <v>0</v>
      </c>
      <c r="M120" t="str">
        <f t="shared" si="15"/>
        <v>C</v>
      </c>
      <c r="N120">
        <f t="shared" si="9"/>
        <v>1</v>
      </c>
    </row>
    <row r="121" spans="1:14" x14ac:dyDescent="0.45">
      <c r="A121">
        <v>120</v>
      </c>
      <c r="B121">
        <v>18.2</v>
      </c>
      <c r="C121">
        <v>0</v>
      </c>
      <c r="D121">
        <v>0</v>
      </c>
      <c r="E121">
        <v>0</v>
      </c>
      <c r="F121">
        <v>120</v>
      </c>
      <c r="G121">
        <f t="shared" si="10"/>
        <v>0</v>
      </c>
      <c r="H121">
        <f t="shared" si="16"/>
        <v>0</v>
      </c>
      <c r="I121">
        <f t="shared" si="11"/>
        <v>1</v>
      </c>
      <c r="J121">
        <f t="shared" si="12"/>
        <v>1</v>
      </c>
      <c r="K121">
        <f t="shared" si="13"/>
        <v>0</v>
      </c>
      <c r="L121">
        <f t="shared" si="14"/>
        <v>0</v>
      </c>
      <c r="M121" t="str">
        <f t="shared" si="15"/>
        <v>C</v>
      </c>
      <c r="N121">
        <f t="shared" si="9"/>
        <v>1</v>
      </c>
    </row>
    <row r="122" spans="1:14" x14ac:dyDescent="0.45">
      <c r="A122">
        <v>121</v>
      </c>
      <c r="B122">
        <v>19.8</v>
      </c>
      <c r="C122">
        <v>1</v>
      </c>
      <c r="D122" t="s">
        <v>5</v>
      </c>
      <c r="E122">
        <v>1</v>
      </c>
      <c r="F122">
        <v>121</v>
      </c>
      <c r="G122" t="str">
        <f t="shared" si="10"/>
        <v>C</v>
      </c>
      <c r="H122">
        <f t="shared" si="16"/>
        <v>1</v>
      </c>
      <c r="I122">
        <f t="shared" si="11"/>
        <v>0</v>
      </c>
      <c r="J122">
        <f t="shared" si="12"/>
        <v>1</v>
      </c>
      <c r="K122">
        <f t="shared" si="13"/>
        <v>1</v>
      </c>
      <c r="L122">
        <f t="shared" si="14"/>
        <v>0</v>
      </c>
      <c r="M122" t="str">
        <f t="shared" si="15"/>
        <v>C</v>
      </c>
      <c r="N122">
        <f t="shared" si="9"/>
        <v>1</v>
      </c>
    </row>
    <row r="123" spans="1:14" x14ac:dyDescent="0.45">
      <c r="A123">
        <v>122</v>
      </c>
      <c r="B123">
        <v>21.4</v>
      </c>
      <c r="C123">
        <v>1</v>
      </c>
      <c r="D123" t="s">
        <v>5</v>
      </c>
      <c r="E123">
        <v>1</v>
      </c>
      <c r="F123">
        <v>122</v>
      </c>
      <c r="G123" t="str">
        <f t="shared" si="10"/>
        <v>C</v>
      </c>
      <c r="H123">
        <f t="shared" si="16"/>
        <v>1</v>
      </c>
      <c r="I123">
        <f t="shared" si="11"/>
        <v>0</v>
      </c>
      <c r="J123">
        <f t="shared" si="12"/>
        <v>2</v>
      </c>
      <c r="K123">
        <f t="shared" si="13"/>
        <v>0</v>
      </c>
      <c r="L123">
        <f t="shared" si="14"/>
        <v>0</v>
      </c>
      <c r="M123" t="str">
        <f t="shared" si="15"/>
        <v>C</v>
      </c>
      <c r="N123">
        <f t="shared" si="9"/>
        <v>1</v>
      </c>
    </row>
    <row r="124" spans="1:14" x14ac:dyDescent="0.45">
      <c r="A124">
        <v>123</v>
      </c>
      <c r="B124">
        <v>22</v>
      </c>
      <c r="C124">
        <v>6</v>
      </c>
      <c r="D124" t="s">
        <v>5</v>
      </c>
      <c r="E124">
        <v>1</v>
      </c>
      <c r="F124">
        <v>123</v>
      </c>
      <c r="G124" t="str">
        <f t="shared" si="10"/>
        <v>C</v>
      </c>
      <c r="H124">
        <f t="shared" si="16"/>
        <v>1</v>
      </c>
      <c r="I124">
        <f t="shared" si="11"/>
        <v>0</v>
      </c>
      <c r="J124">
        <f t="shared" si="12"/>
        <v>3</v>
      </c>
      <c r="K124">
        <f t="shared" si="13"/>
        <v>0</v>
      </c>
      <c r="L124">
        <f t="shared" si="14"/>
        <v>0</v>
      </c>
      <c r="M124" t="str">
        <f t="shared" si="15"/>
        <v>C</v>
      </c>
      <c r="N124">
        <f t="shared" si="9"/>
        <v>1</v>
      </c>
    </row>
    <row r="125" spans="1:14" x14ac:dyDescent="0.45">
      <c r="A125">
        <v>124</v>
      </c>
      <c r="B125">
        <v>21.2</v>
      </c>
      <c r="C125">
        <v>9</v>
      </c>
      <c r="D125" t="s">
        <v>5</v>
      </c>
      <c r="E125">
        <v>2</v>
      </c>
      <c r="F125">
        <v>124</v>
      </c>
      <c r="G125" t="str">
        <f t="shared" si="10"/>
        <v>C</v>
      </c>
      <c r="H125">
        <f t="shared" si="16"/>
        <v>2</v>
      </c>
      <c r="I125">
        <f t="shared" si="11"/>
        <v>0</v>
      </c>
      <c r="J125">
        <f t="shared" si="12"/>
        <v>4</v>
      </c>
      <c r="K125">
        <f t="shared" si="13"/>
        <v>0</v>
      </c>
      <c r="L125">
        <f t="shared" si="14"/>
        <v>1</v>
      </c>
      <c r="M125" t="str">
        <f t="shared" si="15"/>
        <v>C</v>
      </c>
      <c r="N125">
        <f t="shared" si="9"/>
        <v>1</v>
      </c>
    </row>
    <row r="126" spans="1:14" x14ac:dyDescent="0.45">
      <c r="A126">
        <v>125</v>
      </c>
      <c r="B126">
        <v>18.8</v>
      </c>
      <c r="C126">
        <v>7</v>
      </c>
      <c r="D126" t="s">
        <v>5</v>
      </c>
      <c r="E126">
        <v>2</v>
      </c>
      <c r="F126">
        <v>125</v>
      </c>
      <c r="G126" t="str">
        <f t="shared" si="10"/>
        <v>C</v>
      </c>
      <c r="H126">
        <f t="shared" si="16"/>
        <v>2</v>
      </c>
      <c r="I126">
        <f t="shared" si="11"/>
        <v>0</v>
      </c>
      <c r="J126">
        <f t="shared" si="12"/>
        <v>5</v>
      </c>
      <c r="K126">
        <f t="shared" si="13"/>
        <v>0</v>
      </c>
      <c r="L126">
        <f t="shared" si="14"/>
        <v>0</v>
      </c>
      <c r="M126" t="str">
        <f t="shared" si="15"/>
        <v>C</v>
      </c>
      <c r="N126">
        <f t="shared" si="9"/>
        <v>1</v>
      </c>
    </row>
    <row r="127" spans="1:14" x14ac:dyDescent="0.45">
      <c r="A127">
        <v>126</v>
      </c>
      <c r="B127">
        <v>15.2</v>
      </c>
      <c r="C127">
        <v>12</v>
      </c>
      <c r="D127" t="s">
        <v>5</v>
      </c>
      <c r="E127">
        <v>2</v>
      </c>
      <c r="F127">
        <v>126</v>
      </c>
      <c r="G127" t="str">
        <f t="shared" si="10"/>
        <v>C</v>
      </c>
      <c r="H127">
        <f t="shared" si="16"/>
        <v>2</v>
      </c>
      <c r="I127">
        <f t="shared" si="11"/>
        <v>0</v>
      </c>
      <c r="J127">
        <f t="shared" si="12"/>
        <v>6</v>
      </c>
      <c r="K127">
        <f t="shared" si="13"/>
        <v>0</v>
      </c>
      <c r="L127">
        <f t="shared" si="14"/>
        <v>0</v>
      </c>
      <c r="M127" t="str">
        <f t="shared" si="15"/>
        <v>C</v>
      </c>
      <c r="N127">
        <f t="shared" si="9"/>
        <v>1</v>
      </c>
    </row>
    <row r="128" spans="1:14" x14ac:dyDescent="0.45">
      <c r="A128">
        <v>127</v>
      </c>
      <c r="B128">
        <v>11.1</v>
      </c>
      <c r="C128">
        <v>15</v>
      </c>
      <c r="D128" t="s">
        <v>5</v>
      </c>
      <c r="E128">
        <v>3</v>
      </c>
      <c r="F128">
        <v>127</v>
      </c>
      <c r="G128" t="str">
        <f t="shared" si="10"/>
        <v>C</v>
      </c>
      <c r="H128">
        <f t="shared" si="16"/>
        <v>3</v>
      </c>
      <c r="I128">
        <f t="shared" si="11"/>
        <v>0</v>
      </c>
      <c r="J128">
        <f t="shared" si="12"/>
        <v>7</v>
      </c>
      <c r="K128">
        <f t="shared" si="13"/>
        <v>0</v>
      </c>
      <c r="L128">
        <f t="shared" si="14"/>
        <v>0</v>
      </c>
      <c r="M128" t="str">
        <f t="shared" si="15"/>
        <v>C</v>
      </c>
      <c r="N128">
        <f t="shared" si="9"/>
        <v>1</v>
      </c>
    </row>
    <row r="129" spans="1:14" x14ac:dyDescent="0.45">
      <c r="A129">
        <v>128</v>
      </c>
      <c r="B129">
        <v>7.5</v>
      </c>
      <c r="C129">
        <v>10</v>
      </c>
      <c r="D129" t="s">
        <v>5</v>
      </c>
      <c r="E129">
        <v>3</v>
      </c>
      <c r="F129">
        <v>128</v>
      </c>
      <c r="G129" t="str">
        <f t="shared" si="10"/>
        <v>C</v>
      </c>
      <c r="H129">
        <f t="shared" si="16"/>
        <v>3</v>
      </c>
      <c r="I129">
        <f t="shared" si="11"/>
        <v>0</v>
      </c>
      <c r="J129">
        <f t="shared" si="12"/>
        <v>8</v>
      </c>
      <c r="K129">
        <f t="shared" si="13"/>
        <v>0</v>
      </c>
      <c r="L129">
        <f t="shared" si="14"/>
        <v>0</v>
      </c>
      <c r="M129" t="str">
        <f t="shared" si="15"/>
        <v>S</v>
      </c>
      <c r="N129">
        <f t="shared" si="9"/>
        <v>1</v>
      </c>
    </row>
    <row r="130" spans="1:14" x14ac:dyDescent="0.45">
      <c r="A130">
        <v>129</v>
      </c>
      <c r="B130">
        <v>5.2</v>
      </c>
      <c r="C130">
        <v>5</v>
      </c>
      <c r="D130" t="s">
        <v>5</v>
      </c>
      <c r="E130">
        <v>3</v>
      </c>
      <c r="F130">
        <v>129</v>
      </c>
      <c r="G130" t="str">
        <f t="shared" si="10"/>
        <v>C</v>
      </c>
      <c r="H130">
        <f t="shared" si="16"/>
        <v>3</v>
      </c>
      <c r="I130">
        <f t="shared" si="11"/>
        <v>0</v>
      </c>
      <c r="J130">
        <f t="shared" si="12"/>
        <v>9</v>
      </c>
      <c r="K130">
        <f t="shared" si="13"/>
        <v>0</v>
      </c>
      <c r="L130">
        <f t="shared" si="14"/>
        <v>0</v>
      </c>
      <c r="M130" t="str">
        <f t="shared" si="15"/>
        <v>S</v>
      </c>
      <c r="N130">
        <f t="shared" si="9"/>
        <v>1</v>
      </c>
    </row>
    <row r="131" spans="1:14" x14ac:dyDescent="0.4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v>130</v>
      </c>
      <c r="G131" t="str">
        <f t="shared" si="10"/>
        <v>C</v>
      </c>
      <c r="H131">
        <f t="shared" si="16"/>
        <v>4</v>
      </c>
      <c r="I131">
        <f t="shared" si="11"/>
        <v>0</v>
      </c>
      <c r="J131">
        <f t="shared" si="12"/>
        <v>10</v>
      </c>
      <c r="K131">
        <f t="shared" si="13"/>
        <v>0</v>
      </c>
      <c r="L131">
        <f t="shared" si="14"/>
        <v>0</v>
      </c>
      <c r="M131" t="str">
        <f t="shared" si="15"/>
        <v>S</v>
      </c>
      <c r="N131">
        <f t="shared" ref="N131:N194" si="17">IF(G131=D131,1,0)</f>
        <v>1</v>
      </c>
    </row>
    <row r="132" spans="1:14" x14ac:dyDescent="0.45">
      <c r="A132">
        <v>131</v>
      </c>
      <c r="B132">
        <v>5.5</v>
      </c>
      <c r="C132">
        <v>11</v>
      </c>
      <c r="D132" t="s">
        <v>5</v>
      </c>
      <c r="E132">
        <v>4</v>
      </c>
      <c r="F132">
        <v>131</v>
      </c>
      <c r="G132" t="str">
        <f t="shared" ref="G132:G195" si="18">IF(I132=1,0, IF(K132=1,M132,G131))</f>
        <v>C</v>
      </c>
      <c r="H132">
        <f t="shared" si="16"/>
        <v>4</v>
      </c>
      <c r="I132">
        <f t="shared" ref="I132:I195" si="19">IF(AND(H131=5,C131&gt;=20),1,0)</f>
        <v>0</v>
      </c>
      <c r="J132">
        <f t="shared" ref="J132:J195" si="20">IF(G132=G131,J131+1,1)</f>
        <v>11</v>
      </c>
      <c r="K132">
        <f t="shared" ref="K132:K195" si="21">IF(AND(G131=0,H131=0),1,0)</f>
        <v>0</v>
      </c>
      <c r="L132">
        <f t="shared" ref="L132:L195" si="22">IF(J131=3,1,0)</f>
        <v>0</v>
      </c>
      <c r="M132" t="str">
        <f t="shared" ref="M132:M195" si="23">IF(B132&lt;10,"S","C")</f>
        <v>S</v>
      </c>
      <c r="N132">
        <f t="shared" si="17"/>
        <v>1</v>
      </c>
    </row>
    <row r="133" spans="1:14" x14ac:dyDescent="0.45">
      <c r="A133">
        <v>132</v>
      </c>
      <c r="B133">
        <v>7.3</v>
      </c>
      <c r="C133">
        <v>23</v>
      </c>
      <c r="D133" t="s">
        <v>5</v>
      </c>
      <c r="E133">
        <v>4</v>
      </c>
      <c r="F133">
        <v>132</v>
      </c>
      <c r="G133" t="str">
        <f t="shared" si="18"/>
        <v>C</v>
      </c>
      <c r="H133">
        <f t="shared" si="16"/>
        <v>4</v>
      </c>
      <c r="I133">
        <f t="shared" si="19"/>
        <v>0</v>
      </c>
      <c r="J133">
        <f t="shared" si="20"/>
        <v>12</v>
      </c>
      <c r="K133">
        <f t="shared" si="21"/>
        <v>0</v>
      </c>
      <c r="L133">
        <f t="shared" si="22"/>
        <v>0</v>
      </c>
      <c r="M133" t="str">
        <f t="shared" si="23"/>
        <v>S</v>
      </c>
      <c r="N133">
        <f t="shared" si="17"/>
        <v>1</v>
      </c>
    </row>
    <row r="134" spans="1:14" x14ac:dyDescent="0.4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v>133</v>
      </c>
      <c r="G134" t="str">
        <f t="shared" si="18"/>
        <v>C</v>
      </c>
      <c r="H134">
        <f t="shared" si="16"/>
        <v>5</v>
      </c>
      <c r="I134">
        <f t="shared" si="19"/>
        <v>0</v>
      </c>
      <c r="J134">
        <f t="shared" si="20"/>
        <v>13</v>
      </c>
      <c r="K134">
        <f t="shared" si="21"/>
        <v>0</v>
      </c>
      <c r="L134">
        <f t="shared" si="22"/>
        <v>0</v>
      </c>
      <c r="M134" t="str">
        <f t="shared" si="23"/>
        <v>S</v>
      </c>
      <c r="N134">
        <f t="shared" si="17"/>
        <v>1</v>
      </c>
    </row>
    <row r="135" spans="1:14" x14ac:dyDescent="0.45">
      <c r="A135">
        <v>134</v>
      </c>
      <c r="B135">
        <v>10.5</v>
      </c>
      <c r="C135">
        <v>21</v>
      </c>
      <c r="D135" t="s">
        <v>5</v>
      </c>
      <c r="E135">
        <v>5</v>
      </c>
      <c r="F135">
        <v>134</v>
      </c>
      <c r="G135" t="str">
        <f t="shared" si="18"/>
        <v>C</v>
      </c>
      <c r="H135">
        <f t="shared" ref="H135:H198" si="24">IF(I135=1,0,IF(K135=1,1,IF(MOD(J134,3)=0, IF(H134+1&gt;5,5,H134+1),H134)))</f>
        <v>5</v>
      </c>
      <c r="I135">
        <f t="shared" si="19"/>
        <v>0</v>
      </c>
      <c r="J135">
        <f t="shared" si="20"/>
        <v>14</v>
      </c>
      <c r="K135">
        <f t="shared" si="21"/>
        <v>0</v>
      </c>
      <c r="L135">
        <f t="shared" si="22"/>
        <v>0</v>
      </c>
      <c r="M135" t="str">
        <f t="shared" si="23"/>
        <v>C</v>
      </c>
      <c r="N135">
        <f t="shared" si="17"/>
        <v>1</v>
      </c>
    </row>
    <row r="136" spans="1:14" x14ac:dyDescent="0.45">
      <c r="A136">
        <v>135</v>
      </c>
      <c r="B136">
        <v>10.4</v>
      </c>
      <c r="C136">
        <v>0</v>
      </c>
      <c r="D136">
        <v>0</v>
      </c>
      <c r="E136">
        <v>0</v>
      </c>
      <c r="F136">
        <v>135</v>
      </c>
      <c r="G136">
        <f t="shared" si="18"/>
        <v>0</v>
      </c>
      <c r="H136">
        <f t="shared" si="24"/>
        <v>0</v>
      </c>
      <c r="I136">
        <f t="shared" si="19"/>
        <v>1</v>
      </c>
      <c r="J136">
        <f t="shared" si="20"/>
        <v>1</v>
      </c>
      <c r="K136">
        <f t="shared" si="21"/>
        <v>0</v>
      </c>
      <c r="L136">
        <f t="shared" si="22"/>
        <v>0</v>
      </c>
      <c r="M136" t="str">
        <f t="shared" si="23"/>
        <v>C</v>
      </c>
      <c r="N136">
        <f t="shared" si="17"/>
        <v>1</v>
      </c>
    </row>
    <row r="137" spans="1:14" x14ac:dyDescent="0.45">
      <c r="A137">
        <v>136</v>
      </c>
      <c r="B137">
        <v>9</v>
      </c>
      <c r="C137">
        <v>4</v>
      </c>
      <c r="D137" t="s">
        <v>6</v>
      </c>
      <c r="E137">
        <v>1</v>
      </c>
      <c r="F137">
        <v>136</v>
      </c>
      <c r="G137" t="str">
        <f t="shared" si="18"/>
        <v>S</v>
      </c>
      <c r="H137">
        <f t="shared" si="24"/>
        <v>1</v>
      </c>
      <c r="I137">
        <f t="shared" si="19"/>
        <v>0</v>
      </c>
      <c r="J137">
        <f t="shared" si="20"/>
        <v>1</v>
      </c>
      <c r="K137">
        <f t="shared" si="21"/>
        <v>1</v>
      </c>
      <c r="L137">
        <f t="shared" si="22"/>
        <v>0</v>
      </c>
      <c r="M137" t="str">
        <f t="shared" si="23"/>
        <v>S</v>
      </c>
      <c r="N137">
        <f t="shared" si="17"/>
        <v>1</v>
      </c>
    </row>
    <row r="138" spans="1:14" x14ac:dyDescent="0.45">
      <c r="A138">
        <v>137</v>
      </c>
      <c r="B138">
        <v>6.4</v>
      </c>
      <c r="C138">
        <v>3</v>
      </c>
      <c r="D138" t="s">
        <v>6</v>
      </c>
      <c r="E138">
        <v>1</v>
      </c>
      <c r="F138">
        <v>137</v>
      </c>
      <c r="G138" t="str">
        <f t="shared" si="18"/>
        <v>S</v>
      </c>
      <c r="H138">
        <f t="shared" si="24"/>
        <v>1</v>
      </c>
      <c r="I138">
        <f t="shared" si="19"/>
        <v>0</v>
      </c>
      <c r="J138">
        <f t="shared" si="20"/>
        <v>2</v>
      </c>
      <c r="K138">
        <f t="shared" si="21"/>
        <v>0</v>
      </c>
      <c r="L138">
        <f t="shared" si="22"/>
        <v>0</v>
      </c>
      <c r="M138" t="str">
        <f t="shared" si="23"/>
        <v>S</v>
      </c>
      <c r="N138">
        <f t="shared" si="17"/>
        <v>1</v>
      </c>
    </row>
    <row r="139" spans="1:14" x14ac:dyDescent="0.45">
      <c r="A139">
        <v>138</v>
      </c>
      <c r="B139">
        <v>3.6</v>
      </c>
      <c r="C139">
        <v>3</v>
      </c>
      <c r="D139" t="s">
        <v>6</v>
      </c>
      <c r="E139">
        <v>1</v>
      </c>
      <c r="F139">
        <v>138</v>
      </c>
      <c r="G139" t="str">
        <f t="shared" si="18"/>
        <v>S</v>
      </c>
      <c r="H139">
        <f t="shared" si="24"/>
        <v>1</v>
      </c>
      <c r="I139">
        <f t="shared" si="19"/>
        <v>0</v>
      </c>
      <c r="J139">
        <f t="shared" si="20"/>
        <v>3</v>
      </c>
      <c r="K139">
        <f t="shared" si="21"/>
        <v>0</v>
      </c>
      <c r="L139">
        <f t="shared" si="22"/>
        <v>0</v>
      </c>
      <c r="M139" t="str">
        <f t="shared" si="23"/>
        <v>S</v>
      </c>
      <c r="N139">
        <f t="shared" si="17"/>
        <v>1</v>
      </c>
    </row>
    <row r="140" spans="1:14" x14ac:dyDescent="0.45">
      <c r="A140">
        <v>139</v>
      </c>
      <c r="B140">
        <v>1.4</v>
      </c>
      <c r="C140">
        <v>4</v>
      </c>
      <c r="D140" t="s">
        <v>6</v>
      </c>
      <c r="E140">
        <v>2</v>
      </c>
      <c r="F140">
        <v>139</v>
      </c>
      <c r="G140" t="str">
        <f t="shared" si="18"/>
        <v>S</v>
      </c>
      <c r="H140">
        <f t="shared" si="24"/>
        <v>2</v>
      </c>
      <c r="I140">
        <f t="shared" si="19"/>
        <v>0</v>
      </c>
      <c r="J140">
        <f t="shared" si="20"/>
        <v>4</v>
      </c>
      <c r="K140">
        <f t="shared" si="21"/>
        <v>0</v>
      </c>
      <c r="L140">
        <f t="shared" si="22"/>
        <v>1</v>
      </c>
      <c r="M140" t="str">
        <f t="shared" si="23"/>
        <v>S</v>
      </c>
      <c r="N140">
        <f t="shared" si="17"/>
        <v>1</v>
      </c>
    </row>
    <row r="141" spans="1:14" x14ac:dyDescent="0.45">
      <c r="A141">
        <v>140</v>
      </c>
      <c r="B141">
        <v>0.5</v>
      </c>
      <c r="C141">
        <v>5</v>
      </c>
      <c r="D141" t="s">
        <v>6</v>
      </c>
      <c r="E141">
        <v>2</v>
      </c>
      <c r="F141">
        <v>140</v>
      </c>
      <c r="G141" t="str">
        <f t="shared" si="18"/>
        <v>S</v>
      </c>
      <c r="H141">
        <f t="shared" si="24"/>
        <v>2</v>
      </c>
      <c r="I141">
        <f t="shared" si="19"/>
        <v>0</v>
      </c>
      <c r="J141">
        <f t="shared" si="20"/>
        <v>5</v>
      </c>
      <c r="K141">
        <f t="shared" si="21"/>
        <v>0</v>
      </c>
      <c r="L141">
        <f t="shared" si="22"/>
        <v>0</v>
      </c>
      <c r="M141" t="str">
        <f t="shared" si="23"/>
        <v>S</v>
      </c>
      <c r="N141">
        <f t="shared" si="17"/>
        <v>1</v>
      </c>
    </row>
    <row r="142" spans="1:14" x14ac:dyDescent="0.45">
      <c r="A142">
        <v>141</v>
      </c>
      <c r="B142">
        <v>1.4</v>
      </c>
      <c r="C142">
        <v>1</v>
      </c>
      <c r="D142" t="s">
        <v>6</v>
      </c>
      <c r="E142">
        <v>2</v>
      </c>
      <c r="F142">
        <v>141</v>
      </c>
      <c r="G142" t="str">
        <f t="shared" si="18"/>
        <v>S</v>
      </c>
      <c r="H142">
        <f t="shared" si="24"/>
        <v>2</v>
      </c>
      <c r="I142">
        <f t="shared" si="19"/>
        <v>0</v>
      </c>
      <c r="J142">
        <f t="shared" si="20"/>
        <v>6</v>
      </c>
      <c r="K142">
        <f t="shared" si="21"/>
        <v>0</v>
      </c>
      <c r="L142">
        <f t="shared" si="22"/>
        <v>0</v>
      </c>
      <c r="M142" t="str">
        <f t="shared" si="23"/>
        <v>S</v>
      </c>
      <c r="N142">
        <f t="shared" si="17"/>
        <v>1</v>
      </c>
    </row>
    <row r="143" spans="1:14" x14ac:dyDescent="0.45">
      <c r="A143">
        <v>142</v>
      </c>
      <c r="B143">
        <v>3.9</v>
      </c>
      <c r="C143">
        <v>3</v>
      </c>
      <c r="D143" t="s">
        <v>6</v>
      </c>
      <c r="E143">
        <v>3</v>
      </c>
      <c r="F143">
        <v>142</v>
      </c>
      <c r="G143" t="str">
        <f t="shared" si="18"/>
        <v>S</v>
      </c>
      <c r="H143">
        <f t="shared" si="24"/>
        <v>3</v>
      </c>
      <c r="I143">
        <f t="shared" si="19"/>
        <v>0</v>
      </c>
      <c r="J143">
        <f t="shared" si="20"/>
        <v>7</v>
      </c>
      <c r="K143">
        <f t="shared" si="21"/>
        <v>0</v>
      </c>
      <c r="L143">
        <f t="shared" si="22"/>
        <v>0</v>
      </c>
      <c r="M143" t="str">
        <f t="shared" si="23"/>
        <v>S</v>
      </c>
      <c r="N143">
        <f t="shared" si="17"/>
        <v>1</v>
      </c>
    </row>
    <row r="144" spans="1:14" x14ac:dyDescent="0.45">
      <c r="A144">
        <v>143</v>
      </c>
      <c r="B144">
        <v>7.3</v>
      </c>
      <c r="C144">
        <v>13</v>
      </c>
      <c r="D144" t="s">
        <v>6</v>
      </c>
      <c r="E144">
        <v>3</v>
      </c>
      <c r="F144">
        <v>143</v>
      </c>
      <c r="G144" t="str">
        <f t="shared" si="18"/>
        <v>S</v>
      </c>
      <c r="H144">
        <f t="shared" si="24"/>
        <v>3</v>
      </c>
      <c r="I144">
        <f t="shared" si="19"/>
        <v>0</v>
      </c>
      <c r="J144">
        <f t="shared" si="20"/>
        <v>8</v>
      </c>
      <c r="K144">
        <f t="shared" si="21"/>
        <v>0</v>
      </c>
      <c r="L144">
        <f t="shared" si="22"/>
        <v>0</v>
      </c>
      <c r="M144" t="str">
        <f t="shared" si="23"/>
        <v>S</v>
      </c>
      <c r="N144">
        <f t="shared" si="17"/>
        <v>1</v>
      </c>
    </row>
    <row r="145" spans="1:14" x14ac:dyDescent="0.45">
      <c r="A145">
        <v>144</v>
      </c>
      <c r="B145">
        <v>10.9</v>
      </c>
      <c r="C145">
        <v>12</v>
      </c>
      <c r="D145" t="s">
        <v>6</v>
      </c>
      <c r="E145">
        <v>3</v>
      </c>
      <c r="F145">
        <v>144</v>
      </c>
      <c r="G145" t="str">
        <f t="shared" si="18"/>
        <v>S</v>
      </c>
      <c r="H145">
        <f t="shared" si="24"/>
        <v>3</v>
      </c>
      <c r="I145">
        <f t="shared" si="19"/>
        <v>0</v>
      </c>
      <c r="J145">
        <f t="shared" si="20"/>
        <v>9</v>
      </c>
      <c r="K145">
        <f t="shared" si="21"/>
        <v>0</v>
      </c>
      <c r="L145">
        <f t="shared" si="22"/>
        <v>0</v>
      </c>
      <c r="M145" t="str">
        <f t="shared" si="23"/>
        <v>C</v>
      </c>
      <c r="N145">
        <f t="shared" si="17"/>
        <v>1</v>
      </c>
    </row>
    <row r="146" spans="1:14" x14ac:dyDescent="0.45">
      <c r="A146">
        <v>145</v>
      </c>
      <c r="B146">
        <v>13.7</v>
      </c>
      <c r="C146">
        <v>9</v>
      </c>
      <c r="D146" t="s">
        <v>6</v>
      </c>
      <c r="E146">
        <v>4</v>
      </c>
      <c r="F146">
        <v>145</v>
      </c>
      <c r="G146" t="str">
        <f t="shared" si="18"/>
        <v>S</v>
      </c>
      <c r="H146">
        <f t="shared" si="24"/>
        <v>4</v>
      </c>
      <c r="I146">
        <f t="shared" si="19"/>
        <v>0</v>
      </c>
      <c r="J146">
        <f t="shared" si="20"/>
        <v>10</v>
      </c>
      <c r="K146">
        <f t="shared" si="21"/>
        <v>0</v>
      </c>
      <c r="L146">
        <f t="shared" si="22"/>
        <v>0</v>
      </c>
      <c r="M146" t="str">
        <f t="shared" si="23"/>
        <v>C</v>
      </c>
      <c r="N146">
        <f t="shared" si="17"/>
        <v>1</v>
      </c>
    </row>
    <row r="147" spans="1:14" x14ac:dyDescent="0.45">
      <c r="A147">
        <v>146</v>
      </c>
      <c r="B147">
        <v>15.1</v>
      </c>
      <c r="C147">
        <v>21</v>
      </c>
      <c r="D147" t="s">
        <v>6</v>
      </c>
      <c r="E147">
        <v>4</v>
      </c>
      <c r="F147">
        <v>146</v>
      </c>
      <c r="G147" t="str">
        <f t="shared" si="18"/>
        <v>S</v>
      </c>
      <c r="H147">
        <f t="shared" si="24"/>
        <v>4</v>
      </c>
      <c r="I147">
        <f t="shared" si="19"/>
        <v>0</v>
      </c>
      <c r="J147">
        <f t="shared" si="20"/>
        <v>11</v>
      </c>
      <c r="K147">
        <f t="shared" si="21"/>
        <v>0</v>
      </c>
      <c r="L147">
        <f t="shared" si="22"/>
        <v>0</v>
      </c>
      <c r="M147" t="str">
        <f t="shared" si="23"/>
        <v>C</v>
      </c>
      <c r="N147">
        <f t="shared" si="17"/>
        <v>1</v>
      </c>
    </row>
    <row r="148" spans="1:14" x14ac:dyDescent="0.45">
      <c r="A148">
        <v>147</v>
      </c>
      <c r="B148">
        <v>15.1</v>
      </c>
      <c r="C148">
        <v>14</v>
      </c>
      <c r="D148" t="s">
        <v>6</v>
      </c>
      <c r="E148">
        <v>4</v>
      </c>
      <c r="F148">
        <v>147</v>
      </c>
      <c r="G148" t="str">
        <f t="shared" si="18"/>
        <v>S</v>
      </c>
      <c r="H148">
        <f t="shared" si="24"/>
        <v>4</v>
      </c>
      <c r="I148">
        <f t="shared" si="19"/>
        <v>0</v>
      </c>
      <c r="J148">
        <f t="shared" si="20"/>
        <v>12</v>
      </c>
      <c r="K148">
        <f t="shared" si="21"/>
        <v>0</v>
      </c>
      <c r="L148">
        <f t="shared" si="22"/>
        <v>0</v>
      </c>
      <c r="M148" t="str">
        <f t="shared" si="23"/>
        <v>C</v>
      </c>
      <c r="N148">
        <f t="shared" si="17"/>
        <v>1</v>
      </c>
    </row>
    <row r="149" spans="1:14" x14ac:dyDescent="0.45">
      <c r="A149">
        <v>148</v>
      </c>
      <c r="B149">
        <v>13.9</v>
      </c>
      <c r="C149">
        <v>11</v>
      </c>
      <c r="D149" t="s">
        <v>6</v>
      </c>
      <c r="E149">
        <v>5</v>
      </c>
      <c r="F149">
        <v>148</v>
      </c>
      <c r="G149" t="str">
        <f t="shared" si="18"/>
        <v>S</v>
      </c>
      <c r="H149">
        <f t="shared" si="24"/>
        <v>5</v>
      </c>
      <c r="I149">
        <f t="shared" si="19"/>
        <v>0</v>
      </c>
      <c r="J149">
        <f t="shared" si="20"/>
        <v>13</v>
      </c>
      <c r="K149">
        <f t="shared" si="21"/>
        <v>0</v>
      </c>
      <c r="L149">
        <f t="shared" si="22"/>
        <v>0</v>
      </c>
      <c r="M149" t="str">
        <f t="shared" si="23"/>
        <v>C</v>
      </c>
      <c r="N149">
        <f t="shared" si="17"/>
        <v>1</v>
      </c>
    </row>
    <row r="150" spans="1:14" x14ac:dyDescent="0.45">
      <c r="A150">
        <v>149</v>
      </c>
      <c r="B150">
        <v>12.3</v>
      </c>
      <c r="C150">
        <v>20</v>
      </c>
      <c r="D150" t="s">
        <v>6</v>
      </c>
      <c r="E150">
        <v>5</v>
      </c>
      <c r="F150">
        <v>149</v>
      </c>
      <c r="G150" t="str">
        <f t="shared" si="18"/>
        <v>S</v>
      </c>
      <c r="H150">
        <f t="shared" si="24"/>
        <v>5</v>
      </c>
      <c r="I150">
        <f t="shared" si="19"/>
        <v>0</v>
      </c>
      <c r="J150">
        <f t="shared" si="20"/>
        <v>14</v>
      </c>
      <c r="K150">
        <f t="shared" si="21"/>
        <v>0</v>
      </c>
      <c r="L150">
        <f t="shared" si="22"/>
        <v>0</v>
      </c>
      <c r="M150" t="str">
        <f t="shared" si="23"/>
        <v>C</v>
      </c>
      <c r="N150">
        <f t="shared" si="17"/>
        <v>1</v>
      </c>
    </row>
    <row r="151" spans="1:14" x14ac:dyDescent="0.45">
      <c r="A151">
        <v>150</v>
      </c>
      <c r="B151">
        <v>11.2</v>
      </c>
      <c r="C151">
        <v>0</v>
      </c>
      <c r="D151">
        <v>0</v>
      </c>
      <c r="E151">
        <v>0</v>
      </c>
      <c r="F151">
        <v>150</v>
      </c>
      <c r="G151">
        <f t="shared" si="18"/>
        <v>0</v>
      </c>
      <c r="H151">
        <f t="shared" si="24"/>
        <v>0</v>
      </c>
      <c r="I151">
        <f t="shared" si="19"/>
        <v>1</v>
      </c>
      <c r="J151">
        <f t="shared" si="20"/>
        <v>1</v>
      </c>
      <c r="K151">
        <f t="shared" si="21"/>
        <v>0</v>
      </c>
      <c r="L151">
        <f t="shared" si="22"/>
        <v>0</v>
      </c>
      <c r="M151" t="str">
        <f t="shared" si="23"/>
        <v>C</v>
      </c>
      <c r="N151">
        <f t="shared" si="17"/>
        <v>1</v>
      </c>
    </row>
    <row r="152" spans="1:14" x14ac:dyDescent="0.45">
      <c r="A152">
        <v>151</v>
      </c>
      <c r="B152">
        <v>11.3</v>
      </c>
      <c r="C152">
        <v>6</v>
      </c>
      <c r="D152" t="s">
        <v>5</v>
      </c>
      <c r="E152">
        <v>1</v>
      </c>
      <c r="F152">
        <v>151</v>
      </c>
      <c r="G152" t="str">
        <f t="shared" si="18"/>
        <v>C</v>
      </c>
      <c r="H152">
        <f t="shared" si="24"/>
        <v>1</v>
      </c>
      <c r="I152">
        <f t="shared" si="19"/>
        <v>0</v>
      </c>
      <c r="J152">
        <f t="shared" si="20"/>
        <v>1</v>
      </c>
      <c r="K152">
        <f t="shared" si="21"/>
        <v>1</v>
      </c>
      <c r="L152">
        <f t="shared" si="22"/>
        <v>0</v>
      </c>
      <c r="M152" t="str">
        <f t="shared" si="23"/>
        <v>C</v>
      </c>
      <c r="N152">
        <f t="shared" si="17"/>
        <v>1</v>
      </c>
    </row>
    <row r="153" spans="1:14" x14ac:dyDescent="0.45">
      <c r="A153">
        <v>152</v>
      </c>
      <c r="B153">
        <v>12.9</v>
      </c>
      <c r="C153">
        <v>3</v>
      </c>
      <c r="D153" t="s">
        <v>5</v>
      </c>
      <c r="E153">
        <v>1</v>
      </c>
      <c r="F153">
        <v>152</v>
      </c>
      <c r="G153" t="str">
        <f t="shared" si="18"/>
        <v>C</v>
      </c>
      <c r="H153">
        <f t="shared" si="24"/>
        <v>1</v>
      </c>
      <c r="I153">
        <f t="shared" si="19"/>
        <v>0</v>
      </c>
      <c r="J153">
        <f t="shared" si="20"/>
        <v>2</v>
      </c>
      <c r="K153">
        <f t="shared" si="21"/>
        <v>0</v>
      </c>
      <c r="L153">
        <f t="shared" si="22"/>
        <v>0</v>
      </c>
      <c r="M153" t="str">
        <f t="shared" si="23"/>
        <v>C</v>
      </c>
      <c r="N153">
        <f t="shared" si="17"/>
        <v>1</v>
      </c>
    </row>
    <row r="154" spans="1:14" x14ac:dyDescent="0.45">
      <c r="A154">
        <v>153</v>
      </c>
      <c r="B154">
        <v>16</v>
      </c>
      <c r="C154">
        <v>6</v>
      </c>
      <c r="D154" t="s">
        <v>5</v>
      </c>
      <c r="E154">
        <v>1</v>
      </c>
      <c r="F154">
        <v>153</v>
      </c>
      <c r="G154" t="str">
        <f t="shared" si="18"/>
        <v>C</v>
      </c>
      <c r="H154">
        <f t="shared" si="24"/>
        <v>1</v>
      </c>
      <c r="I154">
        <f t="shared" si="19"/>
        <v>0</v>
      </c>
      <c r="J154">
        <f t="shared" si="20"/>
        <v>3</v>
      </c>
      <c r="K154">
        <f t="shared" si="21"/>
        <v>0</v>
      </c>
      <c r="L154">
        <f t="shared" si="22"/>
        <v>0</v>
      </c>
      <c r="M154" t="str">
        <f t="shared" si="23"/>
        <v>C</v>
      </c>
      <c r="N154">
        <f t="shared" si="17"/>
        <v>1</v>
      </c>
    </row>
    <row r="155" spans="1:14" x14ac:dyDescent="0.45">
      <c r="A155">
        <v>154</v>
      </c>
      <c r="B155">
        <v>19.8</v>
      </c>
      <c r="C155">
        <v>2</v>
      </c>
      <c r="D155" t="s">
        <v>5</v>
      </c>
      <c r="E155">
        <v>2</v>
      </c>
      <c r="F155">
        <v>154</v>
      </c>
      <c r="G155" t="str">
        <f t="shared" si="18"/>
        <v>C</v>
      </c>
      <c r="H155">
        <f t="shared" si="24"/>
        <v>2</v>
      </c>
      <c r="I155">
        <f t="shared" si="19"/>
        <v>0</v>
      </c>
      <c r="J155">
        <f t="shared" si="20"/>
        <v>4</v>
      </c>
      <c r="K155">
        <f t="shared" si="21"/>
        <v>0</v>
      </c>
      <c r="L155">
        <f t="shared" si="22"/>
        <v>1</v>
      </c>
      <c r="M155" t="str">
        <f t="shared" si="23"/>
        <v>C</v>
      </c>
      <c r="N155">
        <f t="shared" si="17"/>
        <v>1</v>
      </c>
    </row>
    <row r="156" spans="1:14" x14ac:dyDescent="0.45">
      <c r="A156">
        <v>155</v>
      </c>
      <c r="B156">
        <v>23.6</v>
      </c>
      <c r="C156">
        <v>11</v>
      </c>
      <c r="D156" t="s">
        <v>5</v>
      </c>
      <c r="E156">
        <v>2</v>
      </c>
      <c r="F156">
        <v>155</v>
      </c>
      <c r="G156" t="str">
        <f t="shared" si="18"/>
        <v>C</v>
      </c>
      <c r="H156">
        <f t="shared" si="24"/>
        <v>2</v>
      </c>
      <c r="I156">
        <f t="shared" si="19"/>
        <v>0</v>
      </c>
      <c r="J156">
        <f t="shared" si="20"/>
        <v>5</v>
      </c>
      <c r="K156">
        <f t="shared" si="21"/>
        <v>0</v>
      </c>
      <c r="L156">
        <f t="shared" si="22"/>
        <v>0</v>
      </c>
      <c r="M156" t="str">
        <f t="shared" si="23"/>
        <v>C</v>
      </c>
      <c r="N156">
        <f t="shared" si="17"/>
        <v>1</v>
      </c>
    </row>
    <row r="157" spans="1:14" x14ac:dyDescent="0.45">
      <c r="A157">
        <v>156</v>
      </c>
      <c r="B157">
        <v>26.4</v>
      </c>
      <c r="C157">
        <v>11</v>
      </c>
      <c r="D157" t="s">
        <v>5</v>
      </c>
      <c r="E157">
        <v>2</v>
      </c>
      <c r="F157">
        <v>156</v>
      </c>
      <c r="G157" t="str">
        <f t="shared" si="18"/>
        <v>C</v>
      </c>
      <c r="H157">
        <f t="shared" si="24"/>
        <v>2</v>
      </c>
      <c r="I157">
        <f t="shared" si="19"/>
        <v>0</v>
      </c>
      <c r="J157">
        <f t="shared" si="20"/>
        <v>6</v>
      </c>
      <c r="K157">
        <f t="shared" si="21"/>
        <v>0</v>
      </c>
      <c r="L157">
        <f t="shared" si="22"/>
        <v>0</v>
      </c>
      <c r="M157" t="str">
        <f t="shared" si="23"/>
        <v>C</v>
      </c>
      <c r="N157">
        <f t="shared" si="17"/>
        <v>1</v>
      </c>
    </row>
    <row r="158" spans="1:14" x14ac:dyDescent="0.45">
      <c r="A158">
        <v>157</v>
      </c>
      <c r="B158">
        <v>27.7</v>
      </c>
      <c r="C158">
        <v>5</v>
      </c>
      <c r="D158" t="s">
        <v>5</v>
      </c>
      <c r="E158">
        <v>3</v>
      </c>
      <c r="F158">
        <v>157</v>
      </c>
      <c r="G158" t="str">
        <f t="shared" si="18"/>
        <v>C</v>
      </c>
      <c r="H158">
        <f t="shared" si="24"/>
        <v>3</v>
      </c>
      <c r="I158">
        <f t="shared" si="19"/>
        <v>0</v>
      </c>
      <c r="J158">
        <f t="shared" si="20"/>
        <v>7</v>
      </c>
      <c r="K158">
        <f t="shared" si="21"/>
        <v>0</v>
      </c>
      <c r="L158">
        <f t="shared" si="22"/>
        <v>0</v>
      </c>
      <c r="M158" t="str">
        <f t="shared" si="23"/>
        <v>C</v>
      </c>
      <c r="N158">
        <f t="shared" si="17"/>
        <v>1</v>
      </c>
    </row>
    <row r="159" spans="1:14" x14ac:dyDescent="0.45">
      <c r="A159">
        <v>158</v>
      </c>
      <c r="B159">
        <v>27.2</v>
      </c>
      <c r="C159">
        <v>18</v>
      </c>
      <c r="D159" t="s">
        <v>5</v>
      </c>
      <c r="E159">
        <v>3</v>
      </c>
      <c r="F159">
        <v>158</v>
      </c>
      <c r="G159" t="str">
        <f t="shared" si="18"/>
        <v>C</v>
      </c>
      <c r="H159">
        <f t="shared" si="24"/>
        <v>3</v>
      </c>
      <c r="I159">
        <f t="shared" si="19"/>
        <v>0</v>
      </c>
      <c r="J159">
        <f t="shared" si="20"/>
        <v>8</v>
      </c>
      <c r="K159">
        <f t="shared" si="21"/>
        <v>0</v>
      </c>
      <c r="L159">
        <f t="shared" si="22"/>
        <v>0</v>
      </c>
      <c r="M159" t="str">
        <f t="shared" si="23"/>
        <v>C</v>
      </c>
      <c r="N159">
        <f t="shared" si="17"/>
        <v>1</v>
      </c>
    </row>
    <row r="160" spans="1:14" x14ac:dyDescent="0.45">
      <c r="A160">
        <v>159</v>
      </c>
      <c r="B160">
        <v>25.5</v>
      </c>
      <c r="C160">
        <v>5</v>
      </c>
      <c r="D160" t="s">
        <v>5</v>
      </c>
      <c r="E160">
        <v>3</v>
      </c>
      <c r="F160">
        <v>159</v>
      </c>
      <c r="G160" t="str">
        <f t="shared" si="18"/>
        <v>C</v>
      </c>
      <c r="H160">
        <f t="shared" si="24"/>
        <v>3</v>
      </c>
      <c r="I160">
        <f t="shared" si="19"/>
        <v>0</v>
      </c>
      <c r="J160">
        <f t="shared" si="20"/>
        <v>9</v>
      </c>
      <c r="K160">
        <f t="shared" si="21"/>
        <v>0</v>
      </c>
      <c r="L160">
        <f t="shared" si="22"/>
        <v>0</v>
      </c>
      <c r="M160" t="str">
        <f t="shared" si="23"/>
        <v>C</v>
      </c>
      <c r="N160">
        <f t="shared" si="17"/>
        <v>1</v>
      </c>
    </row>
    <row r="161" spans="1:14" x14ac:dyDescent="0.45">
      <c r="A161">
        <v>160</v>
      </c>
      <c r="B161">
        <v>23.1</v>
      </c>
      <c r="C161">
        <v>8</v>
      </c>
      <c r="D161" t="s">
        <v>5</v>
      </c>
      <c r="E161">
        <v>4</v>
      </c>
      <c r="F161">
        <v>160</v>
      </c>
      <c r="G161" t="str">
        <f t="shared" si="18"/>
        <v>C</v>
      </c>
      <c r="H161">
        <f t="shared" si="24"/>
        <v>4</v>
      </c>
      <c r="I161">
        <f t="shared" si="19"/>
        <v>0</v>
      </c>
      <c r="J161">
        <f t="shared" si="20"/>
        <v>10</v>
      </c>
      <c r="K161">
        <f t="shared" si="21"/>
        <v>0</v>
      </c>
      <c r="L161">
        <f t="shared" si="22"/>
        <v>0</v>
      </c>
      <c r="M161" t="str">
        <f t="shared" si="23"/>
        <v>C</v>
      </c>
      <c r="N161">
        <f t="shared" si="17"/>
        <v>1</v>
      </c>
    </row>
    <row r="162" spans="1:14" x14ac:dyDescent="0.45">
      <c r="A162">
        <v>161</v>
      </c>
      <c r="B162">
        <v>21</v>
      </c>
      <c r="C162">
        <v>22</v>
      </c>
      <c r="D162" t="s">
        <v>5</v>
      </c>
      <c r="E162">
        <v>4</v>
      </c>
      <c r="F162">
        <v>161</v>
      </c>
      <c r="G162" t="str">
        <f t="shared" si="18"/>
        <v>C</v>
      </c>
      <c r="H162">
        <f t="shared" si="24"/>
        <v>4</v>
      </c>
      <c r="I162">
        <f t="shared" si="19"/>
        <v>0</v>
      </c>
      <c r="J162">
        <f t="shared" si="20"/>
        <v>11</v>
      </c>
      <c r="K162">
        <f t="shared" si="21"/>
        <v>0</v>
      </c>
      <c r="L162">
        <f t="shared" si="22"/>
        <v>0</v>
      </c>
      <c r="M162" t="str">
        <f t="shared" si="23"/>
        <v>C</v>
      </c>
      <c r="N162">
        <f t="shared" si="17"/>
        <v>1</v>
      </c>
    </row>
    <row r="163" spans="1:14" x14ac:dyDescent="0.45">
      <c r="A163">
        <v>162</v>
      </c>
      <c r="B163">
        <v>20</v>
      </c>
      <c r="C163">
        <v>19</v>
      </c>
      <c r="D163" t="s">
        <v>5</v>
      </c>
      <c r="E163">
        <v>4</v>
      </c>
      <c r="F163">
        <v>162</v>
      </c>
      <c r="G163" t="str">
        <f t="shared" si="18"/>
        <v>C</v>
      </c>
      <c r="H163">
        <f t="shared" si="24"/>
        <v>4</v>
      </c>
      <c r="I163">
        <f t="shared" si="19"/>
        <v>0</v>
      </c>
      <c r="J163">
        <f t="shared" si="20"/>
        <v>12</v>
      </c>
      <c r="K163">
        <f t="shared" si="21"/>
        <v>0</v>
      </c>
      <c r="L163">
        <f t="shared" si="22"/>
        <v>0</v>
      </c>
      <c r="M163" t="str">
        <f t="shared" si="23"/>
        <v>C</v>
      </c>
      <c r="N163">
        <f t="shared" si="17"/>
        <v>1</v>
      </c>
    </row>
    <row r="164" spans="1:14" x14ac:dyDescent="0.4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v>163</v>
      </c>
      <c r="G164" t="str">
        <f t="shared" si="18"/>
        <v>C</v>
      </c>
      <c r="H164">
        <f t="shared" si="24"/>
        <v>5</v>
      </c>
      <c r="I164">
        <f t="shared" si="19"/>
        <v>0</v>
      </c>
      <c r="J164">
        <f t="shared" si="20"/>
        <v>13</v>
      </c>
      <c r="K164">
        <f t="shared" si="21"/>
        <v>0</v>
      </c>
      <c r="L164">
        <f t="shared" si="22"/>
        <v>0</v>
      </c>
      <c r="M164" t="str">
        <f t="shared" si="23"/>
        <v>C</v>
      </c>
      <c r="N164">
        <f t="shared" si="17"/>
        <v>1</v>
      </c>
    </row>
    <row r="165" spans="1:14" x14ac:dyDescent="0.45">
      <c r="A165">
        <v>164</v>
      </c>
      <c r="B165">
        <v>22.1</v>
      </c>
      <c r="C165">
        <v>0</v>
      </c>
      <c r="D165">
        <v>0</v>
      </c>
      <c r="E165">
        <v>0</v>
      </c>
      <c r="F165">
        <v>164</v>
      </c>
      <c r="G165">
        <f t="shared" si="18"/>
        <v>0</v>
      </c>
      <c r="H165">
        <f t="shared" si="24"/>
        <v>0</v>
      </c>
      <c r="I165">
        <f t="shared" si="19"/>
        <v>1</v>
      </c>
      <c r="J165">
        <f t="shared" si="20"/>
        <v>1</v>
      </c>
      <c r="K165">
        <f t="shared" si="21"/>
        <v>0</v>
      </c>
      <c r="L165">
        <f t="shared" si="22"/>
        <v>0</v>
      </c>
      <c r="M165" t="str">
        <f t="shared" si="23"/>
        <v>C</v>
      </c>
      <c r="N165">
        <f t="shared" si="17"/>
        <v>1</v>
      </c>
    </row>
    <row r="166" spans="1:14" x14ac:dyDescent="0.45">
      <c r="A166">
        <v>165</v>
      </c>
      <c r="B166">
        <v>24.5</v>
      </c>
      <c r="C166">
        <v>1</v>
      </c>
      <c r="D166" t="s">
        <v>6</v>
      </c>
      <c r="E166">
        <v>1</v>
      </c>
      <c r="F166">
        <v>165</v>
      </c>
      <c r="G166" t="str">
        <f t="shared" si="18"/>
        <v>C</v>
      </c>
      <c r="H166">
        <f t="shared" si="24"/>
        <v>1</v>
      </c>
      <c r="I166">
        <f t="shared" si="19"/>
        <v>0</v>
      </c>
      <c r="J166">
        <f t="shared" si="20"/>
        <v>1</v>
      </c>
      <c r="K166">
        <f t="shared" si="21"/>
        <v>1</v>
      </c>
      <c r="L166">
        <f t="shared" si="22"/>
        <v>0</v>
      </c>
      <c r="M166" t="str">
        <f t="shared" si="23"/>
        <v>C</v>
      </c>
      <c r="N166">
        <f t="shared" si="17"/>
        <v>0</v>
      </c>
    </row>
    <row r="167" spans="1:14" x14ac:dyDescent="0.45">
      <c r="A167">
        <v>166</v>
      </c>
      <c r="B167">
        <v>26.8</v>
      </c>
      <c r="C167">
        <v>2</v>
      </c>
      <c r="D167" t="s">
        <v>6</v>
      </c>
      <c r="E167">
        <v>1</v>
      </c>
      <c r="F167">
        <v>166</v>
      </c>
      <c r="G167" t="str">
        <f t="shared" si="18"/>
        <v>C</v>
      </c>
      <c r="H167">
        <f t="shared" si="24"/>
        <v>1</v>
      </c>
      <c r="I167">
        <f t="shared" si="19"/>
        <v>0</v>
      </c>
      <c r="J167">
        <f t="shared" si="20"/>
        <v>2</v>
      </c>
      <c r="K167">
        <f t="shared" si="21"/>
        <v>0</v>
      </c>
      <c r="L167">
        <f t="shared" si="22"/>
        <v>0</v>
      </c>
      <c r="M167" t="str">
        <f t="shared" si="23"/>
        <v>C</v>
      </c>
      <c r="N167">
        <f t="shared" si="17"/>
        <v>0</v>
      </c>
    </row>
    <row r="168" spans="1:14" x14ac:dyDescent="0.45">
      <c r="A168">
        <v>167</v>
      </c>
      <c r="B168">
        <v>28</v>
      </c>
      <c r="C168">
        <v>4</v>
      </c>
      <c r="D168" t="s">
        <v>6</v>
      </c>
      <c r="E168">
        <v>1</v>
      </c>
      <c r="F168">
        <v>167</v>
      </c>
      <c r="G168" t="str">
        <f t="shared" si="18"/>
        <v>C</v>
      </c>
      <c r="H168">
        <f t="shared" si="24"/>
        <v>1</v>
      </c>
      <c r="I168">
        <f t="shared" si="19"/>
        <v>0</v>
      </c>
      <c r="J168">
        <f t="shared" si="20"/>
        <v>3</v>
      </c>
      <c r="K168">
        <f t="shared" si="21"/>
        <v>0</v>
      </c>
      <c r="L168">
        <f t="shared" si="22"/>
        <v>0</v>
      </c>
      <c r="M168" t="str">
        <f t="shared" si="23"/>
        <v>C</v>
      </c>
      <c r="N168">
        <f t="shared" si="17"/>
        <v>0</v>
      </c>
    </row>
    <row r="169" spans="1:14" x14ac:dyDescent="0.45">
      <c r="A169">
        <v>168</v>
      </c>
      <c r="B169">
        <v>27.7</v>
      </c>
      <c r="C169">
        <v>8</v>
      </c>
      <c r="D169" t="s">
        <v>6</v>
      </c>
      <c r="E169">
        <v>2</v>
      </c>
      <c r="F169">
        <v>168</v>
      </c>
      <c r="G169" t="str">
        <f t="shared" si="18"/>
        <v>C</v>
      </c>
      <c r="H169">
        <f t="shared" si="24"/>
        <v>2</v>
      </c>
      <c r="I169">
        <f t="shared" si="19"/>
        <v>0</v>
      </c>
      <c r="J169">
        <f t="shared" si="20"/>
        <v>4</v>
      </c>
      <c r="K169">
        <f t="shared" si="21"/>
        <v>0</v>
      </c>
      <c r="L169">
        <f t="shared" si="22"/>
        <v>1</v>
      </c>
      <c r="M169" t="str">
        <f t="shared" si="23"/>
        <v>C</v>
      </c>
      <c r="N169">
        <f t="shared" si="17"/>
        <v>0</v>
      </c>
    </row>
    <row r="170" spans="1:14" x14ac:dyDescent="0.45">
      <c r="A170">
        <v>169</v>
      </c>
      <c r="B170">
        <v>25.6</v>
      </c>
      <c r="C170">
        <v>4</v>
      </c>
      <c r="D170" t="s">
        <v>6</v>
      </c>
      <c r="E170">
        <v>2</v>
      </c>
      <c r="F170">
        <v>169</v>
      </c>
      <c r="G170" t="str">
        <f t="shared" si="18"/>
        <v>C</v>
      </c>
      <c r="H170">
        <f t="shared" si="24"/>
        <v>2</v>
      </c>
      <c r="I170">
        <f t="shared" si="19"/>
        <v>0</v>
      </c>
      <c r="J170">
        <f t="shared" si="20"/>
        <v>5</v>
      </c>
      <c r="K170">
        <f t="shared" si="21"/>
        <v>0</v>
      </c>
      <c r="L170">
        <f t="shared" si="22"/>
        <v>0</v>
      </c>
      <c r="M170" t="str">
        <f t="shared" si="23"/>
        <v>C</v>
      </c>
      <c r="N170">
        <f t="shared" si="17"/>
        <v>0</v>
      </c>
    </row>
    <row r="171" spans="1:14" x14ac:dyDescent="0.45">
      <c r="A171">
        <v>170</v>
      </c>
      <c r="B171">
        <v>22.3</v>
      </c>
      <c r="C171">
        <v>7</v>
      </c>
      <c r="D171" t="s">
        <v>6</v>
      </c>
      <c r="E171">
        <v>2</v>
      </c>
      <c r="F171">
        <v>170</v>
      </c>
      <c r="G171" t="str">
        <f t="shared" si="18"/>
        <v>C</v>
      </c>
      <c r="H171">
        <f t="shared" si="24"/>
        <v>2</v>
      </c>
      <c r="I171">
        <f t="shared" si="19"/>
        <v>0</v>
      </c>
      <c r="J171">
        <f t="shared" si="20"/>
        <v>6</v>
      </c>
      <c r="K171">
        <f t="shared" si="21"/>
        <v>0</v>
      </c>
      <c r="L171">
        <f t="shared" si="22"/>
        <v>0</v>
      </c>
      <c r="M171" t="str">
        <f t="shared" si="23"/>
        <v>C</v>
      </c>
      <c r="N171">
        <f t="shared" si="17"/>
        <v>0</v>
      </c>
    </row>
    <row r="172" spans="1:14" x14ac:dyDescent="0.4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v>171</v>
      </c>
      <c r="G172" t="str">
        <f t="shared" si="18"/>
        <v>C</v>
      </c>
      <c r="H172">
        <f t="shared" si="24"/>
        <v>3</v>
      </c>
      <c r="I172">
        <f t="shared" si="19"/>
        <v>0</v>
      </c>
      <c r="J172">
        <f t="shared" si="20"/>
        <v>7</v>
      </c>
      <c r="K172">
        <f t="shared" si="21"/>
        <v>0</v>
      </c>
      <c r="L172">
        <f t="shared" si="22"/>
        <v>0</v>
      </c>
      <c r="M172" t="str">
        <f t="shared" si="23"/>
        <v>C</v>
      </c>
      <c r="N172">
        <f t="shared" si="17"/>
        <v>0</v>
      </c>
    </row>
    <row r="173" spans="1:14" x14ac:dyDescent="0.45">
      <c r="A173">
        <v>172</v>
      </c>
      <c r="B173">
        <v>14.9</v>
      </c>
      <c r="C173">
        <v>18</v>
      </c>
      <c r="D173" t="s">
        <v>6</v>
      </c>
      <c r="E173">
        <v>3</v>
      </c>
      <c r="F173">
        <v>172</v>
      </c>
      <c r="G173" t="str">
        <f t="shared" si="18"/>
        <v>C</v>
      </c>
      <c r="H173">
        <f t="shared" si="24"/>
        <v>3</v>
      </c>
      <c r="I173">
        <f t="shared" si="19"/>
        <v>0</v>
      </c>
      <c r="J173">
        <f t="shared" si="20"/>
        <v>8</v>
      </c>
      <c r="K173">
        <f t="shared" si="21"/>
        <v>0</v>
      </c>
      <c r="L173">
        <f t="shared" si="22"/>
        <v>0</v>
      </c>
      <c r="M173" t="str">
        <f t="shared" si="23"/>
        <v>C</v>
      </c>
      <c r="N173">
        <f t="shared" si="17"/>
        <v>0</v>
      </c>
    </row>
    <row r="174" spans="1:14" x14ac:dyDescent="0.45">
      <c r="A174">
        <v>173</v>
      </c>
      <c r="B174">
        <v>12.5</v>
      </c>
      <c r="C174">
        <v>6</v>
      </c>
      <c r="D174" t="s">
        <v>6</v>
      </c>
      <c r="E174">
        <v>3</v>
      </c>
      <c r="F174">
        <v>173</v>
      </c>
      <c r="G174" t="str">
        <f t="shared" si="18"/>
        <v>C</v>
      </c>
      <c r="H174">
        <f t="shared" si="24"/>
        <v>3</v>
      </c>
      <c r="I174">
        <f t="shared" si="19"/>
        <v>0</v>
      </c>
      <c r="J174">
        <f t="shared" si="20"/>
        <v>9</v>
      </c>
      <c r="K174">
        <f t="shared" si="21"/>
        <v>0</v>
      </c>
      <c r="L174">
        <f t="shared" si="22"/>
        <v>0</v>
      </c>
      <c r="M174" t="str">
        <f t="shared" si="23"/>
        <v>C</v>
      </c>
      <c r="N174">
        <f t="shared" si="17"/>
        <v>0</v>
      </c>
    </row>
    <row r="175" spans="1:14" x14ac:dyDescent="0.45">
      <c r="A175">
        <v>174</v>
      </c>
      <c r="B175">
        <v>11.7</v>
      </c>
      <c r="C175">
        <v>20</v>
      </c>
      <c r="D175" t="s">
        <v>6</v>
      </c>
      <c r="E175">
        <v>4</v>
      </c>
      <c r="F175">
        <v>174</v>
      </c>
      <c r="G175" t="str">
        <f t="shared" si="18"/>
        <v>C</v>
      </c>
      <c r="H175">
        <f t="shared" si="24"/>
        <v>4</v>
      </c>
      <c r="I175">
        <f t="shared" si="19"/>
        <v>0</v>
      </c>
      <c r="J175">
        <f t="shared" si="20"/>
        <v>10</v>
      </c>
      <c r="K175">
        <f t="shared" si="21"/>
        <v>0</v>
      </c>
      <c r="L175">
        <f t="shared" si="22"/>
        <v>0</v>
      </c>
      <c r="M175" t="str">
        <f t="shared" si="23"/>
        <v>C</v>
      </c>
      <c r="N175">
        <f t="shared" si="17"/>
        <v>0</v>
      </c>
    </row>
    <row r="176" spans="1:14" x14ac:dyDescent="0.45">
      <c r="A176">
        <v>175</v>
      </c>
      <c r="B176">
        <v>12.3</v>
      </c>
      <c r="C176">
        <v>14</v>
      </c>
      <c r="D176" t="s">
        <v>6</v>
      </c>
      <c r="E176">
        <v>4</v>
      </c>
      <c r="F176">
        <v>175</v>
      </c>
      <c r="G176" t="str">
        <f t="shared" si="18"/>
        <v>C</v>
      </c>
      <c r="H176">
        <f t="shared" si="24"/>
        <v>4</v>
      </c>
      <c r="I176">
        <f t="shared" si="19"/>
        <v>0</v>
      </c>
      <c r="J176">
        <f t="shared" si="20"/>
        <v>11</v>
      </c>
      <c r="K176">
        <f t="shared" si="21"/>
        <v>0</v>
      </c>
      <c r="L176">
        <f t="shared" si="22"/>
        <v>0</v>
      </c>
      <c r="M176" t="str">
        <f t="shared" si="23"/>
        <v>C</v>
      </c>
      <c r="N176">
        <f t="shared" si="17"/>
        <v>0</v>
      </c>
    </row>
    <row r="177" spans="1:14" x14ac:dyDescent="0.45">
      <c r="A177">
        <v>176</v>
      </c>
      <c r="B177">
        <v>13.7</v>
      </c>
      <c r="C177">
        <v>22</v>
      </c>
      <c r="D177" t="s">
        <v>6</v>
      </c>
      <c r="E177">
        <v>4</v>
      </c>
      <c r="F177">
        <v>176</v>
      </c>
      <c r="G177" t="str">
        <f t="shared" si="18"/>
        <v>C</v>
      </c>
      <c r="H177">
        <f t="shared" si="24"/>
        <v>4</v>
      </c>
      <c r="I177">
        <f t="shared" si="19"/>
        <v>0</v>
      </c>
      <c r="J177">
        <f t="shared" si="20"/>
        <v>12</v>
      </c>
      <c r="K177">
        <f t="shared" si="21"/>
        <v>0</v>
      </c>
      <c r="L177">
        <f t="shared" si="22"/>
        <v>0</v>
      </c>
      <c r="M177" t="str">
        <f t="shared" si="23"/>
        <v>C</v>
      </c>
      <c r="N177">
        <f t="shared" si="17"/>
        <v>0</v>
      </c>
    </row>
    <row r="178" spans="1:14" x14ac:dyDescent="0.45">
      <c r="A178">
        <v>177</v>
      </c>
      <c r="B178">
        <v>15.2</v>
      </c>
      <c r="C178">
        <v>23</v>
      </c>
      <c r="D178" t="s">
        <v>6</v>
      </c>
      <c r="E178">
        <v>5</v>
      </c>
      <c r="F178">
        <v>177</v>
      </c>
      <c r="G178" t="str">
        <f t="shared" si="18"/>
        <v>C</v>
      </c>
      <c r="H178">
        <f t="shared" si="24"/>
        <v>5</v>
      </c>
      <c r="I178">
        <f t="shared" si="19"/>
        <v>0</v>
      </c>
      <c r="J178">
        <f t="shared" si="20"/>
        <v>13</v>
      </c>
      <c r="K178">
        <f t="shared" si="21"/>
        <v>0</v>
      </c>
      <c r="L178">
        <f t="shared" si="22"/>
        <v>0</v>
      </c>
      <c r="M178" t="str">
        <f t="shared" si="23"/>
        <v>C</v>
      </c>
      <c r="N178">
        <f t="shared" si="17"/>
        <v>0</v>
      </c>
    </row>
    <row r="179" spans="1:14" x14ac:dyDescent="0.45">
      <c r="A179">
        <v>178</v>
      </c>
      <c r="B179">
        <v>15.9</v>
      </c>
      <c r="C179">
        <v>0</v>
      </c>
      <c r="D179">
        <v>0</v>
      </c>
      <c r="E179">
        <v>0</v>
      </c>
      <c r="F179">
        <v>178</v>
      </c>
      <c r="G179">
        <f t="shared" si="18"/>
        <v>0</v>
      </c>
      <c r="H179">
        <f t="shared" si="24"/>
        <v>0</v>
      </c>
      <c r="I179">
        <f t="shared" si="19"/>
        <v>1</v>
      </c>
      <c r="J179">
        <f t="shared" si="20"/>
        <v>1</v>
      </c>
      <c r="K179">
        <f t="shared" si="21"/>
        <v>0</v>
      </c>
      <c r="L179">
        <f t="shared" si="22"/>
        <v>0</v>
      </c>
      <c r="M179" t="str">
        <f t="shared" si="23"/>
        <v>C</v>
      </c>
      <c r="N179">
        <f t="shared" si="17"/>
        <v>1</v>
      </c>
    </row>
    <row r="180" spans="1:14" x14ac:dyDescent="0.45">
      <c r="A180">
        <v>179</v>
      </c>
      <c r="B180">
        <v>15.1</v>
      </c>
      <c r="C180">
        <v>1</v>
      </c>
      <c r="D180" t="s">
        <v>5</v>
      </c>
      <c r="E180">
        <v>1</v>
      </c>
      <c r="F180">
        <v>179</v>
      </c>
      <c r="G180" t="str">
        <f t="shared" si="18"/>
        <v>C</v>
      </c>
      <c r="H180">
        <f t="shared" si="24"/>
        <v>1</v>
      </c>
      <c r="I180">
        <f t="shared" si="19"/>
        <v>0</v>
      </c>
      <c r="J180">
        <f t="shared" si="20"/>
        <v>1</v>
      </c>
      <c r="K180">
        <f t="shared" si="21"/>
        <v>1</v>
      </c>
      <c r="L180">
        <f t="shared" si="22"/>
        <v>0</v>
      </c>
      <c r="M180" t="str">
        <f t="shared" si="23"/>
        <v>C</v>
      </c>
      <c r="N180">
        <f t="shared" si="17"/>
        <v>1</v>
      </c>
    </row>
    <row r="181" spans="1:14" x14ac:dyDescent="0.45">
      <c r="A181">
        <v>180</v>
      </c>
      <c r="B181">
        <v>12.9</v>
      </c>
      <c r="C181">
        <v>1</v>
      </c>
      <c r="D181" t="s">
        <v>5</v>
      </c>
      <c r="E181">
        <v>1</v>
      </c>
      <c r="F181">
        <v>180</v>
      </c>
      <c r="G181" t="str">
        <f t="shared" si="18"/>
        <v>C</v>
      </c>
      <c r="H181">
        <f t="shared" si="24"/>
        <v>1</v>
      </c>
      <c r="I181">
        <f t="shared" si="19"/>
        <v>0</v>
      </c>
      <c r="J181">
        <f t="shared" si="20"/>
        <v>2</v>
      </c>
      <c r="K181">
        <f t="shared" si="21"/>
        <v>0</v>
      </c>
      <c r="L181">
        <f t="shared" si="22"/>
        <v>0</v>
      </c>
      <c r="M181" t="str">
        <f t="shared" si="23"/>
        <v>C</v>
      </c>
      <c r="N181">
        <f t="shared" si="17"/>
        <v>1</v>
      </c>
    </row>
    <row r="182" spans="1:14" x14ac:dyDescent="0.45">
      <c r="A182">
        <v>181</v>
      </c>
      <c r="B182">
        <v>9.6</v>
      </c>
      <c r="C182">
        <v>1</v>
      </c>
      <c r="D182" t="s">
        <v>5</v>
      </c>
      <c r="E182">
        <v>1</v>
      </c>
      <c r="F182">
        <v>181</v>
      </c>
      <c r="G182" t="str">
        <f t="shared" si="18"/>
        <v>C</v>
      </c>
      <c r="H182">
        <f t="shared" si="24"/>
        <v>1</v>
      </c>
      <c r="I182">
        <f t="shared" si="19"/>
        <v>0</v>
      </c>
      <c r="J182">
        <f t="shared" si="20"/>
        <v>3</v>
      </c>
      <c r="K182">
        <f t="shared" si="21"/>
        <v>0</v>
      </c>
      <c r="L182">
        <f t="shared" si="22"/>
        <v>0</v>
      </c>
      <c r="M182" t="str">
        <f t="shared" si="23"/>
        <v>S</v>
      </c>
      <c r="N182">
        <f t="shared" si="17"/>
        <v>1</v>
      </c>
    </row>
    <row r="183" spans="1:14" x14ac:dyDescent="0.45">
      <c r="A183">
        <v>182</v>
      </c>
      <c r="B183">
        <v>5.9</v>
      </c>
      <c r="C183">
        <v>2</v>
      </c>
      <c r="D183" t="s">
        <v>5</v>
      </c>
      <c r="E183">
        <v>2</v>
      </c>
      <c r="F183">
        <v>182</v>
      </c>
      <c r="G183" t="str">
        <f t="shared" si="18"/>
        <v>C</v>
      </c>
      <c r="H183">
        <f t="shared" si="24"/>
        <v>2</v>
      </c>
      <c r="I183">
        <f t="shared" si="19"/>
        <v>0</v>
      </c>
      <c r="J183">
        <f t="shared" si="20"/>
        <v>4</v>
      </c>
      <c r="K183">
        <f t="shared" si="21"/>
        <v>0</v>
      </c>
      <c r="L183">
        <f t="shared" si="22"/>
        <v>1</v>
      </c>
      <c r="M183" t="str">
        <f t="shared" si="23"/>
        <v>S</v>
      </c>
      <c r="N183">
        <f t="shared" si="17"/>
        <v>1</v>
      </c>
    </row>
    <row r="184" spans="1:14" x14ac:dyDescent="0.45">
      <c r="A184">
        <v>183</v>
      </c>
      <c r="B184">
        <v>2.8</v>
      </c>
      <c r="C184">
        <v>6</v>
      </c>
      <c r="D184" t="s">
        <v>5</v>
      </c>
      <c r="E184">
        <v>2</v>
      </c>
      <c r="F184">
        <v>183</v>
      </c>
      <c r="G184" t="str">
        <f t="shared" si="18"/>
        <v>C</v>
      </c>
      <c r="H184">
        <f t="shared" si="24"/>
        <v>2</v>
      </c>
      <c r="I184">
        <f t="shared" si="19"/>
        <v>0</v>
      </c>
      <c r="J184">
        <f t="shared" si="20"/>
        <v>5</v>
      </c>
      <c r="K184">
        <f t="shared" si="21"/>
        <v>0</v>
      </c>
      <c r="L184">
        <f t="shared" si="22"/>
        <v>0</v>
      </c>
      <c r="M184" t="str">
        <f t="shared" si="23"/>
        <v>S</v>
      </c>
      <c r="N184">
        <f t="shared" si="17"/>
        <v>1</v>
      </c>
    </row>
    <row r="185" spans="1:14" x14ac:dyDescent="0.45">
      <c r="A185">
        <v>184</v>
      </c>
      <c r="B185">
        <v>1</v>
      </c>
      <c r="C185">
        <v>9</v>
      </c>
      <c r="D185" t="s">
        <v>5</v>
      </c>
      <c r="E185">
        <v>2</v>
      </c>
      <c r="F185">
        <v>184</v>
      </c>
      <c r="G185" t="str">
        <f t="shared" si="18"/>
        <v>C</v>
      </c>
      <c r="H185">
        <f t="shared" si="24"/>
        <v>2</v>
      </c>
      <c r="I185">
        <f t="shared" si="19"/>
        <v>0</v>
      </c>
      <c r="J185">
        <f t="shared" si="20"/>
        <v>6</v>
      </c>
      <c r="K185">
        <f t="shared" si="21"/>
        <v>0</v>
      </c>
      <c r="L185">
        <f t="shared" si="22"/>
        <v>0</v>
      </c>
      <c r="M185" t="str">
        <f t="shared" si="23"/>
        <v>S</v>
      </c>
      <c r="N185">
        <f t="shared" si="17"/>
        <v>1</v>
      </c>
    </row>
    <row r="186" spans="1:14" x14ac:dyDescent="0.45">
      <c r="A186">
        <v>185</v>
      </c>
      <c r="B186">
        <v>0.9</v>
      </c>
      <c r="C186">
        <v>6</v>
      </c>
      <c r="D186" t="s">
        <v>5</v>
      </c>
      <c r="E186">
        <v>3</v>
      </c>
      <c r="F186">
        <v>185</v>
      </c>
      <c r="G186" t="str">
        <f t="shared" si="18"/>
        <v>C</v>
      </c>
      <c r="H186">
        <f t="shared" si="24"/>
        <v>3</v>
      </c>
      <c r="I186">
        <f t="shared" si="19"/>
        <v>0</v>
      </c>
      <c r="J186">
        <f t="shared" si="20"/>
        <v>7</v>
      </c>
      <c r="K186">
        <f t="shared" si="21"/>
        <v>0</v>
      </c>
      <c r="L186">
        <f t="shared" si="22"/>
        <v>0</v>
      </c>
      <c r="M186" t="str">
        <f t="shared" si="23"/>
        <v>S</v>
      </c>
      <c r="N186">
        <f t="shared" si="17"/>
        <v>1</v>
      </c>
    </row>
    <row r="187" spans="1:14" x14ac:dyDescent="0.45">
      <c r="A187">
        <v>186</v>
      </c>
      <c r="B187">
        <v>2.5</v>
      </c>
      <c r="C187">
        <v>1</v>
      </c>
      <c r="D187" t="s">
        <v>5</v>
      </c>
      <c r="E187">
        <v>3</v>
      </c>
      <c r="F187">
        <v>186</v>
      </c>
      <c r="G187" t="str">
        <f t="shared" si="18"/>
        <v>C</v>
      </c>
      <c r="H187">
        <f t="shared" si="24"/>
        <v>3</v>
      </c>
      <c r="I187">
        <f t="shared" si="19"/>
        <v>0</v>
      </c>
      <c r="J187">
        <f t="shared" si="20"/>
        <v>8</v>
      </c>
      <c r="K187">
        <f t="shared" si="21"/>
        <v>0</v>
      </c>
      <c r="L187">
        <f t="shared" si="22"/>
        <v>0</v>
      </c>
      <c r="M187" t="str">
        <f t="shared" si="23"/>
        <v>S</v>
      </c>
      <c r="N187">
        <f t="shared" si="17"/>
        <v>1</v>
      </c>
    </row>
    <row r="188" spans="1:14" x14ac:dyDescent="0.45">
      <c r="A188">
        <v>187</v>
      </c>
      <c r="B188">
        <v>5</v>
      </c>
      <c r="C188">
        <v>3</v>
      </c>
      <c r="D188" t="s">
        <v>5</v>
      </c>
      <c r="E188">
        <v>3</v>
      </c>
      <c r="F188">
        <v>187</v>
      </c>
      <c r="G188" t="str">
        <f t="shared" si="18"/>
        <v>C</v>
      </c>
      <c r="H188">
        <f t="shared" si="24"/>
        <v>3</v>
      </c>
      <c r="I188">
        <f t="shared" si="19"/>
        <v>0</v>
      </c>
      <c r="J188">
        <f t="shared" si="20"/>
        <v>9</v>
      </c>
      <c r="K188">
        <f t="shared" si="21"/>
        <v>0</v>
      </c>
      <c r="L188">
        <f t="shared" si="22"/>
        <v>0</v>
      </c>
      <c r="M188" t="str">
        <f t="shared" si="23"/>
        <v>S</v>
      </c>
      <c r="N188">
        <f t="shared" si="17"/>
        <v>1</v>
      </c>
    </row>
    <row r="189" spans="1:14" x14ac:dyDescent="0.45">
      <c r="A189">
        <v>188</v>
      </c>
      <c r="B189">
        <v>7.7</v>
      </c>
      <c r="C189">
        <v>7</v>
      </c>
      <c r="D189" t="s">
        <v>5</v>
      </c>
      <c r="E189">
        <v>4</v>
      </c>
      <c r="F189">
        <v>188</v>
      </c>
      <c r="G189" t="str">
        <f t="shared" si="18"/>
        <v>C</v>
      </c>
      <c r="H189">
        <f t="shared" si="24"/>
        <v>4</v>
      </c>
      <c r="I189">
        <f t="shared" si="19"/>
        <v>0</v>
      </c>
      <c r="J189">
        <f t="shared" si="20"/>
        <v>10</v>
      </c>
      <c r="K189">
        <f t="shared" si="21"/>
        <v>0</v>
      </c>
      <c r="L189">
        <f t="shared" si="22"/>
        <v>0</v>
      </c>
      <c r="M189" t="str">
        <f t="shared" si="23"/>
        <v>S</v>
      </c>
      <c r="N189">
        <f t="shared" si="17"/>
        <v>1</v>
      </c>
    </row>
    <row r="190" spans="1:14" x14ac:dyDescent="0.4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v>189</v>
      </c>
      <c r="G190" t="str">
        <f t="shared" si="18"/>
        <v>C</v>
      </c>
      <c r="H190">
        <f t="shared" si="24"/>
        <v>4</v>
      </c>
      <c r="I190">
        <f t="shared" si="19"/>
        <v>0</v>
      </c>
      <c r="J190">
        <f t="shared" si="20"/>
        <v>11</v>
      </c>
      <c r="K190">
        <f t="shared" si="21"/>
        <v>0</v>
      </c>
      <c r="L190">
        <f t="shared" si="22"/>
        <v>0</v>
      </c>
      <c r="M190" t="str">
        <f t="shared" si="23"/>
        <v>S</v>
      </c>
      <c r="N190">
        <f t="shared" si="17"/>
        <v>1</v>
      </c>
    </row>
    <row r="191" spans="1:14" x14ac:dyDescent="0.45">
      <c r="A191">
        <v>190</v>
      </c>
      <c r="B191">
        <v>10.4</v>
      </c>
      <c r="C191">
        <v>3</v>
      </c>
      <c r="D191" t="s">
        <v>5</v>
      </c>
      <c r="E191">
        <v>4</v>
      </c>
      <c r="F191">
        <v>190</v>
      </c>
      <c r="G191" t="str">
        <f t="shared" si="18"/>
        <v>C</v>
      </c>
      <c r="H191">
        <f t="shared" si="24"/>
        <v>4</v>
      </c>
      <c r="I191">
        <f t="shared" si="19"/>
        <v>0</v>
      </c>
      <c r="J191">
        <f t="shared" si="20"/>
        <v>12</v>
      </c>
      <c r="K191">
        <f t="shared" si="21"/>
        <v>0</v>
      </c>
      <c r="L191">
        <f t="shared" si="22"/>
        <v>0</v>
      </c>
      <c r="M191" t="str">
        <f t="shared" si="23"/>
        <v>C</v>
      </c>
      <c r="N191">
        <f t="shared" si="17"/>
        <v>1</v>
      </c>
    </row>
    <row r="192" spans="1:14" x14ac:dyDescent="0.4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v>191</v>
      </c>
      <c r="G192" t="str">
        <f t="shared" si="18"/>
        <v>C</v>
      </c>
      <c r="H192">
        <f t="shared" si="24"/>
        <v>5</v>
      </c>
      <c r="I192">
        <f t="shared" si="19"/>
        <v>0</v>
      </c>
      <c r="J192">
        <f t="shared" si="20"/>
        <v>13</v>
      </c>
      <c r="K192">
        <f t="shared" si="21"/>
        <v>0</v>
      </c>
      <c r="L192">
        <f t="shared" si="22"/>
        <v>0</v>
      </c>
      <c r="M192" t="str">
        <f t="shared" si="23"/>
        <v>S</v>
      </c>
      <c r="N192">
        <f t="shared" si="17"/>
        <v>1</v>
      </c>
    </row>
    <row r="193" spans="1:14" x14ac:dyDescent="0.45">
      <c r="A193">
        <v>192</v>
      </c>
      <c r="B193">
        <v>8</v>
      </c>
      <c r="C193">
        <v>0</v>
      </c>
      <c r="D193">
        <v>0</v>
      </c>
      <c r="E193">
        <v>0</v>
      </c>
      <c r="F193">
        <v>192</v>
      </c>
      <c r="G193">
        <f t="shared" si="18"/>
        <v>0</v>
      </c>
      <c r="H193">
        <f t="shared" si="24"/>
        <v>0</v>
      </c>
      <c r="I193">
        <f t="shared" si="19"/>
        <v>1</v>
      </c>
      <c r="J193">
        <f t="shared" si="20"/>
        <v>1</v>
      </c>
      <c r="K193">
        <f t="shared" si="21"/>
        <v>0</v>
      </c>
      <c r="L193">
        <f t="shared" si="22"/>
        <v>0</v>
      </c>
      <c r="M193" t="str">
        <f t="shared" si="23"/>
        <v>S</v>
      </c>
      <c r="N193">
        <f t="shared" si="17"/>
        <v>1</v>
      </c>
    </row>
    <row r="194" spans="1:14" x14ac:dyDescent="0.45">
      <c r="A194">
        <v>193</v>
      </c>
      <c r="B194">
        <v>5.9</v>
      </c>
      <c r="C194">
        <v>3</v>
      </c>
      <c r="D194" t="s">
        <v>6</v>
      </c>
      <c r="E194">
        <v>1</v>
      </c>
      <c r="F194">
        <v>193</v>
      </c>
      <c r="G194" t="str">
        <f t="shared" si="18"/>
        <v>S</v>
      </c>
      <c r="H194">
        <f t="shared" si="24"/>
        <v>1</v>
      </c>
      <c r="I194">
        <f t="shared" si="19"/>
        <v>0</v>
      </c>
      <c r="J194">
        <f t="shared" si="20"/>
        <v>1</v>
      </c>
      <c r="K194">
        <f t="shared" si="21"/>
        <v>1</v>
      </c>
      <c r="L194">
        <f t="shared" si="22"/>
        <v>0</v>
      </c>
      <c r="M194" t="str">
        <f t="shared" si="23"/>
        <v>S</v>
      </c>
      <c r="N194">
        <f t="shared" si="17"/>
        <v>1</v>
      </c>
    </row>
    <row r="195" spans="1:14" x14ac:dyDescent="0.4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v>194</v>
      </c>
      <c r="G195" t="str">
        <f t="shared" si="18"/>
        <v>S</v>
      </c>
      <c r="H195">
        <f t="shared" si="24"/>
        <v>1</v>
      </c>
      <c r="I195">
        <f t="shared" si="19"/>
        <v>0</v>
      </c>
      <c r="J195">
        <f t="shared" si="20"/>
        <v>2</v>
      </c>
      <c r="K195">
        <f t="shared" si="21"/>
        <v>0</v>
      </c>
      <c r="L195">
        <f t="shared" si="22"/>
        <v>0</v>
      </c>
      <c r="M195" t="str">
        <f t="shared" si="23"/>
        <v>S</v>
      </c>
      <c r="N195">
        <f t="shared" ref="N195:N258" si="25">IF(G195=D195,1,0)</f>
        <v>1</v>
      </c>
    </row>
    <row r="196" spans="1:14" x14ac:dyDescent="0.45">
      <c r="A196">
        <v>195</v>
      </c>
      <c r="B196">
        <v>4.2</v>
      </c>
      <c r="C196">
        <v>6</v>
      </c>
      <c r="D196" t="s">
        <v>6</v>
      </c>
      <c r="E196">
        <v>1</v>
      </c>
      <c r="F196">
        <v>195</v>
      </c>
      <c r="G196" t="str">
        <f t="shared" ref="G196:G259" si="26">IF(I196=1,0, IF(K196=1,M196,G195))</f>
        <v>S</v>
      </c>
      <c r="H196">
        <f t="shared" si="24"/>
        <v>1</v>
      </c>
      <c r="I196">
        <f t="shared" ref="I196:I259" si="27">IF(AND(H195=5,C195&gt;=20),1,0)</f>
        <v>0</v>
      </c>
      <c r="J196">
        <f t="shared" ref="J196:J259" si="28">IF(G196=G195,J195+1,1)</f>
        <v>3</v>
      </c>
      <c r="K196">
        <f t="shared" ref="K196:K259" si="29">IF(AND(G195=0,H195=0),1,0)</f>
        <v>0</v>
      </c>
      <c r="L196">
        <f t="shared" ref="L196:L259" si="30">IF(J195=3,1,0)</f>
        <v>0</v>
      </c>
      <c r="M196" t="str">
        <f t="shared" ref="M196:M259" si="31">IF(B196&lt;10,"S","C")</f>
        <v>S</v>
      </c>
      <c r="N196">
        <f t="shared" si="25"/>
        <v>1</v>
      </c>
    </row>
    <row r="197" spans="1:14" x14ac:dyDescent="0.45">
      <c r="A197">
        <v>196</v>
      </c>
      <c r="B197">
        <v>5.6</v>
      </c>
      <c r="C197">
        <v>8</v>
      </c>
      <c r="D197" t="s">
        <v>6</v>
      </c>
      <c r="E197">
        <v>2</v>
      </c>
      <c r="F197">
        <v>196</v>
      </c>
      <c r="G197" t="str">
        <f t="shared" si="26"/>
        <v>S</v>
      </c>
      <c r="H197">
        <f t="shared" si="24"/>
        <v>2</v>
      </c>
      <c r="I197">
        <f t="shared" si="27"/>
        <v>0</v>
      </c>
      <c r="J197">
        <f t="shared" si="28"/>
        <v>4</v>
      </c>
      <c r="K197">
        <f t="shared" si="29"/>
        <v>0</v>
      </c>
      <c r="L197">
        <f t="shared" si="30"/>
        <v>1</v>
      </c>
      <c r="M197" t="str">
        <f t="shared" si="31"/>
        <v>S</v>
      </c>
      <c r="N197">
        <f t="shared" si="25"/>
        <v>1</v>
      </c>
    </row>
    <row r="198" spans="1:14" x14ac:dyDescent="0.45">
      <c r="A198">
        <v>197</v>
      </c>
      <c r="B198">
        <v>8.6</v>
      </c>
      <c r="C198">
        <v>12</v>
      </c>
      <c r="D198" t="s">
        <v>6</v>
      </c>
      <c r="E198">
        <v>2</v>
      </c>
      <c r="F198">
        <v>197</v>
      </c>
      <c r="G198" t="str">
        <f t="shared" si="26"/>
        <v>S</v>
      </c>
      <c r="H198">
        <f t="shared" si="24"/>
        <v>2</v>
      </c>
      <c r="I198">
        <f t="shared" si="27"/>
        <v>0</v>
      </c>
      <c r="J198">
        <f t="shared" si="28"/>
        <v>5</v>
      </c>
      <c r="K198">
        <f t="shared" si="29"/>
        <v>0</v>
      </c>
      <c r="L198">
        <f t="shared" si="30"/>
        <v>0</v>
      </c>
      <c r="M198" t="str">
        <f t="shared" si="31"/>
        <v>S</v>
      </c>
      <c r="N198">
        <f t="shared" si="25"/>
        <v>1</v>
      </c>
    </row>
    <row r="199" spans="1:14" x14ac:dyDescent="0.45">
      <c r="A199">
        <v>198</v>
      </c>
      <c r="B199">
        <v>12.5</v>
      </c>
      <c r="C199">
        <v>9</v>
      </c>
      <c r="D199" t="s">
        <v>6</v>
      </c>
      <c r="E199">
        <v>2</v>
      </c>
      <c r="F199">
        <v>198</v>
      </c>
      <c r="G199" t="str">
        <f t="shared" si="26"/>
        <v>S</v>
      </c>
      <c r="H199">
        <f t="shared" ref="H199:H262" si="32">IF(I199=1,0,IF(K199=1,1,IF(MOD(J198,3)=0, IF(H198+1&gt;5,5,H198+1),H198)))</f>
        <v>2</v>
      </c>
      <c r="I199">
        <f t="shared" si="27"/>
        <v>0</v>
      </c>
      <c r="J199">
        <f t="shared" si="28"/>
        <v>6</v>
      </c>
      <c r="K199">
        <f t="shared" si="29"/>
        <v>0</v>
      </c>
      <c r="L199">
        <f t="shared" si="30"/>
        <v>0</v>
      </c>
      <c r="M199" t="str">
        <f t="shared" si="31"/>
        <v>C</v>
      </c>
      <c r="N199">
        <f t="shared" si="25"/>
        <v>1</v>
      </c>
    </row>
    <row r="200" spans="1:14" x14ac:dyDescent="0.4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v>199</v>
      </c>
      <c r="G200" t="str">
        <f t="shared" si="26"/>
        <v>S</v>
      </c>
      <c r="H200">
        <f t="shared" si="32"/>
        <v>3</v>
      </c>
      <c r="I200">
        <f t="shared" si="27"/>
        <v>0</v>
      </c>
      <c r="J200">
        <f t="shared" si="28"/>
        <v>7</v>
      </c>
      <c r="K200">
        <f t="shared" si="29"/>
        <v>0</v>
      </c>
      <c r="L200">
        <f t="shared" si="30"/>
        <v>0</v>
      </c>
      <c r="M200" t="str">
        <f t="shared" si="31"/>
        <v>C</v>
      </c>
      <c r="N200">
        <f t="shared" si="25"/>
        <v>1</v>
      </c>
    </row>
    <row r="201" spans="1:14" x14ac:dyDescent="0.45">
      <c r="A201">
        <v>200</v>
      </c>
      <c r="B201">
        <v>19.5</v>
      </c>
      <c r="C201">
        <v>12</v>
      </c>
      <c r="D201" t="s">
        <v>6</v>
      </c>
      <c r="E201">
        <v>3</v>
      </c>
      <c r="F201">
        <v>200</v>
      </c>
      <c r="G201" t="str">
        <f t="shared" si="26"/>
        <v>S</v>
      </c>
      <c r="H201">
        <f t="shared" si="32"/>
        <v>3</v>
      </c>
      <c r="I201">
        <f t="shared" si="27"/>
        <v>0</v>
      </c>
      <c r="J201">
        <f t="shared" si="28"/>
        <v>8</v>
      </c>
      <c r="K201">
        <f t="shared" si="29"/>
        <v>0</v>
      </c>
      <c r="L201">
        <f t="shared" si="30"/>
        <v>0</v>
      </c>
      <c r="M201" t="str">
        <f t="shared" si="31"/>
        <v>C</v>
      </c>
      <c r="N201">
        <f t="shared" si="25"/>
        <v>1</v>
      </c>
    </row>
    <row r="202" spans="1:14" x14ac:dyDescent="0.45">
      <c r="A202">
        <v>201</v>
      </c>
      <c r="B202">
        <v>21.2</v>
      </c>
      <c r="C202">
        <v>1</v>
      </c>
      <c r="D202" t="s">
        <v>6</v>
      </c>
      <c r="E202">
        <v>3</v>
      </c>
      <c r="F202">
        <v>201</v>
      </c>
      <c r="G202" t="str">
        <f t="shared" si="26"/>
        <v>S</v>
      </c>
      <c r="H202">
        <f t="shared" si="32"/>
        <v>3</v>
      </c>
      <c r="I202">
        <f t="shared" si="27"/>
        <v>0</v>
      </c>
      <c r="J202">
        <f t="shared" si="28"/>
        <v>9</v>
      </c>
      <c r="K202">
        <f t="shared" si="29"/>
        <v>0</v>
      </c>
      <c r="L202">
        <f t="shared" si="30"/>
        <v>0</v>
      </c>
      <c r="M202" t="str">
        <f t="shared" si="31"/>
        <v>C</v>
      </c>
      <c r="N202">
        <f t="shared" si="25"/>
        <v>1</v>
      </c>
    </row>
    <row r="203" spans="1:14" x14ac:dyDescent="0.45">
      <c r="A203">
        <v>202</v>
      </c>
      <c r="B203">
        <v>21.3</v>
      </c>
      <c r="C203">
        <v>11</v>
      </c>
      <c r="D203" t="s">
        <v>6</v>
      </c>
      <c r="E203">
        <v>4</v>
      </c>
      <c r="F203">
        <v>202</v>
      </c>
      <c r="G203" t="str">
        <f t="shared" si="26"/>
        <v>S</v>
      </c>
      <c r="H203">
        <f t="shared" si="32"/>
        <v>4</v>
      </c>
      <c r="I203">
        <f t="shared" si="27"/>
        <v>0</v>
      </c>
      <c r="J203">
        <f t="shared" si="28"/>
        <v>10</v>
      </c>
      <c r="K203">
        <f t="shared" si="29"/>
        <v>0</v>
      </c>
      <c r="L203">
        <f t="shared" si="30"/>
        <v>0</v>
      </c>
      <c r="M203" t="str">
        <f t="shared" si="31"/>
        <v>C</v>
      </c>
      <c r="N203">
        <f t="shared" si="25"/>
        <v>1</v>
      </c>
    </row>
    <row r="204" spans="1:14" x14ac:dyDescent="0.4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v>203</v>
      </c>
      <c r="G204" t="str">
        <f t="shared" si="26"/>
        <v>S</v>
      </c>
      <c r="H204">
        <f t="shared" si="32"/>
        <v>4</v>
      </c>
      <c r="I204">
        <f t="shared" si="27"/>
        <v>0</v>
      </c>
      <c r="J204">
        <f t="shared" si="28"/>
        <v>11</v>
      </c>
      <c r="K204">
        <f t="shared" si="29"/>
        <v>0</v>
      </c>
      <c r="L204">
        <f t="shared" si="30"/>
        <v>0</v>
      </c>
      <c r="M204" t="str">
        <f t="shared" si="31"/>
        <v>C</v>
      </c>
      <c r="N204">
        <f t="shared" si="25"/>
        <v>1</v>
      </c>
    </row>
    <row r="205" spans="1:14" x14ac:dyDescent="0.4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v>204</v>
      </c>
      <c r="G205" t="str">
        <f t="shared" si="26"/>
        <v>S</v>
      </c>
      <c r="H205">
        <f t="shared" si="32"/>
        <v>4</v>
      </c>
      <c r="I205">
        <f t="shared" si="27"/>
        <v>0</v>
      </c>
      <c r="J205">
        <f t="shared" si="28"/>
        <v>12</v>
      </c>
      <c r="K205">
        <f t="shared" si="29"/>
        <v>0</v>
      </c>
      <c r="L205">
        <f t="shared" si="30"/>
        <v>0</v>
      </c>
      <c r="M205" t="str">
        <f t="shared" si="31"/>
        <v>C</v>
      </c>
      <c r="N205">
        <f t="shared" si="25"/>
        <v>1</v>
      </c>
    </row>
    <row r="206" spans="1:14" x14ac:dyDescent="0.4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v>205</v>
      </c>
      <c r="G206" t="str">
        <f t="shared" si="26"/>
        <v>S</v>
      </c>
      <c r="H206">
        <f t="shared" si="32"/>
        <v>5</v>
      </c>
      <c r="I206">
        <f t="shared" si="27"/>
        <v>0</v>
      </c>
      <c r="J206">
        <f t="shared" si="28"/>
        <v>13</v>
      </c>
      <c r="K206">
        <f t="shared" si="29"/>
        <v>0</v>
      </c>
      <c r="L206">
        <f t="shared" si="30"/>
        <v>0</v>
      </c>
      <c r="M206" t="str">
        <f t="shared" si="31"/>
        <v>C</v>
      </c>
      <c r="N206">
        <f t="shared" si="25"/>
        <v>1</v>
      </c>
    </row>
    <row r="207" spans="1:14" x14ac:dyDescent="0.4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v>206</v>
      </c>
      <c r="G207" t="str">
        <f t="shared" si="26"/>
        <v>S</v>
      </c>
      <c r="H207">
        <f t="shared" si="32"/>
        <v>5</v>
      </c>
      <c r="I207">
        <f t="shared" si="27"/>
        <v>0</v>
      </c>
      <c r="J207">
        <f t="shared" si="28"/>
        <v>14</v>
      </c>
      <c r="K207">
        <f t="shared" si="29"/>
        <v>0</v>
      </c>
      <c r="L207">
        <f t="shared" si="30"/>
        <v>0</v>
      </c>
      <c r="M207" t="str">
        <f t="shared" si="31"/>
        <v>C</v>
      </c>
      <c r="N207">
        <f t="shared" si="25"/>
        <v>1</v>
      </c>
    </row>
    <row r="208" spans="1:14" x14ac:dyDescent="0.45">
      <c r="A208">
        <v>207</v>
      </c>
      <c r="B208">
        <v>18.2</v>
      </c>
      <c r="C208">
        <v>17</v>
      </c>
      <c r="D208" t="s">
        <v>6</v>
      </c>
      <c r="E208">
        <v>5</v>
      </c>
      <c r="F208">
        <v>207</v>
      </c>
      <c r="G208" t="str">
        <f t="shared" si="26"/>
        <v>S</v>
      </c>
      <c r="H208">
        <f t="shared" si="32"/>
        <v>5</v>
      </c>
      <c r="I208">
        <f t="shared" si="27"/>
        <v>0</v>
      </c>
      <c r="J208">
        <f t="shared" si="28"/>
        <v>15</v>
      </c>
      <c r="K208">
        <f t="shared" si="29"/>
        <v>0</v>
      </c>
      <c r="L208">
        <f t="shared" si="30"/>
        <v>0</v>
      </c>
      <c r="M208" t="str">
        <f t="shared" si="31"/>
        <v>C</v>
      </c>
      <c r="N208">
        <f t="shared" si="25"/>
        <v>1</v>
      </c>
    </row>
    <row r="209" spans="1:14" x14ac:dyDescent="0.45">
      <c r="A209">
        <v>208</v>
      </c>
      <c r="B209">
        <v>20.7</v>
      </c>
      <c r="C209">
        <v>18</v>
      </c>
      <c r="D209" t="s">
        <v>6</v>
      </c>
      <c r="E209">
        <v>5</v>
      </c>
      <c r="F209">
        <v>208</v>
      </c>
      <c r="G209" t="str">
        <f t="shared" si="26"/>
        <v>S</v>
      </c>
      <c r="H209">
        <f t="shared" si="32"/>
        <v>5</v>
      </c>
      <c r="I209">
        <f t="shared" si="27"/>
        <v>0</v>
      </c>
      <c r="J209">
        <f t="shared" si="28"/>
        <v>16</v>
      </c>
      <c r="K209">
        <f t="shared" si="29"/>
        <v>0</v>
      </c>
      <c r="L209">
        <f t="shared" si="30"/>
        <v>0</v>
      </c>
      <c r="M209" t="str">
        <f t="shared" si="31"/>
        <v>C</v>
      </c>
      <c r="N209">
        <f t="shared" si="25"/>
        <v>1</v>
      </c>
    </row>
    <row r="210" spans="1:14" x14ac:dyDescent="0.45">
      <c r="A210">
        <v>209</v>
      </c>
      <c r="B210">
        <v>24</v>
      </c>
      <c r="C210">
        <v>13</v>
      </c>
      <c r="D210" t="s">
        <v>6</v>
      </c>
      <c r="E210">
        <v>5</v>
      </c>
      <c r="F210">
        <v>209</v>
      </c>
      <c r="G210" t="str">
        <f t="shared" si="26"/>
        <v>S</v>
      </c>
      <c r="H210">
        <f t="shared" si="32"/>
        <v>5</v>
      </c>
      <c r="I210">
        <f t="shared" si="27"/>
        <v>0</v>
      </c>
      <c r="J210">
        <f t="shared" si="28"/>
        <v>17</v>
      </c>
      <c r="K210">
        <f t="shared" si="29"/>
        <v>0</v>
      </c>
      <c r="L210">
        <f t="shared" si="30"/>
        <v>0</v>
      </c>
      <c r="M210" t="str">
        <f t="shared" si="31"/>
        <v>C</v>
      </c>
      <c r="N210">
        <f t="shared" si="25"/>
        <v>1</v>
      </c>
    </row>
    <row r="211" spans="1:14" x14ac:dyDescent="0.45">
      <c r="A211">
        <v>210</v>
      </c>
      <c r="B211">
        <v>27.2</v>
      </c>
      <c r="C211">
        <v>27</v>
      </c>
      <c r="D211" t="s">
        <v>6</v>
      </c>
      <c r="E211">
        <v>5</v>
      </c>
      <c r="F211">
        <v>210</v>
      </c>
      <c r="G211" t="str">
        <f t="shared" si="26"/>
        <v>S</v>
      </c>
      <c r="H211">
        <f t="shared" si="32"/>
        <v>5</v>
      </c>
      <c r="I211">
        <f t="shared" si="27"/>
        <v>0</v>
      </c>
      <c r="J211">
        <f t="shared" si="28"/>
        <v>18</v>
      </c>
      <c r="K211">
        <f t="shared" si="29"/>
        <v>0</v>
      </c>
      <c r="L211">
        <f t="shared" si="30"/>
        <v>0</v>
      </c>
      <c r="M211" t="str">
        <f t="shared" si="31"/>
        <v>C</v>
      </c>
      <c r="N211">
        <f t="shared" si="25"/>
        <v>1</v>
      </c>
    </row>
    <row r="212" spans="1:14" x14ac:dyDescent="0.45">
      <c r="A212">
        <v>211</v>
      </c>
      <c r="B212">
        <v>29.4</v>
      </c>
      <c r="C212">
        <v>0</v>
      </c>
      <c r="D212">
        <v>0</v>
      </c>
      <c r="E212">
        <v>0</v>
      </c>
      <c r="F212">
        <v>211</v>
      </c>
      <c r="G212">
        <f t="shared" si="26"/>
        <v>0</v>
      </c>
      <c r="H212">
        <f t="shared" si="32"/>
        <v>0</v>
      </c>
      <c r="I212">
        <f t="shared" si="27"/>
        <v>1</v>
      </c>
      <c r="J212">
        <f t="shared" si="28"/>
        <v>1</v>
      </c>
      <c r="K212">
        <f t="shared" si="29"/>
        <v>0</v>
      </c>
      <c r="L212">
        <f t="shared" si="30"/>
        <v>0</v>
      </c>
      <c r="M212" t="str">
        <f t="shared" si="31"/>
        <v>C</v>
      </c>
      <c r="N212">
        <f t="shared" si="25"/>
        <v>1</v>
      </c>
    </row>
    <row r="213" spans="1:14" x14ac:dyDescent="0.45">
      <c r="A213">
        <v>212</v>
      </c>
      <c r="B213">
        <v>29.9</v>
      </c>
      <c r="C213">
        <v>2</v>
      </c>
      <c r="D213" t="s">
        <v>5</v>
      </c>
      <c r="E213">
        <v>1</v>
      </c>
      <c r="F213">
        <v>212</v>
      </c>
      <c r="G213" t="str">
        <f t="shared" si="26"/>
        <v>C</v>
      </c>
      <c r="H213">
        <f t="shared" si="32"/>
        <v>1</v>
      </c>
      <c r="I213">
        <f t="shared" si="27"/>
        <v>0</v>
      </c>
      <c r="J213">
        <f t="shared" si="28"/>
        <v>1</v>
      </c>
      <c r="K213">
        <f t="shared" si="29"/>
        <v>1</v>
      </c>
      <c r="L213">
        <f t="shared" si="30"/>
        <v>0</v>
      </c>
      <c r="M213" t="str">
        <f t="shared" si="31"/>
        <v>C</v>
      </c>
      <c r="N213">
        <f t="shared" si="25"/>
        <v>1</v>
      </c>
    </row>
    <row r="214" spans="1:14" x14ac:dyDescent="0.45">
      <c r="A214">
        <v>213</v>
      </c>
      <c r="B214">
        <v>28.8</v>
      </c>
      <c r="C214">
        <v>4</v>
      </c>
      <c r="D214" t="s">
        <v>5</v>
      </c>
      <c r="E214">
        <v>1</v>
      </c>
      <c r="F214">
        <v>213</v>
      </c>
      <c r="G214" t="str">
        <f t="shared" si="26"/>
        <v>C</v>
      </c>
      <c r="H214">
        <f t="shared" si="32"/>
        <v>1</v>
      </c>
      <c r="I214">
        <f t="shared" si="27"/>
        <v>0</v>
      </c>
      <c r="J214">
        <f t="shared" si="28"/>
        <v>2</v>
      </c>
      <c r="K214">
        <f t="shared" si="29"/>
        <v>0</v>
      </c>
      <c r="L214">
        <f t="shared" si="30"/>
        <v>0</v>
      </c>
      <c r="M214" t="str">
        <f t="shared" si="31"/>
        <v>C</v>
      </c>
      <c r="N214">
        <f t="shared" si="25"/>
        <v>1</v>
      </c>
    </row>
    <row r="215" spans="1:14" x14ac:dyDescent="0.45">
      <c r="A215">
        <v>214</v>
      </c>
      <c r="B215">
        <v>26.2</v>
      </c>
      <c r="C215">
        <v>2</v>
      </c>
      <c r="D215" t="s">
        <v>5</v>
      </c>
      <c r="E215">
        <v>1</v>
      </c>
      <c r="F215">
        <v>214</v>
      </c>
      <c r="G215" t="str">
        <f t="shared" si="26"/>
        <v>C</v>
      </c>
      <c r="H215">
        <f t="shared" si="32"/>
        <v>1</v>
      </c>
      <c r="I215">
        <f t="shared" si="27"/>
        <v>0</v>
      </c>
      <c r="J215">
        <f t="shared" si="28"/>
        <v>3</v>
      </c>
      <c r="K215">
        <f t="shared" si="29"/>
        <v>0</v>
      </c>
      <c r="L215">
        <f t="shared" si="30"/>
        <v>0</v>
      </c>
      <c r="M215" t="str">
        <f t="shared" si="31"/>
        <v>C</v>
      </c>
      <c r="N215">
        <f t="shared" si="25"/>
        <v>1</v>
      </c>
    </row>
    <row r="216" spans="1:14" x14ac:dyDescent="0.45">
      <c r="A216">
        <v>215</v>
      </c>
      <c r="B216">
        <v>23.1</v>
      </c>
      <c r="C216">
        <v>11</v>
      </c>
      <c r="D216" t="s">
        <v>5</v>
      </c>
      <c r="E216">
        <v>1</v>
      </c>
      <c r="F216">
        <v>215</v>
      </c>
      <c r="G216" t="str">
        <f t="shared" si="26"/>
        <v>C</v>
      </c>
      <c r="H216">
        <f t="shared" si="32"/>
        <v>2</v>
      </c>
      <c r="I216">
        <f t="shared" si="27"/>
        <v>0</v>
      </c>
      <c r="J216">
        <f t="shared" si="28"/>
        <v>4</v>
      </c>
      <c r="K216">
        <f t="shared" si="29"/>
        <v>0</v>
      </c>
      <c r="L216">
        <f t="shared" si="30"/>
        <v>1</v>
      </c>
      <c r="M216" t="str">
        <f t="shared" si="31"/>
        <v>C</v>
      </c>
      <c r="N216">
        <f t="shared" si="25"/>
        <v>1</v>
      </c>
    </row>
    <row r="217" spans="1:14" x14ac:dyDescent="0.45">
      <c r="A217">
        <v>216</v>
      </c>
      <c r="B217">
        <v>20.3</v>
      </c>
      <c r="C217">
        <v>1</v>
      </c>
      <c r="D217" t="s">
        <v>5</v>
      </c>
      <c r="E217">
        <v>2</v>
      </c>
      <c r="F217">
        <v>216</v>
      </c>
      <c r="G217" t="str">
        <f t="shared" si="26"/>
        <v>C</v>
      </c>
      <c r="H217">
        <f t="shared" si="32"/>
        <v>2</v>
      </c>
      <c r="I217">
        <f t="shared" si="27"/>
        <v>0</v>
      </c>
      <c r="J217">
        <f t="shared" si="28"/>
        <v>5</v>
      </c>
      <c r="K217">
        <f t="shared" si="29"/>
        <v>0</v>
      </c>
      <c r="L217">
        <f t="shared" si="30"/>
        <v>0</v>
      </c>
      <c r="M217" t="str">
        <f t="shared" si="31"/>
        <v>C</v>
      </c>
      <c r="N217">
        <f t="shared" si="25"/>
        <v>1</v>
      </c>
    </row>
    <row r="218" spans="1:14" x14ac:dyDescent="0.45">
      <c r="A218">
        <v>217</v>
      </c>
      <c r="B218">
        <v>18.5</v>
      </c>
      <c r="C218">
        <v>7</v>
      </c>
      <c r="D218" t="s">
        <v>5</v>
      </c>
      <c r="E218">
        <v>2</v>
      </c>
      <c r="F218">
        <v>217</v>
      </c>
      <c r="G218" t="str">
        <f t="shared" si="26"/>
        <v>C</v>
      </c>
      <c r="H218">
        <f t="shared" si="32"/>
        <v>2</v>
      </c>
      <c r="I218">
        <f t="shared" si="27"/>
        <v>0</v>
      </c>
      <c r="J218">
        <f t="shared" si="28"/>
        <v>6</v>
      </c>
      <c r="K218">
        <f t="shared" si="29"/>
        <v>0</v>
      </c>
      <c r="L218">
        <f t="shared" si="30"/>
        <v>0</v>
      </c>
      <c r="M218" t="str">
        <f t="shared" si="31"/>
        <v>C</v>
      </c>
      <c r="N218">
        <f t="shared" si="25"/>
        <v>1</v>
      </c>
    </row>
    <row r="219" spans="1:14" x14ac:dyDescent="0.45">
      <c r="A219">
        <v>218</v>
      </c>
      <c r="B219">
        <v>18.2</v>
      </c>
      <c r="C219">
        <v>10</v>
      </c>
      <c r="D219" t="s">
        <v>5</v>
      </c>
      <c r="E219">
        <v>3</v>
      </c>
      <c r="F219">
        <v>218</v>
      </c>
      <c r="G219" t="str">
        <f t="shared" si="26"/>
        <v>C</v>
      </c>
      <c r="H219">
        <f t="shared" si="32"/>
        <v>3</v>
      </c>
      <c r="I219">
        <f t="shared" si="27"/>
        <v>0</v>
      </c>
      <c r="J219">
        <f t="shared" si="28"/>
        <v>7</v>
      </c>
      <c r="K219">
        <f t="shared" si="29"/>
        <v>0</v>
      </c>
      <c r="L219">
        <f t="shared" si="30"/>
        <v>0</v>
      </c>
      <c r="M219" t="str">
        <f t="shared" si="31"/>
        <v>C</v>
      </c>
      <c r="N219">
        <f t="shared" si="25"/>
        <v>1</v>
      </c>
    </row>
    <row r="220" spans="1:14" x14ac:dyDescent="0.4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v>219</v>
      </c>
      <c r="G220" t="str">
        <f t="shared" si="26"/>
        <v>C</v>
      </c>
      <c r="H220">
        <f t="shared" si="32"/>
        <v>3</v>
      </c>
      <c r="I220">
        <f t="shared" si="27"/>
        <v>0</v>
      </c>
      <c r="J220">
        <f t="shared" si="28"/>
        <v>8</v>
      </c>
      <c r="K220">
        <f t="shared" si="29"/>
        <v>0</v>
      </c>
      <c r="L220">
        <f t="shared" si="30"/>
        <v>0</v>
      </c>
      <c r="M220" t="str">
        <f t="shared" si="31"/>
        <v>C</v>
      </c>
      <c r="N220">
        <f t="shared" si="25"/>
        <v>1</v>
      </c>
    </row>
    <row r="221" spans="1:14" x14ac:dyDescent="0.45">
      <c r="A221">
        <v>220</v>
      </c>
      <c r="B221">
        <v>20.9</v>
      </c>
      <c r="C221">
        <v>1</v>
      </c>
      <c r="D221" t="s">
        <v>5</v>
      </c>
      <c r="E221">
        <v>3</v>
      </c>
      <c r="F221">
        <v>220</v>
      </c>
      <c r="G221" t="str">
        <f t="shared" si="26"/>
        <v>C</v>
      </c>
      <c r="H221">
        <f t="shared" si="32"/>
        <v>3</v>
      </c>
      <c r="I221">
        <f t="shared" si="27"/>
        <v>0</v>
      </c>
      <c r="J221">
        <f t="shared" si="28"/>
        <v>9</v>
      </c>
      <c r="K221">
        <f t="shared" si="29"/>
        <v>0</v>
      </c>
      <c r="L221">
        <f t="shared" si="30"/>
        <v>0</v>
      </c>
      <c r="M221" t="str">
        <f t="shared" si="31"/>
        <v>C</v>
      </c>
      <c r="N221">
        <f t="shared" si="25"/>
        <v>1</v>
      </c>
    </row>
    <row r="222" spans="1:14" x14ac:dyDescent="0.45">
      <c r="A222">
        <v>221</v>
      </c>
      <c r="B222">
        <v>22.5</v>
      </c>
      <c r="C222">
        <v>4</v>
      </c>
      <c r="D222" t="s">
        <v>5</v>
      </c>
      <c r="E222">
        <v>4</v>
      </c>
      <c r="F222">
        <v>221</v>
      </c>
      <c r="G222" t="str">
        <f t="shared" si="26"/>
        <v>C</v>
      </c>
      <c r="H222">
        <f t="shared" si="32"/>
        <v>4</v>
      </c>
      <c r="I222">
        <f t="shared" si="27"/>
        <v>0</v>
      </c>
      <c r="J222">
        <f t="shared" si="28"/>
        <v>10</v>
      </c>
      <c r="K222">
        <f t="shared" si="29"/>
        <v>0</v>
      </c>
      <c r="L222">
        <f t="shared" si="30"/>
        <v>0</v>
      </c>
      <c r="M222" t="str">
        <f t="shared" si="31"/>
        <v>C</v>
      </c>
      <c r="N222">
        <f t="shared" si="25"/>
        <v>1</v>
      </c>
    </row>
    <row r="223" spans="1:14" x14ac:dyDescent="0.45">
      <c r="A223">
        <v>222</v>
      </c>
      <c r="B223">
        <v>23.2</v>
      </c>
      <c r="C223">
        <v>12</v>
      </c>
      <c r="D223" t="s">
        <v>5</v>
      </c>
      <c r="E223">
        <v>4</v>
      </c>
      <c r="F223">
        <v>222</v>
      </c>
      <c r="G223" t="str">
        <f t="shared" si="26"/>
        <v>C</v>
      </c>
      <c r="H223">
        <f t="shared" si="32"/>
        <v>4</v>
      </c>
      <c r="I223">
        <f t="shared" si="27"/>
        <v>0</v>
      </c>
      <c r="J223">
        <f t="shared" si="28"/>
        <v>11</v>
      </c>
      <c r="K223">
        <f t="shared" si="29"/>
        <v>0</v>
      </c>
      <c r="L223">
        <f t="shared" si="30"/>
        <v>0</v>
      </c>
      <c r="M223" t="str">
        <f t="shared" si="31"/>
        <v>C</v>
      </c>
      <c r="N223">
        <f t="shared" si="25"/>
        <v>1</v>
      </c>
    </row>
    <row r="224" spans="1:14" x14ac:dyDescent="0.45">
      <c r="A224">
        <v>223</v>
      </c>
      <c r="B224">
        <v>22.4</v>
      </c>
      <c r="C224">
        <v>7</v>
      </c>
      <c r="D224" t="s">
        <v>5</v>
      </c>
      <c r="E224">
        <v>4</v>
      </c>
      <c r="F224">
        <v>223</v>
      </c>
      <c r="G224" t="str">
        <f t="shared" si="26"/>
        <v>C</v>
      </c>
      <c r="H224">
        <f t="shared" si="32"/>
        <v>4</v>
      </c>
      <c r="I224">
        <f t="shared" si="27"/>
        <v>0</v>
      </c>
      <c r="J224">
        <f t="shared" si="28"/>
        <v>12</v>
      </c>
      <c r="K224">
        <f t="shared" si="29"/>
        <v>0</v>
      </c>
      <c r="L224">
        <f t="shared" si="30"/>
        <v>0</v>
      </c>
      <c r="M224" t="str">
        <f t="shared" si="31"/>
        <v>C</v>
      </c>
      <c r="N224">
        <f t="shared" si="25"/>
        <v>1</v>
      </c>
    </row>
    <row r="225" spans="1:14" x14ac:dyDescent="0.45">
      <c r="A225">
        <v>224</v>
      </c>
      <c r="B225">
        <v>20</v>
      </c>
      <c r="C225">
        <v>16</v>
      </c>
      <c r="D225" t="s">
        <v>5</v>
      </c>
      <c r="E225">
        <v>5</v>
      </c>
      <c r="F225">
        <v>224</v>
      </c>
      <c r="G225" t="str">
        <f t="shared" si="26"/>
        <v>C</v>
      </c>
      <c r="H225">
        <f t="shared" si="32"/>
        <v>5</v>
      </c>
      <c r="I225">
        <f t="shared" si="27"/>
        <v>0</v>
      </c>
      <c r="J225">
        <f t="shared" si="28"/>
        <v>13</v>
      </c>
      <c r="K225">
        <f t="shared" si="29"/>
        <v>0</v>
      </c>
      <c r="L225">
        <f t="shared" si="30"/>
        <v>0</v>
      </c>
      <c r="M225" t="str">
        <f t="shared" si="31"/>
        <v>C</v>
      </c>
      <c r="N225">
        <f t="shared" si="25"/>
        <v>1</v>
      </c>
    </row>
    <row r="226" spans="1:14" x14ac:dyDescent="0.4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v>225</v>
      </c>
      <c r="G226" t="str">
        <f t="shared" si="26"/>
        <v>C</v>
      </c>
      <c r="H226">
        <f t="shared" si="32"/>
        <v>5</v>
      </c>
      <c r="I226">
        <f t="shared" si="27"/>
        <v>0</v>
      </c>
      <c r="J226">
        <f t="shared" si="28"/>
        <v>14</v>
      </c>
      <c r="K226">
        <f t="shared" si="29"/>
        <v>0</v>
      </c>
      <c r="L226">
        <f t="shared" si="30"/>
        <v>0</v>
      </c>
      <c r="M226" t="str">
        <f t="shared" si="31"/>
        <v>C</v>
      </c>
      <c r="N226">
        <f t="shared" si="25"/>
        <v>1</v>
      </c>
    </row>
    <row r="227" spans="1:14" x14ac:dyDescent="0.45">
      <c r="A227">
        <v>226</v>
      </c>
      <c r="B227">
        <v>12.3</v>
      </c>
      <c r="C227">
        <v>0</v>
      </c>
      <c r="D227">
        <v>0</v>
      </c>
      <c r="E227">
        <v>0</v>
      </c>
      <c r="F227">
        <v>226</v>
      </c>
      <c r="G227">
        <f t="shared" si="26"/>
        <v>0</v>
      </c>
      <c r="H227">
        <f t="shared" si="32"/>
        <v>0</v>
      </c>
      <c r="I227">
        <f t="shared" si="27"/>
        <v>1</v>
      </c>
      <c r="J227">
        <f t="shared" si="28"/>
        <v>1</v>
      </c>
      <c r="K227">
        <f t="shared" si="29"/>
        <v>0</v>
      </c>
      <c r="L227">
        <f t="shared" si="30"/>
        <v>0</v>
      </c>
      <c r="M227" t="str">
        <f t="shared" si="31"/>
        <v>C</v>
      </c>
      <c r="N227">
        <f t="shared" si="25"/>
        <v>1</v>
      </c>
    </row>
    <row r="228" spans="1:14" x14ac:dyDescent="0.4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v>227</v>
      </c>
      <c r="G228" t="str">
        <f t="shared" si="26"/>
        <v>S</v>
      </c>
      <c r="H228">
        <f t="shared" si="32"/>
        <v>1</v>
      </c>
      <c r="I228">
        <f t="shared" si="27"/>
        <v>0</v>
      </c>
      <c r="J228">
        <f t="shared" si="28"/>
        <v>1</v>
      </c>
      <c r="K228">
        <f t="shared" si="29"/>
        <v>1</v>
      </c>
      <c r="L228">
        <f t="shared" si="30"/>
        <v>0</v>
      </c>
      <c r="M228" t="str">
        <f t="shared" si="31"/>
        <v>S</v>
      </c>
      <c r="N228">
        <f t="shared" si="25"/>
        <v>1</v>
      </c>
    </row>
    <row r="229" spans="1:14" x14ac:dyDescent="0.45">
      <c r="A229">
        <v>228</v>
      </c>
      <c r="B229">
        <v>6.4</v>
      </c>
      <c r="C229">
        <v>1</v>
      </c>
      <c r="D229" t="s">
        <v>6</v>
      </c>
      <c r="E229">
        <v>1</v>
      </c>
      <c r="F229">
        <v>228</v>
      </c>
      <c r="G229" t="str">
        <f t="shared" si="26"/>
        <v>S</v>
      </c>
      <c r="H229">
        <f t="shared" si="32"/>
        <v>1</v>
      </c>
      <c r="I229">
        <f t="shared" si="27"/>
        <v>0</v>
      </c>
      <c r="J229">
        <f t="shared" si="28"/>
        <v>2</v>
      </c>
      <c r="K229">
        <f t="shared" si="29"/>
        <v>0</v>
      </c>
      <c r="L229">
        <f t="shared" si="30"/>
        <v>0</v>
      </c>
      <c r="M229" t="str">
        <f t="shared" si="31"/>
        <v>S</v>
      </c>
      <c r="N229">
        <f t="shared" si="25"/>
        <v>1</v>
      </c>
    </row>
    <row r="230" spans="1:14" x14ac:dyDescent="0.45">
      <c r="A230">
        <v>229</v>
      </c>
      <c r="B230">
        <v>5.6</v>
      </c>
      <c r="C230">
        <v>6</v>
      </c>
      <c r="D230" t="s">
        <v>6</v>
      </c>
      <c r="E230">
        <v>1</v>
      </c>
      <c r="F230">
        <v>229</v>
      </c>
      <c r="G230" t="str">
        <f t="shared" si="26"/>
        <v>S</v>
      </c>
      <c r="H230">
        <f t="shared" si="32"/>
        <v>1</v>
      </c>
      <c r="I230">
        <f t="shared" si="27"/>
        <v>0</v>
      </c>
      <c r="J230">
        <f t="shared" si="28"/>
        <v>3</v>
      </c>
      <c r="K230">
        <f t="shared" si="29"/>
        <v>0</v>
      </c>
      <c r="L230">
        <f t="shared" si="30"/>
        <v>0</v>
      </c>
      <c r="M230" t="str">
        <f t="shared" si="31"/>
        <v>S</v>
      </c>
      <c r="N230">
        <f t="shared" si="25"/>
        <v>1</v>
      </c>
    </row>
    <row r="231" spans="1:14" x14ac:dyDescent="0.45">
      <c r="A231">
        <v>230</v>
      </c>
      <c r="B231">
        <v>6.4</v>
      </c>
      <c r="C231">
        <v>12</v>
      </c>
      <c r="D231" t="s">
        <v>6</v>
      </c>
      <c r="E231">
        <v>2</v>
      </c>
      <c r="F231">
        <v>230</v>
      </c>
      <c r="G231" t="str">
        <f t="shared" si="26"/>
        <v>S</v>
      </c>
      <c r="H231">
        <f t="shared" si="32"/>
        <v>2</v>
      </c>
      <c r="I231">
        <f t="shared" si="27"/>
        <v>0</v>
      </c>
      <c r="J231">
        <f t="shared" si="28"/>
        <v>4</v>
      </c>
      <c r="K231">
        <f t="shared" si="29"/>
        <v>0</v>
      </c>
      <c r="L231">
        <f t="shared" si="30"/>
        <v>1</v>
      </c>
      <c r="M231" t="str">
        <f t="shared" si="31"/>
        <v>S</v>
      </c>
      <c r="N231">
        <f t="shared" si="25"/>
        <v>1</v>
      </c>
    </row>
    <row r="232" spans="1:14" x14ac:dyDescent="0.4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v>231</v>
      </c>
      <c r="G232" t="str">
        <f t="shared" si="26"/>
        <v>S</v>
      </c>
      <c r="H232">
        <f t="shared" si="32"/>
        <v>2</v>
      </c>
      <c r="I232">
        <f t="shared" si="27"/>
        <v>0</v>
      </c>
      <c r="J232">
        <f t="shared" si="28"/>
        <v>5</v>
      </c>
      <c r="K232">
        <f t="shared" si="29"/>
        <v>0</v>
      </c>
      <c r="L232">
        <f t="shared" si="30"/>
        <v>0</v>
      </c>
      <c r="M232" t="str">
        <f t="shared" si="31"/>
        <v>S</v>
      </c>
      <c r="N232">
        <f t="shared" si="25"/>
        <v>1</v>
      </c>
    </row>
    <row r="233" spans="1:14" x14ac:dyDescent="0.45">
      <c r="A233">
        <v>232</v>
      </c>
      <c r="B233">
        <v>10</v>
      </c>
      <c r="C233">
        <v>12</v>
      </c>
      <c r="D233" t="s">
        <v>6</v>
      </c>
      <c r="E233">
        <v>2</v>
      </c>
      <c r="F233">
        <v>232</v>
      </c>
      <c r="G233" t="str">
        <f t="shared" si="26"/>
        <v>S</v>
      </c>
      <c r="H233">
        <f t="shared" si="32"/>
        <v>2</v>
      </c>
      <c r="I233">
        <f t="shared" si="27"/>
        <v>0</v>
      </c>
      <c r="J233">
        <f t="shared" si="28"/>
        <v>6</v>
      </c>
      <c r="K233">
        <f t="shared" si="29"/>
        <v>0</v>
      </c>
      <c r="L233">
        <f t="shared" si="30"/>
        <v>0</v>
      </c>
      <c r="M233" t="str">
        <f t="shared" si="31"/>
        <v>C</v>
      </c>
      <c r="N233">
        <f t="shared" si="25"/>
        <v>1</v>
      </c>
    </row>
    <row r="234" spans="1:14" x14ac:dyDescent="0.45">
      <c r="A234">
        <v>233</v>
      </c>
      <c r="B234">
        <v>11.1</v>
      </c>
      <c r="C234">
        <v>17</v>
      </c>
      <c r="D234" t="s">
        <v>6</v>
      </c>
      <c r="E234">
        <v>3</v>
      </c>
      <c r="F234">
        <v>233</v>
      </c>
      <c r="G234" t="str">
        <f t="shared" si="26"/>
        <v>S</v>
      </c>
      <c r="H234">
        <f t="shared" si="32"/>
        <v>3</v>
      </c>
      <c r="I234">
        <f t="shared" si="27"/>
        <v>0</v>
      </c>
      <c r="J234">
        <f t="shared" si="28"/>
        <v>7</v>
      </c>
      <c r="K234">
        <f t="shared" si="29"/>
        <v>0</v>
      </c>
      <c r="L234">
        <f t="shared" si="30"/>
        <v>0</v>
      </c>
      <c r="M234" t="str">
        <f t="shared" si="31"/>
        <v>C</v>
      </c>
      <c r="N234">
        <f t="shared" si="25"/>
        <v>1</v>
      </c>
    </row>
    <row r="235" spans="1:14" x14ac:dyDescent="0.45">
      <c r="A235">
        <v>234</v>
      </c>
      <c r="B235">
        <v>10.9</v>
      </c>
      <c r="C235">
        <v>16</v>
      </c>
      <c r="D235" t="s">
        <v>6</v>
      </c>
      <c r="E235">
        <v>3</v>
      </c>
      <c r="F235">
        <v>234</v>
      </c>
      <c r="G235" t="str">
        <f t="shared" si="26"/>
        <v>S</v>
      </c>
      <c r="H235">
        <f t="shared" si="32"/>
        <v>3</v>
      </c>
      <c r="I235">
        <f t="shared" si="27"/>
        <v>0</v>
      </c>
      <c r="J235">
        <f t="shared" si="28"/>
        <v>8</v>
      </c>
      <c r="K235">
        <f t="shared" si="29"/>
        <v>0</v>
      </c>
      <c r="L235">
        <f t="shared" si="30"/>
        <v>0</v>
      </c>
      <c r="M235" t="str">
        <f t="shared" si="31"/>
        <v>C</v>
      </c>
      <c r="N235">
        <f t="shared" si="25"/>
        <v>1</v>
      </c>
    </row>
    <row r="236" spans="1:14" x14ac:dyDescent="0.4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v>235</v>
      </c>
      <c r="G236" t="str">
        <f t="shared" si="26"/>
        <v>S</v>
      </c>
      <c r="H236">
        <f t="shared" si="32"/>
        <v>3</v>
      </c>
      <c r="I236">
        <f t="shared" si="27"/>
        <v>0</v>
      </c>
      <c r="J236">
        <f t="shared" si="28"/>
        <v>9</v>
      </c>
      <c r="K236">
        <f t="shared" si="29"/>
        <v>0</v>
      </c>
      <c r="L236">
        <f t="shared" si="30"/>
        <v>0</v>
      </c>
      <c r="M236" t="str">
        <f t="shared" si="31"/>
        <v>S</v>
      </c>
      <c r="N236">
        <f t="shared" si="25"/>
        <v>1</v>
      </c>
    </row>
    <row r="237" spans="1:14" x14ac:dyDescent="0.45">
      <c r="A237">
        <v>236</v>
      </c>
      <c r="B237">
        <v>6.6</v>
      </c>
      <c r="C237">
        <v>21</v>
      </c>
      <c r="D237" t="s">
        <v>6</v>
      </c>
      <c r="E237">
        <v>4</v>
      </c>
      <c r="F237">
        <v>236</v>
      </c>
      <c r="G237" t="str">
        <f t="shared" si="26"/>
        <v>S</v>
      </c>
      <c r="H237">
        <f t="shared" si="32"/>
        <v>4</v>
      </c>
      <c r="I237">
        <f t="shared" si="27"/>
        <v>0</v>
      </c>
      <c r="J237">
        <f t="shared" si="28"/>
        <v>10</v>
      </c>
      <c r="K237">
        <f t="shared" si="29"/>
        <v>0</v>
      </c>
      <c r="L237">
        <f t="shared" si="30"/>
        <v>0</v>
      </c>
      <c r="M237" t="str">
        <f t="shared" si="31"/>
        <v>S</v>
      </c>
      <c r="N237">
        <f t="shared" si="25"/>
        <v>1</v>
      </c>
    </row>
    <row r="238" spans="1:14" x14ac:dyDescent="0.45">
      <c r="A238">
        <v>237</v>
      </c>
      <c r="B238">
        <v>3.6</v>
      </c>
      <c r="C238">
        <v>18</v>
      </c>
      <c r="D238" t="s">
        <v>6</v>
      </c>
      <c r="E238">
        <v>4</v>
      </c>
      <c r="F238">
        <v>237</v>
      </c>
      <c r="G238" t="str">
        <f t="shared" si="26"/>
        <v>S</v>
      </c>
      <c r="H238">
        <f t="shared" si="32"/>
        <v>4</v>
      </c>
      <c r="I238">
        <f t="shared" si="27"/>
        <v>0</v>
      </c>
      <c r="J238">
        <f t="shared" si="28"/>
        <v>11</v>
      </c>
      <c r="K238">
        <f t="shared" si="29"/>
        <v>0</v>
      </c>
      <c r="L238">
        <f t="shared" si="30"/>
        <v>0</v>
      </c>
      <c r="M238" t="str">
        <f t="shared" si="31"/>
        <v>S</v>
      </c>
      <c r="N238">
        <f t="shared" si="25"/>
        <v>1</v>
      </c>
    </row>
    <row r="239" spans="1:14" x14ac:dyDescent="0.45">
      <c r="A239">
        <v>238</v>
      </c>
      <c r="B239">
        <v>1.2</v>
      </c>
      <c r="C239">
        <v>13</v>
      </c>
      <c r="D239" t="s">
        <v>6</v>
      </c>
      <c r="E239">
        <v>4</v>
      </c>
      <c r="F239">
        <v>238</v>
      </c>
      <c r="G239" t="str">
        <f t="shared" si="26"/>
        <v>S</v>
      </c>
      <c r="H239">
        <f t="shared" si="32"/>
        <v>4</v>
      </c>
      <c r="I239">
        <f t="shared" si="27"/>
        <v>0</v>
      </c>
      <c r="J239">
        <f t="shared" si="28"/>
        <v>12</v>
      </c>
      <c r="K239">
        <f t="shared" si="29"/>
        <v>0</v>
      </c>
      <c r="L239">
        <f t="shared" si="30"/>
        <v>0</v>
      </c>
      <c r="M239" t="str">
        <f t="shared" si="31"/>
        <v>S</v>
      </c>
      <c r="N239">
        <f t="shared" si="25"/>
        <v>1</v>
      </c>
    </row>
    <row r="240" spans="1:14" x14ac:dyDescent="0.45">
      <c r="A240">
        <v>239</v>
      </c>
      <c r="B240">
        <v>0.2</v>
      </c>
      <c r="C240">
        <v>29</v>
      </c>
      <c r="D240" t="s">
        <v>6</v>
      </c>
      <c r="E240">
        <v>5</v>
      </c>
      <c r="F240">
        <v>239</v>
      </c>
      <c r="G240" t="str">
        <f t="shared" si="26"/>
        <v>S</v>
      </c>
      <c r="H240">
        <f t="shared" si="32"/>
        <v>5</v>
      </c>
      <c r="I240">
        <f t="shared" si="27"/>
        <v>0</v>
      </c>
      <c r="J240">
        <f t="shared" si="28"/>
        <v>13</v>
      </c>
      <c r="K240">
        <f t="shared" si="29"/>
        <v>0</v>
      </c>
      <c r="L240">
        <f t="shared" si="30"/>
        <v>0</v>
      </c>
      <c r="M240" t="str">
        <f t="shared" si="31"/>
        <v>S</v>
      </c>
      <c r="N240">
        <f t="shared" si="25"/>
        <v>1</v>
      </c>
    </row>
    <row r="241" spans="1:14" x14ac:dyDescent="0.45">
      <c r="A241">
        <v>240</v>
      </c>
      <c r="B241">
        <v>0.9</v>
      </c>
      <c r="C241">
        <v>0</v>
      </c>
      <c r="D241">
        <v>0</v>
      </c>
      <c r="E241">
        <v>0</v>
      </c>
      <c r="F241">
        <v>240</v>
      </c>
      <c r="G241">
        <f t="shared" si="26"/>
        <v>0</v>
      </c>
      <c r="H241">
        <f t="shared" si="32"/>
        <v>0</v>
      </c>
      <c r="I241">
        <f t="shared" si="27"/>
        <v>1</v>
      </c>
      <c r="J241">
        <f t="shared" si="28"/>
        <v>1</v>
      </c>
      <c r="K241">
        <f t="shared" si="29"/>
        <v>0</v>
      </c>
      <c r="L241">
        <f t="shared" si="30"/>
        <v>0</v>
      </c>
      <c r="M241" t="str">
        <f t="shared" si="31"/>
        <v>S</v>
      </c>
      <c r="N241">
        <f t="shared" si="25"/>
        <v>1</v>
      </c>
    </row>
    <row r="242" spans="1:14" x14ac:dyDescent="0.45">
      <c r="A242">
        <v>241</v>
      </c>
      <c r="B242">
        <v>3.2</v>
      </c>
      <c r="C242">
        <v>6</v>
      </c>
      <c r="D242" t="s">
        <v>6</v>
      </c>
      <c r="E242">
        <v>1</v>
      </c>
      <c r="F242">
        <v>241</v>
      </c>
      <c r="G242" t="str">
        <f t="shared" si="26"/>
        <v>S</v>
      </c>
      <c r="H242">
        <f t="shared" si="32"/>
        <v>1</v>
      </c>
      <c r="I242">
        <f t="shared" si="27"/>
        <v>0</v>
      </c>
      <c r="J242">
        <f t="shared" si="28"/>
        <v>1</v>
      </c>
      <c r="K242">
        <f t="shared" si="29"/>
        <v>1</v>
      </c>
      <c r="L242">
        <f t="shared" si="30"/>
        <v>0</v>
      </c>
      <c r="M242" t="str">
        <f t="shared" si="31"/>
        <v>S</v>
      </c>
      <c r="N242">
        <f t="shared" si="25"/>
        <v>1</v>
      </c>
    </row>
    <row r="243" spans="1:14" x14ac:dyDescent="0.45">
      <c r="A243">
        <v>242</v>
      </c>
      <c r="B243">
        <v>6.6</v>
      </c>
      <c r="C243">
        <v>5</v>
      </c>
      <c r="D243" t="s">
        <v>6</v>
      </c>
      <c r="E243">
        <v>1</v>
      </c>
      <c r="F243">
        <v>242</v>
      </c>
      <c r="G243" t="str">
        <f t="shared" si="26"/>
        <v>S</v>
      </c>
      <c r="H243">
        <f t="shared" si="32"/>
        <v>1</v>
      </c>
      <c r="I243">
        <f t="shared" si="27"/>
        <v>0</v>
      </c>
      <c r="J243">
        <f t="shared" si="28"/>
        <v>2</v>
      </c>
      <c r="K243">
        <f t="shared" si="29"/>
        <v>0</v>
      </c>
      <c r="L243">
        <f t="shared" si="30"/>
        <v>0</v>
      </c>
      <c r="M243" t="str">
        <f t="shared" si="31"/>
        <v>S</v>
      </c>
      <c r="N243">
        <f t="shared" si="25"/>
        <v>1</v>
      </c>
    </row>
    <row r="244" spans="1:14" x14ac:dyDescent="0.45">
      <c r="A244">
        <v>243</v>
      </c>
      <c r="B244">
        <v>10</v>
      </c>
      <c r="C244">
        <v>2</v>
      </c>
      <c r="D244" t="s">
        <v>6</v>
      </c>
      <c r="E244">
        <v>1</v>
      </c>
      <c r="F244">
        <v>243</v>
      </c>
      <c r="G244" t="str">
        <f t="shared" si="26"/>
        <v>S</v>
      </c>
      <c r="H244">
        <f t="shared" si="32"/>
        <v>1</v>
      </c>
      <c r="I244">
        <f t="shared" si="27"/>
        <v>0</v>
      </c>
      <c r="J244">
        <f t="shared" si="28"/>
        <v>3</v>
      </c>
      <c r="K244">
        <f t="shared" si="29"/>
        <v>0</v>
      </c>
      <c r="L244">
        <f t="shared" si="30"/>
        <v>0</v>
      </c>
      <c r="M244" t="str">
        <f t="shared" si="31"/>
        <v>C</v>
      </c>
      <c r="N244">
        <f t="shared" si="25"/>
        <v>1</v>
      </c>
    </row>
    <row r="245" spans="1:14" x14ac:dyDescent="0.45">
      <c r="A245">
        <v>244</v>
      </c>
      <c r="B245">
        <v>12.7</v>
      </c>
      <c r="C245">
        <v>8</v>
      </c>
      <c r="D245" t="s">
        <v>6</v>
      </c>
      <c r="E245">
        <v>2</v>
      </c>
      <c r="F245">
        <v>244</v>
      </c>
      <c r="G245" t="str">
        <f t="shared" si="26"/>
        <v>S</v>
      </c>
      <c r="H245">
        <f t="shared" si="32"/>
        <v>2</v>
      </c>
      <c r="I245">
        <f t="shared" si="27"/>
        <v>0</v>
      </c>
      <c r="J245">
        <f t="shared" si="28"/>
        <v>4</v>
      </c>
      <c r="K245">
        <f t="shared" si="29"/>
        <v>0</v>
      </c>
      <c r="L245">
        <f t="shared" si="30"/>
        <v>1</v>
      </c>
      <c r="M245" t="str">
        <f t="shared" si="31"/>
        <v>C</v>
      </c>
      <c r="N245">
        <f t="shared" si="25"/>
        <v>1</v>
      </c>
    </row>
    <row r="246" spans="1:14" x14ac:dyDescent="0.45">
      <c r="A246">
        <v>245</v>
      </c>
      <c r="B246">
        <v>14.1</v>
      </c>
      <c r="C246">
        <v>1</v>
      </c>
      <c r="D246" t="s">
        <v>6</v>
      </c>
      <c r="E246">
        <v>2</v>
      </c>
      <c r="F246">
        <v>245</v>
      </c>
      <c r="G246" t="str">
        <f t="shared" si="26"/>
        <v>S</v>
      </c>
      <c r="H246">
        <f t="shared" si="32"/>
        <v>2</v>
      </c>
      <c r="I246">
        <f t="shared" si="27"/>
        <v>0</v>
      </c>
      <c r="J246">
        <f t="shared" si="28"/>
        <v>5</v>
      </c>
      <c r="K246">
        <f t="shared" si="29"/>
        <v>0</v>
      </c>
      <c r="L246">
        <f t="shared" si="30"/>
        <v>0</v>
      </c>
      <c r="M246" t="str">
        <f t="shared" si="31"/>
        <v>C</v>
      </c>
      <c r="N246">
        <f t="shared" si="25"/>
        <v>1</v>
      </c>
    </row>
    <row r="247" spans="1:14" x14ac:dyDescent="0.45">
      <c r="A247">
        <v>246</v>
      </c>
      <c r="B247">
        <v>14</v>
      </c>
      <c r="C247">
        <v>11</v>
      </c>
      <c r="D247" t="s">
        <v>6</v>
      </c>
      <c r="E247">
        <v>2</v>
      </c>
      <c r="F247">
        <v>246</v>
      </c>
      <c r="G247" t="str">
        <f t="shared" si="26"/>
        <v>S</v>
      </c>
      <c r="H247">
        <f t="shared" si="32"/>
        <v>2</v>
      </c>
      <c r="I247">
        <f t="shared" si="27"/>
        <v>0</v>
      </c>
      <c r="J247">
        <f t="shared" si="28"/>
        <v>6</v>
      </c>
      <c r="K247">
        <f t="shared" si="29"/>
        <v>0</v>
      </c>
      <c r="L247">
        <f t="shared" si="30"/>
        <v>0</v>
      </c>
      <c r="M247" t="str">
        <f t="shared" si="31"/>
        <v>C</v>
      </c>
      <c r="N247">
        <f t="shared" si="25"/>
        <v>1</v>
      </c>
    </row>
    <row r="248" spans="1:14" x14ac:dyDescent="0.45">
      <c r="A248">
        <v>247</v>
      </c>
      <c r="B248">
        <v>12.7</v>
      </c>
      <c r="C248">
        <v>13</v>
      </c>
      <c r="D248" t="s">
        <v>6</v>
      </c>
      <c r="E248">
        <v>3</v>
      </c>
      <c r="F248">
        <v>247</v>
      </c>
      <c r="G248" t="str">
        <f t="shared" si="26"/>
        <v>S</v>
      </c>
      <c r="H248">
        <f t="shared" si="32"/>
        <v>3</v>
      </c>
      <c r="I248">
        <f t="shared" si="27"/>
        <v>0</v>
      </c>
      <c r="J248">
        <f t="shared" si="28"/>
        <v>7</v>
      </c>
      <c r="K248">
        <f t="shared" si="29"/>
        <v>0</v>
      </c>
      <c r="L248">
        <f t="shared" si="30"/>
        <v>0</v>
      </c>
      <c r="M248" t="str">
        <f t="shared" si="31"/>
        <v>C</v>
      </c>
      <c r="N248">
        <f t="shared" si="25"/>
        <v>1</v>
      </c>
    </row>
    <row r="249" spans="1:14" x14ac:dyDescent="0.45">
      <c r="A249">
        <v>248</v>
      </c>
      <c r="B249">
        <v>11.1</v>
      </c>
      <c r="C249">
        <v>18</v>
      </c>
      <c r="D249" t="s">
        <v>6</v>
      </c>
      <c r="E249">
        <v>3</v>
      </c>
      <c r="F249">
        <v>248</v>
      </c>
      <c r="G249" t="str">
        <f t="shared" si="26"/>
        <v>S</v>
      </c>
      <c r="H249">
        <f t="shared" si="32"/>
        <v>3</v>
      </c>
      <c r="I249">
        <f t="shared" si="27"/>
        <v>0</v>
      </c>
      <c r="J249">
        <f t="shared" si="28"/>
        <v>8</v>
      </c>
      <c r="K249">
        <f t="shared" si="29"/>
        <v>0</v>
      </c>
      <c r="L249">
        <f t="shared" si="30"/>
        <v>0</v>
      </c>
      <c r="M249" t="str">
        <f t="shared" si="31"/>
        <v>C</v>
      </c>
      <c r="N249">
        <f t="shared" si="25"/>
        <v>1</v>
      </c>
    </row>
    <row r="250" spans="1:14" x14ac:dyDescent="0.45">
      <c r="A250">
        <v>249</v>
      </c>
      <c r="B250">
        <v>10</v>
      </c>
      <c r="C250">
        <v>15</v>
      </c>
      <c r="D250" t="s">
        <v>6</v>
      </c>
      <c r="E250">
        <v>3</v>
      </c>
      <c r="F250">
        <v>249</v>
      </c>
      <c r="G250" t="str">
        <f t="shared" si="26"/>
        <v>S</v>
      </c>
      <c r="H250">
        <f t="shared" si="32"/>
        <v>3</v>
      </c>
      <c r="I250">
        <f t="shared" si="27"/>
        <v>0</v>
      </c>
      <c r="J250">
        <f t="shared" si="28"/>
        <v>9</v>
      </c>
      <c r="K250">
        <f t="shared" si="29"/>
        <v>0</v>
      </c>
      <c r="L250">
        <f t="shared" si="30"/>
        <v>0</v>
      </c>
      <c r="M250" t="str">
        <f t="shared" si="31"/>
        <v>C</v>
      </c>
      <c r="N250">
        <f t="shared" si="25"/>
        <v>1</v>
      </c>
    </row>
    <row r="251" spans="1:14" x14ac:dyDescent="0.45">
      <c r="A251">
        <v>250</v>
      </c>
      <c r="B251">
        <v>10.1</v>
      </c>
      <c r="C251">
        <v>12</v>
      </c>
      <c r="D251" t="s">
        <v>6</v>
      </c>
      <c r="E251">
        <v>4</v>
      </c>
      <c r="F251">
        <v>250</v>
      </c>
      <c r="G251" t="str">
        <f t="shared" si="26"/>
        <v>S</v>
      </c>
      <c r="H251">
        <f t="shared" si="32"/>
        <v>4</v>
      </c>
      <c r="I251">
        <f t="shared" si="27"/>
        <v>0</v>
      </c>
      <c r="J251">
        <f t="shared" si="28"/>
        <v>10</v>
      </c>
      <c r="K251">
        <f t="shared" si="29"/>
        <v>0</v>
      </c>
      <c r="L251">
        <f t="shared" si="30"/>
        <v>0</v>
      </c>
      <c r="M251" t="str">
        <f t="shared" si="31"/>
        <v>C</v>
      </c>
      <c r="N251">
        <f t="shared" si="25"/>
        <v>1</v>
      </c>
    </row>
    <row r="252" spans="1:14" x14ac:dyDescent="0.45">
      <c r="A252">
        <v>251</v>
      </c>
      <c r="B252">
        <v>11.7</v>
      </c>
      <c r="C252">
        <v>2</v>
      </c>
      <c r="D252" t="s">
        <v>6</v>
      </c>
      <c r="E252">
        <v>4</v>
      </c>
      <c r="F252">
        <v>251</v>
      </c>
      <c r="G252" t="str">
        <f t="shared" si="26"/>
        <v>S</v>
      </c>
      <c r="H252">
        <f t="shared" si="32"/>
        <v>4</v>
      </c>
      <c r="I252">
        <f t="shared" si="27"/>
        <v>0</v>
      </c>
      <c r="J252">
        <f t="shared" si="28"/>
        <v>11</v>
      </c>
      <c r="K252">
        <f t="shared" si="29"/>
        <v>0</v>
      </c>
      <c r="L252">
        <f t="shared" si="30"/>
        <v>0</v>
      </c>
      <c r="M252" t="str">
        <f t="shared" si="31"/>
        <v>C</v>
      </c>
      <c r="N252">
        <f t="shared" si="25"/>
        <v>1</v>
      </c>
    </row>
    <row r="253" spans="1:14" x14ac:dyDescent="0.45">
      <c r="A253">
        <v>252</v>
      </c>
      <c r="B253">
        <v>14.8</v>
      </c>
      <c r="C253">
        <v>21</v>
      </c>
      <c r="D253" t="s">
        <v>6</v>
      </c>
      <c r="E253">
        <v>4</v>
      </c>
      <c r="F253">
        <v>252</v>
      </c>
      <c r="G253" t="str">
        <f t="shared" si="26"/>
        <v>S</v>
      </c>
      <c r="H253">
        <f t="shared" si="32"/>
        <v>4</v>
      </c>
      <c r="I253">
        <f t="shared" si="27"/>
        <v>0</v>
      </c>
      <c r="J253">
        <f t="shared" si="28"/>
        <v>12</v>
      </c>
      <c r="K253">
        <f t="shared" si="29"/>
        <v>0</v>
      </c>
      <c r="L253">
        <f t="shared" si="30"/>
        <v>0</v>
      </c>
      <c r="M253" t="str">
        <f t="shared" si="31"/>
        <v>C</v>
      </c>
      <c r="N253">
        <f t="shared" si="25"/>
        <v>1</v>
      </c>
    </row>
    <row r="254" spans="1:14" x14ac:dyDescent="0.45">
      <c r="A254">
        <v>253</v>
      </c>
      <c r="B254">
        <v>18.7</v>
      </c>
      <c r="C254">
        <v>28</v>
      </c>
      <c r="D254" t="s">
        <v>6</v>
      </c>
      <c r="E254">
        <v>5</v>
      </c>
      <c r="F254">
        <v>253</v>
      </c>
      <c r="G254" t="str">
        <f t="shared" si="26"/>
        <v>S</v>
      </c>
      <c r="H254">
        <f t="shared" si="32"/>
        <v>5</v>
      </c>
      <c r="I254">
        <f t="shared" si="27"/>
        <v>0</v>
      </c>
      <c r="J254">
        <f t="shared" si="28"/>
        <v>13</v>
      </c>
      <c r="K254">
        <f t="shared" si="29"/>
        <v>0</v>
      </c>
      <c r="L254">
        <f t="shared" si="30"/>
        <v>0</v>
      </c>
      <c r="M254" t="str">
        <f t="shared" si="31"/>
        <v>C</v>
      </c>
      <c r="N254">
        <f t="shared" si="25"/>
        <v>1</v>
      </c>
    </row>
    <row r="255" spans="1:14" x14ac:dyDescent="0.45">
      <c r="A255">
        <v>254</v>
      </c>
      <c r="B255">
        <v>22.5</v>
      </c>
      <c r="C255">
        <v>0</v>
      </c>
      <c r="D255">
        <v>0</v>
      </c>
      <c r="E255">
        <v>0</v>
      </c>
      <c r="F255">
        <v>254</v>
      </c>
      <c r="G255">
        <f t="shared" si="26"/>
        <v>0</v>
      </c>
      <c r="H255">
        <f t="shared" si="32"/>
        <v>0</v>
      </c>
      <c r="I255">
        <f t="shared" si="27"/>
        <v>1</v>
      </c>
      <c r="J255">
        <f t="shared" si="28"/>
        <v>1</v>
      </c>
      <c r="K255">
        <f t="shared" si="29"/>
        <v>0</v>
      </c>
      <c r="L255">
        <f t="shared" si="30"/>
        <v>0</v>
      </c>
      <c r="M255" t="str">
        <f t="shared" si="31"/>
        <v>C</v>
      </c>
      <c r="N255">
        <f t="shared" si="25"/>
        <v>1</v>
      </c>
    </row>
    <row r="256" spans="1:14" x14ac:dyDescent="0.45">
      <c r="A256">
        <v>255</v>
      </c>
      <c r="B256">
        <v>25.4</v>
      </c>
      <c r="C256">
        <v>3</v>
      </c>
      <c r="D256" t="s">
        <v>5</v>
      </c>
      <c r="E256">
        <v>1</v>
      </c>
      <c r="F256">
        <v>255</v>
      </c>
      <c r="G256" t="str">
        <f t="shared" si="26"/>
        <v>C</v>
      </c>
      <c r="H256">
        <f t="shared" si="32"/>
        <v>1</v>
      </c>
      <c r="I256">
        <f t="shared" si="27"/>
        <v>0</v>
      </c>
      <c r="J256">
        <f t="shared" si="28"/>
        <v>1</v>
      </c>
      <c r="K256">
        <f t="shared" si="29"/>
        <v>1</v>
      </c>
      <c r="L256">
        <f t="shared" si="30"/>
        <v>0</v>
      </c>
      <c r="M256" t="str">
        <f t="shared" si="31"/>
        <v>C</v>
      </c>
      <c r="N256">
        <f t="shared" si="25"/>
        <v>1</v>
      </c>
    </row>
    <row r="257" spans="1:14" x14ac:dyDescent="0.45">
      <c r="A257">
        <v>256</v>
      </c>
      <c r="B257">
        <v>26.8</v>
      </c>
      <c r="C257">
        <v>5</v>
      </c>
      <c r="D257" t="s">
        <v>5</v>
      </c>
      <c r="E257">
        <v>1</v>
      </c>
      <c r="F257">
        <v>256</v>
      </c>
      <c r="G257" t="str">
        <f t="shared" si="26"/>
        <v>C</v>
      </c>
      <c r="H257">
        <f t="shared" si="32"/>
        <v>1</v>
      </c>
      <c r="I257">
        <f t="shared" si="27"/>
        <v>0</v>
      </c>
      <c r="J257">
        <f t="shared" si="28"/>
        <v>2</v>
      </c>
      <c r="K257">
        <f t="shared" si="29"/>
        <v>0</v>
      </c>
      <c r="L257">
        <f t="shared" si="30"/>
        <v>0</v>
      </c>
      <c r="M257" t="str">
        <f t="shared" si="31"/>
        <v>C</v>
      </c>
      <c r="N257">
        <f t="shared" si="25"/>
        <v>1</v>
      </c>
    </row>
    <row r="258" spans="1:14" x14ac:dyDescent="0.45">
      <c r="A258">
        <v>257</v>
      </c>
      <c r="B258">
        <v>26.5</v>
      </c>
      <c r="C258">
        <v>5</v>
      </c>
      <c r="D258" t="s">
        <v>5</v>
      </c>
      <c r="E258">
        <v>1</v>
      </c>
      <c r="F258">
        <v>257</v>
      </c>
      <c r="G258" t="str">
        <f t="shared" si="26"/>
        <v>C</v>
      </c>
      <c r="H258">
        <f t="shared" si="32"/>
        <v>1</v>
      </c>
      <c r="I258">
        <f t="shared" si="27"/>
        <v>0</v>
      </c>
      <c r="J258">
        <f t="shared" si="28"/>
        <v>3</v>
      </c>
      <c r="K258">
        <f t="shared" si="29"/>
        <v>0</v>
      </c>
      <c r="L258">
        <f t="shared" si="30"/>
        <v>0</v>
      </c>
      <c r="M258" t="str">
        <f t="shared" si="31"/>
        <v>C</v>
      </c>
      <c r="N258">
        <f t="shared" si="25"/>
        <v>1</v>
      </c>
    </row>
    <row r="259" spans="1:14" x14ac:dyDescent="0.45">
      <c r="A259">
        <v>258</v>
      </c>
      <c r="B259">
        <v>24.9</v>
      </c>
      <c r="C259">
        <v>7</v>
      </c>
      <c r="D259" t="s">
        <v>5</v>
      </c>
      <c r="E259">
        <v>2</v>
      </c>
      <c r="F259">
        <v>258</v>
      </c>
      <c r="G259" t="str">
        <f t="shared" si="26"/>
        <v>C</v>
      </c>
      <c r="H259">
        <f t="shared" si="32"/>
        <v>2</v>
      </c>
      <c r="I259">
        <f t="shared" si="27"/>
        <v>0</v>
      </c>
      <c r="J259">
        <f t="shared" si="28"/>
        <v>4</v>
      </c>
      <c r="K259">
        <f t="shared" si="29"/>
        <v>0</v>
      </c>
      <c r="L259">
        <f t="shared" si="30"/>
        <v>1</v>
      </c>
      <c r="M259" t="str">
        <f t="shared" si="31"/>
        <v>C</v>
      </c>
      <c r="N259">
        <f t="shared" ref="N259:N322" si="33">IF(G259=D259,1,0)</f>
        <v>1</v>
      </c>
    </row>
    <row r="260" spans="1:14" x14ac:dyDescent="0.45">
      <c r="A260">
        <v>259</v>
      </c>
      <c r="B260">
        <v>22.6</v>
      </c>
      <c r="C260">
        <v>1</v>
      </c>
      <c r="D260" t="s">
        <v>5</v>
      </c>
      <c r="E260">
        <v>2</v>
      </c>
      <c r="F260">
        <v>259</v>
      </c>
      <c r="G260" t="str">
        <f t="shared" ref="G260:G323" si="34">IF(I260=1,0, IF(K260=1,M260,G259))</f>
        <v>C</v>
      </c>
      <c r="H260">
        <f t="shared" si="32"/>
        <v>2</v>
      </c>
      <c r="I260">
        <f t="shared" ref="I260:I323" si="35">IF(AND(H259=5,C259&gt;=20),1,0)</f>
        <v>0</v>
      </c>
      <c r="J260">
        <f t="shared" ref="J260:J323" si="36">IF(G260=G259,J259+1,1)</f>
        <v>5</v>
      </c>
      <c r="K260">
        <f t="shared" ref="K260:K323" si="37">IF(AND(G259=0,H259=0),1,0)</f>
        <v>0</v>
      </c>
      <c r="L260">
        <f t="shared" ref="L260:L323" si="38">IF(J259=3,1,0)</f>
        <v>0</v>
      </c>
      <c r="M260" t="str">
        <f t="shared" ref="M260:M323" si="39">IF(B260&lt;10,"S","C")</f>
        <v>C</v>
      </c>
      <c r="N260">
        <f t="shared" si="33"/>
        <v>1</v>
      </c>
    </row>
    <row r="261" spans="1:14" x14ac:dyDescent="0.45">
      <c r="A261">
        <v>260</v>
      </c>
      <c r="B261">
        <v>20.7</v>
      </c>
      <c r="C261">
        <v>6</v>
      </c>
      <c r="D261" t="s">
        <v>5</v>
      </c>
      <c r="E261">
        <v>2</v>
      </c>
      <c r="F261">
        <v>260</v>
      </c>
      <c r="G261" t="str">
        <f t="shared" si="34"/>
        <v>C</v>
      </c>
      <c r="H261">
        <f t="shared" si="32"/>
        <v>2</v>
      </c>
      <c r="I261">
        <f t="shared" si="35"/>
        <v>0</v>
      </c>
      <c r="J261">
        <f t="shared" si="36"/>
        <v>6</v>
      </c>
      <c r="K261">
        <f t="shared" si="37"/>
        <v>0</v>
      </c>
      <c r="L261">
        <f t="shared" si="38"/>
        <v>0</v>
      </c>
      <c r="M261" t="str">
        <f t="shared" si="39"/>
        <v>C</v>
      </c>
      <c r="N261">
        <f t="shared" si="33"/>
        <v>1</v>
      </c>
    </row>
    <row r="262" spans="1:14" x14ac:dyDescent="0.4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v>261</v>
      </c>
      <c r="G262" t="str">
        <f t="shared" si="34"/>
        <v>C</v>
      </c>
      <c r="H262">
        <f t="shared" si="32"/>
        <v>3</v>
      </c>
      <c r="I262">
        <f t="shared" si="35"/>
        <v>0</v>
      </c>
      <c r="J262">
        <f t="shared" si="36"/>
        <v>7</v>
      </c>
      <c r="K262">
        <f t="shared" si="37"/>
        <v>0</v>
      </c>
      <c r="L262">
        <f t="shared" si="38"/>
        <v>0</v>
      </c>
      <c r="M262" t="str">
        <f t="shared" si="39"/>
        <v>C</v>
      </c>
      <c r="N262">
        <f t="shared" si="33"/>
        <v>1</v>
      </c>
    </row>
    <row r="263" spans="1:14" x14ac:dyDescent="0.4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v>262</v>
      </c>
      <c r="G263" t="str">
        <f t="shared" si="34"/>
        <v>C</v>
      </c>
      <c r="H263">
        <f t="shared" ref="H263:H326" si="40">IF(I263=1,0,IF(K263=1,1,IF(MOD(J262,3)=0, IF(H262+1&gt;5,5,H262+1),H262)))</f>
        <v>3</v>
      </c>
      <c r="I263">
        <f t="shared" si="35"/>
        <v>0</v>
      </c>
      <c r="J263">
        <f t="shared" si="36"/>
        <v>8</v>
      </c>
      <c r="K263">
        <f t="shared" si="37"/>
        <v>0</v>
      </c>
      <c r="L263">
        <f t="shared" si="38"/>
        <v>0</v>
      </c>
      <c r="M263" t="str">
        <f t="shared" si="39"/>
        <v>C</v>
      </c>
      <c r="N263">
        <f t="shared" si="33"/>
        <v>1</v>
      </c>
    </row>
    <row r="264" spans="1:14" x14ac:dyDescent="0.45">
      <c r="A264">
        <v>263</v>
      </c>
      <c r="B264">
        <v>22.3</v>
      </c>
      <c r="C264">
        <v>16</v>
      </c>
      <c r="D264" t="s">
        <v>5</v>
      </c>
      <c r="E264">
        <v>3</v>
      </c>
      <c r="F264">
        <v>263</v>
      </c>
      <c r="G264" t="str">
        <f t="shared" si="34"/>
        <v>C</v>
      </c>
      <c r="H264">
        <f t="shared" si="40"/>
        <v>3</v>
      </c>
      <c r="I264">
        <f t="shared" si="35"/>
        <v>0</v>
      </c>
      <c r="J264">
        <f t="shared" si="36"/>
        <v>9</v>
      </c>
      <c r="K264">
        <f t="shared" si="37"/>
        <v>0</v>
      </c>
      <c r="L264">
        <f t="shared" si="38"/>
        <v>0</v>
      </c>
      <c r="M264" t="str">
        <f t="shared" si="39"/>
        <v>C</v>
      </c>
      <c r="N264">
        <f t="shared" si="33"/>
        <v>1</v>
      </c>
    </row>
    <row r="265" spans="1:14" x14ac:dyDescent="0.45">
      <c r="A265">
        <v>264</v>
      </c>
      <c r="B265">
        <v>24.8</v>
      </c>
      <c r="C265">
        <v>9</v>
      </c>
      <c r="D265" t="s">
        <v>5</v>
      </c>
      <c r="E265">
        <v>4</v>
      </c>
      <c r="F265">
        <v>264</v>
      </c>
      <c r="G265" t="str">
        <f t="shared" si="34"/>
        <v>C</v>
      </c>
      <c r="H265">
        <f t="shared" si="40"/>
        <v>4</v>
      </c>
      <c r="I265">
        <f t="shared" si="35"/>
        <v>0</v>
      </c>
      <c r="J265">
        <f t="shared" si="36"/>
        <v>10</v>
      </c>
      <c r="K265">
        <f t="shared" si="37"/>
        <v>0</v>
      </c>
      <c r="L265">
        <f t="shared" si="38"/>
        <v>0</v>
      </c>
      <c r="M265" t="str">
        <f t="shared" si="39"/>
        <v>C</v>
      </c>
      <c r="N265">
        <f t="shared" si="33"/>
        <v>1</v>
      </c>
    </row>
    <row r="266" spans="1:14" x14ac:dyDescent="0.45">
      <c r="A266">
        <v>265</v>
      </c>
      <c r="B266">
        <v>27.2</v>
      </c>
      <c r="C266">
        <v>18</v>
      </c>
      <c r="D266" t="s">
        <v>5</v>
      </c>
      <c r="E266">
        <v>4</v>
      </c>
      <c r="F266">
        <v>265</v>
      </c>
      <c r="G266" t="str">
        <f t="shared" si="34"/>
        <v>C</v>
      </c>
      <c r="H266">
        <f t="shared" si="40"/>
        <v>4</v>
      </c>
      <c r="I266">
        <f t="shared" si="35"/>
        <v>0</v>
      </c>
      <c r="J266">
        <f t="shared" si="36"/>
        <v>11</v>
      </c>
      <c r="K266">
        <f t="shared" si="37"/>
        <v>0</v>
      </c>
      <c r="L266">
        <f t="shared" si="38"/>
        <v>0</v>
      </c>
      <c r="M266" t="str">
        <f t="shared" si="39"/>
        <v>C</v>
      </c>
      <c r="N266">
        <f t="shared" si="33"/>
        <v>1</v>
      </c>
    </row>
    <row r="267" spans="1:14" x14ac:dyDescent="0.45">
      <c r="A267">
        <v>266</v>
      </c>
      <c r="B267">
        <v>28.6</v>
      </c>
      <c r="C267">
        <v>4</v>
      </c>
      <c r="D267" t="s">
        <v>5</v>
      </c>
      <c r="E267">
        <v>4</v>
      </c>
      <c r="F267">
        <v>266</v>
      </c>
      <c r="G267" t="str">
        <f t="shared" si="34"/>
        <v>C</v>
      </c>
      <c r="H267">
        <f t="shared" si="40"/>
        <v>4</v>
      </c>
      <c r="I267">
        <f t="shared" si="35"/>
        <v>0</v>
      </c>
      <c r="J267">
        <f t="shared" si="36"/>
        <v>12</v>
      </c>
      <c r="K267">
        <f t="shared" si="37"/>
        <v>0</v>
      </c>
      <c r="L267">
        <f t="shared" si="38"/>
        <v>0</v>
      </c>
      <c r="M267" t="str">
        <f t="shared" si="39"/>
        <v>C</v>
      </c>
      <c r="N267">
        <f t="shared" si="33"/>
        <v>1</v>
      </c>
    </row>
    <row r="268" spans="1:14" x14ac:dyDescent="0.45">
      <c r="A268">
        <v>267</v>
      </c>
      <c r="B268">
        <v>28.4</v>
      </c>
      <c r="C268">
        <v>22</v>
      </c>
      <c r="D268" t="s">
        <v>5</v>
      </c>
      <c r="E268">
        <v>5</v>
      </c>
      <c r="F268">
        <v>267</v>
      </c>
      <c r="G268" t="str">
        <f t="shared" si="34"/>
        <v>C</v>
      </c>
      <c r="H268">
        <f t="shared" si="40"/>
        <v>5</v>
      </c>
      <c r="I268">
        <f t="shared" si="35"/>
        <v>0</v>
      </c>
      <c r="J268">
        <f t="shared" si="36"/>
        <v>13</v>
      </c>
      <c r="K268">
        <f t="shared" si="37"/>
        <v>0</v>
      </c>
      <c r="L268">
        <f t="shared" si="38"/>
        <v>0</v>
      </c>
      <c r="M268" t="str">
        <f t="shared" si="39"/>
        <v>C</v>
      </c>
      <c r="N268">
        <f t="shared" si="33"/>
        <v>1</v>
      </c>
    </row>
    <row r="269" spans="1:14" x14ac:dyDescent="0.45">
      <c r="A269">
        <v>268</v>
      </c>
      <c r="B269">
        <v>26.5</v>
      </c>
      <c r="C269">
        <v>0</v>
      </c>
      <c r="D269">
        <v>0</v>
      </c>
      <c r="E269">
        <v>0</v>
      </c>
      <c r="F269">
        <v>268</v>
      </c>
      <c r="G269">
        <f t="shared" si="34"/>
        <v>0</v>
      </c>
      <c r="H269">
        <f t="shared" si="40"/>
        <v>0</v>
      </c>
      <c r="I269">
        <f t="shared" si="35"/>
        <v>1</v>
      </c>
      <c r="J269">
        <f t="shared" si="36"/>
        <v>1</v>
      </c>
      <c r="K269">
        <f t="shared" si="37"/>
        <v>0</v>
      </c>
      <c r="L269">
        <f t="shared" si="38"/>
        <v>0</v>
      </c>
      <c r="M269" t="str">
        <f t="shared" si="39"/>
        <v>C</v>
      </c>
      <c r="N269">
        <f t="shared" si="33"/>
        <v>1</v>
      </c>
    </row>
    <row r="270" spans="1:14" x14ac:dyDescent="0.45">
      <c r="A270">
        <v>269</v>
      </c>
      <c r="B270">
        <v>23.3</v>
      </c>
      <c r="C270">
        <v>4</v>
      </c>
      <c r="D270" t="s">
        <v>5</v>
      </c>
      <c r="E270">
        <v>1</v>
      </c>
      <c r="F270">
        <v>269</v>
      </c>
      <c r="G270" t="str">
        <f t="shared" si="34"/>
        <v>C</v>
      </c>
      <c r="H270">
        <f t="shared" si="40"/>
        <v>1</v>
      </c>
      <c r="I270">
        <f t="shared" si="35"/>
        <v>0</v>
      </c>
      <c r="J270">
        <f t="shared" si="36"/>
        <v>1</v>
      </c>
      <c r="K270">
        <f t="shared" si="37"/>
        <v>1</v>
      </c>
      <c r="L270">
        <f t="shared" si="38"/>
        <v>0</v>
      </c>
      <c r="M270" t="str">
        <f t="shared" si="39"/>
        <v>C</v>
      </c>
      <c r="N270">
        <f t="shared" si="33"/>
        <v>1</v>
      </c>
    </row>
    <row r="271" spans="1:14" x14ac:dyDescent="0.45">
      <c r="A271">
        <v>270</v>
      </c>
      <c r="B271">
        <v>19.5</v>
      </c>
      <c r="C271">
        <v>6</v>
      </c>
      <c r="D271" t="s">
        <v>5</v>
      </c>
      <c r="E271">
        <v>1</v>
      </c>
      <c r="F271">
        <v>270</v>
      </c>
      <c r="G271" t="str">
        <f t="shared" si="34"/>
        <v>C</v>
      </c>
      <c r="H271">
        <f t="shared" si="40"/>
        <v>1</v>
      </c>
      <c r="I271">
        <f t="shared" si="35"/>
        <v>0</v>
      </c>
      <c r="J271">
        <f t="shared" si="36"/>
        <v>2</v>
      </c>
      <c r="K271">
        <f t="shared" si="37"/>
        <v>0</v>
      </c>
      <c r="L271">
        <f t="shared" si="38"/>
        <v>0</v>
      </c>
      <c r="M271" t="str">
        <f t="shared" si="39"/>
        <v>C</v>
      </c>
      <c r="N271">
        <f t="shared" si="33"/>
        <v>1</v>
      </c>
    </row>
    <row r="272" spans="1:14" x14ac:dyDescent="0.45">
      <c r="A272">
        <v>271</v>
      </c>
      <c r="B272">
        <v>16</v>
      </c>
      <c r="C272">
        <v>6</v>
      </c>
      <c r="D272" t="s">
        <v>5</v>
      </c>
      <c r="E272">
        <v>1</v>
      </c>
      <c r="F272">
        <v>271</v>
      </c>
      <c r="G272" t="str">
        <f t="shared" si="34"/>
        <v>C</v>
      </c>
      <c r="H272">
        <f t="shared" si="40"/>
        <v>1</v>
      </c>
      <c r="I272">
        <f t="shared" si="35"/>
        <v>0</v>
      </c>
      <c r="J272">
        <f t="shared" si="36"/>
        <v>3</v>
      </c>
      <c r="K272">
        <f t="shared" si="37"/>
        <v>0</v>
      </c>
      <c r="L272">
        <f t="shared" si="38"/>
        <v>0</v>
      </c>
      <c r="M272" t="str">
        <f t="shared" si="39"/>
        <v>C</v>
      </c>
      <c r="N272">
        <f t="shared" si="33"/>
        <v>1</v>
      </c>
    </row>
    <row r="273" spans="1:14" x14ac:dyDescent="0.45">
      <c r="A273">
        <v>272</v>
      </c>
      <c r="B273">
        <v>13.7</v>
      </c>
      <c r="C273">
        <v>9</v>
      </c>
      <c r="D273" t="s">
        <v>5</v>
      </c>
      <c r="E273">
        <v>2</v>
      </c>
      <c r="F273">
        <v>272</v>
      </c>
      <c r="G273" t="str">
        <f t="shared" si="34"/>
        <v>C</v>
      </c>
      <c r="H273">
        <f t="shared" si="40"/>
        <v>2</v>
      </c>
      <c r="I273">
        <f t="shared" si="35"/>
        <v>0</v>
      </c>
      <c r="J273">
        <f t="shared" si="36"/>
        <v>4</v>
      </c>
      <c r="K273">
        <f t="shared" si="37"/>
        <v>0</v>
      </c>
      <c r="L273">
        <f t="shared" si="38"/>
        <v>1</v>
      </c>
      <c r="M273" t="str">
        <f t="shared" si="39"/>
        <v>C</v>
      </c>
      <c r="N273">
        <f t="shared" si="33"/>
        <v>1</v>
      </c>
    </row>
    <row r="274" spans="1:14" x14ac:dyDescent="0.45">
      <c r="A274">
        <v>273</v>
      </c>
      <c r="B274">
        <v>12.9</v>
      </c>
      <c r="C274">
        <v>7</v>
      </c>
      <c r="D274" t="s">
        <v>5</v>
      </c>
      <c r="E274">
        <v>2</v>
      </c>
      <c r="F274">
        <v>273</v>
      </c>
      <c r="G274" t="str">
        <f t="shared" si="34"/>
        <v>C</v>
      </c>
      <c r="H274">
        <f t="shared" si="40"/>
        <v>2</v>
      </c>
      <c r="I274">
        <f t="shared" si="35"/>
        <v>0</v>
      </c>
      <c r="J274">
        <f t="shared" si="36"/>
        <v>5</v>
      </c>
      <c r="K274">
        <f t="shared" si="37"/>
        <v>0</v>
      </c>
      <c r="L274">
        <f t="shared" si="38"/>
        <v>0</v>
      </c>
      <c r="M274" t="str">
        <f t="shared" si="39"/>
        <v>C</v>
      </c>
      <c r="N274">
        <f t="shared" si="33"/>
        <v>1</v>
      </c>
    </row>
    <row r="275" spans="1:14" x14ac:dyDescent="0.45">
      <c r="A275">
        <v>274</v>
      </c>
      <c r="B275">
        <v>13.5</v>
      </c>
      <c r="C275">
        <v>1</v>
      </c>
      <c r="D275" t="s">
        <v>5</v>
      </c>
      <c r="E275">
        <v>2</v>
      </c>
      <c r="F275">
        <v>274</v>
      </c>
      <c r="G275" t="str">
        <f t="shared" si="34"/>
        <v>C</v>
      </c>
      <c r="H275">
        <f t="shared" si="40"/>
        <v>2</v>
      </c>
      <c r="I275">
        <f t="shared" si="35"/>
        <v>0</v>
      </c>
      <c r="J275">
        <f t="shared" si="36"/>
        <v>6</v>
      </c>
      <c r="K275">
        <f t="shared" si="37"/>
        <v>0</v>
      </c>
      <c r="L275">
        <f t="shared" si="38"/>
        <v>0</v>
      </c>
      <c r="M275" t="str">
        <f t="shared" si="39"/>
        <v>C</v>
      </c>
      <c r="N275">
        <f t="shared" si="33"/>
        <v>1</v>
      </c>
    </row>
    <row r="276" spans="1:14" x14ac:dyDescent="0.45">
      <c r="A276">
        <v>275</v>
      </c>
      <c r="B276">
        <v>15</v>
      </c>
      <c r="C276">
        <v>18</v>
      </c>
      <c r="D276" t="s">
        <v>5</v>
      </c>
      <c r="E276">
        <v>3</v>
      </c>
      <c r="F276">
        <v>275</v>
      </c>
      <c r="G276" t="str">
        <f t="shared" si="34"/>
        <v>C</v>
      </c>
      <c r="H276">
        <f t="shared" si="40"/>
        <v>3</v>
      </c>
      <c r="I276">
        <f t="shared" si="35"/>
        <v>0</v>
      </c>
      <c r="J276">
        <f t="shared" si="36"/>
        <v>7</v>
      </c>
      <c r="K276">
        <f t="shared" si="37"/>
        <v>0</v>
      </c>
      <c r="L276">
        <f t="shared" si="38"/>
        <v>0</v>
      </c>
      <c r="M276" t="str">
        <f t="shared" si="39"/>
        <v>C</v>
      </c>
      <c r="N276">
        <f t="shared" si="33"/>
        <v>1</v>
      </c>
    </row>
    <row r="277" spans="1:14" x14ac:dyDescent="0.4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v>276</v>
      </c>
      <c r="G277" t="str">
        <f t="shared" si="34"/>
        <v>C</v>
      </c>
      <c r="H277">
        <f t="shared" si="40"/>
        <v>3</v>
      </c>
      <c r="I277">
        <f t="shared" si="35"/>
        <v>0</v>
      </c>
      <c r="J277">
        <f t="shared" si="36"/>
        <v>8</v>
      </c>
      <c r="K277">
        <f t="shared" si="37"/>
        <v>0</v>
      </c>
      <c r="L277">
        <f t="shared" si="38"/>
        <v>0</v>
      </c>
      <c r="M277" t="str">
        <f t="shared" si="39"/>
        <v>C</v>
      </c>
      <c r="N277">
        <f t="shared" si="33"/>
        <v>1</v>
      </c>
    </row>
    <row r="278" spans="1:14" x14ac:dyDescent="0.4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v>277</v>
      </c>
      <c r="G278" t="str">
        <f t="shared" si="34"/>
        <v>C</v>
      </c>
      <c r="H278">
        <f t="shared" si="40"/>
        <v>3</v>
      </c>
      <c r="I278">
        <f t="shared" si="35"/>
        <v>0</v>
      </c>
      <c r="J278">
        <f t="shared" si="36"/>
        <v>9</v>
      </c>
      <c r="K278">
        <f t="shared" si="37"/>
        <v>0</v>
      </c>
      <c r="L278">
        <f t="shared" si="38"/>
        <v>0</v>
      </c>
      <c r="M278" t="str">
        <f t="shared" si="39"/>
        <v>C</v>
      </c>
      <c r="N278">
        <f t="shared" si="33"/>
        <v>1</v>
      </c>
    </row>
    <row r="279" spans="1:14" x14ac:dyDescent="0.45">
      <c r="A279">
        <v>278</v>
      </c>
      <c r="B279">
        <v>16.3</v>
      </c>
      <c r="C279">
        <v>10</v>
      </c>
      <c r="D279" t="s">
        <v>5</v>
      </c>
      <c r="E279">
        <v>4</v>
      </c>
      <c r="F279">
        <v>278</v>
      </c>
      <c r="G279" t="str">
        <f t="shared" si="34"/>
        <v>C</v>
      </c>
      <c r="H279">
        <f t="shared" si="40"/>
        <v>4</v>
      </c>
      <c r="I279">
        <f t="shared" si="35"/>
        <v>0</v>
      </c>
      <c r="J279">
        <f t="shared" si="36"/>
        <v>10</v>
      </c>
      <c r="K279">
        <f t="shared" si="37"/>
        <v>0</v>
      </c>
      <c r="L279">
        <f t="shared" si="38"/>
        <v>0</v>
      </c>
      <c r="M279" t="str">
        <f t="shared" si="39"/>
        <v>C</v>
      </c>
      <c r="N279">
        <f t="shared" si="33"/>
        <v>1</v>
      </c>
    </row>
    <row r="280" spans="1:14" x14ac:dyDescent="0.45">
      <c r="A280">
        <v>279</v>
      </c>
      <c r="B280">
        <v>14</v>
      </c>
      <c r="C280">
        <v>6</v>
      </c>
      <c r="D280" t="s">
        <v>5</v>
      </c>
      <c r="E280">
        <v>4</v>
      </c>
      <c r="F280">
        <v>279</v>
      </c>
      <c r="G280" t="str">
        <f t="shared" si="34"/>
        <v>C</v>
      </c>
      <c r="H280">
        <f t="shared" si="40"/>
        <v>4</v>
      </c>
      <c r="I280">
        <f t="shared" si="35"/>
        <v>0</v>
      </c>
      <c r="J280">
        <f t="shared" si="36"/>
        <v>11</v>
      </c>
      <c r="K280">
        <f t="shared" si="37"/>
        <v>0</v>
      </c>
      <c r="L280">
        <f t="shared" si="38"/>
        <v>0</v>
      </c>
      <c r="M280" t="str">
        <f t="shared" si="39"/>
        <v>C</v>
      </c>
      <c r="N280">
        <f t="shared" si="33"/>
        <v>1</v>
      </c>
    </row>
    <row r="281" spans="1:14" x14ac:dyDescent="0.45">
      <c r="A281">
        <v>280</v>
      </c>
      <c r="B281">
        <v>10.5</v>
      </c>
      <c r="C281">
        <v>20</v>
      </c>
      <c r="D281" t="s">
        <v>5</v>
      </c>
      <c r="E281">
        <v>4</v>
      </c>
      <c r="F281">
        <v>280</v>
      </c>
      <c r="G281" t="str">
        <f t="shared" si="34"/>
        <v>C</v>
      </c>
      <c r="H281">
        <f t="shared" si="40"/>
        <v>4</v>
      </c>
      <c r="I281">
        <f t="shared" si="35"/>
        <v>0</v>
      </c>
      <c r="J281">
        <f t="shared" si="36"/>
        <v>12</v>
      </c>
      <c r="K281">
        <f t="shared" si="37"/>
        <v>0</v>
      </c>
      <c r="L281">
        <f t="shared" si="38"/>
        <v>0</v>
      </c>
      <c r="M281" t="str">
        <f t="shared" si="39"/>
        <v>C</v>
      </c>
      <c r="N281">
        <f t="shared" si="33"/>
        <v>1</v>
      </c>
    </row>
    <row r="282" spans="1:14" x14ac:dyDescent="0.45">
      <c r="A282">
        <v>281</v>
      </c>
      <c r="B282">
        <v>6.7</v>
      </c>
      <c r="C282">
        <v>17</v>
      </c>
      <c r="D282" t="s">
        <v>5</v>
      </c>
      <c r="E282">
        <v>5</v>
      </c>
      <c r="F282">
        <v>281</v>
      </c>
      <c r="G282" t="str">
        <f t="shared" si="34"/>
        <v>C</v>
      </c>
      <c r="H282">
        <f t="shared" si="40"/>
        <v>5</v>
      </c>
      <c r="I282">
        <f t="shared" si="35"/>
        <v>0</v>
      </c>
      <c r="J282">
        <f t="shared" si="36"/>
        <v>13</v>
      </c>
      <c r="K282">
        <f t="shared" si="37"/>
        <v>0</v>
      </c>
      <c r="L282">
        <f t="shared" si="38"/>
        <v>0</v>
      </c>
      <c r="M282" t="str">
        <f t="shared" si="39"/>
        <v>S</v>
      </c>
      <c r="N282">
        <f t="shared" si="33"/>
        <v>1</v>
      </c>
    </row>
    <row r="283" spans="1:14" x14ac:dyDescent="0.45">
      <c r="A283">
        <v>282</v>
      </c>
      <c r="B283">
        <v>3.5</v>
      </c>
      <c r="C283">
        <v>13</v>
      </c>
      <c r="D283" t="s">
        <v>5</v>
      </c>
      <c r="E283">
        <v>5</v>
      </c>
      <c r="F283">
        <v>282</v>
      </c>
      <c r="G283" t="str">
        <f t="shared" si="34"/>
        <v>C</v>
      </c>
      <c r="H283">
        <f t="shared" si="40"/>
        <v>5</v>
      </c>
      <c r="I283">
        <f t="shared" si="35"/>
        <v>0</v>
      </c>
      <c r="J283">
        <f t="shared" si="36"/>
        <v>14</v>
      </c>
      <c r="K283">
        <f t="shared" si="37"/>
        <v>0</v>
      </c>
      <c r="L283">
        <f t="shared" si="38"/>
        <v>0</v>
      </c>
      <c r="M283" t="str">
        <f t="shared" si="39"/>
        <v>S</v>
      </c>
      <c r="N283">
        <f t="shared" si="33"/>
        <v>1</v>
      </c>
    </row>
    <row r="284" spans="1:14" x14ac:dyDescent="0.45">
      <c r="A284">
        <v>283</v>
      </c>
      <c r="B284">
        <v>1.6</v>
      </c>
      <c r="C284">
        <v>18</v>
      </c>
      <c r="D284" t="s">
        <v>5</v>
      </c>
      <c r="E284">
        <v>5</v>
      </c>
      <c r="F284">
        <v>283</v>
      </c>
      <c r="G284" t="str">
        <f t="shared" si="34"/>
        <v>C</v>
      </c>
      <c r="H284">
        <f t="shared" si="40"/>
        <v>5</v>
      </c>
      <c r="I284">
        <f t="shared" si="35"/>
        <v>0</v>
      </c>
      <c r="J284">
        <f t="shared" si="36"/>
        <v>15</v>
      </c>
      <c r="K284">
        <f t="shared" si="37"/>
        <v>0</v>
      </c>
      <c r="L284">
        <f t="shared" si="38"/>
        <v>0</v>
      </c>
      <c r="M284" t="str">
        <f t="shared" si="39"/>
        <v>S</v>
      </c>
      <c r="N284">
        <f t="shared" si="33"/>
        <v>1</v>
      </c>
    </row>
    <row r="285" spans="1:14" x14ac:dyDescent="0.45">
      <c r="A285">
        <v>284</v>
      </c>
      <c r="B285">
        <v>1.4</v>
      </c>
      <c r="C285">
        <v>20</v>
      </c>
      <c r="D285" t="s">
        <v>5</v>
      </c>
      <c r="E285">
        <v>5</v>
      </c>
      <c r="F285">
        <v>284</v>
      </c>
      <c r="G285" t="str">
        <f t="shared" si="34"/>
        <v>C</v>
      </c>
      <c r="H285">
        <f t="shared" si="40"/>
        <v>5</v>
      </c>
      <c r="I285">
        <f t="shared" si="35"/>
        <v>0</v>
      </c>
      <c r="J285">
        <f t="shared" si="36"/>
        <v>16</v>
      </c>
      <c r="K285">
        <f t="shared" si="37"/>
        <v>0</v>
      </c>
      <c r="L285">
        <f t="shared" si="38"/>
        <v>0</v>
      </c>
      <c r="M285" t="str">
        <f t="shared" si="39"/>
        <v>S</v>
      </c>
      <c r="N285">
        <f t="shared" si="33"/>
        <v>1</v>
      </c>
    </row>
    <row r="286" spans="1:14" x14ac:dyDescent="0.45">
      <c r="A286">
        <v>285</v>
      </c>
      <c r="B286">
        <v>2.8</v>
      </c>
      <c r="C286">
        <v>0</v>
      </c>
      <c r="D286">
        <v>0</v>
      </c>
      <c r="E286">
        <v>0</v>
      </c>
      <c r="F286">
        <v>285</v>
      </c>
      <c r="G286">
        <f t="shared" si="34"/>
        <v>0</v>
      </c>
      <c r="H286">
        <f t="shared" si="40"/>
        <v>0</v>
      </c>
      <c r="I286">
        <f t="shared" si="35"/>
        <v>1</v>
      </c>
      <c r="J286">
        <f t="shared" si="36"/>
        <v>1</v>
      </c>
      <c r="K286">
        <f t="shared" si="37"/>
        <v>0</v>
      </c>
      <c r="L286">
        <f t="shared" si="38"/>
        <v>0</v>
      </c>
      <c r="M286" t="str">
        <f t="shared" si="39"/>
        <v>S</v>
      </c>
      <c r="N286">
        <f t="shared" si="33"/>
        <v>1</v>
      </c>
    </row>
    <row r="287" spans="1:14" x14ac:dyDescent="0.45">
      <c r="A287">
        <v>286</v>
      </c>
      <c r="B287">
        <v>5.2</v>
      </c>
      <c r="C287">
        <v>6</v>
      </c>
      <c r="D287" t="s">
        <v>6</v>
      </c>
      <c r="E287">
        <v>1</v>
      </c>
      <c r="F287">
        <v>286</v>
      </c>
      <c r="G287" t="str">
        <f t="shared" si="34"/>
        <v>S</v>
      </c>
      <c r="H287">
        <f t="shared" si="40"/>
        <v>1</v>
      </c>
      <c r="I287">
        <f t="shared" si="35"/>
        <v>0</v>
      </c>
      <c r="J287">
        <f t="shared" si="36"/>
        <v>1</v>
      </c>
      <c r="K287">
        <f t="shared" si="37"/>
        <v>1</v>
      </c>
      <c r="L287">
        <f t="shared" si="38"/>
        <v>0</v>
      </c>
      <c r="M287" t="str">
        <f t="shared" si="39"/>
        <v>S</v>
      </c>
      <c r="N287">
        <f t="shared" si="33"/>
        <v>1</v>
      </c>
    </row>
    <row r="288" spans="1:14" x14ac:dyDescent="0.45">
      <c r="A288">
        <v>287</v>
      </c>
      <c r="B288">
        <v>7.7</v>
      </c>
      <c r="C288">
        <v>5</v>
      </c>
      <c r="D288" t="s">
        <v>6</v>
      </c>
      <c r="E288">
        <v>1</v>
      </c>
      <c r="F288">
        <v>287</v>
      </c>
      <c r="G288" t="str">
        <f t="shared" si="34"/>
        <v>S</v>
      </c>
      <c r="H288">
        <f t="shared" si="40"/>
        <v>1</v>
      </c>
      <c r="I288">
        <f t="shared" si="35"/>
        <v>0</v>
      </c>
      <c r="J288">
        <f t="shared" si="36"/>
        <v>2</v>
      </c>
      <c r="K288">
        <f t="shared" si="37"/>
        <v>0</v>
      </c>
      <c r="L288">
        <f t="shared" si="38"/>
        <v>0</v>
      </c>
      <c r="M288" t="str">
        <f t="shared" si="39"/>
        <v>S</v>
      </c>
      <c r="N288">
        <f t="shared" si="33"/>
        <v>1</v>
      </c>
    </row>
    <row r="289" spans="1:14" x14ac:dyDescent="0.45">
      <c r="A289">
        <v>288</v>
      </c>
      <c r="B289">
        <v>9.6</v>
      </c>
      <c r="C289">
        <v>1</v>
      </c>
      <c r="D289" t="s">
        <v>6</v>
      </c>
      <c r="E289">
        <v>1</v>
      </c>
      <c r="F289">
        <v>288</v>
      </c>
      <c r="G289" t="str">
        <f t="shared" si="34"/>
        <v>S</v>
      </c>
      <c r="H289">
        <f t="shared" si="40"/>
        <v>1</v>
      </c>
      <c r="I289">
        <f t="shared" si="35"/>
        <v>0</v>
      </c>
      <c r="J289">
        <f t="shared" si="36"/>
        <v>3</v>
      </c>
      <c r="K289">
        <f t="shared" si="37"/>
        <v>0</v>
      </c>
      <c r="L289">
        <f t="shared" si="38"/>
        <v>0</v>
      </c>
      <c r="M289" t="str">
        <f t="shared" si="39"/>
        <v>S</v>
      </c>
      <c r="N289">
        <f t="shared" si="33"/>
        <v>1</v>
      </c>
    </row>
    <row r="290" spans="1:14" x14ac:dyDescent="0.45">
      <c r="A290">
        <v>289</v>
      </c>
      <c r="B290">
        <v>10.1</v>
      </c>
      <c r="C290">
        <v>8</v>
      </c>
      <c r="D290" t="s">
        <v>6</v>
      </c>
      <c r="E290">
        <v>2</v>
      </c>
      <c r="F290">
        <v>289</v>
      </c>
      <c r="G290" t="str">
        <f t="shared" si="34"/>
        <v>S</v>
      </c>
      <c r="H290">
        <f t="shared" si="40"/>
        <v>2</v>
      </c>
      <c r="I290">
        <f t="shared" si="35"/>
        <v>0</v>
      </c>
      <c r="J290">
        <f t="shared" si="36"/>
        <v>4</v>
      </c>
      <c r="K290">
        <f t="shared" si="37"/>
        <v>0</v>
      </c>
      <c r="L290">
        <f t="shared" si="38"/>
        <v>1</v>
      </c>
      <c r="M290" t="str">
        <f t="shared" si="39"/>
        <v>C</v>
      </c>
      <c r="N290">
        <f t="shared" si="33"/>
        <v>1</v>
      </c>
    </row>
    <row r="291" spans="1:14" x14ac:dyDescent="0.4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v>290</v>
      </c>
      <c r="G291" t="str">
        <f t="shared" si="34"/>
        <v>S</v>
      </c>
      <c r="H291">
        <f t="shared" si="40"/>
        <v>2</v>
      </c>
      <c r="I291">
        <f t="shared" si="35"/>
        <v>0</v>
      </c>
      <c r="J291">
        <f t="shared" si="36"/>
        <v>5</v>
      </c>
      <c r="K291">
        <f t="shared" si="37"/>
        <v>0</v>
      </c>
      <c r="L291">
        <f t="shared" si="38"/>
        <v>0</v>
      </c>
      <c r="M291" t="str">
        <f t="shared" si="39"/>
        <v>S</v>
      </c>
      <c r="N291">
        <f t="shared" si="33"/>
        <v>1</v>
      </c>
    </row>
    <row r="292" spans="1:14" x14ac:dyDescent="0.45">
      <c r="A292">
        <v>291</v>
      </c>
      <c r="B292">
        <v>7.4</v>
      </c>
      <c r="C292">
        <v>5</v>
      </c>
      <c r="D292" t="s">
        <v>6</v>
      </c>
      <c r="E292">
        <v>2</v>
      </c>
      <c r="F292">
        <v>291</v>
      </c>
      <c r="G292" t="str">
        <f t="shared" si="34"/>
        <v>S</v>
      </c>
      <c r="H292">
        <f t="shared" si="40"/>
        <v>2</v>
      </c>
      <c r="I292">
        <f t="shared" si="35"/>
        <v>0</v>
      </c>
      <c r="J292">
        <f t="shared" si="36"/>
        <v>6</v>
      </c>
      <c r="K292">
        <f t="shared" si="37"/>
        <v>0</v>
      </c>
      <c r="L292">
        <f t="shared" si="38"/>
        <v>0</v>
      </c>
      <c r="M292" t="str">
        <f t="shared" si="39"/>
        <v>S</v>
      </c>
      <c r="N292">
        <f t="shared" si="33"/>
        <v>1</v>
      </c>
    </row>
    <row r="293" spans="1:14" x14ac:dyDescent="0.4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v>292</v>
      </c>
      <c r="G293" t="str">
        <f t="shared" si="34"/>
        <v>S</v>
      </c>
      <c r="H293">
        <f t="shared" si="40"/>
        <v>3</v>
      </c>
      <c r="I293">
        <f t="shared" si="35"/>
        <v>0</v>
      </c>
      <c r="J293">
        <f t="shared" si="36"/>
        <v>7</v>
      </c>
      <c r="K293">
        <f t="shared" si="37"/>
        <v>0</v>
      </c>
      <c r="L293">
        <f t="shared" si="38"/>
        <v>0</v>
      </c>
      <c r="M293" t="str">
        <f t="shared" si="39"/>
        <v>S</v>
      </c>
      <c r="N293">
        <f t="shared" si="33"/>
        <v>1</v>
      </c>
    </row>
    <row r="294" spans="1:14" x14ac:dyDescent="0.45">
      <c r="A294">
        <v>293</v>
      </c>
      <c r="B294">
        <v>3.5</v>
      </c>
      <c r="C294">
        <v>9</v>
      </c>
      <c r="D294" t="s">
        <v>6</v>
      </c>
      <c r="E294">
        <v>3</v>
      </c>
      <c r="F294">
        <v>293</v>
      </c>
      <c r="G294" t="str">
        <f t="shared" si="34"/>
        <v>S</v>
      </c>
      <c r="H294">
        <f t="shared" si="40"/>
        <v>3</v>
      </c>
      <c r="I294">
        <f t="shared" si="35"/>
        <v>0</v>
      </c>
      <c r="J294">
        <f t="shared" si="36"/>
        <v>8</v>
      </c>
      <c r="K294">
        <f t="shared" si="37"/>
        <v>0</v>
      </c>
      <c r="L294">
        <f t="shared" si="38"/>
        <v>0</v>
      </c>
      <c r="M294" t="str">
        <f t="shared" si="39"/>
        <v>S</v>
      </c>
      <c r="N294">
        <f t="shared" si="33"/>
        <v>1</v>
      </c>
    </row>
    <row r="295" spans="1:14" x14ac:dyDescent="0.45">
      <c r="A295">
        <v>294</v>
      </c>
      <c r="B295">
        <v>3.2</v>
      </c>
      <c r="C295">
        <v>4</v>
      </c>
      <c r="D295" t="s">
        <v>6</v>
      </c>
      <c r="E295">
        <v>3</v>
      </c>
      <c r="F295">
        <v>294</v>
      </c>
      <c r="G295" t="str">
        <f t="shared" si="34"/>
        <v>S</v>
      </c>
      <c r="H295">
        <f t="shared" si="40"/>
        <v>3</v>
      </c>
      <c r="I295">
        <f t="shared" si="35"/>
        <v>0</v>
      </c>
      <c r="J295">
        <f t="shared" si="36"/>
        <v>9</v>
      </c>
      <c r="K295">
        <f t="shared" si="37"/>
        <v>0</v>
      </c>
      <c r="L295">
        <f t="shared" si="38"/>
        <v>0</v>
      </c>
      <c r="M295" t="str">
        <f t="shared" si="39"/>
        <v>S</v>
      </c>
      <c r="N295">
        <f t="shared" si="33"/>
        <v>1</v>
      </c>
    </row>
    <row r="296" spans="1:14" x14ac:dyDescent="0.4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v>295</v>
      </c>
      <c r="G296" t="str">
        <f t="shared" si="34"/>
        <v>S</v>
      </c>
      <c r="H296">
        <f t="shared" si="40"/>
        <v>4</v>
      </c>
      <c r="I296">
        <f t="shared" si="35"/>
        <v>0</v>
      </c>
      <c r="J296">
        <f t="shared" si="36"/>
        <v>10</v>
      </c>
      <c r="K296">
        <f t="shared" si="37"/>
        <v>0</v>
      </c>
      <c r="L296">
        <f t="shared" si="38"/>
        <v>0</v>
      </c>
      <c r="M296" t="str">
        <f t="shared" si="39"/>
        <v>S</v>
      </c>
      <c r="N296">
        <f t="shared" si="33"/>
        <v>1</v>
      </c>
    </row>
    <row r="297" spans="1:14" x14ac:dyDescent="0.45">
      <c r="A297">
        <v>296</v>
      </c>
      <c r="B297">
        <v>7.5</v>
      </c>
      <c r="C297">
        <v>21</v>
      </c>
      <c r="D297" t="s">
        <v>6</v>
      </c>
      <c r="E297">
        <v>4</v>
      </c>
      <c r="F297">
        <v>296</v>
      </c>
      <c r="G297" t="str">
        <f t="shared" si="34"/>
        <v>S</v>
      </c>
      <c r="H297">
        <f t="shared" si="40"/>
        <v>4</v>
      </c>
      <c r="I297">
        <f t="shared" si="35"/>
        <v>0</v>
      </c>
      <c r="J297">
        <f t="shared" si="36"/>
        <v>11</v>
      </c>
      <c r="K297">
        <f t="shared" si="37"/>
        <v>0</v>
      </c>
      <c r="L297">
        <f t="shared" si="38"/>
        <v>0</v>
      </c>
      <c r="M297" t="str">
        <f t="shared" si="39"/>
        <v>S</v>
      </c>
      <c r="N297">
        <f t="shared" si="33"/>
        <v>1</v>
      </c>
    </row>
    <row r="298" spans="1:14" x14ac:dyDescent="0.45">
      <c r="A298">
        <v>297</v>
      </c>
      <c r="B298">
        <v>11.3</v>
      </c>
      <c r="C298">
        <v>8</v>
      </c>
      <c r="D298" t="s">
        <v>6</v>
      </c>
      <c r="E298">
        <v>5</v>
      </c>
      <c r="F298">
        <v>297</v>
      </c>
      <c r="G298" t="str">
        <f t="shared" si="34"/>
        <v>S</v>
      </c>
      <c r="H298">
        <f t="shared" si="40"/>
        <v>4</v>
      </c>
      <c r="I298">
        <f t="shared" si="35"/>
        <v>0</v>
      </c>
      <c r="J298">
        <f t="shared" si="36"/>
        <v>12</v>
      </c>
      <c r="K298">
        <f t="shared" si="37"/>
        <v>0</v>
      </c>
      <c r="L298">
        <f t="shared" si="38"/>
        <v>0</v>
      </c>
      <c r="M298" t="str">
        <f t="shared" si="39"/>
        <v>C</v>
      </c>
      <c r="N298">
        <f t="shared" si="33"/>
        <v>1</v>
      </c>
    </row>
    <row r="299" spans="1:14" x14ac:dyDescent="0.45">
      <c r="A299">
        <v>298</v>
      </c>
      <c r="B299">
        <v>15.2</v>
      </c>
      <c r="C299">
        <v>23</v>
      </c>
      <c r="D299" t="s">
        <v>6</v>
      </c>
      <c r="E299">
        <v>5</v>
      </c>
      <c r="F299">
        <v>298</v>
      </c>
      <c r="G299" t="str">
        <f t="shared" si="34"/>
        <v>S</v>
      </c>
      <c r="H299">
        <f t="shared" si="40"/>
        <v>5</v>
      </c>
      <c r="I299">
        <f t="shared" si="35"/>
        <v>0</v>
      </c>
      <c r="J299">
        <f t="shared" si="36"/>
        <v>13</v>
      </c>
      <c r="K299">
        <f t="shared" si="37"/>
        <v>0</v>
      </c>
      <c r="L299">
        <f t="shared" si="38"/>
        <v>0</v>
      </c>
      <c r="M299" t="str">
        <f t="shared" si="39"/>
        <v>C</v>
      </c>
      <c r="N299">
        <f t="shared" si="33"/>
        <v>1</v>
      </c>
    </row>
    <row r="300" spans="1:14" x14ac:dyDescent="0.45">
      <c r="A300">
        <v>299</v>
      </c>
      <c r="B300">
        <v>18.3</v>
      </c>
      <c r="C300">
        <v>0</v>
      </c>
      <c r="D300">
        <v>0</v>
      </c>
      <c r="E300">
        <v>0</v>
      </c>
      <c r="F300">
        <v>299</v>
      </c>
      <c r="G300">
        <f t="shared" si="34"/>
        <v>0</v>
      </c>
      <c r="H300">
        <f t="shared" si="40"/>
        <v>0</v>
      </c>
      <c r="I300">
        <f t="shared" si="35"/>
        <v>1</v>
      </c>
      <c r="J300">
        <f t="shared" si="36"/>
        <v>1</v>
      </c>
      <c r="K300">
        <f t="shared" si="37"/>
        <v>0</v>
      </c>
      <c r="L300">
        <f t="shared" si="38"/>
        <v>0</v>
      </c>
      <c r="M300" t="str">
        <f t="shared" si="39"/>
        <v>C</v>
      </c>
      <c r="N300">
        <f t="shared" si="33"/>
        <v>1</v>
      </c>
    </row>
    <row r="301" spans="1:14" x14ac:dyDescent="0.4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v>300</v>
      </c>
      <c r="G301" t="str">
        <f t="shared" si="34"/>
        <v>C</v>
      </c>
      <c r="H301">
        <f t="shared" si="40"/>
        <v>1</v>
      </c>
      <c r="I301">
        <f t="shared" si="35"/>
        <v>0</v>
      </c>
      <c r="J301">
        <f t="shared" si="36"/>
        <v>1</v>
      </c>
      <c r="K301">
        <f t="shared" si="37"/>
        <v>1</v>
      </c>
      <c r="L301">
        <f t="shared" si="38"/>
        <v>0</v>
      </c>
      <c r="M301" t="str">
        <f t="shared" si="39"/>
        <v>C</v>
      </c>
      <c r="N301">
        <f t="shared" si="3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8</vt:i4>
      </vt:variant>
    </vt:vector>
  </HeadingPairs>
  <TitlesOfParts>
    <vt:vector size="16" baseType="lpstr">
      <vt:lpstr>Dane</vt:lpstr>
      <vt:lpstr>1</vt:lpstr>
      <vt:lpstr>2</vt:lpstr>
      <vt:lpstr>3</vt:lpstr>
      <vt:lpstr>4</vt:lpstr>
      <vt:lpstr>4 (1)</vt:lpstr>
      <vt:lpstr>4 (2)</vt:lpstr>
      <vt:lpstr>4 (3)</vt:lpstr>
      <vt:lpstr>'1'!pogoda</vt:lpstr>
      <vt:lpstr>'2'!pogoda</vt:lpstr>
      <vt:lpstr>'3'!pogoda</vt:lpstr>
      <vt:lpstr>'4'!pogoda</vt:lpstr>
      <vt:lpstr>'4 (1)'!pogoda</vt:lpstr>
      <vt:lpstr>'4 (2)'!pogoda</vt:lpstr>
      <vt:lpstr>'4 (3)'!pogoda</vt:lpstr>
      <vt:lpstr>Dane!pogoda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Domański</dc:creator>
  <cp:lastModifiedBy>Jacek Domański</cp:lastModifiedBy>
  <dcterms:created xsi:type="dcterms:W3CDTF">2015-06-05T18:19:34Z</dcterms:created>
  <dcterms:modified xsi:type="dcterms:W3CDTF">2024-04-06T10:59:26Z</dcterms:modified>
</cp:coreProperties>
</file>