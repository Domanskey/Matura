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5.xml" ContentType="application/vnd.openxmlformats-officedocument.spreadsheetml.queryTable+xml"/>
  <Override PartName="/xl/pivotTables/pivotTable3.xml" ContentType="application/vnd.openxmlformats-officedocument.spreadsheetml.pivot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domad\Desktop\04251504434\"/>
    </mc:Choice>
  </mc:AlternateContent>
  <xr:revisionPtr revIDLastSave="0" documentId="13_ncr:1_{C766C22C-E3F1-444B-BBC8-5A2926ABB9B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ne" sheetId="1" r:id="rId1"/>
    <sheet name="zad1" sheetId="4" r:id="rId2"/>
    <sheet name="zad2" sheetId="5" r:id="rId3"/>
    <sheet name="zad3" sheetId="6" r:id="rId4"/>
    <sheet name="31" sheetId="7" r:id="rId5"/>
    <sheet name="32" sheetId="8" r:id="rId6"/>
  </sheets>
  <definedNames>
    <definedName name="owoce" localSheetId="4">'31'!$A$2:$G$155</definedName>
    <definedName name="owoce" localSheetId="5">'32'!$A$2:$G$155</definedName>
    <definedName name="owoce" localSheetId="0">Dane!$A$1:$D$154</definedName>
    <definedName name="owoce" localSheetId="1">zad1!$A$1:$E$154</definedName>
    <definedName name="owoce" localSheetId="2">zad2!$A$1:$D$154</definedName>
    <definedName name="owoce" localSheetId="3">zad3!$A$2:$G$155</definedName>
  </definedNames>
  <calcPr calcId="191029"/>
  <pivotCaches>
    <pivotCache cacheId="10" r:id="rId7"/>
    <pivotCache cacheId="11" r:id="rId8"/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8" l="1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4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K3" i="8"/>
  <c r="M3" i="8" s="1"/>
  <c r="P3" i="8" s="1"/>
  <c r="C4" i="8" s="1"/>
  <c r="I4" i="8" s="1"/>
  <c r="P3" i="7"/>
  <c r="C4" i="7" s="1"/>
  <c r="I4" i="7" s="1"/>
  <c r="K3" i="7"/>
  <c r="M3" i="7" s="1"/>
  <c r="O4" i="6"/>
  <c r="P4" i="6"/>
  <c r="Q4" i="6"/>
  <c r="Q3" i="6"/>
  <c r="K3" i="6"/>
  <c r="M3" i="6" s="1"/>
  <c r="P3" i="6" s="1"/>
  <c r="C4" i="6" s="1"/>
  <c r="I4" i="6" s="1"/>
  <c r="H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2" i="5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N3" i="8" l="1"/>
  <c r="Q3" i="8" s="1"/>
  <c r="D4" i="8" s="1"/>
  <c r="J4" i="8" s="1"/>
  <c r="L3" i="8"/>
  <c r="O3" i="8" s="1"/>
  <c r="B4" i="8" s="1"/>
  <c r="H4" i="8" s="1"/>
  <c r="L3" i="7"/>
  <c r="O3" i="7" s="1"/>
  <c r="B4" i="7" s="1"/>
  <c r="H4" i="7" s="1"/>
  <c r="N3" i="7"/>
  <c r="Q3" i="7" s="1"/>
  <c r="D4" i="7" s="1"/>
  <c r="J4" i="7" s="1"/>
  <c r="L3" i="6"/>
  <c r="O3" i="6" s="1"/>
  <c r="N3" i="6"/>
  <c r="K4" i="8" l="1"/>
  <c r="K4" i="7"/>
  <c r="D4" i="6"/>
  <c r="J4" i="6" s="1"/>
  <c r="K4" i="6" s="1"/>
  <c r="B4" i="6"/>
  <c r="H4" i="6" s="1"/>
  <c r="L4" i="8" l="1"/>
  <c r="O4" i="8" s="1"/>
  <c r="B5" i="8" s="1"/>
  <c r="H5" i="8" s="1"/>
  <c r="M4" i="8"/>
  <c r="P4" i="8" s="1"/>
  <c r="C5" i="8" s="1"/>
  <c r="I5" i="8" s="1"/>
  <c r="N4" i="8"/>
  <c r="Q4" i="8" s="1"/>
  <c r="D5" i="8" s="1"/>
  <c r="J5" i="8" s="1"/>
  <c r="L4" i="7"/>
  <c r="O4" i="7" s="1"/>
  <c r="B5" i="7" s="1"/>
  <c r="H5" i="7" s="1"/>
  <c r="N4" i="7"/>
  <c r="Q4" i="7" s="1"/>
  <c r="D5" i="7" s="1"/>
  <c r="J5" i="7" s="1"/>
  <c r="M4" i="7"/>
  <c r="P4" i="7" s="1"/>
  <c r="C5" i="7" s="1"/>
  <c r="I5" i="7" s="1"/>
  <c r="M4" i="6"/>
  <c r="C5" i="6" s="1"/>
  <c r="I5" i="6" s="1"/>
  <c r="L4" i="6"/>
  <c r="N4" i="6"/>
  <c r="K5" i="8" l="1"/>
  <c r="K5" i="7"/>
  <c r="B5" i="6"/>
  <c r="H5" i="6" s="1"/>
  <c r="D5" i="6"/>
  <c r="J5" i="6" s="1"/>
  <c r="N5" i="8" l="1"/>
  <c r="Q5" i="8" s="1"/>
  <c r="D6" i="8" s="1"/>
  <c r="J6" i="8" s="1"/>
  <c r="M5" i="8"/>
  <c r="P5" i="8" s="1"/>
  <c r="C6" i="8" s="1"/>
  <c r="I6" i="8" s="1"/>
  <c r="L5" i="8"/>
  <c r="O5" i="8" s="1"/>
  <c r="B6" i="8" s="1"/>
  <c r="H6" i="8" s="1"/>
  <c r="N5" i="7"/>
  <c r="Q5" i="7" s="1"/>
  <c r="D6" i="7" s="1"/>
  <c r="J6" i="7" s="1"/>
  <c r="M5" i="7"/>
  <c r="P5" i="7" s="1"/>
  <c r="C6" i="7" s="1"/>
  <c r="I6" i="7" s="1"/>
  <c r="L5" i="7"/>
  <c r="O5" i="7" s="1"/>
  <c r="B6" i="7" s="1"/>
  <c r="H6" i="7" s="1"/>
  <c r="K5" i="6"/>
  <c r="N5" i="6" s="1"/>
  <c r="Q5" i="6" s="1"/>
  <c r="K6" i="8" l="1"/>
  <c r="K6" i="7"/>
  <c r="M5" i="6"/>
  <c r="L5" i="6"/>
  <c r="N6" i="8" l="1"/>
  <c r="Q6" i="8" s="1"/>
  <c r="D7" i="8" s="1"/>
  <c r="J7" i="8" s="1"/>
  <c r="M6" i="8"/>
  <c r="P6" i="8" s="1"/>
  <c r="C7" i="8" s="1"/>
  <c r="I7" i="8" s="1"/>
  <c r="L6" i="8"/>
  <c r="O6" i="8" s="1"/>
  <c r="B7" i="8" s="1"/>
  <c r="H7" i="8" s="1"/>
  <c r="N6" i="7"/>
  <c r="Q6" i="7" s="1"/>
  <c r="D7" i="7" s="1"/>
  <c r="J7" i="7" s="1"/>
  <c r="M6" i="7"/>
  <c r="P6" i="7" s="1"/>
  <c r="C7" i="7" s="1"/>
  <c r="I7" i="7" s="1"/>
  <c r="L6" i="7"/>
  <c r="O6" i="7" s="1"/>
  <c r="B7" i="7" s="1"/>
  <c r="H7" i="7" s="1"/>
  <c r="C6" i="6"/>
  <c r="I6" i="6" s="1"/>
  <c r="P5" i="6"/>
  <c r="D6" i="6"/>
  <c r="J6" i="6" s="1"/>
  <c r="O5" i="6"/>
  <c r="B6" i="6" s="1"/>
  <c r="H6" i="6" s="1"/>
  <c r="K7" i="8" l="1"/>
  <c r="K7" i="7"/>
  <c r="K6" i="6"/>
  <c r="N6" i="6" s="1"/>
  <c r="Q6" i="6" s="1"/>
  <c r="L6" i="6"/>
  <c r="O6" i="6" s="1"/>
  <c r="M6" i="6"/>
  <c r="N7" i="8" l="1"/>
  <c r="Q7" i="8" s="1"/>
  <c r="D8" i="8" s="1"/>
  <c r="J8" i="8" s="1"/>
  <c r="M7" i="8"/>
  <c r="P7" i="8" s="1"/>
  <c r="C8" i="8" s="1"/>
  <c r="I8" i="8" s="1"/>
  <c r="L7" i="8"/>
  <c r="O7" i="8" s="1"/>
  <c r="B8" i="8" s="1"/>
  <c r="H8" i="8" s="1"/>
  <c r="M7" i="7"/>
  <c r="P7" i="7" s="1"/>
  <c r="C8" i="7" s="1"/>
  <c r="I8" i="7" s="1"/>
  <c r="N7" i="7"/>
  <c r="Q7" i="7" s="1"/>
  <c r="D8" i="7" s="1"/>
  <c r="J8" i="7" s="1"/>
  <c r="L7" i="7"/>
  <c r="O7" i="7" s="1"/>
  <c r="B8" i="7" s="1"/>
  <c r="H8" i="7" s="1"/>
  <c r="D7" i="6"/>
  <c r="J7" i="6" s="1"/>
  <c r="P6" i="6"/>
  <c r="C7" i="6" s="1"/>
  <c r="I7" i="6" s="1"/>
  <c r="B7" i="6"/>
  <c r="H7" i="6" s="1"/>
  <c r="K8" i="8" l="1"/>
  <c r="K8" i="7"/>
  <c r="K7" i="6"/>
  <c r="N7" i="6" s="1"/>
  <c r="Q7" i="6" s="1"/>
  <c r="N8" i="8" l="1"/>
  <c r="Q8" i="8" s="1"/>
  <c r="D9" i="8" s="1"/>
  <c r="J9" i="8" s="1"/>
  <c r="M8" i="8"/>
  <c r="P8" i="8" s="1"/>
  <c r="C9" i="8" s="1"/>
  <c r="I9" i="8" s="1"/>
  <c r="L8" i="8"/>
  <c r="O8" i="8" s="1"/>
  <c r="B9" i="8" s="1"/>
  <c r="H9" i="8" s="1"/>
  <c r="L8" i="7"/>
  <c r="O8" i="7" s="1"/>
  <c r="B9" i="7" s="1"/>
  <c r="H9" i="7" s="1"/>
  <c r="N8" i="7"/>
  <c r="Q8" i="7" s="1"/>
  <c r="D9" i="7" s="1"/>
  <c r="J9" i="7" s="1"/>
  <c r="M8" i="7"/>
  <c r="P8" i="7" s="1"/>
  <c r="C9" i="7" s="1"/>
  <c r="I9" i="7" s="1"/>
  <c r="L7" i="6"/>
  <c r="M7" i="6"/>
  <c r="K9" i="8" l="1"/>
  <c r="K9" i="7"/>
  <c r="P7" i="6"/>
  <c r="C8" i="6" s="1"/>
  <c r="I8" i="6" s="1"/>
  <c r="O7" i="6"/>
  <c r="B8" i="6" s="1"/>
  <c r="H8" i="6" s="1"/>
  <c r="D8" i="6"/>
  <c r="J8" i="6" s="1"/>
  <c r="N9" i="8" l="1"/>
  <c r="Q9" i="8" s="1"/>
  <c r="D10" i="8" s="1"/>
  <c r="J10" i="8" s="1"/>
  <c r="M9" i="8"/>
  <c r="P9" i="8" s="1"/>
  <c r="C10" i="8" s="1"/>
  <c r="I10" i="8" s="1"/>
  <c r="L9" i="8"/>
  <c r="O9" i="8" s="1"/>
  <c r="B10" i="8" s="1"/>
  <c r="H10" i="8" s="1"/>
  <c r="N9" i="7"/>
  <c r="Q9" i="7" s="1"/>
  <c r="D10" i="7" s="1"/>
  <c r="J10" i="7" s="1"/>
  <c r="M9" i="7"/>
  <c r="P9" i="7" s="1"/>
  <c r="C10" i="7" s="1"/>
  <c r="I10" i="7" s="1"/>
  <c r="L9" i="7"/>
  <c r="O9" i="7" s="1"/>
  <c r="B10" i="7" s="1"/>
  <c r="H10" i="7" s="1"/>
  <c r="K8" i="6"/>
  <c r="L8" i="6" s="1"/>
  <c r="O8" i="6" s="1"/>
  <c r="B9" i="6" s="1"/>
  <c r="H9" i="6" s="1"/>
  <c r="K10" i="8" l="1"/>
  <c r="K10" i="7"/>
  <c r="N8" i="6"/>
  <c r="Q8" i="6" s="1"/>
  <c r="D9" i="6" s="1"/>
  <c r="J9" i="6" s="1"/>
  <c r="M8" i="6"/>
  <c r="M10" i="8" l="1"/>
  <c r="P10" i="8" s="1"/>
  <c r="C11" i="8" s="1"/>
  <c r="I11" i="8" s="1"/>
  <c r="N10" i="8"/>
  <c r="Q10" i="8" s="1"/>
  <c r="D11" i="8" s="1"/>
  <c r="J11" i="8" s="1"/>
  <c r="L10" i="8"/>
  <c r="O10" i="8" s="1"/>
  <c r="B11" i="8" s="1"/>
  <c r="H11" i="8" s="1"/>
  <c r="N10" i="7"/>
  <c r="Q10" i="7" s="1"/>
  <c r="D11" i="7" s="1"/>
  <c r="J11" i="7" s="1"/>
  <c r="M10" i="7"/>
  <c r="P10" i="7" s="1"/>
  <c r="C11" i="7" s="1"/>
  <c r="I11" i="7" s="1"/>
  <c r="L10" i="7"/>
  <c r="O10" i="7" s="1"/>
  <c r="B11" i="7" s="1"/>
  <c r="H11" i="7" s="1"/>
  <c r="P8" i="6"/>
  <c r="C9" i="6" s="1"/>
  <c r="I9" i="6" s="1"/>
  <c r="K11" i="8" l="1"/>
  <c r="K11" i="7"/>
  <c r="K9" i="6"/>
  <c r="L11" i="8" l="1"/>
  <c r="O11" i="8" s="1"/>
  <c r="B12" i="8" s="1"/>
  <c r="H12" i="8" s="1"/>
  <c r="N11" i="8"/>
  <c r="Q11" i="8" s="1"/>
  <c r="D12" i="8" s="1"/>
  <c r="J12" i="8" s="1"/>
  <c r="M11" i="8"/>
  <c r="P11" i="8" s="1"/>
  <c r="C12" i="8" s="1"/>
  <c r="I12" i="8" s="1"/>
  <c r="N11" i="7"/>
  <c r="Q11" i="7" s="1"/>
  <c r="D12" i="7" s="1"/>
  <c r="J12" i="7" s="1"/>
  <c r="M11" i="7"/>
  <c r="P11" i="7" s="1"/>
  <c r="C12" i="7" s="1"/>
  <c r="I12" i="7" s="1"/>
  <c r="L11" i="7"/>
  <c r="O11" i="7" s="1"/>
  <c r="B12" i="7" s="1"/>
  <c r="H12" i="7" s="1"/>
  <c r="N9" i="6"/>
  <c r="Q9" i="6" s="1"/>
  <c r="M9" i="6"/>
  <c r="L9" i="6"/>
  <c r="K12" i="8" l="1"/>
  <c r="K12" i="7"/>
  <c r="P9" i="6"/>
  <c r="C10" i="6" s="1"/>
  <c r="I10" i="6" s="1"/>
  <c r="D10" i="6"/>
  <c r="J10" i="6" s="1"/>
  <c r="O9" i="6"/>
  <c r="B10" i="6" s="1"/>
  <c r="H10" i="6" s="1"/>
  <c r="N12" i="8" l="1"/>
  <c r="Q12" i="8" s="1"/>
  <c r="D13" i="8" s="1"/>
  <c r="J13" i="8" s="1"/>
  <c r="M12" i="8"/>
  <c r="P12" i="8" s="1"/>
  <c r="C13" i="8" s="1"/>
  <c r="I13" i="8" s="1"/>
  <c r="L12" i="8"/>
  <c r="O12" i="8" s="1"/>
  <c r="B13" i="8" s="1"/>
  <c r="H13" i="8" s="1"/>
  <c r="M12" i="7"/>
  <c r="P12" i="7" s="1"/>
  <c r="C13" i="7" s="1"/>
  <c r="I13" i="7" s="1"/>
  <c r="L12" i="7"/>
  <c r="O12" i="7" s="1"/>
  <c r="B13" i="7" s="1"/>
  <c r="H13" i="7" s="1"/>
  <c r="N12" i="7"/>
  <c r="Q12" i="7" s="1"/>
  <c r="D13" i="7" s="1"/>
  <c r="J13" i="7" s="1"/>
  <c r="K10" i="6"/>
  <c r="K13" i="8" l="1"/>
  <c r="K13" i="7"/>
  <c r="M10" i="6"/>
  <c r="N10" i="6"/>
  <c r="Q10" i="6" s="1"/>
  <c r="D11" i="6" s="1"/>
  <c r="J11" i="6" s="1"/>
  <c r="L10" i="6"/>
  <c r="O10" i="6" s="1"/>
  <c r="B11" i="6" s="1"/>
  <c r="H11" i="6" s="1"/>
  <c r="M13" i="8" l="1"/>
  <c r="P13" i="8" s="1"/>
  <c r="C14" i="8" s="1"/>
  <c r="I14" i="8" s="1"/>
  <c r="L13" i="8"/>
  <c r="O13" i="8" s="1"/>
  <c r="B14" i="8" s="1"/>
  <c r="H14" i="8" s="1"/>
  <c r="N13" i="8"/>
  <c r="Q13" i="8" s="1"/>
  <c r="D14" i="8" s="1"/>
  <c r="J14" i="8" s="1"/>
  <c r="L13" i="7"/>
  <c r="O13" i="7" s="1"/>
  <c r="B14" i="7" s="1"/>
  <c r="H14" i="7" s="1"/>
  <c r="N13" i="7"/>
  <c r="Q13" i="7" s="1"/>
  <c r="D14" i="7" s="1"/>
  <c r="J14" i="7" s="1"/>
  <c r="M13" i="7"/>
  <c r="P13" i="7" s="1"/>
  <c r="C14" i="7" s="1"/>
  <c r="I14" i="7" s="1"/>
  <c r="P10" i="6"/>
  <c r="C11" i="6" s="1"/>
  <c r="I11" i="6" s="1"/>
  <c r="K14" i="8" l="1"/>
  <c r="K14" i="7"/>
  <c r="K11" i="6"/>
  <c r="N14" i="8" l="1"/>
  <c r="Q14" i="8" s="1"/>
  <c r="D15" i="8" s="1"/>
  <c r="J15" i="8" s="1"/>
  <c r="M14" i="8"/>
  <c r="P14" i="8" s="1"/>
  <c r="C15" i="8" s="1"/>
  <c r="I15" i="8" s="1"/>
  <c r="L14" i="8"/>
  <c r="O14" i="8" s="1"/>
  <c r="B15" i="8" s="1"/>
  <c r="H15" i="8" s="1"/>
  <c r="M14" i="7"/>
  <c r="P14" i="7" s="1"/>
  <c r="C15" i="7" s="1"/>
  <c r="I15" i="7" s="1"/>
  <c r="L14" i="7"/>
  <c r="O14" i="7" s="1"/>
  <c r="B15" i="7" s="1"/>
  <c r="H15" i="7" s="1"/>
  <c r="N14" i="7"/>
  <c r="Q14" i="7" s="1"/>
  <c r="D15" i="7" s="1"/>
  <c r="J15" i="7" s="1"/>
  <c r="L11" i="6"/>
  <c r="O11" i="6" s="1"/>
  <c r="B12" i="6" s="1"/>
  <c r="H12" i="6" s="1"/>
  <c r="M11" i="6"/>
  <c r="N11" i="6"/>
  <c r="Q11" i="6" s="1"/>
  <c r="D12" i="6" s="1"/>
  <c r="J12" i="6" s="1"/>
  <c r="K15" i="8" l="1"/>
  <c r="K15" i="7"/>
  <c r="P11" i="6"/>
  <c r="C12" i="6" s="1"/>
  <c r="I12" i="6" s="1"/>
  <c r="N15" i="8" l="1"/>
  <c r="Q15" i="8" s="1"/>
  <c r="D16" i="8" s="1"/>
  <c r="J16" i="8" s="1"/>
  <c r="M15" i="8"/>
  <c r="P15" i="8" s="1"/>
  <c r="C16" i="8" s="1"/>
  <c r="I16" i="8" s="1"/>
  <c r="L15" i="8"/>
  <c r="O15" i="8" s="1"/>
  <c r="B16" i="8" s="1"/>
  <c r="H16" i="8" s="1"/>
  <c r="L15" i="7"/>
  <c r="O15" i="7" s="1"/>
  <c r="B16" i="7" s="1"/>
  <c r="H16" i="7" s="1"/>
  <c r="M15" i="7"/>
  <c r="P15" i="7" s="1"/>
  <c r="C16" i="7" s="1"/>
  <c r="I16" i="7" s="1"/>
  <c r="N15" i="7"/>
  <c r="Q15" i="7" s="1"/>
  <c r="D16" i="7" s="1"/>
  <c r="J16" i="7" s="1"/>
  <c r="K12" i="6"/>
  <c r="K16" i="8" l="1"/>
  <c r="K16" i="7"/>
  <c r="L12" i="6"/>
  <c r="O12" i="6" s="1"/>
  <c r="B13" i="6" s="1"/>
  <c r="H13" i="6" s="1"/>
  <c r="M12" i="6"/>
  <c r="N12" i="6"/>
  <c r="Q12" i="6" s="1"/>
  <c r="D13" i="6" s="1"/>
  <c r="J13" i="6" s="1"/>
  <c r="M16" i="8" l="1"/>
  <c r="P16" i="8" s="1"/>
  <c r="C17" i="8" s="1"/>
  <c r="I17" i="8" s="1"/>
  <c r="N16" i="8"/>
  <c r="Q16" i="8" s="1"/>
  <c r="D17" i="8" s="1"/>
  <c r="J17" i="8" s="1"/>
  <c r="L16" i="8"/>
  <c r="O16" i="8" s="1"/>
  <c r="B17" i="8" s="1"/>
  <c r="H17" i="8" s="1"/>
  <c r="L16" i="7"/>
  <c r="O16" i="7" s="1"/>
  <c r="B17" i="7" s="1"/>
  <c r="H17" i="7" s="1"/>
  <c r="N16" i="7"/>
  <c r="Q16" i="7" s="1"/>
  <c r="D17" i="7" s="1"/>
  <c r="J17" i="7" s="1"/>
  <c r="M16" i="7"/>
  <c r="P16" i="7" s="1"/>
  <c r="C17" i="7" s="1"/>
  <c r="I17" i="7" s="1"/>
  <c r="P12" i="6"/>
  <c r="C13" i="6" s="1"/>
  <c r="I13" i="6" s="1"/>
  <c r="K17" i="8" l="1"/>
  <c r="K17" i="7"/>
  <c r="K13" i="6"/>
  <c r="L17" i="8" l="1"/>
  <c r="O17" i="8" s="1"/>
  <c r="B18" i="8" s="1"/>
  <c r="H18" i="8" s="1"/>
  <c r="N17" i="8"/>
  <c r="Q17" i="8" s="1"/>
  <c r="D18" i="8" s="1"/>
  <c r="J18" i="8" s="1"/>
  <c r="M17" i="8"/>
  <c r="P17" i="8" s="1"/>
  <c r="C18" i="8" s="1"/>
  <c r="I18" i="8" s="1"/>
  <c r="M17" i="7"/>
  <c r="P17" i="7" s="1"/>
  <c r="C18" i="7" s="1"/>
  <c r="I18" i="7" s="1"/>
  <c r="L17" i="7"/>
  <c r="O17" i="7" s="1"/>
  <c r="B18" i="7" s="1"/>
  <c r="H18" i="7" s="1"/>
  <c r="N17" i="7"/>
  <c r="Q17" i="7" s="1"/>
  <c r="D18" i="7" s="1"/>
  <c r="J18" i="7" s="1"/>
  <c r="L13" i="6"/>
  <c r="O13" i="6" s="1"/>
  <c r="B14" i="6" s="1"/>
  <c r="H14" i="6" s="1"/>
  <c r="M13" i="6"/>
  <c r="N13" i="6"/>
  <c r="Q13" i="6" s="1"/>
  <c r="D14" i="6" s="1"/>
  <c r="J14" i="6" s="1"/>
  <c r="K18" i="8" l="1"/>
  <c r="K18" i="7"/>
  <c r="P13" i="6"/>
  <c r="C14" i="6" s="1"/>
  <c r="I14" i="6" s="1"/>
  <c r="N18" i="8" l="1"/>
  <c r="Q18" i="8" s="1"/>
  <c r="D19" i="8" s="1"/>
  <c r="J19" i="8" s="1"/>
  <c r="M18" i="8"/>
  <c r="P18" i="8" s="1"/>
  <c r="C19" i="8" s="1"/>
  <c r="I19" i="8" s="1"/>
  <c r="L18" i="8"/>
  <c r="O18" i="8" s="1"/>
  <c r="B19" i="8" s="1"/>
  <c r="H19" i="8" s="1"/>
  <c r="L18" i="7"/>
  <c r="O18" i="7" s="1"/>
  <c r="B19" i="7" s="1"/>
  <c r="H19" i="7" s="1"/>
  <c r="M18" i="7"/>
  <c r="P18" i="7" s="1"/>
  <c r="C19" i="7" s="1"/>
  <c r="I19" i="7" s="1"/>
  <c r="N18" i="7"/>
  <c r="Q18" i="7" s="1"/>
  <c r="D19" i="7" s="1"/>
  <c r="J19" i="7" s="1"/>
  <c r="K14" i="6"/>
  <c r="K19" i="8" l="1"/>
  <c r="K19" i="7"/>
  <c r="L14" i="6"/>
  <c r="O14" i="6" s="1"/>
  <c r="B15" i="6" s="1"/>
  <c r="H15" i="6" s="1"/>
  <c r="M14" i="6"/>
  <c r="N14" i="6"/>
  <c r="Q14" i="6" s="1"/>
  <c r="D15" i="6" s="1"/>
  <c r="J15" i="6" s="1"/>
  <c r="N19" i="8" l="1"/>
  <c r="Q19" i="8" s="1"/>
  <c r="D20" i="8" s="1"/>
  <c r="J20" i="8" s="1"/>
  <c r="M19" i="8"/>
  <c r="P19" i="8" s="1"/>
  <c r="C20" i="8" s="1"/>
  <c r="I20" i="8" s="1"/>
  <c r="L19" i="8"/>
  <c r="O19" i="8" s="1"/>
  <c r="B20" i="8" s="1"/>
  <c r="H20" i="8" s="1"/>
  <c r="M19" i="7"/>
  <c r="P19" i="7" s="1"/>
  <c r="C20" i="7" s="1"/>
  <c r="I20" i="7" s="1"/>
  <c r="N19" i="7"/>
  <c r="Q19" i="7" s="1"/>
  <c r="D20" i="7" s="1"/>
  <c r="J20" i="7" s="1"/>
  <c r="L19" i="7"/>
  <c r="O19" i="7" s="1"/>
  <c r="B20" i="7" s="1"/>
  <c r="H20" i="7" s="1"/>
  <c r="P14" i="6"/>
  <c r="C15" i="6" s="1"/>
  <c r="I15" i="6" s="1"/>
  <c r="K20" i="8" l="1"/>
  <c r="K20" i="7"/>
  <c r="K15" i="6"/>
  <c r="N20" i="8" l="1"/>
  <c r="Q20" i="8" s="1"/>
  <c r="D21" i="8" s="1"/>
  <c r="J21" i="8" s="1"/>
  <c r="M20" i="8"/>
  <c r="P20" i="8" s="1"/>
  <c r="C21" i="8" s="1"/>
  <c r="I21" i="8" s="1"/>
  <c r="L20" i="8"/>
  <c r="O20" i="8" s="1"/>
  <c r="B21" i="8" s="1"/>
  <c r="H21" i="8" s="1"/>
  <c r="N20" i="7"/>
  <c r="Q20" i="7" s="1"/>
  <c r="D21" i="7" s="1"/>
  <c r="J21" i="7" s="1"/>
  <c r="M20" i="7"/>
  <c r="P20" i="7" s="1"/>
  <c r="C21" i="7" s="1"/>
  <c r="I21" i="7" s="1"/>
  <c r="L20" i="7"/>
  <c r="O20" i="7" s="1"/>
  <c r="B21" i="7" s="1"/>
  <c r="H21" i="7" s="1"/>
  <c r="N15" i="6"/>
  <c r="Q15" i="6" s="1"/>
  <c r="D16" i="6" s="1"/>
  <c r="J16" i="6" s="1"/>
  <c r="L15" i="6"/>
  <c r="O15" i="6" s="1"/>
  <c r="B16" i="6" s="1"/>
  <c r="H16" i="6" s="1"/>
  <c r="M15" i="6"/>
  <c r="K21" i="8" l="1"/>
  <c r="K21" i="7"/>
  <c r="P15" i="6"/>
  <c r="C16" i="6" s="1"/>
  <c r="I16" i="6" s="1"/>
  <c r="N21" i="8" l="1"/>
  <c r="Q21" i="8" s="1"/>
  <c r="D22" i="8" s="1"/>
  <c r="J22" i="8" s="1"/>
  <c r="M21" i="8"/>
  <c r="P21" i="8" s="1"/>
  <c r="C22" i="8" s="1"/>
  <c r="I22" i="8" s="1"/>
  <c r="L21" i="8"/>
  <c r="O21" i="8" s="1"/>
  <c r="B22" i="8" s="1"/>
  <c r="H22" i="8" s="1"/>
  <c r="N21" i="7"/>
  <c r="Q21" i="7" s="1"/>
  <c r="D22" i="7" s="1"/>
  <c r="J22" i="7" s="1"/>
  <c r="M21" i="7"/>
  <c r="P21" i="7" s="1"/>
  <c r="C22" i="7" s="1"/>
  <c r="I22" i="7" s="1"/>
  <c r="L21" i="7"/>
  <c r="O21" i="7" s="1"/>
  <c r="B22" i="7" s="1"/>
  <c r="H22" i="7" s="1"/>
  <c r="K16" i="6"/>
  <c r="K22" i="8" l="1"/>
  <c r="K22" i="7"/>
  <c r="M16" i="6"/>
  <c r="N16" i="6"/>
  <c r="Q16" i="6" s="1"/>
  <c r="D17" i="6" s="1"/>
  <c r="J17" i="6" s="1"/>
  <c r="L16" i="6"/>
  <c r="O16" i="6" s="1"/>
  <c r="B17" i="6" s="1"/>
  <c r="H17" i="6" s="1"/>
  <c r="M22" i="8" l="1"/>
  <c r="P22" i="8" s="1"/>
  <c r="C23" i="8" s="1"/>
  <c r="I23" i="8" s="1"/>
  <c r="L22" i="8"/>
  <c r="O22" i="8" s="1"/>
  <c r="B23" i="8" s="1"/>
  <c r="H23" i="8" s="1"/>
  <c r="N22" i="8"/>
  <c r="Q22" i="8" s="1"/>
  <c r="D23" i="8" s="1"/>
  <c r="J23" i="8" s="1"/>
  <c r="N22" i="7"/>
  <c r="Q22" i="7" s="1"/>
  <c r="D23" i="7" s="1"/>
  <c r="J23" i="7" s="1"/>
  <c r="M22" i="7"/>
  <c r="P22" i="7" s="1"/>
  <c r="C23" i="7" s="1"/>
  <c r="I23" i="7" s="1"/>
  <c r="L22" i="7"/>
  <c r="O22" i="7" s="1"/>
  <c r="B23" i="7" s="1"/>
  <c r="H23" i="7" s="1"/>
  <c r="P16" i="6"/>
  <c r="C17" i="6" s="1"/>
  <c r="I17" i="6" s="1"/>
  <c r="K23" i="8" l="1"/>
  <c r="K23" i="7"/>
  <c r="K17" i="6"/>
  <c r="L23" i="8" l="1"/>
  <c r="O23" i="8" s="1"/>
  <c r="B24" i="8" s="1"/>
  <c r="H24" i="8" s="1"/>
  <c r="N23" i="8"/>
  <c r="Q23" i="8" s="1"/>
  <c r="D24" i="8" s="1"/>
  <c r="J24" i="8" s="1"/>
  <c r="M23" i="8"/>
  <c r="P23" i="8" s="1"/>
  <c r="C24" i="8" s="1"/>
  <c r="I24" i="8" s="1"/>
  <c r="M23" i="7"/>
  <c r="P23" i="7" s="1"/>
  <c r="C24" i="7" s="1"/>
  <c r="I24" i="7" s="1"/>
  <c r="L23" i="7"/>
  <c r="O23" i="7" s="1"/>
  <c r="B24" i="7" s="1"/>
  <c r="H24" i="7" s="1"/>
  <c r="N23" i="7"/>
  <c r="Q23" i="7" s="1"/>
  <c r="D24" i="7" s="1"/>
  <c r="J24" i="7" s="1"/>
  <c r="N17" i="6"/>
  <c r="Q17" i="6" s="1"/>
  <c r="D18" i="6" s="1"/>
  <c r="J18" i="6" s="1"/>
  <c r="L17" i="6"/>
  <c r="O17" i="6" s="1"/>
  <c r="B18" i="6" s="1"/>
  <c r="H18" i="6" s="1"/>
  <c r="M17" i="6"/>
  <c r="K24" i="8" l="1"/>
  <c r="K24" i="7"/>
  <c r="P17" i="6"/>
  <c r="C18" i="6" s="1"/>
  <c r="I18" i="6" s="1"/>
  <c r="N24" i="8" l="1"/>
  <c r="Q24" i="8" s="1"/>
  <c r="D25" i="8" s="1"/>
  <c r="J25" i="8" s="1"/>
  <c r="M24" i="8"/>
  <c r="P24" i="8" s="1"/>
  <c r="C25" i="8" s="1"/>
  <c r="I25" i="8" s="1"/>
  <c r="L24" i="8"/>
  <c r="O24" i="8" s="1"/>
  <c r="B25" i="8" s="1"/>
  <c r="H25" i="8" s="1"/>
  <c r="N24" i="7"/>
  <c r="Q24" i="7" s="1"/>
  <c r="D25" i="7" s="1"/>
  <c r="J25" i="7" s="1"/>
  <c r="L24" i="7"/>
  <c r="O24" i="7" s="1"/>
  <c r="B25" i="7" s="1"/>
  <c r="H25" i="7" s="1"/>
  <c r="M24" i="7"/>
  <c r="P24" i="7" s="1"/>
  <c r="C25" i="7" s="1"/>
  <c r="I25" i="7" s="1"/>
  <c r="K18" i="6"/>
  <c r="K25" i="8" l="1"/>
  <c r="K25" i="7"/>
  <c r="M18" i="6"/>
  <c r="L18" i="6"/>
  <c r="O18" i="6" s="1"/>
  <c r="B19" i="6" s="1"/>
  <c r="H19" i="6" s="1"/>
  <c r="N18" i="6"/>
  <c r="Q18" i="6" s="1"/>
  <c r="D19" i="6" s="1"/>
  <c r="J19" i="6" s="1"/>
  <c r="N25" i="8" l="1"/>
  <c r="Q25" i="8" s="1"/>
  <c r="D26" i="8" s="1"/>
  <c r="J26" i="8" s="1"/>
  <c r="M25" i="8"/>
  <c r="P25" i="8" s="1"/>
  <c r="C26" i="8" s="1"/>
  <c r="I26" i="8" s="1"/>
  <c r="L25" i="8"/>
  <c r="O25" i="8" s="1"/>
  <c r="B26" i="8" s="1"/>
  <c r="H26" i="8" s="1"/>
  <c r="N25" i="7"/>
  <c r="Q25" i="7" s="1"/>
  <c r="D26" i="7" s="1"/>
  <c r="J26" i="7" s="1"/>
  <c r="M25" i="7"/>
  <c r="P25" i="7" s="1"/>
  <c r="C26" i="7" s="1"/>
  <c r="I26" i="7" s="1"/>
  <c r="L25" i="7"/>
  <c r="O25" i="7" s="1"/>
  <c r="B26" i="7" s="1"/>
  <c r="H26" i="7" s="1"/>
  <c r="P18" i="6"/>
  <c r="C19" i="6" s="1"/>
  <c r="I19" i="6" s="1"/>
  <c r="K26" i="8" l="1"/>
  <c r="K26" i="7"/>
  <c r="K19" i="6"/>
  <c r="N26" i="8" l="1"/>
  <c r="Q26" i="8" s="1"/>
  <c r="D27" i="8" s="1"/>
  <c r="J27" i="8" s="1"/>
  <c r="M26" i="8"/>
  <c r="P26" i="8" s="1"/>
  <c r="C27" i="8" s="1"/>
  <c r="I27" i="8" s="1"/>
  <c r="L26" i="8"/>
  <c r="O26" i="8" s="1"/>
  <c r="B27" i="8" s="1"/>
  <c r="H27" i="8" s="1"/>
  <c r="N26" i="7"/>
  <c r="Q26" i="7" s="1"/>
  <c r="D27" i="7" s="1"/>
  <c r="J27" i="7" s="1"/>
  <c r="M26" i="7"/>
  <c r="P26" i="7" s="1"/>
  <c r="C27" i="7" s="1"/>
  <c r="I27" i="7" s="1"/>
  <c r="L26" i="7"/>
  <c r="O26" i="7" s="1"/>
  <c r="B27" i="7" s="1"/>
  <c r="H27" i="7" s="1"/>
  <c r="N19" i="6"/>
  <c r="Q19" i="6" s="1"/>
  <c r="D20" i="6" s="1"/>
  <c r="J20" i="6" s="1"/>
  <c r="L19" i="6"/>
  <c r="O19" i="6" s="1"/>
  <c r="B20" i="6" s="1"/>
  <c r="H20" i="6" s="1"/>
  <c r="M19" i="6"/>
  <c r="K27" i="8" l="1"/>
  <c r="K27" i="7"/>
  <c r="P19" i="6"/>
  <c r="C20" i="6" s="1"/>
  <c r="I20" i="6" s="1"/>
  <c r="N27" i="8" l="1"/>
  <c r="Q27" i="8" s="1"/>
  <c r="D28" i="8" s="1"/>
  <c r="J28" i="8" s="1"/>
  <c r="L27" i="8"/>
  <c r="O27" i="8" s="1"/>
  <c r="B28" i="8" s="1"/>
  <c r="H28" i="8" s="1"/>
  <c r="M27" i="8"/>
  <c r="P27" i="8" s="1"/>
  <c r="C28" i="8" s="1"/>
  <c r="I28" i="8" s="1"/>
  <c r="M27" i="7"/>
  <c r="P27" i="7" s="1"/>
  <c r="C28" i="7" s="1"/>
  <c r="I28" i="7" s="1"/>
  <c r="L27" i="7"/>
  <c r="O27" i="7" s="1"/>
  <c r="B28" i="7" s="1"/>
  <c r="H28" i="7" s="1"/>
  <c r="N27" i="7"/>
  <c r="Q27" i="7" s="1"/>
  <c r="D28" i="7" s="1"/>
  <c r="J28" i="7" s="1"/>
  <c r="K20" i="6"/>
  <c r="K28" i="8" l="1"/>
  <c r="K28" i="7"/>
  <c r="L20" i="6"/>
  <c r="O20" i="6" s="1"/>
  <c r="B21" i="6" s="1"/>
  <c r="H21" i="6" s="1"/>
  <c r="N20" i="6"/>
  <c r="Q20" i="6" s="1"/>
  <c r="D21" i="6" s="1"/>
  <c r="J21" i="6" s="1"/>
  <c r="M20" i="6"/>
  <c r="M28" i="8" l="1"/>
  <c r="P28" i="8" s="1"/>
  <c r="C29" i="8" s="1"/>
  <c r="I29" i="8" s="1"/>
  <c r="N28" i="8"/>
  <c r="Q28" i="8" s="1"/>
  <c r="D29" i="8" s="1"/>
  <c r="J29" i="8" s="1"/>
  <c r="L28" i="8"/>
  <c r="O28" i="8" s="1"/>
  <c r="B29" i="8" s="1"/>
  <c r="H29" i="8" s="1"/>
  <c r="L28" i="7"/>
  <c r="O28" i="7" s="1"/>
  <c r="B29" i="7" s="1"/>
  <c r="H29" i="7" s="1"/>
  <c r="N28" i="7"/>
  <c r="Q28" i="7" s="1"/>
  <c r="D29" i="7" s="1"/>
  <c r="J29" i="7" s="1"/>
  <c r="M28" i="7"/>
  <c r="P28" i="7" s="1"/>
  <c r="C29" i="7" s="1"/>
  <c r="I29" i="7" s="1"/>
  <c r="P20" i="6"/>
  <c r="C21" i="6" s="1"/>
  <c r="I21" i="6" s="1"/>
  <c r="K29" i="8" l="1"/>
  <c r="K29" i="7"/>
  <c r="K21" i="6"/>
  <c r="L29" i="8" l="1"/>
  <c r="O29" i="8" s="1"/>
  <c r="B30" i="8" s="1"/>
  <c r="H30" i="8" s="1"/>
  <c r="N29" i="8"/>
  <c r="Q29" i="8" s="1"/>
  <c r="D30" i="8" s="1"/>
  <c r="J30" i="8" s="1"/>
  <c r="M29" i="8"/>
  <c r="P29" i="8" s="1"/>
  <c r="C30" i="8" s="1"/>
  <c r="I30" i="8" s="1"/>
  <c r="N29" i="7"/>
  <c r="Q29" i="7" s="1"/>
  <c r="D30" i="7" s="1"/>
  <c r="J30" i="7" s="1"/>
  <c r="M29" i="7"/>
  <c r="P29" i="7" s="1"/>
  <c r="C30" i="7" s="1"/>
  <c r="I30" i="7" s="1"/>
  <c r="L29" i="7"/>
  <c r="O29" i="7" s="1"/>
  <c r="B30" i="7" s="1"/>
  <c r="H30" i="7" s="1"/>
  <c r="N21" i="6"/>
  <c r="Q21" i="6" s="1"/>
  <c r="D22" i="6" s="1"/>
  <c r="J22" i="6" s="1"/>
  <c r="M21" i="6"/>
  <c r="L21" i="6"/>
  <c r="O21" i="6" s="1"/>
  <c r="B22" i="6" s="1"/>
  <c r="H22" i="6" s="1"/>
  <c r="K30" i="8" l="1"/>
  <c r="K30" i="7"/>
  <c r="P21" i="6"/>
  <c r="C22" i="6" s="1"/>
  <c r="I22" i="6" s="1"/>
  <c r="N30" i="8" l="1"/>
  <c r="Q30" i="8" s="1"/>
  <c r="D31" i="8" s="1"/>
  <c r="J31" i="8" s="1"/>
  <c r="L30" i="8"/>
  <c r="O30" i="8" s="1"/>
  <c r="B31" i="8" s="1"/>
  <c r="H31" i="8" s="1"/>
  <c r="M30" i="8"/>
  <c r="P30" i="8" s="1"/>
  <c r="C31" i="8" s="1"/>
  <c r="I31" i="8" s="1"/>
  <c r="L30" i="7"/>
  <c r="O30" i="7" s="1"/>
  <c r="B31" i="7" s="1"/>
  <c r="H31" i="7" s="1"/>
  <c r="N30" i="7"/>
  <c r="Q30" i="7" s="1"/>
  <c r="D31" i="7" s="1"/>
  <c r="J31" i="7" s="1"/>
  <c r="M30" i="7"/>
  <c r="P30" i="7" s="1"/>
  <c r="C31" i="7" s="1"/>
  <c r="I31" i="7" s="1"/>
  <c r="K22" i="6"/>
  <c r="K31" i="8" l="1"/>
  <c r="K31" i="7"/>
  <c r="N22" i="6"/>
  <c r="Q22" i="6" s="1"/>
  <c r="D23" i="6" s="1"/>
  <c r="J23" i="6" s="1"/>
  <c r="L22" i="6"/>
  <c r="O22" i="6" s="1"/>
  <c r="B23" i="6" s="1"/>
  <c r="H23" i="6" s="1"/>
  <c r="M22" i="6"/>
  <c r="N31" i="8" l="1"/>
  <c r="Q31" i="8" s="1"/>
  <c r="D32" i="8" s="1"/>
  <c r="J32" i="8" s="1"/>
  <c r="M31" i="8"/>
  <c r="P31" i="8" s="1"/>
  <c r="C32" i="8" s="1"/>
  <c r="I32" i="8" s="1"/>
  <c r="L31" i="8"/>
  <c r="O31" i="8" s="1"/>
  <c r="B32" i="8" s="1"/>
  <c r="H32" i="8" s="1"/>
  <c r="N31" i="7"/>
  <c r="Q31" i="7" s="1"/>
  <c r="D32" i="7" s="1"/>
  <c r="J32" i="7" s="1"/>
  <c r="M31" i="7"/>
  <c r="P31" i="7" s="1"/>
  <c r="C32" i="7" s="1"/>
  <c r="I32" i="7" s="1"/>
  <c r="L31" i="7"/>
  <c r="O31" i="7" s="1"/>
  <c r="B32" i="7" s="1"/>
  <c r="H32" i="7" s="1"/>
  <c r="P22" i="6"/>
  <c r="C23" i="6" s="1"/>
  <c r="I23" i="6" s="1"/>
  <c r="K32" i="8" l="1"/>
  <c r="K32" i="7"/>
  <c r="K23" i="6"/>
  <c r="N32" i="8" l="1"/>
  <c r="Q32" i="8" s="1"/>
  <c r="D33" i="8" s="1"/>
  <c r="J33" i="8" s="1"/>
  <c r="M32" i="8"/>
  <c r="P32" i="8" s="1"/>
  <c r="C33" i="8" s="1"/>
  <c r="I33" i="8" s="1"/>
  <c r="L32" i="8"/>
  <c r="O32" i="8" s="1"/>
  <c r="B33" i="8" s="1"/>
  <c r="H33" i="8" s="1"/>
  <c r="N32" i="7"/>
  <c r="Q32" i="7" s="1"/>
  <c r="D33" i="7" s="1"/>
  <c r="J33" i="7" s="1"/>
  <c r="M32" i="7"/>
  <c r="P32" i="7" s="1"/>
  <c r="C33" i="7" s="1"/>
  <c r="I33" i="7" s="1"/>
  <c r="L32" i="7"/>
  <c r="O32" i="7" s="1"/>
  <c r="B33" i="7" s="1"/>
  <c r="H33" i="7" s="1"/>
  <c r="N23" i="6"/>
  <c r="Q23" i="6" s="1"/>
  <c r="D24" i="6" s="1"/>
  <c r="J24" i="6" s="1"/>
  <c r="M23" i="6"/>
  <c r="L23" i="6"/>
  <c r="O23" i="6" s="1"/>
  <c r="B24" i="6" s="1"/>
  <c r="H24" i="6" s="1"/>
  <c r="K33" i="8" l="1"/>
  <c r="K33" i="7"/>
  <c r="P23" i="6"/>
  <c r="C24" i="6" s="1"/>
  <c r="I24" i="6" s="1"/>
  <c r="N33" i="8" l="1"/>
  <c r="Q33" i="8" s="1"/>
  <c r="D34" i="8" s="1"/>
  <c r="J34" i="8" s="1"/>
  <c r="M33" i="8"/>
  <c r="P33" i="8" s="1"/>
  <c r="C34" i="8" s="1"/>
  <c r="I34" i="8" s="1"/>
  <c r="L33" i="8"/>
  <c r="O33" i="8" s="1"/>
  <c r="B34" i="8" s="1"/>
  <c r="H34" i="8" s="1"/>
  <c r="N33" i="7"/>
  <c r="Q33" i="7" s="1"/>
  <c r="D34" i="7" s="1"/>
  <c r="J34" i="7" s="1"/>
  <c r="M33" i="7"/>
  <c r="P33" i="7" s="1"/>
  <c r="C34" i="7" s="1"/>
  <c r="I34" i="7" s="1"/>
  <c r="L33" i="7"/>
  <c r="O33" i="7" s="1"/>
  <c r="B34" i="7" s="1"/>
  <c r="H34" i="7" s="1"/>
  <c r="K24" i="6"/>
  <c r="K34" i="8" l="1"/>
  <c r="K34" i="7"/>
  <c r="N24" i="6"/>
  <c r="Q24" i="6" s="1"/>
  <c r="D25" i="6" s="1"/>
  <c r="J25" i="6" s="1"/>
  <c r="L24" i="6"/>
  <c r="O24" i="6" s="1"/>
  <c r="B25" i="6" s="1"/>
  <c r="H25" i="6" s="1"/>
  <c r="M24" i="6"/>
  <c r="M34" i="8" l="1"/>
  <c r="P34" i="8" s="1"/>
  <c r="C35" i="8" s="1"/>
  <c r="I35" i="8" s="1"/>
  <c r="L34" i="8"/>
  <c r="O34" i="8" s="1"/>
  <c r="B35" i="8" s="1"/>
  <c r="H35" i="8" s="1"/>
  <c r="N34" i="8"/>
  <c r="Q34" i="8" s="1"/>
  <c r="D35" i="8" s="1"/>
  <c r="J35" i="8" s="1"/>
  <c r="N34" i="7"/>
  <c r="Q34" i="7" s="1"/>
  <c r="D35" i="7" s="1"/>
  <c r="J35" i="7" s="1"/>
  <c r="M34" i="7"/>
  <c r="P34" i="7" s="1"/>
  <c r="C35" i="7" s="1"/>
  <c r="I35" i="7" s="1"/>
  <c r="L34" i="7"/>
  <c r="O34" i="7" s="1"/>
  <c r="B35" i="7" s="1"/>
  <c r="H35" i="7" s="1"/>
  <c r="P24" i="6"/>
  <c r="C25" i="6" s="1"/>
  <c r="I25" i="6" s="1"/>
  <c r="K35" i="8" l="1"/>
  <c r="K35" i="7"/>
  <c r="K25" i="6"/>
  <c r="L35" i="8" l="1"/>
  <c r="O35" i="8" s="1"/>
  <c r="B36" i="8" s="1"/>
  <c r="H36" i="8" s="1"/>
  <c r="N35" i="8"/>
  <c r="Q35" i="8" s="1"/>
  <c r="D36" i="8" s="1"/>
  <c r="J36" i="8" s="1"/>
  <c r="M35" i="8"/>
  <c r="P35" i="8" s="1"/>
  <c r="C36" i="8" s="1"/>
  <c r="I36" i="8" s="1"/>
  <c r="M35" i="7"/>
  <c r="P35" i="7" s="1"/>
  <c r="C36" i="7" s="1"/>
  <c r="I36" i="7" s="1"/>
  <c r="L35" i="7"/>
  <c r="O35" i="7" s="1"/>
  <c r="B36" i="7" s="1"/>
  <c r="H36" i="7" s="1"/>
  <c r="N35" i="7"/>
  <c r="Q35" i="7" s="1"/>
  <c r="D36" i="7" s="1"/>
  <c r="J36" i="7" s="1"/>
  <c r="N25" i="6"/>
  <c r="Q25" i="6" s="1"/>
  <c r="D26" i="6" s="1"/>
  <c r="J26" i="6" s="1"/>
  <c r="L25" i="6"/>
  <c r="O25" i="6" s="1"/>
  <c r="B26" i="6" s="1"/>
  <c r="H26" i="6" s="1"/>
  <c r="M25" i="6"/>
  <c r="K36" i="8" l="1"/>
  <c r="K36" i="7"/>
  <c r="P25" i="6"/>
  <c r="C26" i="6" s="1"/>
  <c r="I26" i="6" s="1"/>
  <c r="N36" i="8" l="1"/>
  <c r="Q36" i="8" s="1"/>
  <c r="D37" i="8" s="1"/>
  <c r="J37" i="8" s="1"/>
  <c r="L36" i="8"/>
  <c r="O36" i="8" s="1"/>
  <c r="B37" i="8" s="1"/>
  <c r="H37" i="8" s="1"/>
  <c r="M36" i="8"/>
  <c r="P36" i="8" s="1"/>
  <c r="C37" i="8" s="1"/>
  <c r="I37" i="8" s="1"/>
  <c r="N36" i="7"/>
  <c r="Q36" i="7" s="1"/>
  <c r="D37" i="7" s="1"/>
  <c r="J37" i="7" s="1"/>
  <c r="L36" i="7"/>
  <c r="O36" i="7" s="1"/>
  <c r="B37" i="7" s="1"/>
  <c r="H37" i="7" s="1"/>
  <c r="M36" i="7"/>
  <c r="P36" i="7" s="1"/>
  <c r="C37" i="7" s="1"/>
  <c r="I37" i="7" s="1"/>
  <c r="K26" i="6"/>
  <c r="K37" i="8" l="1"/>
  <c r="K37" i="7"/>
  <c r="M26" i="6"/>
  <c r="N26" i="6"/>
  <c r="Q26" i="6" s="1"/>
  <c r="D27" i="6" s="1"/>
  <c r="J27" i="6" s="1"/>
  <c r="L26" i="6"/>
  <c r="O26" i="6" s="1"/>
  <c r="B27" i="6" s="1"/>
  <c r="H27" i="6" s="1"/>
  <c r="N37" i="8" l="1"/>
  <c r="Q37" i="8" s="1"/>
  <c r="D38" i="8" s="1"/>
  <c r="J38" i="8" s="1"/>
  <c r="L37" i="8"/>
  <c r="O37" i="8" s="1"/>
  <c r="B38" i="8" s="1"/>
  <c r="H38" i="8" s="1"/>
  <c r="M37" i="8"/>
  <c r="P37" i="8" s="1"/>
  <c r="C38" i="8" s="1"/>
  <c r="I38" i="8" s="1"/>
  <c r="N37" i="7"/>
  <c r="Q37" i="7" s="1"/>
  <c r="D38" i="7" s="1"/>
  <c r="J38" i="7" s="1"/>
  <c r="M37" i="7"/>
  <c r="P37" i="7" s="1"/>
  <c r="C38" i="7" s="1"/>
  <c r="I38" i="7" s="1"/>
  <c r="L37" i="7"/>
  <c r="O37" i="7" s="1"/>
  <c r="B38" i="7" s="1"/>
  <c r="H38" i="7" s="1"/>
  <c r="P26" i="6"/>
  <c r="C27" i="6" s="1"/>
  <c r="I27" i="6" s="1"/>
  <c r="K38" i="8" l="1"/>
  <c r="K38" i="7"/>
  <c r="K27" i="6"/>
  <c r="N38" i="8" l="1"/>
  <c r="Q38" i="8" s="1"/>
  <c r="D39" i="8" s="1"/>
  <c r="J39" i="8" s="1"/>
  <c r="M38" i="8"/>
  <c r="P38" i="8" s="1"/>
  <c r="C39" i="8" s="1"/>
  <c r="I39" i="8" s="1"/>
  <c r="L38" i="8"/>
  <c r="O38" i="8" s="1"/>
  <c r="B39" i="8" s="1"/>
  <c r="H39" i="8" s="1"/>
  <c r="N38" i="7"/>
  <c r="Q38" i="7" s="1"/>
  <c r="D39" i="7" s="1"/>
  <c r="J39" i="7" s="1"/>
  <c r="M38" i="7"/>
  <c r="P38" i="7" s="1"/>
  <c r="C39" i="7" s="1"/>
  <c r="I39" i="7" s="1"/>
  <c r="L38" i="7"/>
  <c r="O38" i="7" s="1"/>
  <c r="B39" i="7" s="1"/>
  <c r="H39" i="7" s="1"/>
  <c r="M27" i="6"/>
  <c r="L27" i="6"/>
  <c r="O27" i="6" s="1"/>
  <c r="B28" i="6" s="1"/>
  <c r="H28" i="6" s="1"/>
  <c r="N27" i="6"/>
  <c r="Q27" i="6" s="1"/>
  <c r="D28" i="6" s="1"/>
  <c r="J28" i="6" s="1"/>
  <c r="K39" i="8" l="1"/>
  <c r="K39" i="7"/>
  <c r="P27" i="6"/>
  <c r="C28" i="6" s="1"/>
  <c r="I28" i="6" s="1"/>
  <c r="N39" i="8" l="1"/>
  <c r="Q39" i="8" s="1"/>
  <c r="D40" i="8" s="1"/>
  <c r="J40" i="8" s="1"/>
  <c r="L39" i="8"/>
  <c r="O39" i="8" s="1"/>
  <c r="B40" i="8" s="1"/>
  <c r="H40" i="8" s="1"/>
  <c r="M39" i="8"/>
  <c r="P39" i="8" s="1"/>
  <c r="C40" i="8" s="1"/>
  <c r="I40" i="8" s="1"/>
  <c r="M39" i="7"/>
  <c r="P39" i="7" s="1"/>
  <c r="C40" i="7" s="1"/>
  <c r="I40" i="7" s="1"/>
  <c r="L39" i="7"/>
  <c r="O39" i="7" s="1"/>
  <c r="B40" i="7" s="1"/>
  <c r="H40" i="7" s="1"/>
  <c r="N39" i="7"/>
  <c r="Q39" i="7" s="1"/>
  <c r="D40" i="7" s="1"/>
  <c r="J40" i="7" s="1"/>
  <c r="K28" i="6"/>
  <c r="K40" i="8" l="1"/>
  <c r="K40" i="7"/>
  <c r="N28" i="6"/>
  <c r="Q28" i="6" s="1"/>
  <c r="D29" i="6" s="1"/>
  <c r="J29" i="6" s="1"/>
  <c r="M28" i="6"/>
  <c r="L28" i="6"/>
  <c r="O28" i="6" s="1"/>
  <c r="B29" i="6" s="1"/>
  <c r="H29" i="6" s="1"/>
  <c r="M40" i="8" l="1"/>
  <c r="P40" i="8" s="1"/>
  <c r="C41" i="8" s="1"/>
  <c r="I41" i="8" s="1"/>
  <c r="L40" i="8"/>
  <c r="O40" i="8" s="1"/>
  <c r="B41" i="8" s="1"/>
  <c r="H41" i="8" s="1"/>
  <c r="N40" i="8"/>
  <c r="Q40" i="8" s="1"/>
  <c r="D41" i="8" s="1"/>
  <c r="J41" i="8" s="1"/>
  <c r="L40" i="7"/>
  <c r="O40" i="7" s="1"/>
  <c r="B41" i="7" s="1"/>
  <c r="H41" i="7" s="1"/>
  <c r="N40" i="7"/>
  <c r="Q40" i="7" s="1"/>
  <c r="D41" i="7" s="1"/>
  <c r="J41" i="7" s="1"/>
  <c r="M40" i="7"/>
  <c r="P40" i="7" s="1"/>
  <c r="C41" i="7" s="1"/>
  <c r="I41" i="7" s="1"/>
  <c r="P28" i="6"/>
  <c r="C29" i="6" s="1"/>
  <c r="I29" i="6" s="1"/>
  <c r="K41" i="8" l="1"/>
  <c r="K41" i="7"/>
  <c r="K29" i="6"/>
  <c r="L41" i="8" l="1"/>
  <c r="O41" i="8" s="1"/>
  <c r="B42" i="8" s="1"/>
  <c r="H42" i="8" s="1"/>
  <c r="M41" i="8"/>
  <c r="P41" i="8" s="1"/>
  <c r="C42" i="8" s="1"/>
  <c r="I42" i="8" s="1"/>
  <c r="N41" i="8"/>
  <c r="Q41" i="8" s="1"/>
  <c r="D42" i="8" s="1"/>
  <c r="J42" i="8" s="1"/>
  <c r="N41" i="7"/>
  <c r="Q41" i="7" s="1"/>
  <c r="D42" i="7" s="1"/>
  <c r="J42" i="7" s="1"/>
  <c r="M41" i="7"/>
  <c r="P41" i="7" s="1"/>
  <c r="C42" i="7" s="1"/>
  <c r="I42" i="7" s="1"/>
  <c r="L41" i="7"/>
  <c r="O41" i="7" s="1"/>
  <c r="B42" i="7" s="1"/>
  <c r="H42" i="7" s="1"/>
  <c r="N29" i="6"/>
  <c r="Q29" i="6" s="1"/>
  <c r="D30" i="6" s="1"/>
  <c r="J30" i="6" s="1"/>
  <c r="L29" i="6"/>
  <c r="O29" i="6" s="1"/>
  <c r="B30" i="6" s="1"/>
  <c r="H30" i="6" s="1"/>
  <c r="M29" i="6"/>
  <c r="K42" i="8" l="1"/>
  <c r="K42" i="7"/>
  <c r="P29" i="6"/>
  <c r="C30" i="6" s="1"/>
  <c r="I30" i="6" s="1"/>
  <c r="N42" i="8" l="1"/>
  <c r="Q42" i="8" s="1"/>
  <c r="D43" i="8" s="1"/>
  <c r="J43" i="8" s="1"/>
  <c r="M42" i="8"/>
  <c r="P42" i="8" s="1"/>
  <c r="C43" i="8" s="1"/>
  <c r="I43" i="8" s="1"/>
  <c r="L42" i="8"/>
  <c r="O42" i="8" s="1"/>
  <c r="B43" i="8" s="1"/>
  <c r="H43" i="8" s="1"/>
  <c r="N42" i="7"/>
  <c r="Q42" i="7" s="1"/>
  <c r="D43" i="7" s="1"/>
  <c r="J43" i="7" s="1"/>
  <c r="M42" i="7"/>
  <c r="P42" i="7" s="1"/>
  <c r="C43" i="7" s="1"/>
  <c r="I43" i="7" s="1"/>
  <c r="L42" i="7"/>
  <c r="O42" i="7" s="1"/>
  <c r="B43" i="7" s="1"/>
  <c r="H43" i="7" s="1"/>
  <c r="K30" i="6"/>
  <c r="K43" i="8" l="1"/>
  <c r="K43" i="7"/>
  <c r="M30" i="6"/>
  <c r="L30" i="6"/>
  <c r="O30" i="6" s="1"/>
  <c r="B31" i="6" s="1"/>
  <c r="H31" i="6" s="1"/>
  <c r="N30" i="6"/>
  <c r="Q30" i="6" s="1"/>
  <c r="D31" i="6" s="1"/>
  <c r="J31" i="6" s="1"/>
  <c r="N43" i="8" l="1"/>
  <c r="Q43" i="8" s="1"/>
  <c r="D44" i="8" s="1"/>
  <c r="J44" i="8" s="1"/>
  <c r="M43" i="8"/>
  <c r="P43" i="8" s="1"/>
  <c r="C44" i="8" s="1"/>
  <c r="I44" i="8" s="1"/>
  <c r="L43" i="8"/>
  <c r="O43" i="8" s="1"/>
  <c r="B44" i="8" s="1"/>
  <c r="H44" i="8" s="1"/>
  <c r="N43" i="7"/>
  <c r="Q43" i="7" s="1"/>
  <c r="D44" i="7" s="1"/>
  <c r="J44" i="7" s="1"/>
  <c r="M43" i="7"/>
  <c r="P43" i="7" s="1"/>
  <c r="C44" i="7" s="1"/>
  <c r="I44" i="7" s="1"/>
  <c r="L43" i="7"/>
  <c r="O43" i="7" s="1"/>
  <c r="B44" i="7" s="1"/>
  <c r="H44" i="7" s="1"/>
  <c r="P30" i="6"/>
  <c r="C31" i="6" s="1"/>
  <c r="I31" i="6" s="1"/>
  <c r="K44" i="8" l="1"/>
  <c r="K44" i="7"/>
  <c r="K31" i="6"/>
  <c r="N44" i="8" l="1"/>
  <c r="Q44" i="8" s="1"/>
  <c r="D45" i="8" s="1"/>
  <c r="J45" i="8" s="1"/>
  <c r="M44" i="8"/>
  <c r="P44" i="8" s="1"/>
  <c r="C45" i="8" s="1"/>
  <c r="I45" i="8" s="1"/>
  <c r="L44" i="8"/>
  <c r="O44" i="8" s="1"/>
  <c r="B45" i="8" s="1"/>
  <c r="H45" i="8" s="1"/>
  <c r="N44" i="7"/>
  <c r="Q44" i="7" s="1"/>
  <c r="D45" i="7" s="1"/>
  <c r="J45" i="7" s="1"/>
  <c r="M44" i="7"/>
  <c r="P44" i="7" s="1"/>
  <c r="C45" i="7" s="1"/>
  <c r="I45" i="7" s="1"/>
  <c r="L44" i="7"/>
  <c r="O44" i="7" s="1"/>
  <c r="B45" i="7" s="1"/>
  <c r="H45" i="7" s="1"/>
  <c r="L31" i="6"/>
  <c r="O31" i="6" s="1"/>
  <c r="B32" i="6" s="1"/>
  <c r="H32" i="6" s="1"/>
  <c r="M31" i="6"/>
  <c r="N31" i="6"/>
  <c r="Q31" i="6" s="1"/>
  <c r="D32" i="6" s="1"/>
  <c r="J32" i="6" s="1"/>
  <c r="K45" i="8" l="1"/>
  <c r="K45" i="7"/>
  <c r="P31" i="6"/>
  <c r="C32" i="6" s="1"/>
  <c r="I32" i="6" s="1"/>
  <c r="N45" i="8" l="1"/>
  <c r="Q45" i="8" s="1"/>
  <c r="D46" i="8" s="1"/>
  <c r="J46" i="8" s="1"/>
  <c r="M45" i="8"/>
  <c r="P45" i="8" s="1"/>
  <c r="C46" i="8" s="1"/>
  <c r="I46" i="8" s="1"/>
  <c r="L45" i="8"/>
  <c r="O45" i="8" s="1"/>
  <c r="B46" i="8" s="1"/>
  <c r="H46" i="8" s="1"/>
  <c r="N45" i="7"/>
  <c r="Q45" i="7" s="1"/>
  <c r="D46" i="7" s="1"/>
  <c r="J46" i="7" s="1"/>
  <c r="M45" i="7"/>
  <c r="P45" i="7" s="1"/>
  <c r="C46" i="7" s="1"/>
  <c r="I46" i="7" s="1"/>
  <c r="L45" i="7"/>
  <c r="O45" i="7" s="1"/>
  <c r="B46" i="7" s="1"/>
  <c r="H46" i="7" s="1"/>
  <c r="K32" i="6"/>
  <c r="K46" i="8" l="1"/>
  <c r="K46" i="7"/>
  <c r="L32" i="6"/>
  <c r="O32" i="6" s="1"/>
  <c r="B33" i="6" s="1"/>
  <c r="H33" i="6" s="1"/>
  <c r="N32" i="6"/>
  <c r="Q32" i="6" s="1"/>
  <c r="D33" i="6" s="1"/>
  <c r="J33" i="6" s="1"/>
  <c r="M32" i="6"/>
  <c r="M46" i="8" l="1"/>
  <c r="P46" i="8" s="1"/>
  <c r="C47" i="8" s="1"/>
  <c r="I47" i="8" s="1"/>
  <c r="L46" i="8"/>
  <c r="O46" i="8" s="1"/>
  <c r="B47" i="8" s="1"/>
  <c r="H47" i="8" s="1"/>
  <c r="N46" i="8"/>
  <c r="Q46" i="8" s="1"/>
  <c r="D47" i="8" s="1"/>
  <c r="J47" i="8" s="1"/>
  <c r="N46" i="7"/>
  <c r="Q46" i="7" s="1"/>
  <c r="D47" i="7" s="1"/>
  <c r="J47" i="7" s="1"/>
  <c r="M46" i="7"/>
  <c r="P46" i="7" s="1"/>
  <c r="C47" i="7" s="1"/>
  <c r="I47" i="7" s="1"/>
  <c r="L46" i="7"/>
  <c r="O46" i="7" s="1"/>
  <c r="B47" i="7" s="1"/>
  <c r="H47" i="7" s="1"/>
  <c r="P32" i="6"/>
  <c r="C33" i="6" s="1"/>
  <c r="I33" i="6" s="1"/>
  <c r="K47" i="8" l="1"/>
  <c r="K47" i="7"/>
  <c r="K33" i="6"/>
  <c r="L47" i="8" l="1"/>
  <c r="O47" i="8" s="1"/>
  <c r="B48" i="8" s="1"/>
  <c r="H48" i="8" s="1"/>
  <c r="M47" i="8"/>
  <c r="P47" i="8" s="1"/>
  <c r="C48" i="8" s="1"/>
  <c r="I48" i="8" s="1"/>
  <c r="N47" i="8"/>
  <c r="Q47" i="8" s="1"/>
  <c r="D48" i="8" s="1"/>
  <c r="J48" i="8" s="1"/>
  <c r="M47" i="7"/>
  <c r="P47" i="7" s="1"/>
  <c r="C48" i="7" s="1"/>
  <c r="I48" i="7" s="1"/>
  <c r="L47" i="7"/>
  <c r="O47" i="7" s="1"/>
  <c r="B48" i="7" s="1"/>
  <c r="H48" i="7" s="1"/>
  <c r="N47" i="7"/>
  <c r="Q47" i="7" s="1"/>
  <c r="D48" i="7" s="1"/>
  <c r="J48" i="7" s="1"/>
  <c r="M33" i="6"/>
  <c r="L33" i="6"/>
  <c r="O33" i="6" s="1"/>
  <c r="B34" i="6" s="1"/>
  <c r="H34" i="6" s="1"/>
  <c r="N33" i="6"/>
  <c r="Q33" i="6" s="1"/>
  <c r="D34" i="6" s="1"/>
  <c r="J34" i="6" s="1"/>
  <c r="K48" i="8" l="1"/>
  <c r="K48" i="7"/>
  <c r="P33" i="6"/>
  <c r="C34" i="6" s="1"/>
  <c r="I34" i="6" s="1"/>
  <c r="L48" i="8" l="1"/>
  <c r="O48" i="8" s="1"/>
  <c r="B49" i="8" s="1"/>
  <c r="H49" i="8" s="1"/>
  <c r="N48" i="8"/>
  <c r="Q48" i="8" s="1"/>
  <c r="D49" i="8" s="1"/>
  <c r="J49" i="8" s="1"/>
  <c r="M48" i="8"/>
  <c r="P48" i="8" s="1"/>
  <c r="C49" i="8" s="1"/>
  <c r="I49" i="8" s="1"/>
  <c r="N48" i="7"/>
  <c r="Q48" i="7" s="1"/>
  <c r="D49" i="7" s="1"/>
  <c r="J49" i="7" s="1"/>
  <c r="L48" i="7"/>
  <c r="O48" i="7" s="1"/>
  <c r="B49" i="7" s="1"/>
  <c r="H49" i="7" s="1"/>
  <c r="M48" i="7"/>
  <c r="P48" i="7" s="1"/>
  <c r="C49" i="7" s="1"/>
  <c r="I49" i="7" s="1"/>
  <c r="K34" i="6"/>
  <c r="K49" i="8" l="1"/>
  <c r="K49" i="7"/>
  <c r="M34" i="6"/>
  <c r="N34" i="6"/>
  <c r="Q34" i="6" s="1"/>
  <c r="D35" i="6" s="1"/>
  <c r="J35" i="6" s="1"/>
  <c r="L34" i="6"/>
  <c r="O34" i="6" s="1"/>
  <c r="B35" i="6" s="1"/>
  <c r="H35" i="6" s="1"/>
  <c r="N49" i="8" l="1"/>
  <c r="Q49" i="8" s="1"/>
  <c r="D50" i="8" s="1"/>
  <c r="J50" i="8" s="1"/>
  <c r="M49" i="8"/>
  <c r="P49" i="8" s="1"/>
  <c r="C50" i="8" s="1"/>
  <c r="I50" i="8" s="1"/>
  <c r="L49" i="8"/>
  <c r="O49" i="8" s="1"/>
  <c r="B50" i="8" s="1"/>
  <c r="H50" i="8" s="1"/>
  <c r="N49" i="7"/>
  <c r="Q49" i="7" s="1"/>
  <c r="D50" i="7" s="1"/>
  <c r="J50" i="7" s="1"/>
  <c r="M49" i="7"/>
  <c r="P49" i="7" s="1"/>
  <c r="C50" i="7" s="1"/>
  <c r="I50" i="7" s="1"/>
  <c r="L49" i="7"/>
  <c r="O49" i="7" s="1"/>
  <c r="B50" i="7" s="1"/>
  <c r="H50" i="7" s="1"/>
  <c r="P34" i="6"/>
  <c r="C35" i="6" s="1"/>
  <c r="I35" i="6" s="1"/>
  <c r="K50" i="8" l="1"/>
  <c r="K50" i="7"/>
  <c r="K35" i="6"/>
  <c r="N50" i="8" l="1"/>
  <c r="Q50" i="8" s="1"/>
  <c r="D51" i="8" s="1"/>
  <c r="J51" i="8" s="1"/>
  <c r="M50" i="8"/>
  <c r="P50" i="8" s="1"/>
  <c r="C51" i="8" s="1"/>
  <c r="I51" i="8" s="1"/>
  <c r="L50" i="8"/>
  <c r="O50" i="8" s="1"/>
  <c r="B51" i="8" s="1"/>
  <c r="H51" i="8" s="1"/>
  <c r="N50" i="7"/>
  <c r="Q50" i="7" s="1"/>
  <c r="D51" i="7" s="1"/>
  <c r="J51" i="7" s="1"/>
  <c r="M50" i="7"/>
  <c r="P50" i="7" s="1"/>
  <c r="C51" i="7" s="1"/>
  <c r="I51" i="7" s="1"/>
  <c r="L50" i="7"/>
  <c r="O50" i="7" s="1"/>
  <c r="B51" i="7" s="1"/>
  <c r="H51" i="7" s="1"/>
  <c r="M35" i="6"/>
  <c r="L35" i="6"/>
  <c r="O35" i="6" s="1"/>
  <c r="B36" i="6" s="1"/>
  <c r="H36" i="6" s="1"/>
  <c r="N35" i="6"/>
  <c r="Q35" i="6" s="1"/>
  <c r="D36" i="6" s="1"/>
  <c r="J36" i="6" s="1"/>
  <c r="K51" i="8" l="1"/>
  <c r="K51" i="7"/>
  <c r="P35" i="6"/>
  <c r="C36" i="6" s="1"/>
  <c r="I36" i="6" s="1"/>
  <c r="N51" i="8" l="1"/>
  <c r="Q51" i="8" s="1"/>
  <c r="D52" i="8" s="1"/>
  <c r="J52" i="8" s="1"/>
  <c r="M51" i="8"/>
  <c r="P51" i="8" s="1"/>
  <c r="C52" i="8" s="1"/>
  <c r="I52" i="8" s="1"/>
  <c r="L51" i="8"/>
  <c r="O51" i="8" s="1"/>
  <c r="B52" i="8" s="1"/>
  <c r="H52" i="8" s="1"/>
  <c r="M51" i="7"/>
  <c r="P51" i="7" s="1"/>
  <c r="C52" i="7" s="1"/>
  <c r="I52" i="7" s="1"/>
  <c r="L51" i="7"/>
  <c r="O51" i="7" s="1"/>
  <c r="B52" i="7" s="1"/>
  <c r="H52" i="7" s="1"/>
  <c r="N51" i="7"/>
  <c r="Q51" i="7" s="1"/>
  <c r="D52" i="7" s="1"/>
  <c r="J52" i="7" s="1"/>
  <c r="K36" i="6"/>
  <c r="K52" i="8" l="1"/>
  <c r="K52" i="7"/>
  <c r="L36" i="6"/>
  <c r="O36" i="6" s="1"/>
  <c r="B37" i="6" s="1"/>
  <c r="H37" i="6" s="1"/>
  <c r="N36" i="6"/>
  <c r="Q36" i="6" s="1"/>
  <c r="D37" i="6" s="1"/>
  <c r="J37" i="6" s="1"/>
  <c r="M36" i="6"/>
  <c r="M52" i="8" l="1"/>
  <c r="P52" i="8" s="1"/>
  <c r="C53" i="8" s="1"/>
  <c r="I53" i="8" s="1"/>
  <c r="L52" i="8"/>
  <c r="O52" i="8" s="1"/>
  <c r="B53" i="8" s="1"/>
  <c r="H53" i="8" s="1"/>
  <c r="N52" i="8"/>
  <c r="Q52" i="8" s="1"/>
  <c r="D53" i="8" s="1"/>
  <c r="J53" i="8" s="1"/>
  <c r="N52" i="7"/>
  <c r="Q52" i="7" s="1"/>
  <c r="D53" i="7" s="1"/>
  <c r="J53" i="7" s="1"/>
  <c r="M52" i="7"/>
  <c r="P52" i="7" s="1"/>
  <c r="C53" i="7" s="1"/>
  <c r="I53" i="7" s="1"/>
  <c r="L52" i="7"/>
  <c r="O52" i="7" s="1"/>
  <c r="B53" i="7" s="1"/>
  <c r="H53" i="7" s="1"/>
  <c r="P36" i="6"/>
  <c r="C37" i="6" s="1"/>
  <c r="I37" i="6" s="1"/>
  <c r="K53" i="8" l="1"/>
  <c r="K53" i="7"/>
  <c r="K37" i="6"/>
  <c r="L53" i="8" l="1"/>
  <c r="O53" i="8" s="1"/>
  <c r="B54" i="8" s="1"/>
  <c r="H54" i="8" s="1"/>
  <c r="N53" i="8"/>
  <c r="Q53" i="8" s="1"/>
  <c r="D54" i="8" s="1"/>
  <c r="J54" i="8" s="1"/>
  <c r="M53" i="8"/>
  <c r="P53" i="8" s="1"/>
  <c r="C54" i="8" s="1"/>
  <c r="I54" i="8" s="1"/>
  <c r="N53" i="7"/>
  <c r="Q53" i="7" s="1"/>
  <c r="D54" i="7" s="1"/>
  <c r="J54" i="7" s="1"/>
  <c r="M53" i="7"/>
  <c r="P53" i="7" s="1"/>
  <c r="C54" i="7" s="1"/>
  <c r="I54" i="7" s="1"/>
  <c r="L53" i="7"/>
  <c r="O53" i="7" s="1"/>
  <c r="B54" i="7" s="1"/>
  <c r="H54" i="7" s="1"/>
  <c r="L37" i="6"/>
  <c r="O37" i="6" s="1"/>
  <c r="B38" i="6" s="1"/>
  <c r="H38" i="6" s="1"/>
  <c r="N37" i="6"/>
  <c r="Q37" i="6" s="1"/>
  <c r="D38" i="6" s="1"/>
  <c r="J38" i="6" s="1"/>
  <c r="M37" i="6"/>
  <c r="K54" i="8" l="1"/>
  <c r="K54" i="7"/>
  <c r="P37" i="6"/>
  <c r="C38" i="6" s="1"/>
  <c r="I38" i="6" s="1"/>
  <c r="N54" i="8" l="1"/>
  <c r="Q54" i="8" s="1"/>
  <c r="D55" i="8" s="1"/>
  <c r="J55" i="8" s="1"/>
  <c r="M54" i="8"/>
  <c r="P54" i="8" s="1"/>
  <c r="C55" i="8" s="1"/>
  <c r="I55" i="8" s="1"/>
  <c r="L54" i="8"/>
  <c r="O54" i="8" s="1"/>
  <c r="B55" i="8" s="1"/>
  <c r="H55" i="8" s="1"/>
  <c r="N54" i="7"/>
  <c r="Q54" i="7" s="1"/>
  <c r="D55" i="7" s="1"/>
  <c r="J55" i="7" s="1"/>
  <c r="L54" i="7"/>
  <c r="O54" i="7" s="1"/>
  <c r="B55" i="7" s="1"/>
  <c r="H55" i="7" s="1"/>
  <c r="M54" i="7"/>
  <c r="P54" i="7" s="1"/>
  <c r="C55" i="7" s="1"/>
  <c r="I55" i="7" s="1"/>
  <c r="K38" i="6"/>
  <c r="K55" i="8" l="1"/>
  <c r="K55" i="7"/>
  <c r="M38" i="6"/>
  <c r="N38" i="6"/>
  <c r="Q38" i="6" s="1"/>
  <c r="D39" i="6" s="1"/>
  <c r="J39" i="6" s="1"/>
  <c r="L38" i="6"/>
  <c r="O38" i="6" s="1"/>
  <c r="B39" i="6" s="1"/>
  <c r="H39" i="6" s="1"/>
  <c r="N55" i="8" l="1"/>
  <c r="Q55" i="8" s="1"/>
  <c r="D56" i="8" s="1"/>
  <c r="J56" i="8" s="1"/>
  <c r="M55" i="8"/>
  <c r="P55" i="8" s="1"/>
  <c r="C56" i="8" s="1"/>
  <c r="I56" i="8" s="1"/>
  <c r="L55" i="8"/>
  <c r="O55" i="8" s="1"/>
  <c r="B56" i="8" s="1"/>
  <c r="H56" i="8" s="1"/>
  <c r="M55" i="7"/>
  <c r="P55" i="7" s="1"/>
  <c r="C56" i="7" s="1"/>
  <c r="I56" i="7" s="1"/>
  <c r="L55" i="7"/>
  <c r="O55" i="7" s="1"/>
  <c r="B56" i="7" s="1"/>
  <c r="H56" i="7" s="1"/>
  <c r="N55" i="7"/>
  <c r="Q55" i="7" s="1"/>
  <c r="D56" i="7" s="1"/>
  <c r="J56" i="7" s="1"/>
  <c r="P38" i="6"/>
  <c r="C39" i="6" s="1"/>
  <c r="I39" i="6" s="1"/>
  <c r="K56" i="8" l="1"/>
  <c r="K56" i="7"/>
  <c r="K39" i="6"/>
  <c r="N56" i="8" l="1"/>
  <c r="Q56" i="8" s="1"/>
  <c r="D57" i="8" s="1"/>
  <c r="J57" i="8" s="1"/>
  <c r="M56" i="8"/>
  <c r="P56" i="8" s="1"/>
  <c r="C57" i="8" s="1"/>
  <c r="I57" i="8" s="1"/>
  <c r="L56" i="8"/>
  <c r="O56" i="8" s="1"/>
  <c r="B57" i="8" s="1"/>
  <c r="H57" i="8" s="1"/>
  <c r="N56" i="7"/>
  <c r="Q56" i="7" s="1"/>
  <c r="D57" i="7" s="1"/>
  <c r="J57" i="7" s="1"/>
  <c r="M56" i="7"/>
  <c r="P56" i="7" s="1"/>
  <c r="C57" i="7" s="1"/>
  <c r="I57" i="7" s="1"/>
  <c r="L56" i="7"/>
  <c r="O56" i="7" s="1"/>
  <c r="B57" i="7" s="1"/>
  <c r="H57" i="7" s="1"/>
  <c r="L39" i="6"/>
  <c r="O39" i="6" s="1"/>
  <c r="B40" i="6" s="1"/>
  <c r="H40" i="6" s="1"/>
  <c r="M39" i="6"/>
  <c r="N39" i="6"/>
  <c r="Q39" i="6" s="1"/>
  <c r="D40" i="6" s="1"/>
  <c r="J40" i="6" s="1"/>
  <c r="K57" i="8" l="1"/>
  <c r="K57" i="7"/>
  <c r="P39" i="6"/>
  <c r="C40" i="6" s="1"/>
  <c r="I40" i="6" s="1"/>
  <c r="N57" i="8" l="1"/>
  <c r="Q57" i="8" s="1"/>
  <c r="D58" i="8" s="1"/>
  <c r="J58" i="8" s="1"/>
  <c r="M57" i="8"/>
  <c r="P57" i="8" s="1"/>
  <c r="C58" i="8" s="1"/>
  <c r="I58" i="8" s="1"/>
  <c r="L57" i="8"/>
  <c r="O57" i="8" s="1"/>
  <c r="B58" i="8" s="1"/>
  <c r="H58" i="8" s="1"/>
  <c r="N57" i="7"/>
  <c r="Q57" i="7" s="1"/>
  <c r="D58" i="7" s="1"/>
  <c r="J58" i="7" s="1"/>
  <c r="M57" i="7"/>
  <c r="P57" i="7" s="1"/>
  <c r="C58" i="7" s="1"/>
  <c r="I58" i="7" s="1"/>
  <c r="L57" i="7"/>
  <c r="O57" i="7" s="1"/>
  <c r="B58" i="7" s="1"/>
  <c r="H58" i="7" s="1"/>
  <c r="K40" i="6"/>
  <c r="K58" i="8" l="1"/>
  <c r="K58" i="7"/>
  <c r="M40" i="6"/>
  <c r="N40" i="6"/>
  <c r="Q40" i="6" s="1"/>
  <c r="D41" i="6" s="1"/>
  <c r="J41" i="6" s="1"/>
  <c r="L40" i="6"/>
  <c r="O40" i="6" s="1"/>
  <c r="B41" i="6" s="1"/>
  <c r="H41" i="6" s="1"/>
  <c r="M58" i="8" l="1"/>
  <c r="P58" i="8" s="1"/>
  <c r="C59" i="8" s="1"/>
  <c r="I59" i="8" s="1"/>
  <c r="L58" i="8"/>
  <c r="O58" i="8" s="1"/>
  <c r="B59" i="8" s="1"/>
  <c r="H59" i="8" s="1"/>
  <c r="N58" i="8"/>
  <c r="Q58" i="8" s="1"/>
  <c r="D59" i="8" s="1"/>
  <c r="J59" i="8" s="1"/>
  <c r="N58" i="7"/>
  <c r="Q58" i="7" s="1"/>
  <c r="D59" i="7" s="1"/>
  <c r="J59" i="7" s="1"/>
  <c r="M58" i="7"/>
  <c r="P58" i="7" s="1"/>
  <c r="C59" i="7" s="1"/>
  <c r="I59" i="7" s="1"/>
  <c r="L58" i="7"/>
  <c r="O58" i="7" s="1"/>
  <c r="B59" i="7" s="1"/>
  <c r="H59" i="7" s="1"/>
  <c r="P40" i="6"/>
  <c r="C41" i="6" s="1"/>
  <c r="I41" i="6" s="1"/>
  <c r="K59" i="8" l="1"/>
  <c r="K59" i="7"/>
  <c r="K41" i="6"/>
  <c r="L59" i="8" l="1"/>
  <c r="O59" i="8" s="1"/>
  <c r="B60" i="8" s="1"/>
  <c r="H60" i="8" s="1"/>
  <c r="M59" i="8"/>
  <c r="P59" i="8" s="1"/>
  <c r="C60" i="8" s="1"/>
  <c r="I60" i="8" s="1"/>
  <c r="N59" i="8"/>
  <c r="Q59" i="8" s="1"/>
  <c r="D60" i="8" s="1"/>
  <c r="J60" i="8" s="1"/>
  <c r="N59" i="7"/>
  <c r="Q59" i="7" s="1"/>
  <c r="D60" i="7" s="1"/>
  <c r="J60" i="7" s="1"/>
  <c r="M59" i="7"/>
  <c r="P59" i="7" s="1"/>
  <c r="C60" i="7" s="1"/>
  <c r="I60" i="7" s="1"/>
  <c r="L59" i="7"/>
  <c r="O59" i="7" s="1"/>
  <c r="B60" i="7" s="1"/>
  <c r="H60" i="7" s="1"/>
  <c r="L41" i="6"/>
  <c r="O41" i="6" s="1"/>
  <c r="B42" i="6" s="1"/>
  <c r="H42" i="6" s="1"/>
  <c r="M41" i="6"/>
  <c r="N41" i="6"/>
  <c r="Q41" i="6" s="1"/>
  <c r="D42" i="6" s="1"/>
  <c r="J42" i="6" s="1"/>
  <c r="K60" i="8" l="1"/>
  <c r="K60" i="7"/>
  <c r="P41" i="6"/>
  <c r="C42" i="6" s="1"/>
  <c r="I42" i="6" s="1"/>
  <c r="L60" i="8" l="1"/>
  <c r="O60" i="8" s="1"/>
  <c r="B61" i="8" s="1"/>
  <c r="H61" i="8" s="1"/>
  <c r="N60" i="8"/>
  <c r="Q60" i="8" s="1"/>
  <c r="D61" i="8" s="1"/>
  <c r="J61" i="8" s="1"/>
  <c r="M60" i="8"/>
  <c r="P60" i="8" s="1"/>
  <c r="C61" i="8" s="1"/>
  <c r="I61" i="8" s="1"/>
  <c r="M60" i="7"/>
  <c r="P60" i="7" s="1"/>
  <c r="C61" i="7" s="1"/>
  <c r="I61" i="7" s="1"/>
  <c r="L60" i="7"/>
  <c r="O60" i="7" s="1"/>
  <c r="B61" i="7" s="1"/>
  <c r="H61" i="7" s="1"/>
  <c r="N60" i="7"/>
  <c r="Q60" i="7" s="1"/>
  <c r="D61" i="7" s="1"/>
  <c r="J61" i="7" s="1"/>
  <c r="K42" i="6"/>
  <c r="K61" i="8" l="1"/>
  <c r="K61" i="7"/>
  <c r="L42" i="6"/>
  <c r="O42" i="6" s="1"/>
  <c r="B43" i="6" s="1"/>
  <c r="H43" i="6" s="1"/>
  <c r="N42" i="6"/>
  <c r="Q42" i="6" s="1"/>
  <c r="D43" i="6" s="1"/>
  <c r="J43" i="6" s="1"/>
  <c r="M42" i="6"/>
  <c r="N61" i="8" l="1"/>
  <c r="Q61" i="8" s="1"/>
  <c r="D62" i="8" s="1"/>
  <c r="J62" i="8" s="1"/>
  <c r="M61" i="8"/>
  <c r="P61" i="8" s="1"/>
  <c r="C62" i="8" s="1"/>
  <c r="I62" i="8" s="1"/>
  <c r="L61" i="8"/>
  <c r="O61" i="8" s="1"/>
  <c r="B62" i="8" s="1"/>
  <c r="H62" i="8" s="1"/>
  <c r="N61" i="7"/>
  <c r="Q61" i="7" s="1"/>
  <c r="D62" i="7" s="1"/>
  <c r="J62" i="7" s="1"/>
  <c r="L61" i="7"/>
  <c r="O61" i="7" s="1"/>
  <c r="B62" i="7" s="1"/>
  <c r="H62" i="7" s="1"/>
  <c r="M61" i="7"/>
  <c r="P61" i="7" s="1"/>
  <c r="C62" i="7" s="1"/>
  <c r="I62" i="7" s="1"/>
  <c r="P42" i="6"/>
  <c r="C43" i="6" s="1"/>
  <c r="I43" i="6" s="1"/>
  <c r="K62" i="8" l="1"/>
  <c r="K62" i="7"/>
  <c r="K43" i="6"/>
  <c r="N62" i="8" l="1"/>
  <c r="Q62" i="8" s="1"/>
  <c r="D63" i="8" s="1"/>
  <c r="J63" i="8" s="1"/>
  <c r="M62" i="8"/>
  <c r="P62" i="8" s="1"/>
  <c r="C63" i="8" s="1"/>
  <c r="I63" i="8" s="1"/>
  <c r="L62" i="8"/>
  <c r="O62" i="8" s="1"/>
  <c r="B63" i="8" s="1"/>
  <c r="H63" i="8" s="1"/>
  <c r="M62" i="7"/>
  <c r="P62" i="7" s="1"/>
  <c r="C63" i="7" s="1"/>
  <c r="I63" i="7" s="1"/>
  <c r="N62" i="7"/>
  <c r="Q62" i="7" s="1"/>
  <c r="D63" i="7" s="1"/>
  <c r="J63" i="7" s="1"/>
  <c r="L62" i="7"/>
  <c r="O62" i="7" s="1"/>
  <c r="B63" i="7" s="1"/>
  <c r="H63" i="7" s="1"/>
  <c r="M43" i="6"/>
  <c r="L43" i="6"/>
  <c r="O43" i="6" s="1"/>
  <c r="B44" i="6" s="1"/>
  <c r="H44" i="6" s="1"/>
  <c r="N43" i="6"/>
  <c r="Q43" i="6" s="1"/>
  <c r="D44" i="6" s="1"/>
  <c r="J44" i="6" s="1"/>
  <c r="K63" i="8" l="1"/>
  <c r="K63" i="7"/>
  <c r="P43" i="6"/>
  <c r="C44" i="6" s="1"/>
  <c r="I44" i="6" s="1"/>
  <c r="N63" i="8" l="1"/>
  <c r="Q63" i="8" s="1"/>
  <c r="D64" i="8" s="1"/>
  <c r="J64" i="8" s="1"/>
  <c r="L63" i="8"/>
  <c r="O63" i="8" s="1"/>
  <c r="B64" i="8" s="1"/>
  <c r="H64" i="8" s="1"/>
  <c r="M63" i="8"/>
  <c r="P63" i="8" s="1"/>
  <c r="C64" i="8" s="1"/>
  <c r="I64" i="8" s="1"/>
  <c r="L63" i="7"/>
  <c r="O63" i="7" s="1"/>
  <c r="B64" i="7" s="1"/>
  <c r="H64" i="7" s="1"/>
  <c r="N63" i="7"/>
  <c r="Q63" i="7" s="1"/>
  <c r="D64" i="7" s="1"/>
  <c r="J64" i="7" s="1"/>
  <c r="M63" i="7"/>
  <c r="P63" i="7" s="1"/>
  <c r="C64" i="7" s="1"/>
  <c r="I64" i="7" s="1"/>
  <c r="K44" i="6"/>
  <c r="K64" i="8" l="1"/>
  <c r="K64" i="7"/>
  <c r="L44" i="6"/>
  <c r="O44" i="6" s="1"/>
  <c r="B45" i="6" s="1"/>
  <c r="H45" i="6" s="1"/>
  <c r="M44" i="6"/>
  <c r="N44" i="6"/>
  <c r="Q44" i="6" s="1"/>
  <c r="D45" i="6" s="1"/>
  <c r="J45" i="6" s="1"/>
  <c r="M64" i="8" l="1"/>
  <c r="P64" i="8" s="1"/>
  <c r="C65" i="8" s="1"/>
  <c r="I65" i="8" s="1"/>
  <c r="N64" i="8"/>
  <c r="Q64" i="8" s="1"/>
  <c r="D65" i="8" s="1"/>
  <c r="J65" i="8" s="1"/>
  <c r="L64" i="8"/>
  <c r="O64" i="8" s="1"/>
  <c r="B65" i="8" s="1"/>
  <c r="H65" i="8" s="1"/>
  <c r="N64" i="7"/>
  <c r="Q64" i="7" s="1"/>
  <c r="D65" i="7" s="1"/>
  <c r="J65" i="7" s="1"/>
  <c r="M64" i="7"/>
  <c r="P64" i="7" s="1"/>
  <c r="C65" i="7" s="1"/>
  <c r="I65" i="7" s="1"/>
  <c r="L64" i="7"/>
  <c r="O64" i="7" s="1"/>
  <c r="B65" i="7" s="1"/>
  <c r="H65" i="7" s="1"/>
  <c r="P44" i="6"/>
  <c r="C45" i="6" s="1"/>
  <c r="I45" i="6" s="1"/>
  <c r="K65" i="8" l="1"/>
  <c r="K65" i="7"/>
  <c r="K45" i="6"/>
  <c r="L65" i="8" l="1"/>
  <c r="O65" i="8" s="1"/>
  <c r="B66" i="8" s="1"/>
  <c r="H66" i="8" s="1"/>
  <c r="N65" i="8"/>
  <c r="Q65" i="8" s="1"/>
  <c r="D66" i="8" s="1"/>
  <c r="J66" i="8" s="1"/>
  <c r="M65" i="8"/>
  <c r="P65" i="8" s="1"/>
  <c r="C66" i="8" s="1"/>
  <c r="I66" i="8" s="1"/>
  <c r="M65" i="7"/>
  <c r="P65" i="7" s="1"/>
  <c r="C66" i="7" s="1"/>
  <c r="I66" i="7" s="1"/>
  <c r="L65" i="7"/>
  <c r="O65" i="7" s="1"/>
  <c r="B66" i="7" s="1"/>
  <c r="H66" i="7" s="1"/>
  <c r="N65" i="7"/>
  <c r="Q65" i="7" s="1"/>
  <c r="D66" i="7" s="1"/>
  <c r="J66" i="7" s="1"/>
  <c r="N45" i="6"/>
  <c r="Q45" i="6" s="1"/>
  <c r="D46" i="6" s="1"/>
  <c r="J46" i="6" s="1"/>
  <c r="L45" i="6"/>
  <c r="O45" i="6" s="1"/>
  <c r="B46" i="6" s="1"/>
  <c r="H46" i="6" s="1"/>
  <c r="M45" i="6"/>
  <c r="K66" i="8" l="1"/>
  <c r="K66" i="7"/>
  <c r="P45" i="6"/>
  <c r="C46" i="6" s="1"/>
  <c r="I46" i="6" s="1"/>
  <c r="N66" i="8" l="1"/>
  <c r="Q66" i="8" s="1"/>
  <c r="D67" i="8" s="1"/>
  <c r="J67" i="8" s="1"/>
  <c r="M66" i="8"/>
  <c r="P66" i="8" s="1"/>
  <c r="C67" i="8" s="1"/>
  <c r="I67" i="8" s="1"/>
  <c r="L66" i="8"/>
  <c r="O66" i="8" s="1"/>
  <c r="B67" i="8" s="1"/>
  <c r="H67" i="8" s="1"/>
  <c r="N66" i="7"/>
  <c r="Q66" i="7" s="1"/>
  <c r="D67" i="7" s="1"/>
  <c r="J67" i="7" s="1"/>
  <c r="M66" i="7"/>
  <c r="P66" i="7" s="1"/>
  <c r="C67" i="7" s="1"/>
  <c r="I67" i="7" s="1"/>
  <c r="L66" i="7"/>
  <c r="O66" i="7" s="1"/>
  <c r="B67" i="7" s="1"/>
  <c r="H67" i="7" s="1"/>
  <c r="K46" i="6"/>
  <c r="K67" i="8" l="1"/>
  <c r="K67" i="7"/>
  <c r="M46" i="6"/>
  <c r="N46" i="6"/>
  <c r="Q46" i="6" s="1"/>
  <c r="D47" i="6" s="1"/>
  <c r="J47" i="6" s="1"/>
  <c r="L46" i="6"/>
  <c r="N67" i="8" l="1"/>
  <c r="Q67" i="8" s="1"/>
  <c r="D68" i="8" s="1"/>
  <c r="J68" i="8" s="1"/>
  <c r="M67" i="8"/>
  <c r="P67" i="8" s="1"/>
  <c r="C68" i="8" s="1"/>
  <c r="I68" i="8" s="1"/>
  <c r="L67" i="8"/>
  <c r="O67" i="8" s="1"/>
  <c r="B68" i="8" s="1"/>
  <c r="H68" i="8" s="1"/>
  <c r="N67" i="7"/>
  <c r="Q67" i="7" s="1"/>
  <c r="D68" i="7" s="1"/>
  <c r="J68" i="7" s="1"/>
  <c r="L67" i="7"/>
  <c r="O67" i="7" s="1"/>
  <c r="B68" i="7" s="1"/>
  <c r="H68" i="7" s="1"/>
  <c r="M67" i="7"/>
  <c r="P67" i="7" s="1"/>
  <c r="C68" i="7" s="1"/>
  <c r="I68" i="7" s="1"/>
  <c r="O46" i="6"/>
  <c r="B47" i="6" s="1"/>
  <c r="H47" i="6" s="1"/>
  <c r="P46" i="6"/>
  <c r="C47" i="6" s="1"/>
  <c r="I47" i="6" s="1"/>
  <c r="K68" i="8" l="1"/>
  <c r="K68" i="7"/>
  <c r="K47" i="6"/>
  <c r="N68" i="8" l="1"/>
  <c r="Q68" i="8" s="1"/>
  <c r="D69" i="8" s="1"/>
  <c r="J69" i="8" s="1"/>
  <c r="M68" i="8"/>
  <c r="P68" i="8" s="1"/>
  <c r="C69" i="8" s="1"/>
  <c r="I69" i="8" s="1"/>
  <c r="L68" i="8"/>
  <c r="O68" i="8" s="1"/>
  <c r="B69" i="8" s="1"/>
  <c r="H69" i="8" s="1"/>
  <c r="N68" i="7"/>
  <c r="Q68" i="7" s="1"/>
  <c r="D69" i="7" s="1"/>
  <c r="J69" i="7" s="1"/>
  <c r="M68" i="7"/>
  <c r="P68" i="7" s="1"/>
  <c r="C69" i="7" s="1"/>
  <c r="I69" i="7" s="1"/>
  <c r="L68" i="7"/>
  <c r="O68" i="7" s="1"/>
  <c r="B69" i="7" s="1"/>
  <c r="H69" i="7" s="1"/>
  <c r="N47" i="6"/>
  <c r="Q47" i="6" s="1"/>
  <c r="D48" i="6" s="1"/>
  <c r="J48" i="6" s="1"/>
  <c r="M47" i="6"/>
  <c r="L47" i="6"/>
  <c r="O47" i="6" s="1"/>
  <c r="B48" i="6" s="1"/>
  <c r="H48" i="6" s="1"/>
  <c r="K69" i="8" l="1"/>
  <c r="K69" i="7"/>
  <c r="P47" i="6"/>
  <c r="C48" i="6" s="1"/>
  <c r="I48" i="6" s="1"/>
  <c r="N69" i="8" l="1"/>
  <c r="Q69" i="8" s="1"/>
  <c r="D70" i="8" s="1"/>
  <c r="J70" i="8" s="1"/>
  <c r="M69" i="8"/>
  <c r="P69" i="8" s="1"/>
  <c r="C70" i="8" s="1"/>
  <c r="I70" i="8" s="1"/>
  <c r="L69" i="8"/>
  <c r="O69" i="8" s="1"/>
  <c r="B70" i="8" s="1"/>
  <c r="H70" i="8" s="1"/>
  <c r="N69" i="7"/>
  <c r="Q69" i="7" s="1"/>
  <c r="D70" i="7" s="1"/>
  <c r="J70" i="7" s="1"/>
  <c r="M69" i="7"/>
  <c r="P69" i="7" s="1"/>
  <c r="C70" i="7" s="1"/>
  <c r="I70" i="7" s="1"/>
  <c r="L69" i="7"/>
  <c r="O69" i="7" s="1"/>
  <c r="B70" i="7" s="1"/>
  <c r="H70" i="7" s="1"/>
  <c r="K48" i="6"/>
  <c r="K70" i="8" l="1"/>
  <c r="K70" i="7"/>
  <c r="N48" i="6"/>
  <c r="Q48" i="6" s="1"/>
  <c r="D49" i="6" s="1"/>
  <c r="J49" i="6" s="1"/>
  <c r="M48" i="6"/>
  <c r="L48" i="6"/>
  <c r="M70" i="8" l="1"/>
  <c r="P70" i="8" s="1"/>
  <c r="C71" i="8" s="1"/>
  <c r="I71" i="8" s="1"/>
  <c r="L70" i="8"/>
  <c r="O70" i="8" s="1"/>
  <c r="B71" i="8" s="1"/>
  <c r="H71" i="8" s="1"/>
  <c r="N70" i="8"/>
  <c r="Q70" i="8" s="1"/>
  <c r="D71" i="8" s="1"/>
  <c r="J71" i="8" s="1"/>
  <c r="N70" i="7"/>
  <c r="Q70" i="7" s="1"/>
  <c r="D71" i="7" s="1"/>
  <c r="J71" i="7" s="1"/>
  <c r="M70" i="7"/>
  <c r="P70" i="7" s="1"/>
  <c r="C71" i="7" s="1"/>
  <c r="I71" i="7" s="1"/>
  <c r="L70" i="7"/>
  <c r="O70" i="7" s="1"/>
  <c r="B71" i="7" s="1"/>
  <c r="H71" i="7" s="1"/>
  <c r="O48" i="6"/>
  <c r="B49" i="6" s="1"/>
  <c r="H49" i="6" s="1"/>
  <c r="P48" i="6"/>
  <c r="C49" i="6" s="1"/>
  <c r="I49" i="6" s="1"/>
  <c r="K71" i="8" l="1"/>
  <c r="K71" i="7"/>
  <c r="K49" i="6"/>
  <c r="L71" i="8" l="1"/>
  <c r="O71" i="8" s="1"/>
  <c r="B72" i="8" s="1"/>
  <c r="H72" i="8" s="1"/>
  <c r="N71" i="8"/>
  <c r="Q71" i="8" s="1"/>
  <c r="D72" i="8" s="1"/>
  <c r="J72" i="8" s="1"/>
  <c r="M71" i="8"/>
  <c r="P71" i="8" s="1"/>
  <c r="C72" i="8" s="1"/>
  <c r="I72" i="8" s="1"/>
  <c r="N71" i="7"/>
  <c r="Q71" i="7" s="1"/>
  <c r="D72" i="7" s="1"/>
  <c r="J72" i="7" s="1"/>
  <c r="M71" i="7"/>
  <c r="P71" i="7" s="1"/>
  <c r="C72" i="7" s="1"/>
  <c r="I72" i="7" s="1"/>
  <c r="L71" i="7"/>
  <c r="O71" i="7" s="1"/>
  <c r="B72" i="7" s="1"/>
  <c r="H72" i="7" s="1"/>
  <c r="M49" i="6"/>
  <c r="L49" i="6"/>
  <c r="N49" i="6"/>
  <c r="Q49" i="6" s="1"/>
  <c r="D50" i="6" s="1"/>
  <c r="J50" i="6" s="1"/>
  <c r="K72" i="8" l="1"/>
  <c r="K72" i="7"/>
  <c r="O49" i="6"/>
  <c r="B50" i="6" s="1"/>
  <c r="H50" i="6" s="1"/>
  <c r="P49" i="6"/>
  <c r="C50" i="6" s="1"/>
  <c r="I50" i="6" s="1"/>
  <c r="N72" i="8" l="1"/>
  <c r="Q72" i="8" s="1"/>
  <c r="D73" i="8" s="1"/>
  <c r="J73" i="8" s="1"/>
  <c r="L72" i="8"/>
  <c r="O72" i="8" s="1"/>
  <c r="B73" i="8" s="1"/>
  <c r="H73" i="8" s="1"/>
  <c r="M72" i="8"/>
  <c r="P72" i="8" s="1"/>
  <c r="C73" i="8" s="1"/>
  <c r="I73" i="8" s="1"/>
  <c r="N72" i="7"/>
  <c r="Q72" i="7" s="1"/>
  <c r="D73" i="7" s="1"/>
  <c r="J73" i="7" s="1"/>
  <c r="M72" i="7"/>
  <c r="P72" i="7" s="1"/>
  <c r="C73" i="7" s="1"/>
  <c r="I73" i="7" s="1"/>
  <c r="L72" i="7"/>
  <c r="O72" i="7" s="1"/>
  <c r="B73" i="7" s="1"/>
  <c r="H73" i="7" s="1"/>
  <c r="K50" i="6"/>
  <c r="K73" i="8" l="1"/>
  <c r="K73" i="7"/>
  <c r="L50" i="6"/>
  <c r="O50" i="6" s="1"/>
  <c r="B51" i="6" s="1"/>
  <c r="H51" i="6" s="1"/>
  <c r="N50" i="6"/>
  <c r="Q50" i="6" s="1"/>
  <c r="D51" i="6" s="1"/>
  <c r="J51" i="6" s="1"/>
  <c r="M50" i="6"/>
  <c r="N73" i="8" l="1"/>
  <c r="Q73" i="8" s="1"/>
  <c r="D74" i="8" s="1"/>
  <c r="J74" i="8" s="1"/>
  <c r="M73" i="8"/>
  <c r="P73" i="8" s="1"/>
  <c r="C74" i="8" s="1"/>
  <c r="I74" i="8" s="1"/>
  <c r="L73" i="8"/>
  <c r="O73" i="8" s="1"/>
  <c r="B74" i="8" s="1"/>
  <c r="H74" i="8" s="1"/>
  <c r="N73" i="7"/>
  <c r="Q73" i="7" s="1"/>
  <c r="D74" i="7" s="1"/>
  <c r="J74" i="7" s="1"/>
  <c r="M73" i="7"/>
  <c r="P73" i="7" s="1"/>
  <c r="C74" i="7" s="1"/>
  <c r="I74" i="7" s="1"/>
  <c r="L73" i="7"/>
  <c r="O73" i="7" s="1"/>
  <c r="B74" i="7" s="1"/>
  <c r="H74" i="7" s="1"/>
  <c r="P50" i="6"/>
  <c r="C51" i="6" s="1"/>
  <c r="I51" i="6" s="1"/>
  <c r="K74" i="8" l="1"/>
  <c r="K74" i="7"/>
  <c r="K51" i="6"/>
  <c r="N74" i="8" l="1"/>
  <c r="Q74" i="8" s="1"/>
  <c r="D75" i="8" s="1"/>
  <c r="J75" i="8" s="1"/>
  <c r="M74" i="8"/>
  <c r="P74" i="8" s="1"/>
  <c r="C75" i="8" s="1"/>
  <c r="I75" i="8" s="1"/>
  <c r="L74" i="8"/>
  <c r="O74" i="8" s="1"/>
  <c r="B75" i="8" s="1"/>
  <c r="H75" i="8" s="1"/>
  <c r="M74" i="7"/>
  <c r="P74" i="7" s="1"/>
  <c r="C75" i="7" s="1"/>
  <c r="I75" i="7" s="1"/>
  <c r="L74" i="7"/>
  <c r="O74" i="7" s="1"/>
  <c r="B75" i="7" s="1"/>
  <c r="H75" i="7" s="1"/>
  <c r="N74" i="7"/>
  <c r="Q74" i="7" s="1"/>
  <c r="D75" i="7" s="1"/>
  <c r="J75" i="7" s="1"/>
  <c r="L51" i="6"/>
  <c r="O51" i="6" s="1"/>
  <c r="B52" i="6" s="1"/>
  <c r="H52" i="6" s="1"/>
  <c r="N51" i="6"/>
  <c r="Q51" i="6" s="1"/>
  <c r="D52" i="6" s="1"/>
  <c r="J52" i="6" s="1"/>
  <c r="M51" i="6"/>
  <c r="K75" i="8" l="1"/>
  <c r="K75" i="7"/>
  <c r="P51" i="6"/>
  <c r="C52" i="6" s="1"/>
  <c r="I52" i="6" s="1"/>
  <c r="N75" i="8" l="1"/>
  <c r="Q75" i="8" s="1"/>
  <c r="D76" i="8" s="1"/>
  <c r="J76" i="8" s="1"/>
  <c r="L75" i="8"/>
  <c r="O75" i="8" s="1"/>
  <c r="B76" i="8" s="1"/>
  <c r="H76" i="8" s="1"/>
  <c r="M75" i="8"/>
  <c r="P75" i="8" s="1"/>
  <c r="C76" i="8" s="1"/>
  <c r="I76" i="8" s="1"/>
  <c r="L75" i="7"/>
  <c r="O75" i="7" s="1"/>
  <c r="B76" i="7" s="1"/>
  <c r="H76" i="7" s="1"/>
  <c r="N75" i="7"/>
  <c r="Q75" i="7" s="1"/>
  <c r="D76" i="7" s="1"/>
  <c r="J76" i="7" s="1"/>
  <c r="M75" i="7"/>
  <c r="P75" i="7" s="1"/>
  <c r="C76" i="7" s="1"/>
  <c r="I76" i="7" s="1"/>
  <c r="K52" i="6"/>
  <c r="K76" i="8" l="1"/>
  <c r="K76" i="7"/>
  <c r="M52" i="6"/>
  <c r="N52" i="6"/>
  <c r="Q52" i="6" s="1"/>
  <c r="D53" i="6" s="1"/>
  <c r="J53" i="6" s="1"/>
  <c r="L52" i="6"/>
  <c r="O52" i="6" s="1"/>
  <c r="B53" i="6" s="1"/>
  <c r="H53" i="6" s="1"/>
  <c r="M76" i="8" l="1"/>
  <c r="P76" i="8" s="1"/>
  <c r="C77" i="8" s="1"/>
  <c r="I77" i="8" s="1"/>
  <c r="L76" i="8"/>
  <c r="O76" i="8" s="1"/>
  <c r="B77" i="8" s="1"/>
  <c r="H77" i="8" s="1"/>
  <c r="N76" i="8"/>
  <c r="Q76" i="8" s="1"/>
  <c r="D77" i="8" s="1"/>
  <c r="J77" i="8" s="1"/>
  <c r="N76" i="7"/>
  <c r="Q76" i="7" s="1"/>
  <c r="D77" i="7" s="1"/>
  <c r="J77" i="7" s="1"/>
  <c r="M76" i="7"/>
  <c r="P76" i="7" s="1"/>
  <c r="C77" i="7" s="1"/>
  <c r="I77" i="7" s="1"/>
  <c r="L76" i="7"/>
  <c r="O76" i="7" s="1"/>
  <c r="B77" i="7" s="1"/>
  <c r="H77" i="7" s="1"/>
  <c r="P52" i="6"/>
  <c r="C53" i="6" s="1"/>
  <c r="I53" i="6" s="1"/>
  <c r="K77" i="8" l="1"/>
  <c r="K77" i="7"/>
  <c r="K53" i="6"/>
  <c r="N77" i="8" l="1"/>
  <c r="Q77" i="8" s="1"/>
  <c r="D78" i="8" s="1"/>
  <c r="J78" i="8" s="1"/>
  <c r="L77" i="8"/>
  <c r="O77" i="8" s="1"/>
  <c r="B78" i="8" s="1"/>
  <c r="H78" i="8" s="1"/>
  <c r="M77" i="8"/>
  <c r="P77" i="8" s="1"/>
  <c r="C78" i="8" s="1"/>
  <c r="I78" i="8" s="1"/>
  <c r="L77" i="7"/>
  <c r="O77" i="7" s="1"/>
  <c r="B78" i="7" s="1"/>
  <c r="H78" i="7" s="1"/>
  <c r="N77" i="7"/>
  <c r="Q77" i="7" s="1"/>
  <c r="D78" i="7" s="1"/>
  <c r="J78" i="7" s="1"/>
  <c r="M77" i="7"/>
  <c r="P77" i="7" s="1"/>
  <c r="C78" i="7" s="1"/>
  <c r="I78" i="7" s="1"/>
  <c r="N53" i="6"/>
  <c r="Q53" i="6" s="1"/>
  <c r="D54" i="6" s="1"/>
  <c r="J54" i="6" s="1"/>
  <c r="M53" i="6"/>
  <c r="L53" i="6"/>
  <c r="O53" i="6" s="1"/>
  <c r="B54" i="6" s="1"/>
  <c r="H54" i="6" s="1"/>
  <c r="K78" i="8" l="1"/>
  <c r="K78" i="7"/>
  <c r="P53" i="6"/>
  <c r="C54" i="6" s="1"/>
  <c r="I54" i="6" s="1"/>
  <c r="M78" i="8" l="1"/>
  <c r="P78" i="8" s="1"/>
  <c r="C79" i="8" s="1"/>
  <c r="I79" i="8" s="1"/>
  <c r="N78" i="8"/>
  <c r="Q78" i="8" s="1"/>
  <c r="D79" i="8" s="1"/>
  <c r="J79" i="8" s="1"/>
  <c r="L78" i="8"/>
  <c r="O78" i="8" s="1"/>
  <c r="B79" i="8" s="1"/>
  <c r="H79" i="8" s="1"/>
  <c r="N78" i="7"/>
  <c r="Q78" i="7" s="1"/>
  <c r="D79" i="7" s="1"/>
  <c r="J79" i="7" s="1"/>
  <c r="L78" i="7"/>
  <c r="O78" i="7" s="1"/>
  <c r="B79" i="7" s="1"/>
  <c r="H79" i="7" s="1"/>
  <c r="M78" i="7"/>
  <c r="P78" i="7" s="1"/>
  <c r="C79" i="7" s="1"/>
  <c r="I79" i="7" s="1"/>
  <c r="K54" i="6"/>
  <c r="K79" i="8" l="1"/>
  <c r="K79" i="7"/>
  <c r="M54" i="6"/>
  <c r="L54" i="6"/>
  <c r="O54" i="6" s="1"/>
  <c r="B55" i="6" s="1"/>
  <c r="H55" i="6" s="1"/>
  <c r="N54" i="6"/>
  <c r="Q54" i="6" s="1"/>
  <c r="D55" i="6" s="1"/>
  <c r="J55" i="6" s="1"/>
  <c r="N79" i="8" l="1"/>
  <c r="Q79" i="8" s="1"/>
  <c r="D80" i="8" s="1"/>
  <c r="J80" i="8" s="1"/>
  <c r="L79" i="8"/>
  <c r="O79" i="8" s="1"/>
  <c r="B80" i="8" s="1"/>
  <c r="H80" i="8" s="1"/>
  <c r="M79" i="8"/>
  <c r="P79" i="8" s="1"/>
  <c r="C80" i="8" s="1"/>
  <c r="I80" i="8" s="1"/>
  <c r="N79" i="7"/>
  <c r="Q79" i="7" s="1"/>
  <c r="D80" i="7" s="1"/>
  <c r="J80" i="7" s="1"/>
  <c r="M79" i="7"/>
  <c r="P79" i="7" s="1"/>
  <c r="C80" i="7" s="1"/>
  <c r="I80" i="7" s="1"/>
  <c r="L79" i="7"/>
  <c r="O79" i="7" s="1"/>
  <c r="B80" i="7" s="1"/>
  <c r="H80" i="7" s="1"/>
  <c r="P54" i="6"/>
  <c r="C55" i="6" s="1"/>
  <c r="I55" i="6" s="1"/>
  <c r="K80" i="8" l="1"/>
  <c r="K80" i="7"/>
  <c r="K55" i="6"/>
  <c r="N80" i="8" l="1"/>
  <c r="Q80" i="8" s="1"/>
  <c r="D81" i="8" s="1"/>
  <c r="J81" i="8" s="1"/>
  <c r="M80" i="8"/>
  <c r="P80" i="8" s="1"/>
  <c r="C81" i="8" s="1"/>
  <c r="I81" i="8" s="1"/>
  <c r="L80" i="8"/>
  <c r="O80" i="8" s="1"/>
  <c r="B81" i="8" s="1"/>
  <c r="H81" i="8" s="1"/>
  <c r="M80" i="7"/>
  <c r="P80" i="7" s="1"/>
  <c r="C81" i="7" s="1"/>
  <c r="I81" i="7" s="1"/>
  <c r="L80" i="7"/>
  <c r="O80" i="7" s="1"/>
  <c r="B81" i="7" s="1"/>
  <c r="H81" i="7" s="1"/>
  <c r="N80" i="7"/>
  <c r="Q80" i="7" s="1"/>
  <c r="D81" i="7" s="1"/>
  <c r="J81" i="7" s="1"/>
  <c r="L55" i="6"/>
  <c r="O55" i="6" s="1"/>
  <c r="B56" i="6" s="1"/>
  <c r="H56" i="6" s="1"/>
  <c r="M55" i="6"/>
  <c r="N55" i="6"/>
  <c r="Q55" i="6" s="1"/>
  <c r="D56" i="6" s="1"/>
  <c r="J56" i="6" s="1"/>
  <c r="K81" i="8" l="1"/>
  <c r="K81" i="7"/>
  <c r="P55" i="6"/>
  <c r="C56" i="6" s="1"/>
  <c r="I56" i="6" s="1"/>
  <c r="N81" i="8" l="1"/>
  <c r="Q81" i="8" s="1"/>
  <c r="D82" i="8" s="1"/>
  <c r="J82" i="8" s="1"/>
  <c r="M81" i="8"/>
  <c r="P81" i="8" s="1"/>
  <c r="C82" i="8" s="1"/>
  <c r="I82" i="8" s="1"/>
  <c r="L81" i="8"/>
  <c r="O81" i="8" s="1"/>
  <c r="B82" i="8" s="1"/>
  <c r="H82" i="8" s="1"/>
  <c r="L81" i="7"/>
  <c r="O81" i="7" s="1"/>
  <c r="B82" i="7" s="1"/>
  <c r="H82" i="7" s="1"/>
  <c r="M81" i="7"/>
  <c r="P81" i="7" s="1"/>
  <c r="C82" i="7" s="1"/>
  <c r="I82" i="7" s="1"/>
  <c r="N81" i="7"/>
  <c r="Q81" i="7" s="1"/>
  <c r="D82" i="7" s="1"/>
  <c r="J82" i="7" s="1"/>
  <c r="K56" i="6"/>
  <c r="K82" i="8" l="1"/>
  <c r="K82" i="7"/>
  <c r="M56" i="6"/>
  <c r="N56" i="6"/>
  <c r="Q56" i="6" s="1"/>
  <c r="D57" i="6" s="1"/>
  <c r="J57" i="6" s="1"/>
  <c r="L56" i="6"/>
  <c r="O56" i="6" s="1"/>
  <c r="B57" i="6" s="1"/>
  <c r="H57" i="6" s="1"/>
  <c r="M82" i="8" l="1"/>
  <c r="P82" i="8" s="1"/>
  <c r="C83" i="8" s="1"/>
  <c r="I83" i="8" s="1"/>
  <c r="L82" i="8"/>
  <c r="O82" i="8" s="1"/>
  <c r="B83" i="8" s="1"/>
  <c r="H83" i="8" s="1"/>
  <c r="N82" i="8"/>
  <c r="Q82" i="8" s="1"/>
  <c r="D83" i="8" s="1"/>
  <c r="J83" i="8" s="1"/>
  <c r="N82" i="7"/>
  <c r="Q82" i="7" s="1"/>
  <c r="D83" i="7" s="1"/>
  <c r="J83" i="7" s="1"/>
  <c r="M82" i="7"/>
  <c r="P82" i="7" s="1"/>
  <c r="C83" i="7" s="1"/>
  <c r="I83" i="7" s="1"/>
  <c r="L82" i="7"/>
  <c r="O82" i="7" s="1"/>
  <c r="B83" i="7" s="1"/>
  <c r="H83" i="7" s="1"/>
  <c r="P56" i="6"/>
  <c r="C57" i="6" s="1"/>
  <c r="I57" i="6" s="1"/>
  <c r="K83" i="8" l="1"/>
  <c r="K83" i="7"/>
  <c r="K57" i="6"/>
  <c r="N83" i="8" l="1"/>
  <c r="Q83" i="8" s="1"/>
  <c r="D84" i="8" s="1"/>
  <c r="J84" i="8" s="1"/>
  <c r="L83" i="8"/>
  <c r="O83" i="8" s="1"/>
  <c r="B84" i="8" s="1"/>
  <c r="H84" i="8" s="1"/>
  <c r="M83" i="8"/>
  <c r="P83" i="8" s="1"/>
  <c r="C84" i="8" s="1"/>
  <c r="I84" i="8" s="1"/>
  <c r="M83" i="7"/>
  <c r="P83" i="7" s="1"/>
  <c r="C84" i="7" s="1"/>
  <c r="I84" i="7" s="1"/>
  <c r="N83" i="7"/>
  <c r="Q83" i="7" s="1"/>
  <c r="D84" i="7" s="1"/>
  <c r="J84" i="7" s="1"/>
  <c r="L83" i="7"/>
  <c r="O83" i="7" s="1"/>
  <c r="B84" i="7" s="1"/>
  <c r="H84" i="7" s="1"/>
  <c r="N57" i="6"/>
  <c r="Q57" i="6" s="1"/>
  <c r="D58" i="6" s="1"/>
  <c r="J58" i="6" s="1"/>
  <c r="L57" i="6"/>
  <c r="O57" i="6" s="1"/>
  <c r="B58" i="6" s="1"/>
  <c r="H58" i="6" s="1"/>
  <c r="M57" i="6"/>
  <c r="K84" i="8" l="1"/>
  <c r="K84" i="7"/>
  <c r="P57" i="6"/>
  <c r="C58" i="6" s="1"/>
  <c r="I58" i="6" s="1"/>
  <c r="N84" i="8" l="1"/>
  <c r="Q84" i="8" s="1"/>
  <c r="D85" i="8" s="1"/>
  <c r="J85" i="8" s="1"/>
  <c r="M84" i="8"/>
  <c r="P84" i="8" s="1"/>
  <c r="C85" i="8" s="1"/>
  <c r="I85" i="8" s="1"/>
  <c r="L84" i="8"/>
  <c r="O84" i="8" s="1"/>
  <c r="B85" i="8" s="1"/>
  <c r="H85" i="8" s="1"/>
  <c r="L84" i="7"/>
  <c r="O84" i="7" s="1"/>
  <c r="B85" i="7" s="1"/>
  <c r="H85" i="7" s="1"/>
  <c r="N84" i="7"/>
  <c r="Q84" i="7" s="1"/>
  <c r="D85" i="7" s="1"/>
  <c r="J85" i="7" s="1"/>
  <c r="M84" i="7"/>
  <c r="P84" i="7" s="1"/>
  <c r="C85" i="7" s="1"/>
  <c r="I85" i="7" s="1"/>
  <c r="K58" i="6"/>
  <c r="K85" i="8" l="1"/>
  <c r="K85" i="7"/>
  <c r="M58" i="6"/>
  <c r="L58" i="6"/>
  <c r="O58" i="6" s="1"/>
  <c r="B59" i="6" s="1"/>
  <c r="H59" i="6" s="1"/>
  <c r="N58" i="6"/>
  <c r="Q58" i="6" s="1"/>
  <c r="D59" i="6" s="1"/>
  <c r="J59" i="6" s="1"/>
  <c r="N85" i="8" l="1"/>
  <c r="Q85" i="8" s="1"/>
  <c r="D86" i="8" s="1"/>
  <c r="J86" i="8" s="1"/>
  <c r="M85" i="8"/>
  <c r="P85" i="8" s="1"/>
  <c r="C86" i="8" s="1"/>
  <c r="I86" i="8" s="1"/>
  <c r="L85" i="8"/>
  <c r="O85" i="8" s="1"/>
  <c r="B86" i="8" s="1"/>
  <c r="H86" i="8" s="1"/>
  <c r="N85" i="7"/>
  <c r="Q85" i="7" s="1"/>
  <c r="D86" i="7" s="1"/>
  <c r="J86" i="7" s="1"/>
  <c r="M85" i="7"/>
  <c r="P85" i="7" s="1"/>
  <c r="C86" i="7" s="1"/>
  <c r="I86" i="7" s="1"/>
  <c r="L85" i="7"/>
  <c r="O85" i="7" s="1"/>
  <c r="B86" i="7" s="1"/>
  <c r="H86" i="7" s="1"/>
  <c r="P58" i="6"/>
  <c r="C59" i="6" s="1"/>
  <c r="I59" i="6" s="1"/>
  <c r="K86" i="8" l="1"/>
  <c r="K86" i="7"/>
  <c r="K59" i="6"/>
  <c r="M86" i="8" l="1"/>
  <c r="P86" i="8" s="1"/>
  <c r="C87" i="8" s="1"/>
  <c r="I87" i="8" s="1"/>
  <c r="L86" i="8"/>
  <c r="O86" i="8" s="1"/>
  <c r="B87" i="8" s="1"/>
  <c r="H87" i="8" s="1"/>
  <c r="N86" i="8"/>
  <c r="Q86" i="8" s="1"/>
  <c r="D87" i="8" s="1"/>
  <c r="J87" i="8" s="1"/>
  <c r="N86" i="7"/>
  <c r="Q86" i="7" s="1"/>
  <c r="D87" i="7" s="1"/>
  <c r="J87" i="7" s="1"/>
  <c r="M86" i="7"/>
  <c r="P86" i="7" s="1"/>
  <c r="C87" i="7" s="1"/>
  <c r="I87" i="7" s="1"/>
  <c r="L86" i="7"/>
  <c r="O86" i="7" s="1"/>
  <c r="B87" i="7" s="1"/>
  <c r="H87" i="7" s="1"/>
  <c r="L59" i="6"/>
  <c r="O59" i="6" s="1"/>
  <c r="B60" i="6" s="1"/>
  <c r="H60" i="6" s="1"/>
  <c r="M59" i="6"/>
  <c r="N59" i="6"/>
  <c r="Q59" i="6" s="1"/>
  <c r="D60" i="6" s="1"/>
  <c r="J60" i="6" s="1"/>
  <c r="K87" i="8" l="1"/>
  <c r="K87" i="7"/>
  <c r="P59" i="6"/>
  <c r="C60" i="6" s="1"/>
  <c r="I60" i="6" s="1"/>
  <c r="L87" i="8" l="1"/>
  <c r="O87" i="8" s="1"/>
  <c r="B88" i="8" s="1"/>
  <c r="H88" i="8" s="1"/>
  <c r="N87" i="8"/>
  <c r="Q87" i="8" s="1"/>
  <c r="D88" i="8" s="1"/>
  <c r="J88" i="8" s="1"/>
  <c r="M87" i="8"/>
  <c r="P87" i="8" s="1"/>
  <c r="C88" i="8" s="1"/>
  <c r="I88" i="8" s="1"/>
  <c r="N87" i="7"/>
  <c r="Q87" i="7" s="1"/>
  <c r="D88" i="7" s="1"/>
  <c r="J88" i="7" s="1"/>
  <c r="M87" i="7"/>
  <c r="P87" i="7" s="1"/>
  <c r="C88" i="7" s="1"/>
  <c r="I88" i="7" s="1"/>
  <c r="L87" i="7"/>
  <c r="O87" i="7" s="1"/>
  <c r="B88" i="7" s="1"/>
  <c r="H88" i="7" s="1"/>
  <c r="K60" i="6"/>
  <c r="K88" i="8" l="1"/>
  <c r="K88" i="7"/>
  <c r="M60" i="6"/>
  <c r="L60" i="6"/>
  <c r="O60" i="6" s="1"/>
  <c r="B61" i="6" s="1"/>
  <c r="H61" i="6" s="1"/>
  <c r="N60" i="6"/>
  <c r="Q60" i="6" s="1"/>
  <c r="D61" i="6" s="1"/>
  <c r="J61" i="6" s="1"/>
  <c r="L88" i="8" l="1"/>
  <c r="O88" i="8" s="1"/>
  <c r="B89" i="8" s="1"/>
  <c r="H89" i="8" s="1"/>
  <c r="M88" i="8"/>
  <c r="P88" i="8" s="1"/>
  <c r="C89" i="8" s="1"/>
  <c r="I89" i="8" s="1"/>
  <c r="N88" i="8"/>
  <c r="Q88" i="8" s="1"/>
  <c r="D89" i="8" s="1"/>
  <c r="J89" i="8" s="1"/>
  <c r="M88" i="7"/>
  <c r="P88" i="7" s="1"/>
  <c r="C89" i="7" s="1"/>
  <c r="I89" i="7" s="1"/>
  <c r="N88" i="7"/>
  <c r="Q88" i="7" s="1"/>
  <c r="D89" i="7" s="1"/>
  <c r="J89" i="7" s="1"/>
  <c r="L88" i="7"/>
  <c r="O88" i="7" s="1"/>
  <c r="B89" i="7" s="1"/>
  <c r="H89" i="7" s="1"/>
  <c r="P60" i="6"/>
  <c r="C61" i="6" s="1"/>
  <c r="I61" i="6" s="1"/>
  <c r="K89" i="8" l="1"/>
  <c r="K89" i="7"/>
  <c r="K61" i="6"/>
  <c r="N89" i="8" l="1"/>
  <c r="Q89" i="8" s="1"/>
  <c r="D90" i="8" s="1"/>
  <c r="J90" i="8" s="1"/>
  <c r="L89" i="8"/>
  <c r="O89" i="8" s="1"/>
  <c r="B90" i="8" s="1"/>
  <c r="H90" i="8" s="1"/>
  <c r="M89" i="8"/>
  <c r="P89" i="8" s="1"/>
  <c r="C90" i="8" s="1"/>
  <c r="I90" i="8" s="1"/>
  <c r="L89" i="7"/>
  <c r="O89" i="7" s="1"/>
  <c r="B90" i="7" s="1"/>
  <c r="H90" i="7" s="1"/>
  <c r="N89" i="7"/>
  <c r="Q89" i="7" s="1"/>
  <c r="D90" i="7" s="1"/>
  <c r="J90" i="7" s="1"/>
  <c r="M89" i="7"/>
  <c r="P89" i="7" s="1"/>
  <c r="C90" i="7" s="1"/>
  <c r="I90" i="7" s="1"/>
  <c r="N61" i="6"/>
  <c r="Q61" i="6" s="1"/>
  <c r="D62" i="6" s="1"/>
  <c r="J62" i="6" s="1"/>
  <c r="M61" i="6"/>
  <c r="L61" i="6"/>
  <c r="O61" i="6" s="1"/>
  <c r="B62" i="6" s="1"/>
  <c r="H62" i="6" s="1"/>
  <c r="K90" i="8" l="1"/>
  <c r="K90" i="7"/>
  <c r="P61" i="6"/>
  <c r="C62" i="6" s="1"/>
  <c r="I62" i="6" s="1"/>
  <c r="M90" i="8" l="1"/>
  <c r="P90" i="8" s="1"/>
  <c r="C91" i="8" s="1"/>
  <c r="I91" i="8" s="1"/>
  <c r="N90" i="8"/>
  <c r="Q90" i="8" s="1"/>
  <c r="D91" i="8" s="1"/>
  <c r="J91" i="8" s="1"/>
  <c r="L90" i="8"/>
  <c r="O90" i="8" s="1"/>
  <c r="B91" i="8" s="1"/>
  <c r="H91" i="8" s="1"/>
  <c r="N90" i="7"/>
  <c r="Q90" i="7" s="1"/>
  <c r="D91" i="7" s="1"/>
  <c r="J91" i="7" s="1"/>
  <c r="M90" i="7"/>
  <c r="P90" i="7" s="1"/>
  <c r="C91" i="7" s="1"/>
  <c r="I91" i="7" s="1"/>
  <c r="L90" i="7"/>
  <c r="O90" i="7" s="1"/>
  <c r="B91" i="7" s="1"/>
  <c r="H91" i="7" s="1"/>
  <c r="K62" i="6"/>
  <c r="K91" i="8" l="1"/>
  <c r="K91" i="7"/>
  <c r="L62" i="6"/>
  <c r="O62" i="6" s="1"/>
  <c r="B63" i="6" s="1"/>
  <c r="H63" i="6" s="1"/>
  <c r="M62" i="6"/>
  <c r="N62" i="6"/>
  <c r="Q62" i="6" s="1"/>
  <c r="D63" i="6" s="1"/>
  <c r="J63" i="6" s="1"/>
  <c r="N91" i="8" l="1"/>
  <c r="Q91" i="8" s="1"/>
  <c r="D92" i="8" s="1"/>
  <c r="J92" i="8" s="1"/>
  <c r="L91" i="8"/>
  <c r="O91" i="8" s="1"/>
  <c r="B92" i="8" s="1"/>
  <c r="H92" i="8" s="1"/>
  <c r="M91" i="8"/>
  <c r="P91" i="8" s="1"/>
  <c r="C92" i="8" s="1"/>
  <c r="I92" i="8" s="1"/>
  <c r="N91" i="7"/>
  <c r="Q91" i="7" s="1"/>
  <c r="D92" i="7" s="1"/>
  <c r="J92" i="7" s="1"/>
  <c r="M91" i="7"/>
  <c r="P91" i="7" s="1"/>
  <c r="C92" i="7" s="1"/>
  <c r="I92" i="7" s="1"/>
  <c r="L91" i="7"/>
  <c r="O91" i="7" s="1"/>
  <c r="B92" i="7" s="1"/>
  <c r="H92" i="7" s="1"/>
  <c r="P62" i="6"/>
  <c r="C63" i="6" s="1"/>
  <c r="I63" i="6" s="1"/>
  <c r="K92" i="8" l="1"/>
  <c r="K92" i="7"/>
  <c r="K63" i="6"/>
  <c r="N92" i="8" l="1"/>
  <c r="Q92" i="8" s="1"/>
  <c r="D93" i="8" s="1"/>
  <c r="J93" i="8" s="1"/>
  <c r="M92" i="8"/>
  <c r="P92" i="8" s="1"/>
  <c r="C93" i="8" s="1"/>
  <c r="I93" i="8" s="1"/>
  <c r="L92" i="8"/>
  <c r="O92" i="8" s="1"/>
  <c r="B93" i="8" s="1"/>
  <c r="H93" i="8" s="1"/>
  <c r="M92" i="7"/>
  <c r="P92" i="7" s="1"/>
  <c r="C93" i="7" s="1"/>
  <c r="I93" i="7" s="1"/>
  <c r="L92" i="7"/>
  <c r="O92" i="7" s="1"/>
  <c r="B93" i="7" s="1"/>
  <c r="H93" i="7" s="1"/>
  <c r="N92" i="7"/>
  <c r="Q92" i="7" s="1"/>
  <c r="D93" i="7" s="1"/>
  <c r="J93" i="7" s="1"/>
  <c r="N63" i="6"/>
  <c r="Q63" i="6" s="1"/>
  <c r="D64" i="6" s="1"/>
  <c r="J64" i="6" s="1"/>
  <c r="M63" i="6"/>
  <c r="L63" i="6"/>
  <c r="O63" i="6" s="1"/>
  <c r="B64" i="6" s="1"/>
  <c r="H64" i="6" s="1"/>
  <c r="K93" i="8" l="1"/>
  <c r="K93" i="7"/>
  <c r="P63" i="6"/>
  <c r="C64" i="6" s="1"/>
  <c r="I64" i="6" s="1"/>
  <c r="N93" i="8" l="1"/>
  <c r="Q93" i="8" s="1"/>
  <c r="D94" i="8" s="1"/>
  <c r="J94" i="8" s="1"/>
  <c r="M93" i="8"/>
  <c r="P93" i="8" s="1"/>
  <c r="C94" i="8" s="1"/>
  <c r="I94" i="8" s="1"/>
  <c r="L93" i="8"/>
  <c r="O93" i="8" s="1"/>
  <c r="B94" i="8" s="1"/>
  <c r="H94" i="8" s="1"/>
  <c r="L93" i="7"/>
  <c r="O93" i="7" s="1"/>
  <c r="B94" i="7" s="1"/>
  <c r="H94" i="7" s="1"/>
  <c r="N93" i="7"/>
  <c r="Q93" i="7" s="1"/>
  <c r="D94" i="7" s="1"/>
  <c r="J94" i="7" s="1"/>
  <c r="M93" i="7"/>
  <c r="P93" i="7" s="1"/>
  <c r="C94" i="7" s="1"/>
  <c r="I94" i="7" s="1"/>
  <c r="K64" i="6"/>
  <c r="K94" i="8" l="1"/>
  <c r="K94" i="7"/>
  <c r="L64" i="6"/>
  <c r="O64" i="6" s="1"/>
  <c r="B65" i="6" s="1"/>
  <c r="H65" i="6" s="1"/>
  <c r="M64" i="6"/>
  <c r="N64" i="6"/>
  <c r="Q64" i="6" s="1"/>
  <c r="D65" i="6" s="1"/>
  <c r="J65" i="6" s="1"/>
  <c r="N94" i="8" l="1"/>
  <c r="Q94" i="8" s="1"/>
  <c r="D95" i="8" s="1"/>
  <c r="J95" i="8" s="1"/>
  <c r="M94" i="8"/>
  <c r="P94" i="8" s="1"/>
  <c r="C95" i="8" s="1"/>
  <c r="I95" i="8" s="1"/>
  <c r="L94" i="8"/>
  <c r="O94" i="8" s="1"/>
  <c r="B95" i="8" s="1"/>
  <c r="H95" i="8" s="1"/>
  <c r="N94" i="7"/>
  <c r="Q94" i="7" s="1"/>
  <c r="D95" i="7" s="1"/>
  <c r="J95" i="7" s="1"/>
  <c r="M94" i="7"/>
  <c r="P94" i="7" s="1"/>
  <c r="C95" i="7" s="1"/>
  <c r="I95" i="7" s="1"/>
  <c r="L94" i="7"/>
  <c r="O94" i="7" s="1"/>
  <c r="B95" i="7" s="1"/>
  <c r="H95" i="7" s="1"/>
  <c r="P64" i="6"/>
  <c r="C65" i="6" s="1"/>
  <c r="I65" i="6" s="1"/>
  <c r="K95" i="8" l="1"/>
  <c r="K95" i="7"/>
  <c r="K65" i="6"/>
  <c r="N95" i="8" l="1"/>
  <c r="Q95" i="8" s="1"/>
  <c r="D96" i="8" s="1"/>
  <c r="J96" i="8" s="1"/>
  <c r="M95" i="8"/>
  <c r="P95" i="8" s="1"/>
  <c r="C96" i="8" s="1"/>
  <c r="I96" i="8" s="1"/>
  <c r="L95" i="8"/>
  <c r="O95" i="8" s="1"/>
  <c r="B96" i="8" s="1"/>
  <c r="H96" i="8" s="1"/>
  <c r="M95" i="7"/>
  <c r="P95" i="7" s="1"/>
  <c r="C96" i="7" s="1"/>
  <c r="I96" i="7" s="1"/>
  <c r="L95" i="7"/>
  <c r="O95" i="7" s="1"/>
  <c r="B96" i="7" s="1"/>
  <c r="H96" i="7" s="1"/>
  <c r="N95" i="7"/>
  <c r="Q95" i="7" s="1"/>
  <c r="D96" i="7" s="1"/>
  <c r="J96" i="7" s="1"/>
  <c r="L65" i="6"/>
  <c r="O65" i="6" s="1"/>
  <c r="B66" i="6" s="1"/>
  <c r="H66" i="6" s="1"/>
  <c r="M65" i="6"/>
  <c r="N65" i="6"/>
  <c r="Q65" i="6" s="1"/>
  <c r="D66" i="6" s="1"/>
  <c r="J66" i="6" s="1"/>
  <c r="K96" i="8" l="1"/>
  <c r="K96" i="7"/>
  <c r="P65" i="6"/>
  <c r="C66" i="6" s="1"/>
  <c r="I66" i="6" s="1"/>
  <c r="N96" i="8" l="1"/>
  <c r="Q96" i="8" s="1"/>
  <c r="D97" i="8" s="1"/>
  <c r="J97" i="8" s="1"/>
  <c r="M96" i="8"/>
  <c r="P96" i="8" s="1"/>
  <c r="C97" i="8" s="1"/>
  <c r="I97" i="8" s="1"/>
  <c r="L96" i="8"/>
  <c r="O96" i="8" s="1"/>
  <c r="B97" i="8" s="1"/>
  <c r="H97" i="8" s="1"/>
  <c r="L96" i="7"/>
  <c r="O96" i="7" s="1"/>
  <c r="B97" i="7" s="1"/>
  <c r="H97" i="7" s="1"/>
  <c r="N96" i="7"/>
  <c r="Q96" i="7" s="1"/>
  <c r="D97" i="7" s="1"/>
  <c r="J97" i="7" s="1"/>
  <c r="M96" i="7"/>
  <c r="P96" i="7" s="1"/>
  <c r="C97" i="7" s="1"/>
  <c r="I97" i="7" s="1"/>
  <c r="K66" i="6"/>
  <c r="K97" i="8" l="1"/>
  <c r="K97" i="7"/>
  <c r="N66" i="6"/>
  <c r="Q66" i="6" s="1"/>
  <c r="D67" i="6" s="1"/>
  <c r="J67" i="6" s="1"/>
  <c r="L66" i="6"/>
  <c r="O66" i="6" s="1"/>
  <c r="B67" i="6" s="1"/>
  <c r="H67" i="6" s="1"/>
  <c r="M66" i="6"/>
  <c r="N97" i="8" l="1"/>
  <c r="Q97" i="8" s="1"/>
  <c r="D98" i="8" s="1"/>
  <c r="J98" i="8" s="1"/>
  <c r="M97" i="8"/>
  <c r="P97" i="8" s="1"/>
  <c r="C98" i="8" s="1"/>
  <c r="I98" i="8" s="1"/>
  <c r="L97" i="8"/>
  <c r="O97" i="8" s="1"/>
  <c r="B98" i="8" s="1"/>
  <c r="H98" i="8" s="1"/>
  <c r="N97" i="7"/>
  <c r="Q97" i="7" s="1"/>
  <c r="D98" i="7" s="1"/>
  <c r="J98" i="7" s="1"/>
  <c r="M97" i="7"/>
  <c r="P97" i="7" s="1"/>
  <c r="C98" i="7" s="1"/>
  <c r="I98" i="7" s="1"/>
  <c r="L97" i="7"/>
  <c r="O97" i="7" s="1"/>
  <c r="B98" i="7" s="1"/>
  <c r="H98" i="7" s="1"/>
  <c r="P66" i="6"/>
  <c r="C67" i="6" s="1"/>
  <c r="I67" i="6" s="1"/>
  <c r="K98" i="8" l="1"/>
  <c r="K98" i="7"/>
  <c r="K67" i="6"/>
  <c r="N98" i="8" l="1"/>
  <c r="Q98" i="8" s="1"/>
  <c r="D99" i="8" s="1"/>
  <c r="J99" i="8" s="1"/>
  <c r="M98" i="8"/>
  <c r="P98" i="8" s="1"/>
  <c r="C99" i="8" s="1"/>
  <c r="I99" i="8" s="1"/>
  <c r="L98" i="8"/>
  <c r="O98" i="8" s="1"/>
  <c r="B99" i="8" s="1"/>
  <c r="H99" i="8" s="1"/>
  <c r="N98" i="7"/>
  <c r="Q98" i="7" s="1"/>
  <c r="D99" i="7" s="1"/>
  <c r="J99" i="7" s="1"/>
  <c r="M98" i="7"/>
  <c r="P98" i="7" s="1"/>
  <c r="C99" i="7" s="1"/>
  <c r="I99" i="7" s="1"/>
  <c r="L98" i="7"/>
  <c r="O98" i="7" s="1"/>
  <c r="B99" i="7" s="1"/>
  <c r="H99" i="7" s="1"/>
  <c r="N67" i="6"/>
  <c r="Q67" i="6" s="1"/>
  <c r="D68" i="6" s="1"/>
  <c r="J68" i="6" s="1"/>
  <c r="L67" i="6"/>
  <c r="O67" i="6" s="1"/>
  <c r="B68" i="6" s="1"/>
  <c r="H68" i="6" s="1"/>
  <c r="M67" i="6"/>
  <c r="K99" i="8" l="1"/>
  <c r="K99" i="7"/>
  <c r="P67" i="6"/>
  <c r="C68" i="6" s="1"/>
  <c r="I68" i="6" s="1"/>
  <c r="M99" i="8" l="1"/>
  <c r="P99" i="8" s="1"/>
  <c r="C100" i="8" s="1"/>
  <c r="I100" i="8" s="1"/>
  <c r="L99" i="8"/>
  <c r="O99" i="8" s="1"/>
  <c r="B100" i="8" s="1"/>
  <c r="H100" i="8" s="1"/>
  <c r="N99" i="8"/>
  <c r="Q99" i="8" s="1"/>
  <c r="D100" i="8" s="1"/>
  <c r="J100" i="8" s="1"/>
  <c r="N99" i="7"/>
  <c r="Q99" i="7" s="1"/>
  <c r="D100" i="7" s="1"/>
  <c r="J100" i="7" s="1"/>
  <c r="L99" i="7"/>
  <c r="O99" i="7" s="1"/>
  <c r="B100" i="7" s="1"/>
  <c r="H100" i="7" s="1"/>
  <c r="M99" i="7"/>
  <c r="P99" i="7" s="1"/>
  <c r="C100" i="7" s="1"/>
  <c r="I100" i="7" s="1"/>
  <c r="K68" i="6"/>
  <c r="K100" i="8" l="1"/>
  <c r="K100" i="7"/>
  <c r="M68" i="6"/>
  <c r="L68" i="6"/>
  <c r="O68" i="6" s="1"/>
  <c r="B69" i="6" s="1"/>
  <c r="H69" i="6" s="1"/>
  <c r="N68" i="6"/>
  <c r="Q68" i="6" s="1"/>
  <c r="D69" i="6" s="1"/>
  <c r="J69" i="6" s="1"/>
  <c r="L100" i="8" l="1"/>
  <c r="O100" i="8" s="1"/>
  <c r="B101" i="8" s="1"/>
  <c r="H101" i="8" s="1"/>
  <c r="M100" i="8"/>
  <c r="P100" i="8" s="1"/>
  <c r="C101" i="8" s="1"/>
  <c r="I101" i="8" s="1"/>
  <c r="N100" i="8"/>
  <c r="Q100" i="8" s="1"/>
  <c r="D101" i="8" s="1"/>
  <c r="J101" i="8" s="1"/>
  <c r="M100" i="7"/>
  <c r="P100" i="7" s="1"/>
  <c r="C101" i="7" s="1"/>
  <c r="I101" i="7" s="1"/>
  <c r="L100" i="7"/>
  <c r="O100" i="7" s="1"/>
  <c r="B101" i="7" s="1"/>
  <c r="H101" i="7" s="1"/>
  <c r="N100" i="7"/>
  <c r="Q100" i="7" s="1"/>
  <c r="D101" i="7" s="1"/>
  <c r="J101" i="7" s="1"/>
  <c r="P68" i="6"/>
  <c r="C69" i="6" s="1"/>
  <c r="I69" i="6" s="1"/>
  <c r="K101" i="8" l="1"/>
  <c r="K101" i="7"/>
  <c r="K69" i="6"/>
  <c r="N101" i="8" l="1"/>
  <c r="Q101" i="8" s="1"/>
  <c r="D102" i="8" s="1"/>
  <c r="J102" i="8" s="1"/>
  <c r="L101" i="8"/>
  <c r="O101" i="8" s="1"/>
  <c r="B102" i="8" s="1"/>
  <c r="H102" i="8" s="1"/>
  <c r="M101" i="8"/>
  <c r="P101" i="8" s="1"/>
  <c r="C102" i="8" s="1"/>
  <c r="I102" i="8" s="1"/>
  <c r="L101" i="7"/>
  <c r="O101" i="7" s="1"/>
  <c r="B102" i="7" s="1"/>
  <c r="H102" i="7" s="1"/>
  <c r="N101" i="7"/>
  <c r="Q101" i="7" s="1"/>
  <c r="D102" i="7" s="1"/>
  <c r="J102" i="7" s="1"/>
  <c r="M101" i="7"/>
  <c r="P101" i="7" s="1"/>
  <c r="C102" i="7" s="1"/>
  <c r="I102" i="7" s="1"/>
  <c r="L69" i="6"/>
  <c r="O69" i="6" s="1"/>
  <c r="B70" i="6" s="1"/>
  <c r="H70" i="6" s="1"/>
  <c r="M69" i="6"/>
  <c r="N69" i="6"/>
  <c r="Q69" i="6" s="1"/>
  <c r="D70" i="6" s="1"/>
  <c r="J70" i="6" s="1"/>
  <c r="K102" i="8" l="1"/>
  <c r="K102" i="7"/>
  <c r="P69" i="6"/>
  <c r="C70" i="6" s="1"/>
  <c r="I70" i="6" s="1"/>
  <c r="M102" i="8" l="1"/>
  <c r="P102" i="8" s="1"/>
  <c r="C103" i="8" s="1"/>
  <c r="I103" i="8" s="1"/>
  <c r="N102" i="8"/>
  <c r="Q102" i="8" s="1"/>
  <c r="D103" i="8" s="1"/>
  <c r="J103" i="8" s="1"/>
  <c r="L102" i="8"/>
  <c r="O102" i="8" s="1"/>
  <c r="B103" i="8" s="1"/>
  <c r="H103" i="8" s="1"/>
  <c r="N102" i="7"/>
  <c r="Q102" i="7" s="1"/>
  <c r="D103" i="7" s="1"/>
  <c r="J103" i="7" s="1"/>
  <c r="M102" i="7"/>
  <c r="P102" i="7" s="1"/>
  <c r="C103" i="7" s="1"/>
  <c r="I103" i="7" s="1"/>
  <c r="L102" i="7"/>
  <c r="O102" i="7" s="1"/>
  <c r="B103" i="7" s="1"/>
  <c r="H103" i="7" s="1"/>
  <c r="K70" i="6"/>
  <c r="K103" i="8" l="1"/>
  <c r="K103" i="7"/>
  <c r="M70" i="6"/>
  <c r="L70" i="6"/>
  <c r="O70" i="6" s="1"/>
  <c r="B71" i="6" s="1"/>
  <c r="H71" i="6" s="1"/>
  <c r="N70" i="6"/>
  <c r="Q70" i="6" s="1"/>
  <c r="D71" i="6" s="1"/>
  <c r="J71" i="6" s="1"/>
  <c r="N103" i="8" l="1"/>
  <c r="Q103" i="8" s="1"/>
  <c r="D104" i="8" s="1"/>
  <c r="J104" i="8" s="1"/>
  <c r="L103" i="8"/>
  <c r="O103" i="8" s="1"/>
  <c r="B104" i="8" s="1"/>
  <c r="H104" i="8" s="1"/>
  <c r="M103" i="8"/>
  <c r="P103" i="8" s="1"/>
  <c r="C104" i="8" s="1"/>
  <c r="I104" i="8" s="1"/>
  <c r="N103" i="7"/>
  <c r="Q103" i="7" s="1"/>
  <c r="D104" i="7" s="1"/>
  <c r="J104" i="7" s="1"/>
  <c r="M103" i="7"/>
  <c r="P103" i="7" s="1"/>
  <c r="C104" i="7" s="1"/>
  <c r="I104" i="7" s="1"/>
  <c r="L103" i="7"/>
  <c r="O103" i="7" s="1"/>
  <c r="B104" i="7" s="1"/>
  <c r="H104" i="7" s="1"/>
  <c r="P70" i="6"/>
  <c r="C71" i="6" s="1"/>
  <c r="I71" i="6" s="1"/>
  <c r="K104" i="8" l="1"/>
  <c r="K104" i="7"/>
  <c r="K71" i="6"/>
  <c r="N104" i="8" l="1"/>
  <c r="Q104" i="8" s="1"/>
  <c r="D105" i="8" s="1"/>
  <c r="J105" i="8" s="1"/>
  <c r="M104" i="8"/>
  <c r="P104" i="8" s="1"/>
  <c r="C105" i="8" s="1"/>
  <c r="I105" i="8" s="1"/>
  <c r="L104" i="8"/>
  <c r="O104" i="8" s="1"/>
  <c r="B105" i="8" s="1"/>
  <c r="H105" i="8" s="1"/>
  <c r="M104" i="7"/>
  <c r="P104" i="7" s="1"/>
  <c r="C105" i="7" s="1"/>
  <c r="I105" i="7" s="1"/>
  <c r="L104" i="7"/>
  <c r="O104" i="7" s="1"/>
  <c r="B105" i="7" s="1"/>
  <c r="H105" i="7" s="1"/>
  <c r="N104" i="7"/>
  <c r="Q104" i="7" s="1"/>
  <c r="D105" i="7" s="1"/>
  <c r="J105" i="7" s="1"/>
  <c r="L71" i="6"/>
  <c r="O71" i="6" s="1"/>
  <c r="B72" i="6" s="1"/>
  <c r="H72" i="6" s="1"/>
  <c r="N71" i="6"/>
  <c r="Q71" i="6" s="1"/>
  <c r="D72" i="6" s="1"/>
  <c r="J72" i="6" s="1"/>
  <c r="M71" i="6"/>
  <c r="K105" i="8" l="1"/>
  <c r="K105" i="7"/>
  <c r="P71" i="6"/>
  <c r="C72" i="6" s="1"/>
  <c r="I72" i="6" s="1"/>
  <c r="N105" i="8" l="1"/>
  <c r="Q105" i="8" s="1"/>
  <c r="D106" i="8" s="1"/>
  <c r="J106" i="8" s="1"/>
  <c r="M105" i="8"/>
  <c r="P105" i="8" s="1"/>
  <c r="C106" i="8" s="1"/>
  <c r="I106" i="8" s="1"/>
  <c r="L105" i="8"/>
  <c r="O105" i="8" s="1"/>
  <c r="B106" i="8" s="1"/>
  <c r="H106" i="8" s="1"/>
  <c r="L105" i="7"/>
  <c r="O105" i="7" s="1"/>
  <c r="B106" i="7" s="1"/>
  <c r="H106" i="7" s="1"/>
  <c r="N105" i="7"/>
  <c r="Q105" i="7" s="1"/>
  <c r="D106" i="7" s="1"/>
  <c r="J106" i="7" s="1"/>
  <c r="M105" i="7"/>
  <c r="P105" i="7" s="1"/>
  <c r="C106" i="7" s="1"/>
  <c r="I106" i="7" s="1"/>
  <c r="K72" i="6"/>
  <c r="K106" i="8" l="1"/>
  <c r="K106" i="7"/>
  <c r="L72" i="6"/>
  <c r="O72" i="6" s="1"/>
  <c r="B73" i="6" s="1"/>
  <c r="H73" i="6" s="1"/>
  <c r="N72" i="6"/>
  <c r="Q72" i="6" s="1"/>
  <c r="D73" i="6" s="1"/>
  <c r="J73" i="6" s="1"/>
  <c r="M72" i="6"/>
  <c r="N106" i="8" l="1"/>
  <c r="Q106" i="8" s="1"/>
  <c r="D107" i="8" s="1"/>
  <c r="J107" i="8" s="1"/>
  <c r="M106" i="8"/>
  <c r="P106" i="8" s="1"/>
  <c r="C107" i="8" s="1"/>
  <c r="I107" i="8" s="1"/>
  <c r="L106" i="8"/>
  <c r="O106" i="8" s="1"/>
  <c r="B107" i="8" s="1"/>
  <c r="H107" i="8" s="1"/>
  <c r="N106" i="7"/>
  <c r="Q106" i="7" s="1"/>
  <c r="D107" i="7" s="1"/>
  <c r="J107" i="7" s="1"/>
  <c r="M106" i="7"/>
  <c r="P106" i="7" s="1"/>
  <c r="C107" i="7" s="1"/>
  <c r="I107" i="7" s="1"/>
  <c r="L106" i="7"/>
  <c r="O106" i="7" s="1"/>
  <c r="B107" i="7" s="1"/>
  <c r="H107" i="7" s="1"/>
  <c r="P72" i="6"/>
  <c r="C73" i="6" s="1"/>
  <c r="I73" i="6" s="1"/>
  <c r="K107" i="8" l="1"/>
  <c r="K107" i="7"/>
  <c r="K73" i="6"/>
  <c r="N107" i="8" l="1"/>
  <c r="Q107" i="8" s="1"/>
  <c r="D108" i="8" s="1"/>
  <c r="J108" i="8" s="1"/>
  <c r="M107" i="8"/>
  <c r="P107" i="8" s="1"/>
  <c r="C108" i="8" s="1"/>
  <c r="I108" i="8" s="1"/>
  <c r="L107" i="8"/>
  <c r="O107" i="8" s="1"/>
  <c r="B108" i="8" s="1"/>
  <c r="H108" i="8" s="1"/>
  <c r="M107" i="7"/>
  <c r="P107" i="7" s="1"/>
  <c r="C108" i="7" s="1"/>
  <c r="I108" i="7" s="1"/>
  <c r="L107" i="7"/>
  <c r="O107" i="7" s="1"/>
  <c r="B108" i="7" s="1"/>
  <c r="H108" i="7" s="1"/>
  <c r="N107" i="7"/>
  <c r="Q107" i="7" s="1"/>
  <c r="D108" i="7" s="1"/>
  <c r="J108" i="7" s="1"/>
  <c r="L73" i="6"/>
  <c r="O73" i="6" s="1"/>
  <c r="B74" i="6" s="1"/>
  <c r="H74" i="6" s="1"/>
  <c r="M73" i="6"/>
  <c r="N73" i="6"/>
  <c r="Q73" i="6" s="1"/>
  <c r="D74" i="6" s="1"/>
  <c r="J74" i="6" s="1"/>
  <c r="K108" i="8" l="1"/>
  <c r="K108" i="7"/>
  <c r="P73" i="6"/>
  <c r="C74" i="6" s="1"/>
  <c r="I74" i="6" s="1"/>
  <c r="N108" i="8" l="1"/>
  <c r="Q108" i="8" s="1"/>
  <c r="D109" i="8" s="1"/>
  <c r="J109" i="8" s="1"/>
  <c r="M108" i="8"/>
  <c r="P108" i="8" s="1"/>
  <c r="C109" i="8" s="1"/>
  <c r="I109" i="8" s="1"/>
  <c r="L108" i="8"/>
  <c r="O108" i="8" s="1"/>
  <c r="B109" i="8" s="1"/>
  <c r="H109" i="8" s="1"/>
  <c r="L108" i="7"/>
  <c r="O108" i="7" s="1"/>
  <c r="B109" i="7" s="1"/>
  <c r="H109" i="7" s="1"/>
  <c r="N108" i="7"/>
  <c r="Q108" i="7" s="1"/>
  <c r="D109" i="7" s="1"/>
  <c r="J109" i="7" s="1"/>
  <c r="M108" i="7"/>
  <c r="P108" i="7" s="1"/>
  <c r="C109" i="7" s="1"/>
  <c r="I109" i="7" s="1"/>
  <c r="K74" i="6"/>
  <c r="K109" i="8" l="1"/>
  <c r="K109" i="7"/>
  <c r="L74" i="6"/>
  <c r="O74" i="6" s="1"/>
  <c r="B75" i="6" s="1"/>
  <c r="H75" i="6" s="1"/>
  <c r="N74" i="6"/>
  <c r="Q74" i="6" s="1"/>
  <c r="D75" i="6" s="1"/>
  <c r="J75" i="6" s="1"/>
  <c r="M74" i="6"/>
  <c r="N109" i="8" l="1"/>
  <c r="Q109" i="8" s="1"/>
  <c r="D110" i="8" s="1"/>
  <c r="J110" i="8" s="1"/>
  <c r="M109" i="8"/>
  <c r="P109" i="8" s="1"/>
  <c r="C110" i="8" s="1"/>
  <c r="I110" i="8" s="1"/>
  <c r="L109" i="8"/>
  <c r="O109" i="8" s="1"/>
  <c r="B110" i="8" s="1"/>
  <c r="H110" i="8" s="1"/>
  <c r="N109" i="7"/>
  <c r="Q109" i="7" s="1"/>
  <c r="D110" i="7" s="1"/>
  <c r="J110" i="7" s="1"/>
  <c r="M109" i="7"/>
  <c r="P109" i="7" s="1"/>
  <c r="C110" i="7" s="1"/>
  <c r="I110" i="7" s="1"/>
  <c r="L109" i="7"/>
  <c r="O109" i="7" s="1"/>
  <c r="B110" i="7" s="1"/>
  <c r="H110" i="7" s="1"/>
  <c r="P74" i="6"/>
  <c r="C75" i="6" s="1"/>
  <c r="I75" i="6" s="1"/>
  <c r="K110" i="8" l="1"/>
  <c r="K110" i="7"/>
  <c r="K75" i="6"/>
  <c r="N110" i="8" l="1"/>
  <c r="Q110" i="8" s="1"/>
  <c r="D111" i="8" s="1"/>
  <c r="J111" i="8" s="1"/>
  <c r="M110" i="8"/>
  <c r="P110" i="8" s="1"/>
  <c r="C111" i="8" s="1"/>
  <c r="I111" i="8" s="1"/>
  <c r="L110" i="8"/>
  <c r="O110" i="8" s="1"/>
  <c r="B111" i="8" s="1"/>
  <c r="H111" i="8" s="1"/>
  <c r="N110" i="7"/>
  <c r="Q110" i="7" s="1"/>
  <c r="D111" i="7" s="1"/>
  <c r="J111" i="7" s="1"/>
  <c r="M110" i="7"/>
  <c r="P110" i="7" s="1"/>
  <c r="C111" i="7" s="1"/>
  <c r="I111" i="7" s="1"/>
  <c r="L110" i="7"/>
  <c r="O110" i="7" s="1"/>
  <c r="B111" i="7" s="1"/>
  <c r="H111" i="7" s="1"/>
  <c r="L75" i="6"/>
  <c r="O75" i="6" s="1"/>
  <c r="B76" i="6" s="1"/>
  <c r="H76" i="6" s="1"/>
  <c r="N75" i="6"/>
  <c r="Q75" i="6" s="1"/>
  <c r="D76" i="6" s="1"/>
  <c r="J76" i="6" s="1"/>
  <c r="M75" i="6"/>
  <c r="K111" i="8" l="1"/>
  <c r="K111" i="7"/>
  <c r="P75" i="6"/>
  <c r="C76" i="6" s="1"/>
  <c r="I76" i="6" s="1"/>
  <c r="M111" i="8" l="1"/>
  <c r="P111" i="8" s="1"/>
  <c r="C112" i="8" s="1"/>
  <c r="I112" i="8" s="1"/>
  <c r="L111" i="8"/>
  <c r="O111" i="8" s="1"/>
  <c r="B112" i="8" s="1"/>
  <c r="H112" i="8" s="1"/>
  <c r="N111" i="8"/>
  <c r="Q111" i="8" s="1"/>
  <c r="D112" i="8" s="1"/>
  <c r="J112" i="8" s="1"/>
  <c r="N111" i="7"/>
  <c r="Q111" i="7" s="1"/>
  <c r="D112" i="7" s="1"/>
  <c r="J112" i="7" s="1"/>
  <c r="M111" i="7"/>
  <c r="P111" i="7" s="1"/>
  <c r="C112" i="7" s="1"/>
  <c r="I112" i="7" s="1"/>
  <c r="L111" i="7"/>
  <c r="O111" i="7" s="1"/>
  <c r="B112" i="7" s="1"/>
  <c r="H112" i="7" s="1"/>
  <c r="K76" i="6"/>
  <c r="K112" i="8" l="1"/>
  <c r="K112" i="7"/>
  <c r="M76" i="6"/>
  <c r="L76" i="6"/>
  <c r="O76" i="6" s="1"/>
  <c r="B77" i="6" s="1"/>
  <c r="H77" i="6" s="1"/>
  <c r="N76" i="6"/>
  <c r="Q76" i="6" s="1"/>
  <c r="D77" i="6" s="1"/>
  <c r="J77" i="6" s="1"/>
  <c r="L112" i="8" l="1"/>
  <c r="O112" i="8" s="1"/>
  <c r="B113" i="8" s="1"/>
  <c r="H113" i="8" s="1"/>
  <c r="M112" i="8"/>
  <c r="P112" i="8" s="1"/>
  <c r="C113" i="8" s="1"/>
  <c r="I113" i="8" s="1"/>
  <c r="N112" i="8"/>
  <c r="Q112" i="8" s="1"/>
  <c r="D113" i="8" s="1"/>
  <c r="J113" i="8" s="1"/>
  <c r="M112" i="7"/>
  <c r="P112" i="7" s="1"/>
  <c r="C113" i="7" s="1"/>
  <c r="I113" i="7" s="1"/>
  <c r="N112" i="7"/>
  <c r="Q112" i="7" s="1"/>
  <c r="D113" i="7" s="1"/>
  <c r="J113" i="7" s="1"/>
  <c r="L112" i="7"/>
  <c r="O112" i="7" s="1"/>
  <c r="B113" i="7" s="1"/>
  <c r="H113" i="7" s="1"/>
  <c r="P76" i="6"/>
  <c r="C77" i="6" s="1"/>
  <c r="I77" i="6" s="1"/>
  <c r="K113" i="8" l="1"/>
  <c r="K113" i="7"/>
  <c r="K77" i="6"/>
  <c r="N113" i="8" l="1"/>
  <c r="Q113" i="8" s="1"/>
  <c r="D114" i="8" s="1"/>
  <c r="J114" i="8" s="1"/>
  <c r="L113" i="8"/>
  <c r="O113" i="8" s="1"/>
  <c r="B114" i="8" s="1"/>
  <c r="H114" i="8" s="1"/>
  <c r="M113" i="8"/>
  <c r="P113" i="8" s="1"/>
  <c r="C114" i="8" s="1"/>
  <c r="I114" i="8" s="1"/>
  <c r="L113" i="7"/>
  <c r="O113" i="7" s="1"/>
  <c r="B114" i="7" s="1"/>
  <c r="H114" i="7" s="1"/>
  <c r="N113" i="7"/>
  <c r="Q113" i="7" s="1"/>
  <c r="D114" i="7" s="1"/>
  <c r="J114" i="7" s="1"/>
  <c r="M113" i="7"/>
  <c r="P113" i="7" s="1"/>
  <c r="C114" i="7" s="1"/>
  <c r="I114" i="7" s="1"/>
  <c r="N77" i="6"/>
  <c r="Q77" i="6" s="1"/>
  <c r="D78" i="6" s="1"/>
  <c r="J78" i="6" s="1"/>
  <c r="M77" i="6"/>
  <c r="L77" i="6"/>
  <c r="O77" i="6" s="1"/>
  <c r="B78" i="6" s="1"/>
  <c r="H78" i="6" s="1"/>
  <c r="K114" i="8" l="1"/>
  <c r="K114" i="7"/>
  <c r="P77" i="6"/>
  <c r="C78" i="6" s="1"/>
  <c r="I78" i="6" s="1"/>
  <c r="M114" i="8" l="1"/>
  <c r="P114" i="8" s="1"/>
  <c r="C115" i="8" s="1"/>
  <c r="I115" i="8" s="1"/>
  <c r="L114" i="8"/>
  <c r="O114" i="8" s="1"/>
  <c r="B115" i="8" s="1"/>
  <c r="H115" i="8" s="1"/>
  <c r="N114" i="8"/>
  <c r="Q114" i="8" s="1"/>
  <c r="D115" i="8" s="1"/>
  <c r="J115" i="8" s="1"/>
  <c r="N114" i="7"/>
  <c r="Q114" i="7" s="1"/>
  <c r="D115" i="7" s="1"/>
  <c r="J115" i="7" s="1"/>
  <c r="M114" i="7"/>
  <c r="P114" i="7" s="1"/>
  <c r="C115" i="7" s="1"/>
  <c r="I115" i="7" s="1"/>
  <c r="L114" i="7"/>
  <c r="O114" i="7" s="1"/>
  <c r="B115" i="7" s="1"/>
  <c r="H115" i="7" s="1"/>
  <c r="K78" i="6"/>
  <c r="K115" i="8" l="1"/>
  <c r="K115" i="7"/>
  <c r="M78" i="6"/>
  <c r="N78" i="6"/>
  <c r="Q78" i="6" s="1"/>
  <c r="D79" i="6" s="1"/>
  <c r="J79" i="6" s="1"/>
  <c r="L78" i="6"/>
  <c r="O78" i="6" s="1"/>
  <c r="B79" i="6" s="1"/>
  <c r="H79" i="6" s="1"/>
  <c r="N115" i="8" l="1"/>
  <c r="Q115" i="8" s="1"/>
  <c r="D116" i="8" s="1"/>
  <c r="J116" i="8" s="1"/>
  <c r="L115" i="8"/>
  <c r="O115" i="8" s="1"/>
  <c r="B116" i="8" s="1"/>
  <c r="H116" i="8" s="1"/>
  <c r="M115" i="8"/>
  <c r="P115" i="8" s="1"/>
  <c r="C116" i="8" s="1"/>
  <c r="I116" i="8" s="1"/>
  <c r="N115" i="7"/>
  <c r="Q115" i="7" s="1"/>
  <c r="D116" i="7" s="1"/>
  <c r="J116" i="7" s="1"/>
  <c r="M115" i="7"/>
  <c r="P115" i="7" s="1"/>
  <c r="C116" i="7" s="1"/>
  <c r="I116" i="7" s="1"/>
  <c r="L115" i="7"/>
  <c r="O115" i="7" s="1"/>
  <c r="B116" i="7" s="1"/>
  <c r="H116" i="7" s="1"/>
  <c r="P78" i="6"/>
  <c r="C79" i="6" s="1"/>
  <c r="I79" i="6" s="1"/>
  <c r="K116" i="8" l="1"/>
  <c r="K116" i="7"/>
  <c r="K79" i="6"/>
  <c r="N116" i="8" l="1"/>
  <c r="Q116" i="8" s="1"/>
  <c r="D117" i="8" s="1"/>
  <c r="J117" i="8" s="1"/>
  <c r="M116" i="8"/>
  <c r="P116" i="8" s="1"/>
  <c r="C117" i="8" s="1"/>
  <c r="I117" i="8" s="1"/>
  <c r="L116" i="8"/>
  <c r="O116" i="8" s="1"/>
  <c r="B117" i="8" s="1"/>
  <c r="H117" i="8" s="1"/>
  <c r="M116" i="7"/>
  <c r="P116" i="7" s="1"/>
  <c r="C117" i="7" s="1"/>
  <c r="I117" i="7" s="1"/>
  <c r="L116" i="7"/>
  <c r="O116" i="7" s="1"/>
  <c r="B117" i="7" s="1"/>
  <c r="H117" i="7" s="1"/>
  <c r="N116" i="7"/>
  <c r="Q116" i="7" s="1"/>
  <c r="D117" i="7" s="1"/>
  <c r="J117" i="7" s="1"/>
  <c r="M79" i="6"/>
  <c r="N79" i="6"/>
  <c r="Q79" i="6" s="1"/>
  <c r="D80" i="6" s="1"/>
  <c r="J80" i="6" s="1"/>
  <c r="L79" i="6"/>
  <c r="O79" i="6" s="1"/>
  <c r="B80" i="6" s="1"/>
  <c r="H80" i="6" s="1"/>
  <c r="K117" i="8" l="1"/>
  <c r="K117" i="7"/>
  <c r="P79" i="6"/>
  <c r="C80" i="6" s="1"/>
  <c r="I80" i="6" s="1"/>
  <c r="N117" i="8" l="1"/>
  <c r="Q117" i="8" s="1"/>
  <c r="D118" i="8" s="1"/>
  <c r="J118" i="8" s="1"/>
  <c r="M117" i="8"/>
  <c r="P117" i="8" s="1"/>
  <c r="C118" i="8" s="1"/>
  <c r="I118" i="8" s="1"/>
  <c r="L117" i="8"/>
  <c r="O117" i="8" s="1"/>
  <c r="B118" i="8" s="1"/>
  <c r="H118" i="8" s="1"/>
  <c r="L117" i="7"/>
  <c r="O117" i="7" s="1"/>
  <c r="B118" i="7" s="1"/>
  <c r="H118" i="7" s="1"/>
  <c r="N117" i="7"/>
  <c r="Q117" i="7" s="1"/>
  <c r="D118" i="7" s="1"/>
  <c r="J118" i="7" s="1"/>
  <c r="M117" i="7"/>
  <c r="P117" i="7" s="1"/>
  <c r="C118" i="7" s="1"/>
  <c r="I118" i="7" s="1"/>
  <c r="K80" i="6"/>
  <c r="K118" i="8" l="1"/>
  <c r="K118" i="7"/>
  <c r="M80" i="6"/>
  <c r="L80" i="6"/>
  <c r="O80" i="6" s="1"/>
  <c r="B81" i="6" s="1"/>
  <c r="H81" i="6" s="1"/>
  <c r="N80" i="6"/>
  <c r="Q80" i="6" s="1"/>
  <c r="D81" i="6" s="1"/>
  <c r="J81" i="6" s="1"/>
  <c r="N118" i="8" l="1"/>
  <c r="Q118" i="8" s="1"/>
  <c r="D119" i="8" s="1"/>
  <c r="J119" i="8" s="1"/>
  <c r="M118" i="8"/>
  <c r="P118" i="8" s="1"/>
  <c r="C119" i="8" s="1"/>
  <c r="I119" i="8" s="1"/>
  <c r="L118" i="8"/>
  <c r="O118" i="8" s="1"/>
  <c r="B119" i="8" s="1"/>
  <c r="H119" i="8" s="1"/>
  <c r="N118" i="7"/>
  <c r="Q118" i="7" s="1"/>
  <c r="D119" i="7" s="1"/>
  <c r="J119" i="7" s="1"/>
  <c r="M118" i="7"/>
  <c r="P118" i="7" s="1"/>
  <c r="C119" i="7" s="1"/>
  <c r="I119" i="7" s="1"/>
  <c r="L118" i="7"/>
  <c r="O118" i="7" s="1"/>
  <c r="B119" i="7" s="1"/>
  <c r="H119" i="7" s="1"/>
  <c r="P80" i="6"/>
  <c r="C81" i="6" s="1"/>
  <c r="I81" i="6" s="1"/>
  <c r="K119" i="8" l="1"/>
  <c r="K119" i="7"/>
  <c r="K81" i="6"/>
  <c r="N119" i="8" l="1"/>
  <c r="Q119" i="8" s="1"/>
  <c r="D120" i="8" s="1"/>
  <c r="J120" i="8" s="1"/>
  <c r="M119" i="8"/>
  <c r="P119" i="8" s="1"/>
  <c r="C120" i="8" s="1"/>
  <c r="I120" i="8" s="1"/>
  <c r="L119" i="8"/>
  <c r="O119" i="8" s="1"/>
  <c r="B120" i="8" s="1"/>
  <c r="H120" i="8" s="1"/>
  <c r="M119" i="7"/>
  <c r="P119" i="7" s="1"/>
  <c r="C120" i="7" s="1"/>
  <c r="I120" i="7" s="1"/>
  <c r="N119" i="7"/>
  <c r="Q119" i="7" s="1"/>
  <c r="D120" i="7" s="1"/>
  <c r="J120" i="7" s="1"/>
  <c r="L119" i="7"/>
  <c r="O119" i="7" s="1"/>
  <c r="B120" i="7" s="1"/>
  <c r="H120" i="7" s="1"/>
  <c r="N81" i="6"/>
  <c r="Q81" i="6" s="1"/>
  <c r="D82" i="6" s="1"/>
  <c r="J82" i="6" s="1"/>
  <c r="M81" i="6"/>
  <c r="L81" i="6"/>
  <c r="O81" i="6" s="1"/>
  <c r="B82" i="6" s="1"/>
  <c r="H82" i="6" s="1"/>
  <c r="K120" i="8" l="1"/>
  <c r="K120" i="7"/>
  <c r="P81" i="6"/>
  <c r="C82" i="6" s="1"/>
  <c r="I82" i="6" s="1"/>
  <c r="N120" i="8" l="1"/>
  <c r="Q120" i="8" s="1"/>
  <c r="D121" i="8" s="1"/>
  <c r="J121" i="8" s="1"/>
  <c r="M120" i="8"/>
  <c r="P120" i="8" s="1"/>
  <c r="C121" i="8" s="1"/>
  <c r="I121" i="8" s="1"/>
  <c r="L120" i="8"/>
  <c r="O120" i="8" s="1"/>
  <c r="B121" i="8" s="1"/>
  <c r="H121" i="8" s="1"/>
  <c r="L120" i="7"/>
  <c r="O120" i="7" s="1"/>
  <c r="B121" i="7" s="1"/>
  <c r="H121" i="7" s="1"/>
  <c r="N120" i="7"/>
  <c r="Q120" i="7" s="1"/>
  <c r="D121" i="7" s="1"/>
  <c r="J121" i="7" s="1"/>
  <c r="M120" i="7"/>
  <c r="P120" i="7" s="1"/>
  <c r="C121" i="7" s="1"/>
  <c r="I121" i="7" s="1"/>
  <c r="K82" i="6"/>
  <c r="K121" i="8" l="1"/>
  <c r="K121" i="7"/>
  <c r="M82" i="6"/>
  <c r="N82" i="6"/>
  <c r="Q82" i="6" s="1"/>
  <c r="D83" i="6" s="1"/>
  <c r="J83" i="6" s="1"/>
  <c r="L82" i="6"/>
  <c r="O82" i="6" s="1"/>
  <c r="B83" i="6" s="1"/>
  <c r="H83" i="6" s="1"/>
  <c r="N121" i="8" l="1"/>
  <c r="Q121" i="8" s="1"/>
  <c r="D122" i="8" s="1"/>
  <c r="J122" i="8" s="1"/>
  <c r="M121" i="8"/>
  <c r="P121" i="8" s="1"/>
  <c r="C122" i="8" s="1"/>
  <c r="I122" i="8" s="1"/>
  <c r="L121" i="8"/>
  <c r="O121" i="8" s="1"/>
  <c r="B122" i="8" s="1"/>
  <c r="H122" i="8" s="1"/>
  <c r="N121" i="7"/>
  <c r="Q121" i="7" s="1"/>
  <c r="D122" i="7" s="1"/>
  <c r="J122" i="7" s="1"/>
  <c r="L121" i="7"/>
  <c r="O121" i="7" s="1"/>
  <c r="B122" i="7" s="1"/>
  <c r="H122" i="7" s="1"/>
  <c r="M121" i="7"/>
  <c r="P121" i="7" s="1"/>
  <c r="C122" i="7" s="1"/>
  <c r="I122" i="7" s="1"/>
  <c r="P82" i="6"/>
  <c r="C83" i="6" s="1"/>
  <c r="I83" i="6" s="1"/>
  <c r="K122" i="8" l="1"/>
  <c r="K122" i="7"/>
  <c r="K83" i="6"/>
  <c r="N122" i="8" l="1"/>
  <c r="Q122" i="8" s="1"/>
  <c r="D123" i="8" s="1"/>
  <c r="J123" i="8" s="1"/>
  <c r="M122" i="8"/>
  <c r="P122" i="8" s="1"/>
  <c r="C123" i="8" s="1"/>
  <c r="I123" i="8" s="1"/>
  <c r="L122" i="8"/>
  <c r="O122" i="8" s="1"/>
  <c r="B123" i="8" s="1"/>
  <c r="H123" i="8" s="1"/>
  <c r="N122" i="7"/>
  <c r="Q122" i="7" s="1"/>
  <c r="D123" i="7" s="1"/>
  <c r="J123" i="7" s="1"/>
  <c r="M122" i="7"/>
  <c r="P122" i="7" s="1"/>
  <c r="C123" i="7" s="1"/>
  <c r="I123" i="7" s="1"/>
  <c r="L122" i="7"/>
  <c r="O122" i="7" s="1"/>
  <c r="B123" i="7" s="1"/>
  <c r="H123" i="7" s="1"/>
  <c r="M83" i="6"/>
  <c r="L83" i="6"/>
  <c r="O83" i="6" s="1"/>
  <c r="B84" i="6" s="1"/>
  <c r="H84" i="6" s="1"/>
  <c r="N83" i="6"/>
  <c r="Q83" i="6" s="1"/>
  <c r="D84" i="6" s="1"/>
  <c r="J84" i="6" s="1"/>
  <c r="K123" i="8" l="1"/>
  <c r="K123" i="7"/>
  <c r="P83" i="6"/>
  <c r="C84" i="6" s="1"/>
  <c r="I84" i="6" s="1"/>
  <c r="M123" i="8" l="1"/>
  <c r="P123" i="8" s="1"/>
  <c r="C124" i="8" s="1"/>
  <c r="I124" i="8" s="1"/>
  <c r="L123" i="8"/>
  <c r="O123" i="8" s="1"/>
  <c r="B124" i="8" s="1"/>
  <c r="H124" i="8" s="1"/>
  <c r="N123" i="8"/>
  <c r="Q123" i="8" s="1"/>
  <c r="D124" i="8" s="1"/>
  <c r="J124" i="8" s="1"/>
  <c r="N123" i="7"/>
  <c r="Q123" i="7" s="1"/>
  <c r="D124" i="7" s="1"/>
  <c r="J124" i="7" s="1"/>
  <c r="M123" i="7"/>
  <c r="P123" i="7" s="1"/>
  <c r="C124" i="7" s="1"/>
  <c r="I124" i="7" s="1"/>
  <c r="L123" i="7"/>
  <c r="O123" i="7" s="1"/>
  <c r="B124" i="7" s="1"/>
  <c r="H124" i="7" s="1"/>
  <c r="K84" i="6"/>
  <c r="K124" i="8" l="1"/>
  <c r="K124" i="7"/>
  <c r="N84" i="6"/>
  <c r="Q84" i="6" s="1"/>
  <c r="D85" i="6" s="1"/>
  <c r="J85" i="6" s="1"/>
  <c r="L84" i="6"/>
  <c r="O84" i="6" s="1"/>
  <c r="B85" i="6" s="1"/>
  <c r="H85" i="6" s="1"/>
  <c r="M84" i="6"/>
  <c r="L124" i="8" l="1"/>
  <c r="O124" i="8" s="1"/>
  <c r="B125" i="8" s="1"/>
  <c r="H125" i="8" s="1"/>
  <c r="M124" i="8"/>
  <c r="P124" i="8" s="1"/>
  <c r="C125" i="8" s="1"/>
  <c r="I125" i="8" s="1"/>
  <c r="N124" i="8"/>
  <c r="Q124" i="8" s="1"/>
  <c r="D125" i="8" s="1"/>
  <c r="J125" i="8" s="1"/>
  <c r="M124" i="7"/>
  <c r="P124" i="7" s="1"/>
  <c r="C125" i="7" s="1"/>
  <c r="I125" i="7" s="1"/>
  <c r="N124" i="7"/>
  <c r="Q124" i="7" s="1"/>
  <c r="D125" i="7" s="1"/>
  <c r="J125" i="7" s="1"/>
  <c r="L124" i="7"/>
  <c r="O124" i="7" s="1"/>
  <c r="B125" i="7" s="1"/>
  <c r="H125" i="7" s="1"/>
  <c r="P84" i="6"/>
  <c r="C85" i="6" s="1"/>
  <c r="I85" i="6" s="1"/>
  <c r="K125" i="8" l="1"/>
  <c r="K125" i="7"/>
  <c r="K85" i="6"/>
  <c r="N125" i="8" l="1"/>
  <c r="Q125" i="8" s="1"/>
  <c r="D126" i="8" s="1"/>
  <c r="J126" i="8" s="1"/>
  <c r="L125" i="8"/>
  <c r="O125" i="8" s="1"/>
  <c r="B126" i="8" s="1"/>
  <c r="H126" i="8" s="1"/>
  <c r="M125" i="8"/>
  <c r="P125" i="8" s="1"/>
  <c r="C126" i="8" s="1"/>
  <c r="I126" i="8" s="1"/>
  <c r="L125" i="7"/>
  <c r="O125" i="7" s="1"/>
  <c r="B126" i="7" s="1"/>
  <c r="H126" i="7" s="1"/>
  <c r="N125" i="7"/>
  <c r="Q125" i="7" s="1"/>
  <c r="D126" i="7" s="1"/>
  <c r="J126" i="7" s="1"/>
  <c r="M125" i="7"/>
  <c r="P125" i="7" s="1"/>
  <c r="C126" i="7" s="1"/>
  <c r="I126" i="7" s="1"/>
  <c r="L85" i="6"/>
  <c r="N85" i="6"/>
  <c r="Q85" i="6" s="1"/>
  <c r="D86" i="6" s="1"/>
  <c r="J86" i="6" s="1"/>
  <c r="M85" i="6"/>
  <c r="K126" i="8" l="1"/>
  <c r="K126" i="7"/>
  <c r="P85" i="6"/>
  <c r="C86" i="6" s="1"/>
  <c r="I86" i="6" s="1"/>
  <c r="O85" i="6"/>
  <c r="B86" i="6" s="1"/>
  <c r="H86" i="6" s="1"/>
  <c r="M126" i="8" l="1"/>
  <c r="P126" i="8" s="1"/>
  <c r="C127" i="8" s="1"/>
  <c r="I127" i="8" s="1"/>
  <c r="N126" i="8"/>
  <c r="Q126" i="8" s="1"/>
  <c r="D127" i="8" s="1"/>
  <c r="J127" i="8" s="1"/>
  <c r="L126" i="8"/>
  <c r="O126" i="8" s="1"/>
  <c r="B127" i="8" s="1"/>
  <c r="H127" i="8" s="1"/>
  <c r="N126" i="7"/>
  <c r="Q126" i="7" s="1"/>
  <c r="D127" i="7" s="1"/>
  <c r="J127" i="7" s="1"/>
  <c r="M126" i="7"/>
  <c r="P126" i="7" s="1"/>
  <c r="C127" i="7" s="1"/>
  <c r="I127" i="7" s="1"/>
  <c r="L126" i="7"/>
  <c r="O126" i="7" s="1"/>
  <c r="B127" i="7" s="1"/>
  <c r="H127" i="7" s="1"/>
  <c r="K86" i="6"/>
  <c r="K127" i="8" l="1"/>
  <c r="K127" i="7"/>
  <c r="N86" i="6"/>
  <c r="Q86" i="6" s="1"/>
  <c r="D87" i="6" s="1"/>
  <c r="J87" i="6" s="1"/>
  <c r="M86" i="6"/>
  <c r="L86" i="6"/>
  <c r="O86" i="6" s="1"/>
  <c r="B87" i="6" s="1"/>
  <c r="H87" i="6" s="1"/>
  <c r="N127" i="8" l="1"/>
  <c r="Q127" i="8" s="1"/>
  <c r="D128" i="8" s="1"/>
  <c r="J128" i="8" s="1"/>
  <c r="L127" i="8"/>
  <c r="O127" i="8" s="1"/>
  <c r="B128" i="8" s="1"/>
  <c r="H128" i="8" s="1"/>
  <c r="M127" i="8"/>
  <c r="P127" i="8" s="1"/>
  <c r="C128" i="8" s="1"/>
  <c r="I128" i="8" s="1"/>
  <c r="N127" i="7"/>
  <c r="Q127" i="7" s="1"/>
  <c r="D128" i="7" s="1"/>
  <c r="J128" i="7" s="1"/>
  <c r="M127" i="7"/>
  <c r="P127" i="7" s="1"/>
  <c r="C128" i="7" s="1"/>
  <c r="I128" i="7" s="1"/>
  <c r="L127" i="7"/>
  <c r="O127" i="7" s="1"/>
  <c r="B128" i="7" s="1"/>
  <c r="H128" i="7" s="1"/>
  <c r="P86" i="6"/>
  <c r="C87" i="6" s="1"/>
  <c r="I87" i="6" s="1"/>
  <c r="K128" i="8" l="1"/>
  <c r="K128" i="7"/>
  <c r="K87" i="6"/>
  <c r="N128" i="8" l="1"/>
  <c r="Q128" i="8" s="1"/>
  <c r="D129" i="8" s="1"/>
  <c r="J129" i="8" s="1"/>
  <c r="M128" i="8"/>
  <c r="P128" i="8" s="1"/>
  <c r="C129" i="8" s="1"/>
  <c r="I129" i="8" s="1"/>
  <c r="L128" i="8"/>
  <c r="O128" i="8" s="1"/>
  <c r="B129" i="8" s="1"/>
  <c r="H129" i="8" s="1"/>
  <c r="M128" i="7"/>
  <c r="P128" i="7" s="1"/>
  <c r="C129" i="7" s="1"/>
  <c r="I129" i="7" s="1"/>
  <c r="L128" i="7"/>
  <c r="O128" i="7" s="1"/>
  <c r="B129" i="7" s="1"/>
  <c r="H129" i="7" s="1"/>
  <c r="N128" i="7"/>
  <c r="Q128" i="7" s="1"/>
  <c r="D129" i="7" s="1"/>
  <c r="J129" i="7" s="1"/>
  <c r="M87" i="6"/>
  <c r="L87" i="6"/>
  <c r="O87" i="6" s="1"/>
  <c r="B88" i="6" s="1"/>
  <c r="H88" i="6" s="1"/>
  <c r="N87" i="6"/>
  <c r="Q87" i="6" s="1"/>
  <c r="D88" i="6" s="1"/>
  <c r="J88" i="6" s="1"/>
  <c r="K129" i="8" l="1"/>
  <c r="K129" i="7"/>
  <c r="P87" i="6"/>
  <c r="C88" i="6" s="1"/>
  <c r="I88" i="6" s="1"/>
  <c r="N129" i="8" l="1"/>
  <c r="Q129" i="8" s="1"/>
  <c r="D130" i="8" s="1"/>
  <c r="J130" i="8" s="1"/>
  <c r="M129" i="8"/>
  <c r="P129" i="8" s="1"/>
  <c r="C130" i="8" s="1"/>
  <c r="I130" i="8" s="1"/>
  <c r="L129" i="8"/>
  <c r="O129" i="8" s="1"/>
  <c r="B130" i="8" s="1"/>
  <c r="H130" i="8" s="1"/>
  <c r="L129" i="7"/>
  <c r="O129" i="7" s="1"/>
  <c r="B130" i="7" s="1"/>
  <c r="H130" i="7" s="1"/>
  <c r="N129" i="7"/>
  <c r="Q129" i="7" s="1"/>
  <c r="D130" i="7" s="1"/>
  <c r="J130" i="7" s="1"/>
  <c r="M129" i="7"/>
  <c r="P129" i="7" s="1"/>
  <c r="C130" i="7" s="1"/>
  <c r="I130" i="7" s="1"/>
  <c r="K88" i="6"/>
  <c r="K130" i="8" l="1"/>
  <c r="K130" i="7"/>
  <c r="L88" i="6"/>
  <c r="O88" i="6" s="1"/>
  <c r="B89" i="6" s="1"/>
  <c r="H89" i="6" s="1"/>
  <c r="N88" i="6"/>
  <c r="Q88" i="6" s="1"/>
  <c r="D89" i="6" s="1"/>
  <c r="J89" i="6" s="1"/>
  <c r="M88" i="6"/>
  <c r="N130" i="8" l="1"/>
  <c r="Q130" i="8" s="1"/>
  <c r="D131" i="8" s="1"/>
  <c r="J131" i="8" s="1"/>
  <c r="M130" i="8"/>
  <c r="P130" i="8" s="1"/>
  <c r="C131" i="8" s="1"/>
  <c r="I131" i="8" s="1"/>
  <c r="L130" i="8"/>
  <c r="O130" i="8" s="1"/>
  <c r="B131" i="8" s="1"/>
  <c r="H131" i="8" s="1"/>
  <c r="N130" i="7"/>
  <c r="Q130" i="7" s="1"/>
  <c r="D131" i="7" s="1"/>
  <c r="J131" i="7" s="1"/>
  <c r="M130" i="7"/>
  <c r="P130" i="7" s="1"/>
  <c r="C131" i="7" s="1"/>
  <c r="I131" i="7" s="1"/>
  <c r="L130" i="7"/>
  <c r="O130" i="7" s="1"/>
  <c r="B131" i="7" s="1"/>
  <c r="H131" i="7" s="1"/>
  <c r="P88" i="6"/>
  <c r="C89" i="6" s="1"/>
  <c r="I89" i="6" s="1"/>
  <c r="K131" i="8" l="1"/>
  <c r="K131" i="7"/>
  <c r="K89" i="6"/>
  <c r="N131" i="8" l="1"/>
  <c r="Q131" i="8" s="1"/>
  <c r="D132" i="8" s="1"/>
  <c r="J132" i="8" s="1"/>
  <c r="M131" i="8"/>
  <c r="P131" i="8" s="1"/>
  <c r="C132" i="8" s="1"/>
  <c r="I132" i="8" s="1"/>
  <c r="L131" i="8"/>
  <c r="O131" i="8" s="1"/>
  <c r="B132" i="8" s="1"/>
  <c r="H132" i="8" s="1"/>
  <c r="M131" i="7"/>
  <c r="P131" i="7" s="1"/>
  <c r="C132" i="7" s="1"/>
  <c r="I132" i="7" s="1"/>
  <c r="N131" i="7"/>
  <c r="Q131" i="7" s="1"/>
  <c r="D132" i="7" s="1"/>
  <c r="J132" i="7" s="1"/>
  <c r="L131" i="7"/>
  <c r="O131" i="7" s="1"/>
  <c r="B132" i="7" s="1"/>
  <c r="H132" i="7" s="1"/>
  <c r="N89" i="6"/>
  <c r="Q89" i="6" s="1"/>
  <c r="D90" i="6" s="1"/>
  <c r="J90" i="6" s="1"/>
  <c r="M89" i="6"/>
  <c r="L89" i="6"/>
  <c r="O89" i="6" s="1"/>
  <c r="B90" i="6" s="1"/>
  <c r="H90" i="6" s="1"/>
  <c r="K132" i="8" l="1"/>
  <c r="K132" i="7"/>
  <c r="P89" i="6"/>
  <c r="C90" i="6" s="1"/>
  <c r="I90" i="6" s="1"/>
  <c r="N132" i="8" l="1"/>
  <c r="Q132" i="8" s="1"/>
  <c r="D133" i="8" s="1"/>
  <c r="J133" i="8" s="1"/>
  <c r="M132" i="8"/>
  <c r="P132" i="8" s="1"/>
  <c r="C133" i="8" s="1"/>
  <c r="I133" i="8" s="1"/>
  <c r="L132" i="8"/>
  <c r="O132" i="8" s="1"/>
  <c r="B133" i="8" s="1"/>
  <c r="H133" i="8" s="1"/>
  <c r="L132" i="7"/>
  <c r="O132" i="7" s="1"/>
  <c r="B133" i="7" s="1"/>
  <c r="H133" i="7" s="1"/>
  <c r="M132" i="7"/>
  <c r="P132" i="7" s="1"/>
  <c r="C133" i="7" s="1"/>
  <c r="I133" i="7" s="1"/>
  <c r="N132" i="7"/>
  <c r="Q132" i="7" s="1"/>
  <c r="D133" i="7" s="1"/>
  <c r="J133" i="7" s="1"/>
  <c r="K90" i="6"/>
  <c r="K133" i="8" l="1"/>
  <c r="K133" i="7"/>
  <c r="N90" i="6"/>
  <c r="Q90" i="6" s="1"/>
  <c r="D91" i="6" s="1"/>
  <c r="J91" i="6" s="1"/>
  <c r="M90" i="6"/>
  <c r="L90" i="6"/>
  <c r="O90" i="6" s="1"/>
  <c r="B91" i="6" s="1"/>
  <c r="H91" i="6" s="1"/>
  <c r="N133" i="8" l="1"/>
  <c r="Q133" i="8" s="1"/>
  <c r="D134" i="8" s="1"/>
  <c r="J134" i="8" s="1"/>
  <c r="M133" i="8"/>
  <c r="P133" i="8" s="1"/>
  <c r="C134" i="8" s="1"/>
  <c r="I134" i="8" s="1"/>
  <c r="L133" i="8"/>
  <c r="O133" i="8" s="1"/>
  <c r="B134" i="8" s="1"/>
  <c r="H134" i="8" s="1"/>
  <c r="N133" i="7"/>
  <c r="Q133" i="7" s="1"/>
  <c r="D134" i="7" s="1"/>
  <c r="J134" i="7" s="1"/>
  <c r="M133" i="7"/>
  <c r="P133" i="7" s="1"/>
  <c r="C134" i="7" s="1"/>
  <c r="I134" i="7" s="1"/>
  <c r="L133" i="7"/>
  <c r="O133" i="7" s="1"/>
  <c r="B134" i="7" s="1"/>
  <c r="H134" i="7" s="1"/>
  <c r="P90" i="6"/>
  <c r="C91" i="6" s="1"/>
  <c r="I91" i="6" s="1"/>
  <c r="K134" i="8" l="1"/>
  <c r="K134" i="7"/>
  <c r="K91" i="6"/>
  <c r="N134" i="8" l="1"/>
  <c r="Q134" i="8" s="1"/>
  <c r="D135" i="8" s="1"/>
  <c r="J135" i="8" s="1"/>
  <c r="M134" i="8"/>
  <c r="P134" i="8" s="1"/>
  <c r="C135" i="8" s="1"/>
  <c r="I135" i="8" s="1"/>
  <c r="L134" i="8"/>
  <c r="O134" i="8" s="1"/>
  <c r="B135" i="8" s="1"/>
  <c r="H135" i="8" s="1"/>
  <c r="N134" i="7"/>
  <c r="Q134" i="7" s="1"/>
  <c r="D135" i="7" s="1"/>
  <c r="J135" i="7" s="1"/>
  <c r="M134" i="7"/>
  <c r="P134" i="7" s="1"/>
  <c r="C135" i="7" s="1"/>
  <c r="I135" i="7" s="1"/>
  <c r="L134" i="7"/>
  <c r="O134" i="7" s="1"/>
  <c r="B135" i="7" s="1"/>
  <c r="H135" i="7" s="1"/>
  <c r="L91" i="6"/>
  <c r="O91" i="6" s="1"/>
  <c r="B92" i="6" s="1"/>
  <c r="H92" i="6" s="1"/>
  <c r="M91" i="6"/>
  <c r="N91" i="6"/>
  <c r="Q91" i="6" s="1"/>
  <c r="D92" i="6" s="1"/>
  <c r="J92" i="6" s="1"/>
  <c r="K135" i="8" l="1"/>
  <c r="K135" i="7"/>
  <c r="P91" i="6"/>
  <c r="C92" i="6" s="1"/>
  <c r="I92" i="6" s="1"/>
  <c r="M135" i="8" l="1"/>
  <c r="P135" i="8" s="1"/>
  <c r="C136" i="8" s="1"/>
  <c r="I136" i="8" s="1"/>
  <c r="L135" i="8"/>
  <c r="O135" i="8" s="1"/>
  <c r="B136" i="8" s="1"/>
  <c r="H136" i="8" s="1"/>
  <c r="N135" i="8"/>
  <c r="Q135" i="8" s="1"/>
  <c r="D136" i="8" s="1"/>
  <c r="J136" i="8" s="1"/>
  <c r="N135" i="7"/>
  <c r="Q135" i="7" s="1"/>
  <c r="D136" i="7" s="1"/>
  <c r="J136" i="7" s="1"/>
  <c r="L135" i="7"/>
  <c r="O135" i="7" s="1"/>
  <c r="B136" i="7" s="1"/>
  <c r="H136" i="7" s="1"/>
  <c r="M135" i="7"/>
  <c r="P135" i="7" s="1"/>
  <c r="C136" i="7" s="1"/>
  <c r="I136" i="7" s="1"/>
  <c r="K92" i="6"/>
  <c r="K136" i="8" l="1"/>
  <c r="K136" i="7"/>
  <c r="N92" i="6"/>
  <c r="Q92" i="6" s="1"/>
  <c r="D93" i="6" s="1"/>
  <c r="J93" i="6" s="1"/>
  <c r="M92" i="6"/>
  <c r="L92" i="6"/>
  <c r="O92" i="6" s="1"/>
  <c r="B93" i="6" s="1"/>
  <c r="H93" i="6" s="1"/>
  <c r="L136" i="8" l="1"/>
  <c r="O136" i="8" s="1"/>
  <c r="B137" i="8" s="1"/>
  <c r="H137" i="8" s="1"/>
  <c r="M136" i="8"/>
  <c r="P136" i="8" s="1"/>
  <c r="C137" i="8" s="1"/>
  <c r="I137" i="8" s="1"/>
  <c r="N136" i="8"/>
  <c r="Q136" i="8" s="1"/>
  <c r="D137" i="8" s="1"/>
  <c r="J137" i="8" s="1"/>
  <c r="M136" i="7"/>
  <c r="P136" i="7" s="1"/>
  <c r="C137" i="7" s="1"/>
  <c r="I137" i="7" s="1"/>
  <c r="L136" i="7"/>
  <c r="O136" i="7" s="1"/>
  <c r="B137" i="7" s="1"/>
  <c r="H137" i="7" s="1"/>
  <c r="N136" i="7"/>
  <c r="Q136" i="7" s="1"/>
  <c r="D137" i="7" s="1"/>
  <c r="J137" i="7" s="1"/>
  <c r="P92" i="6"/>
  <c r="C93" i="6" s="1"/>
  <c r="I93" i="6" s="1"/>
  <c r="K137" i="8" l="1"/>
  <c r="K137" i="7"/>
  <c r="K93" i="6"/>
  <c r="N137" i="8" l="1"/>
  <c r="Q137" i="8" s="1"/>
  <c r="D138" i="8" s="1"/>
  <c r="J138" i="8" s="1"/>
  <c r="L137" i="8"/>
  <c r="O137" i="8" s="1"/>
  <c r="B138" i="8" s="1"/>
  <c r="H138" i="8" s="1"/>
  <c r="M137" i="8"/>
  <c r="P137" i="8" s="1"/>
  <c r="C138" i="8" s="1"/>
  <c r="I138" i="8" s="1"/>
  <c r="L137" i="7"/>
  <c r="O137" i="7" s="1"/>
  <c r="B138" i="7" s="1"/>
  <c r="H138" i="7" s="1"/>
  <c r="N137" i="7"/>
  <c r="Q137" i="7" s="1"/>
  <c r="D138" i="7" s="1"/>
  <c r="J138" i="7" s="1"/>
  <c r="M137" i="7"/>
  <c r="P137" i="7" s="1"/>
  <c r="C138" i="7" s="1"/>
  <c r="I138" i="7" s="1"/>
  <c r="M93" i="6"/>
  <c r="N93" i="6"/>
  <c r="Q93" i="6" s="1"/>
  <c r="D94" i="6" s="1"/>
  <c r="J94" i="6" s="1"/>
  <c r="L93" i="6"/>
  <c r="O93" i="6" s="1"/>
  <c r="B94" i="6" s="1"/>
  <c r="H94" i="6" s="1"/>
  <c r="K138" i="8" l="1"/>
  <c r="K138" i="7"/>
  <c r="P93" i="6"/>
  <c r="C94" i="6" s="1"/>
  <c r="I94" i="6" s="1"/>
  <c r="M138" i="8" l="1"/>
  <c r="P138" i="8" s="1"/>
  <c r="C139" i="8" s="1"/>
  <c r="I139" i="8" s="1"/>
  <c r="L138" i="8"/>
  <c r="O138" i="8" s="1"/>
  <c r="B139" i="8" s="1"/>
  <c r="H139" i="8" s="1"/>
  <c r="N138" i="8"/>
  <c r="Q138" i="8" s="1"/>
  <c r="D139" i="8" s="1"/>
  <c r="J139" i="8" s="1"/>
  <c r="N138" i="7"/>
  <c r="Q138" i="7" s="1"/>
  <c r="D139" i="7" s="1"/>
  <c r="J139" i="7" s="1"/>
  <c r="M138" i="7"/>
  <c r="P138" i="7" s="1"/>
  <c r="C139" i="7" s="1"/>
  <c r="I139" i="7" s="1"/>
  <c r="L138" i="7"/>
  <c r="O138" i="7" s="1"/>
  <c r="B139" i="7" s="1"/>
  <c r="H139" i="7" s="1"/>
  <c r="K94" i="6"/>
  <c r="K139" i="8" l="1"/>
  <c r="K139" i="7"/>
  <c r="M94" i="6"/>
  <c r="N94" i="6"/>
  <c r="Q94" i="6" s="1"/>
  <c r="D95" i="6" s="1"/>
  <c r="J95" i="6" s="1"/>
  <c r="L94" i="6"/>
  <c r="O94" i="6" s="1"/>
  <c r="B95" i="6" s="1"/>
  <c r="H95" i="6" s="1"/>
  <c r="N139" i="8" l="1"/>
  <c r="Q139" i="8" s="1"/>
  <c r="D140" i="8" s="1"/>
  <c r="J140" i="8" s="1"/>
  <c r="L139" i="8"/>
  <c r="O139" i="8" s="1"/>
  <c r="B140" i="8" s="1"/>
  <c r="H140" i="8" s="1"/>
  <c r="M139" i="8"/>
  <c r="P139" i="8" s="1"/>
  <c r="C140" i="8" s="1"/>
  <c r="I140" i="8" s="1"/>
  <c r="N139" i="7"/>
  <c r="Q139" i="7" s="1"/>
  <c r="D140" i="7" s="1"/>
  <c r="J140" i="7" s="1"/>
  <c r="M139" i="7"/>
  <c r="P139" i="7" s="1"/>
  <c r="C140" i="7" s="1"/>
  <c r="I140" i="7" s="1"/>
  <c r="L139" i="7"/>
  <c r="O139" i="7" s="1"/>
  <c r="B140" i="7" s="1"/>
  <c r="H140" i="7" s="1"/>
  <c r="P94" i="6"/>
  <c r="C95" i="6" s="1"/>
  <c r="I95" i="6" s="1"/>
  <c r="K140" i="8" l="1"/>
  <c r="K140" i="7"/>
  <c r="K95" i="6"/>
  <c r="N140" i="8" l="1"/>
  <c r="Q140" i="8" s="1"/>
  <c r="D141" i="8" s="1"/>
  <c r="J141" i="8" s="1"/>
  <c r="M140" i="8"/>
  <c r="P140" i="8" s="1"/>
  <c r="C141" i="8" s="1"/>
  <c r="I141" i="8" s="1"/>
  <c r="L140" i="8"/>
  <c r="O140" i="8" s="1"/>
  <c r="B141" i="8" s="1"/>
  <c r="H141" i="8" s="1"/>
  <c r="M140" i="7"/>
  <c r="P140" i="7" s="1"/>
  <c r="C141" i="7" s="1"/>
  <c r="I141" i="7" s="1"/>
  <c r="L140" i="7"/>
  <c r="O140" i="7" s="1"/>
  <c r="B141" i="7" s="1"/>
  <c r="H141" i="7" s="1"/>
  <c r="N140" i="7"/>
  <c r="Q140" i="7" s="1"/>
  <c r="D141" i="7" s="1"/>
  <c r="J141" i="7" s="1"/>
  <c r="N95" i="6"/>
  <c r="Q95" i="6" s="1"/>
  <c r="D96" i="6" s="1"/>
  <c r="J96" i="6" s="1"/>
  <c r="M95" i="6"/>
  <c r="L95" i="6"/>
  <c r="O95" i="6" s="1"/>
  <c r="B96" i="6" s="1"/>
  <c r="H96" i="6" s="1"/>
  <c r="K141" i="8" l="1"/>
  <c r="K141" i="7"/>
  <c r="P95" i="6"/>
  <c r="C96" i="6" s="1"/>
  <c r="I96" i="6" s="1"/>
  <c r="N141" i="8" l="1"/>
  <c r="Q141" i="8" s="1"/>
  <c r="D142" i="8" s="1"/>
  <c r="J142" i="8" s="1"/>
  <c r="M141" i="8"/>
  <c r="P141" i="8" s="1"/>
  <c r="C142" i="8" s="1"/>
  <c r="I142" i="8" s="1"/>
  <c r="L141" i="8"/>
  <c r="O141" i="8" s="1"/>
  <c r="B142" i="8" s="1"/>
  <c r="H142" i="8" s="1"/>
  <c r="L141" i="7"/>
  <c r="O141" i="7" s="1"/>
  <c r="B142" i="7" s="1"/>
  <c r="H142" i="7" s="1"/>
  <c r="N141" i="7"/>
  <c r="Q141" i="7" s="1"/>
  <c r="D142" i="7" s="1"/>
  <c r="J142" i="7" s="1"/>
  <c r="M141" i="7"/>
  <c r="P141" i="7" s="1"/>
  <c r="C142" i="7" s="1"/>
  <c r="I142" i="7" s="1"/>
  <c r="K96" i="6"/>
  <c r="K142" i="8" l="1"/>
  <c r="K142" i="7"/>
  <c r="L96" i="6"/>
  <c r="O96" i="6" s="1"/>
  <c r="B97" i="6" s="1"/>
  <c r="H97" i="6" s="1"/>
  <c r="M96" i="6"/>
  <c r="N96" i="6"/>
  <c r="Q96" i="6" s="1"/>
  <c r="D97" i="6" s="1"/>
  <c r="J97" i="6" s="1"/>
  <c r="N142" i="8" l="1"/>
  <c r="Q142" i="8" s="1"/>
  <c r="D143" i="8" s="1"/>
  <c r="J143" i="8" s="1"/>
  <c r="M142" i="8"/>
  <c r="P142" i="8" s="1"/>
  <c r="C143" i="8" s="1"/>
  <c r="I143" i="8" s="1"/>
  <c r="L142" i="8"/>
  <c r="O142" i="8" s="1"/>
  <c r="B143" i="8" s="1"/>
  <c r="H143" i="8" s="1"/>
  <c r="N142" i="7"/>
  <c r="Q142" i="7" s="1"/>
  <c r="D143" i="7" s="1"/>
  <c r="J143" i="7" s="1"/>
  <c r="L142" i="7"/>
  <c r="O142" i="7" s="1"/>
  <c r="B143" i="7" s="1"/>
  <c r="H143" i="7" s="1"/>
  <c r="M142" i="7"/>
  <c r="P142" i="7" s="1"/>
  <c r="C143" i="7" s="1"/>
  <c r="I143" i="7" s="1"/>
  <c r="P96" i="6"/>
  <c r="C97" i="6" s="1"/>
  <c r="I97" i="6" s="1"/>
  <c r="K143" i="8" l="1"/>
  <c r="K143" i="7"/>
  <c r="K97" i="6"/>
  <c r="N143" i="8" l="1"/>
  <c r="Q143" i="8" s="1"/>
  <c r="D144" i="8" s="1"/>
  <c r="J144" i="8" s="1"/>
  <c r="M143" i="8"/>
  <c r="P143" i="8" s="1"/>
  <c r="C144" i="8" s="1"/>
  <c r="I144" i="8" s="1"/>
  <c r="L143" i="8"/>
  <c r="O143" i="8" s="1"/>
  <c r="B144" i="8" s="1"/>
  <c r="H144" i="8" s="1"/>
  <c r="M143" i="7"/>
  <c r="P143" i="7" s="1"/>
  <c r="C144" i="7" s="1"/>
  <c r="I144" i="7" s="1"/>
  <c r="L143" i="7"/>
  <c r="O143" i="7" s="1"/>
  <c r="B144" i="7" s="1"/>
  <c r="H144" i="7" s="1"/>
  <c r="N143" i="7"/>
  <c r="Q143" i="7" s="1"/>
  <c r="D144" i="7" s="1"/>
  <c r="J144" i="7" s="1"/>
  <c r="M97" i="6"/>
  <c r="L97" i="6"/>
  <c r="O97" i="6" s="1"/>
  <c r="B98" i="6" s="1"/>
  <c r="H98" i="6" s="1"/>
  <c r="N97" i="6"/>
  <c r="Q97" i="6" s="1"/>
  <c r="D98" i="6" s="1"/>
  <c r="J98" i="6" s="1"/>
  <c r="K144" i="8" l="1"/>
  <c r="K144" i="7"/>
  <c r="P97" i="6"/>
  <c r="C98" i="6" s="1"/>
  <c r="I98" i="6" s="1"/>
  <c r="N144" i="8" l="1"/>
  <c r="Q144" i="8" s="1"/>
  <c r="D145" i="8" s="1"/>
  <c r="J145" i="8" s="1"/>
  <c r="M144" i="8"/>
  <c r="P144" i="8" s="1"/>
  <c r="C145" i="8" s="1"/>
  <c r="I145" i="8" s="1"/>
  <c r="L144" i="8"/>
  <c r="O144" i="8" s="1"/>
  <c r="B145" i="8" s="1"/>
  <c r="H145" i="8" s="1"/>
  <c r="L144" i="7"/>
  <c r="O144" i="7" s="1"/>
  <c r="B145" i="7" s="1"/>
  <c r="H145" i="7" s="1"/>
  <c r="N144" i="7"/>
  <c r="Q144" i="7" s="1"/>
  <c r="D145" i="7" s="1"/>
  <c r="J145" i="7" s="1"/>
  <c r="M144" i="7"/>
  <c r="P144" i="7" s="1"/>
  <c r="C145" i="7" s="1"/>
  <c r="I145" i="7" s="1"/>
  <c r="K98" i="6"/>
  <c r="K145" i="8" l="1"/>
  <c r="K145" i="7"/>
  <c r="N98" i="6"/>
  <c r="Q98" i="6" s="1"/>
  <c r="D99" i="6" s="1"/>
  <c r="J99" i="6" s="1"/>
  <c r="L98" i="6"/>
  <c r="O98" i="6" s="1"/>
  <c r="B99" i="6" s="1"/>
  <c r="H99" i="6" s="1"/>
  <c r="M98" i="6"/>
  <c r="N145" i="8" l="1"/>
  <c r="Q145" i="8" s="1"/>
  <c r="D146" i="8" s="1"/>
  <c r="J146" i="8" s="1"/>
  <c r="M145" i="8"/>
  <c r="P145" i="8" s="1"/>
  <c r="C146" i="8" s="1"/>
  <c r="I146" i="8" s="1"/>
  <c r="L145" i="8"/>
  <c r="O145" i="8" s="1"/>
  <c r="B146" i="8" s="1"/>
  <c r="H146" i="8" s="1"/>
  <c r="N145" i="7"/>
  <c r="Q145" i="7" s="1"/>
  <c r="D146" i="7" s="1"/>
  <c r="J146" i="7" s="1"/>
  <c r="M145" i="7"/>
  <c r="P145" i="7" s="1"/>
  <c r="C146" i="7" s="1"/>
  <c r="I146" i="7" s="1"/>
  <c r="L145" i="7"/>
  <c r="O145" i="7" s="1"/>
  <c r="B146" i="7" s="1"/>
  <c r="H146" i="7" s="1"/>
  <c r="P98" i="6"/>
  <c r="C99" i="6" s="1"/>
  <c r="I99" i="6" s="1"/>
  <c r="K146" i="8" l="1"/>
  <c r="K146" i="7"/>
  <c r="K99" i="6"/>
  <c r="N146" i="8" l="1"/>
  <c r="Q146" i="8" s="1"/>
  <c r="D147" i="8" s="1"/>
  <c r="J147" i="8" s="1"/>
  <c r="M146" i="8"/>
  <c r="P146" i="8" s="1"/>
  <c r="C147" i="8" s="1"/>
  <c r="I147" i="8" s="1"/>
  <c r="L146" i="8"/>
  <c r="O146" i="8" s="1"/>
  <c r="B147" i="8" s="1"/>
  <c r="H147" i="8" s="1"/>
  <c r="N146" i="7"/>
  <c r="Q146" i="7" s="1"/>
  <c r="D147" i="7" s="1"/>
  <c r="J147" i="7" s="1"/>
  <c r="M146" i="7"/>
  <c r="P146" i="7" s="1"/>
  <c r="C147" i="7" s="1"/>
  <c r="I147" i="7" s="1"/>
  <c r="L146" i="7"/>
  <c r="O146" i="7" s="1"/>
  <c r="B147" i="7" s="1"/>
  <c r="H147" i="7" s="1"/>
  <c r="M99" i="6"/>
  <c r="N99" i="6"/>
  <c r="Q99" i="6" s="1"/>
  <c r="D100" i="6" s="1"/>
  <c r="J100" i="6" s="1"/>
  <c r="L99" i="6"/>
  <c r="O99" i="6" s="1"/>
  <c r="B100" i="6" s="1"/>
  <c r="H100" i="6" s="1"/>
  <c r="K147" i="8" l="1"/>
  <c r="K147" i="7"/>
  <c r="P99" i="6"/>
  <c r="C100" i="6" s="1"/>
  <c r="I100" i="6" s="1"/>
  <c r="M147" i="8" l="1"/>
  <c r="P147" i="8" s="1"/>
  <c r="C148" i="8" s="1"/>
  <c r="I148" i="8" s="1"/>
  <c r="L147" i="8"/>
  <c r="O147" i="8" s="1"/>
  <c r="B148" i="8" s="1"/>
  <c r="H148" i="8" s="1"/>
  <c r="N147" i="8"/>
  <c r="Q147" i="8" s="1"/>
  <c r="D148" i="8" s="1"/>
  <c r="J148" i="8" s="1"/>
  <c r="N147" i="7"/>
  <c r="Q147" i="7" s="1"/>
  <c r="D148" i="7" s="1"/>
  <c r="J148" i="7" s="1"/>
  <c r="M147" i="7"/>
  <c r="P147" i="7" s="1"/>
  <c r="C148" i="7" s="1"/>
  <c r="I148" i="7" s="1"/>
  <c r="L147" i="7"/>
  <c r="O147" i="7" s="1"/>
  <c r="B148" i="7" s="1"/>
  <c r="H148" i="7" s="1"/>
  <c r="K100" i="6"/>
  <c r="K148" i="8" l="1"/>
  <c r="K148" i="7"/>
  <c r="M100" i="6"/>
  <c r="N100" i="6"/>
  <c r="Q100" i="6" s="1"/>
  <c r="D101" i="6" s="1"/>
  <c r="J101" i="6" s="1"/>
  <c r="L100" i="6"/>
  <c r="O100" i="6" s="1"/>
  <c r="B101" i="6" s="1"/>
  <c r="H101" i="6" s="1"/>
  <c r="L148" i="8" l="1"/>
  <c r="O148" i="8" s="1"/>
  <c r="B149" i="8" s="1"/>
  <c r="H149" i="8" s="1"/>
  <c r="M148" i="8"/>
  <c r="P148" i="8" s="1"/>
  <c r="C149" i="8" s="1"/>
  <c r="I149" i="8" s="1"/>
  <c r="N148" i="8"/>
  <c r="Q148" i="8" s="1"/>
  <c r="D149" i="8" s="1"/>
  <c r="J149" i="8" s="1"/>
  <c r="M148" i="7"/>
  <c r="P148" i="7" s="1"/>
  <c r="C149" i="7" s="1"/>
  <c r="I149" i="7" s="1"/>
  <c r="N148" i="7"/>
  <c r="Q148" i="7" s="1"/>
  <c r="D149" i="7" s="1"/>
  <c r="J149" i="7" s="1"/>
  <c r="L148" i="7"/>
  <c r="O148" i="7" s="1"/>
  <c r="B149" i="7" s="1"/>
  <c r="H149" i="7" s="1"/>
  <c r="P100" i="6"/>
  <c r="C101" i="6" s="1"/>
  <c r="I101" i="6" s="1"/>
  <c r="K149" i="8" l="1"/>
  <c r="K149" i="7"/>
  <c r="K101" i="6"/>
  <c r="N149" i="8" l="1"/>
  <c r="Q149" i="8" s="1"/>
  <c r="D150" i="8" s="1"/>
  <c r="J150" i="8" s="1"/>
  <c r="L149" i="8"/>
  <c r="O149" i="8" s="1"/>
  <c r="B150" i="8" s="1"/>
  <c r="H150" i="8" s="1"/>
  <c r="M149" i="8"/>
  <c r="P149" i="8" s="1"/>
  <c r="C150" i="8" s="1"/>
  <c r="I150" i="8" s="1"/>
  <c r="L149" i="7"/>
  <c r="O149" i="7" s="1"/>
  <c r="B150" i="7" s="1"/>
  <c r="H150" i="7" s="1"/>
  <c r="N149" i="7"/>
  <c r="Q149" i="7" s="1"/>
  <c r="D150" i="7" s="1"/>
  <c r="J150" i="7" s="1"/>
  <c r="M149" i="7"/>
  <c r="P149" i="7" s="1"/>
  <c r="C150" i="7" s="1"/>
  <c r="I150" i="7" s="1"/>
  <c r="N101" i="6"/>
  <c r="Q101" i="6" s="1"/>
  <c r="D102" i="6" s="1"/>
  <c r="J102" i="6" s="1"/>
  <c r="L101" i="6"/>
  <c r="O101" i="6" s="1"/>
  <c r="B102" i="6" s="1"/>
  <c r="H102" i="6" s="1"/>
  <c r="M101" i="6"/>
  <c r="K150" i="8" l="1"/>
  <c r="K150" i="7"/>
  <c r="P101" i="6"/>
  <c r="C102" i="6" s="1"/>
  <c r="I102" i="6" s="1"/>
  <c r="M150" i="8" l="1"/>
  <c r="P150" i="8" s="1"/>
  <c r="C151" i="8" s="1"/>
  <c r="I151" i="8" s="1"/>
  <c r="L150" i="8"/>
  <c r="O150" i="8" s="1"/>
  <c r="B151" i="8" s="1"/>
  <c r="H151" i="8" s="1"/>
  <c r="N150" i="8"/>
  <c r="Q150" i="8" s="1"/>
  <c r="D151" i="8" s="1"/>
  <c r="J151" i="8" s="1"/>
  <c r="N150" i="7"/>
  <c r="Q150" i="7" s="1"/>
  <c r="D151" i="7" s="1"/>
  <c r="J151" i="7" s="1"/>
  <c r="M150" i="7"/>
  <c r="P150" i="7" s="1"/>
  <c r="C151" i="7" s="1"/>
  <c r="I151" i="7" s="1"/>
  <c r="L150" i="7"/>
  <c r="O150" i="7" s="1"/>
  <c r="B151" i="7" s="1"/>
  <c r="H151" i="7" s="1"/>
  <c r="K102" i="6"/>
  <c r="K151" i="8" l="1"/>
  <c r="K151" i="7"/>
  <c r="L102" i="6"/>
  <c r="O102" i="6" s="1"/>
  <c r="B103" i="6" s="1"/>
  <c r="H103" i="6" s="1"/>
  <c r="N102" i="6"/>
  <c r="Q102" i="6" s="1"/>
  <c r="D103" i="6" s="1"/>
  <c r="J103" i="6" s="1"/>
  <c r="M102" i="6"/>
  <c r="N151" i="8" l="1"/>
  <c r="Q151" i="8" s="1"/>
  <c r="D152" i="8" s="1"/>
  <c r="J152" i="8" s="1"/>
  <c r="L151" i="8"/>
  <c r="O151" i="8" s="1"/>
  <c r="B152" i="8" s="1"/>
  <c r="H152" i="8" s="1"/>
  <c r="M151" i="8"/>
  <c r="P151" i="8" s="1"/>
  <c r="C152" i="8" s="1"/>
  <c r="I152" i="8" s="1"/>
  <c r="N151" i="7"/>
  <c r="Q151" i="7" s="1"/>
  <c r="D152" i="7" s="1"/>
  <c r="J152" i="7" s="1"/>
  <c r="M151" i="7"/>
  <c r="P151" i="7" s="1"/>
  <c r="C152" i="7" s="1"/>
  <c r="I152" i="7" s="1"/>
  <c r="L151" i="7"/>
  <c r="O151" i="7" s="1"/>
  <c r="B152" i="7" s="1"/>
  <c r="H152" i="7" s="1"/>
  <c r="P102" i="6"/>
  <c r="C103" i="6" s="1"/>
  <c r="I103" i="6" s="1"/>
  <c r="K152" i="8" l="1"/>
  <c r="K152" i="7"/>
  <c r="K103" i="6"/>
  <c r="N152" i="8" l="1"/>
  <c r="Q152" i="8" s="1"/>
  <c r="D153" i="8" s="1"/>
  <c r="J153" i="8" s="1"/>
  <c r="M152" i="8"/>
  <c r="P152" i="8" s="1"/>
  <c r="C153" i="8" s="1"/>
  <c r="I153" i="8" s="1"/>
  <c r="L152" i="8"/>
  <c r="O152" i="8" s="1"/>
  <c r="B153" i="8" s="1"/>
  <c r="H153" i="8" s="1"/>
  <c r="M152" i="7"/>
  <c r="P152" i="7" s="1"/>
  <c r="C153" i="7" s="1"/>
  <c r="I153" i="7" s="1"/>
  <c r="L152" i="7"/>
  <c r="O152" i="7" s="1"/>
  <c r="B153" i="7" s="1"/>
  <c r="H153" i="7" s="1"/>
  <c r="N152" i="7"/>
  <c r="Q152" i="7" s="1"/>
  <c r="D153" i="7" s="1"/>
  <c r="J153" i="7" s="1"/>
  <c r="N103" i="6"/>
  <c r="Q103" i="6" s="1"/>
  <c r="D104" i="6" s="1"/>
  <c r="J104" i="6" s="1"/>
  <c r="L103" i="6"/>
  <c r="O103" i="6" s="1"/>
  <c r="B104" i="6" s="1"/>
  <c r="H104" i="6" s="1"/>
  <c r="M103" i="6"/>
  <c r="K153" i="8" l="1"/>
  <c r="K153" i="7"/>
  <c r="P103" i="6"/>
  <c r="C104" i="6" s="1"/>
  <c r="I104" i="6" s="1"/>
  <c r="N153" i="8" l="1"/>
  <c r="Q153" i="8" s="1"/>
  <c r="D154" i="8" s="1"/>
  <c r="J154" i="8" s="1"/>
  <c r="M153" i="8"/>
  <c r="P153" i="8" s="1"/>
  <c r="C154" i="8" s="1"/>
  <c r="I154" i="8" s="1"/>
  <c r="L153" i="8"/>
  <c r="O153" i="8" s="1"/>
  <c r="B154" i="8" s="1"/>
  <c r="H154" i="8" s="1"/>
  <c r="L153" i="7"/>
  <c r="O153" i="7" s="1"/>
  <c r="B154" i="7" s="1"/>
  <c r="H154" i="7" s="1"/>
  <c r="N153" i="7"/>
  <c r="Q153" i="7" s="1"/>
  <c r="D154" i="7" s="1"/>
  <c r="J154" i="7" s="1"/>
  <c r="M153" i="7"/>
  <c r="P153" i="7" s="1"/>
  <c r="C154" i="7" s="1"/>
  <c r="I154" i="7" s="1"/>
  <c r="K104" i="6"/>
  <c r="K154" i="8" l="1"/>
  <c r="K154" i="7"/>
  <c r="L104" i="6"/>
  <c r="O104" i="6" s="1"/>
  <c r="B105" i="6" s="1"/>
  <c r="H105" i="6" s="1"/>
  <c r="M104" i="6"/>
  <c r="N104" i="6"/>
  <c r="Q104" i="6" s="1"/>
  <c r="D105" i="6" s="1"/>
  <c r="J105" i="6" s="1"/>
  <c r="N154" i="8" l="1"/>
  <c r="Q154" i="8" s="1"/>
  <c r="D155" i="8" s="1"/>
  <c r="J155" i="8" s="1"/>
  <c r="M154" i="8"/>
  <c r="P154" i="8" s="1"/>
  <c r="C155" i="8" s="1"/>
  <c r="I155" i="8" s="1"/>
  <c r="L154" i="8"/>
  <c r="O154" i="8" s="1"/>
  <c r="B155" i="8" s="1"/>
  <c r="H155" i="8" s="1"/>
  <c r="N154" i="7"/>
  <c r="Q154" i="7" s="1"/>
  <c r="D155" i="7" s="1"/>
  <c r="J155" i="7" s="1"/>
  <c r="M154" i="7"/>
  <c r="P154" i="7" s="1"/>
  <c r="C155" i="7" s="1"/>
  <c r="I155" i="7" s="1"/>
  <c r="L154" i="7"/>
  <c r="O154" i="7" s="1"/>
  <c r="B155" i="7" s="1"/>
  <c r="H155" i="7" s="1"/>
  <c r="P104" i="6"/>
  <c r="C105" i="6" s="1"/>
  <c r="I105" i="6" s="1"/>
  <c r="K155" i="8" l="1"/>
  <c r="K155" i="7"/>
  <c r="K105" i="6"/>
  <c r="N155" i="8" l="1"/>
  <c r="Q155" i="8" s="1"/>
  <c r="M155" i="8"/>
  <c r="P155" i="8" s="1"/>
  <c r="L155" i="8"/>
  <c r="O155" i="8" s="1"/>
  <c r="M155" i="7"/>
  <c r="P155" i="7" s="1"/>
  <c r="N155" i="7"/>
  <c r="Q155" i="7" s="1"/>
  <c r="L155" i="7"/>
  <c r="O155" i="7" s="1"/>
  <c r="N105" i="6"/>
  <c r="Q105" i="6" s="1"/>
  <c r="D106" i="6" s="1"/>
  <c r="J106" i="6" s="1"/>
  <c r="L105" i="6"/>
  <c r="O105" i="6" s="1"/>
  <c r="B106" i="6" s="1"/>
  <c r="H106" i="6" s="1"/>
  <c r="M105" i="6"/>
  <c r="P105" i="6" l="1"/>
  <c r="C106" i="6" s="1"/>
  <c r="I106" i="6" s="1"/>
  <c r="K106" i="6" l="1"/>
  <c r="L106" i="6" l="1"/>
  <c r="O106" i="6" s="1"/>
  <c r="B107" i="6" s="1"/>
  <c r="H107" i="6" s="1"/>
  <c r="N106" i="6"/>
  <c r="Q106" i="6" s="1"/>
  <c r="D107" i="6" s="1"/>
  <c r="J107" i="6" s="1"/>
  <c r="M106" i="6"/>
  <c r="P106" i="6" l="1"/>
  <c r="C107" i="6" s="1"/>
  <c r="I107" i="6" s="1"/>
  <c r="K107" i="6" l="1"/>
  <c r="L107" i="6" l="1"/>
  <c r="O107" i="6" s="1"/>
  <c r="B108" i="6" s="1"/>
  <c r="H108" i="6" s="1"/>
  <c r="N107" i="6"/>
  <c r="Q107" i="6" s="1"/>
  <c r="D108" i="6" s="1"/>
  <c r="J108" i="6" s="1"/>
  <c r="M107" i="6"/>
  <c r="P107" i="6" l="1"/>
  <c r="C108" i="6" s="1"/>
  <c r="I108" i="6" s="1"/>
  <c r="K108" i="6" l="1"/>
  <c r="M108" i="6" l="1"/>
  <c r="L108" i="6"/>
  <c r="O108" i="6" s="1"/>
  <c r="B109" i="6" s="1"/>
  <c r="H109" i="6" s="1"/>
  <c r="N108" i="6"/>
  <c r="Q108" i="6" s="1"/>
  <c r="D109" i="6" s="1"/>
  <c r="J109" i="6" s="1"/>
  <c r="P108" i="6" l="1"/>
  <c r="C109" i="6" s="1"/>
  <c r="I109" i="6" s="1"/>
  <c r="K109" i="6" l="1"/>
  <c r="M109" i="6" l="1"/>
  <c r="L109" i="6"/>
  <c r="O109" i="6" s="1"/>
  <c r="B110" i="6" s="1"/>
  <c r="H110" i="6" s="1"/>
  <c r="N109" i="6"/>
  <c r="Q109" i="6" s="1"/>
  <c r="D110" i="6" s="1"/>
  <c r="J110" i="6" s="1"/>
  <c r="P109" i="6" l="1"/>
  <c r="C110" i="6" s="1"/>
  <c r="I110" i="6" s="1"/>
  <c r="K110" i="6" l="1"/>
  <c r="L110" i="6" l="1"/>
  <c r="O110" i="6" s="1"/>
  <c r="B111" i="6" s="1"/>
  <c r="H111" i="6" s="1"/>
  <c r="M110" i="6"/>
  <c r="N110" i="6"/>
  <c r="Q110" i="6" s="1"/>
  <c r="D111" i="6" s="1"/>
  <c r="J111" i="6" s="1"/>
  <c r="P110" i="6" l="1"/>
  <c r="C111" i="6" s="1"/>
  <c r="I111" i="6" s="1"/>
  <c r="K111" i="6" l="1"/>
  <c r="N111" i="6" l="1"/>
  <c r="Q111" i="6" s="1"/>
  <c r="D112" i="6" s="1"/>
  <c r="J112" i="6" s="1"/>
  <c r="L111" i="6"/>
  <c r="O111" i="6" s="1"/>
  <c r="B112" i="6" s="1"/>
  <c r="H112" i="6" s="1"/>
  <c r="M111" i="6"/>
  <c r="P111" i="6" l="1"/>
  <c r="C112" i="6" s="1"/>
  <c r="I112" i="6" s="1"/>
  <c r="K112" i="6" l="1"/>
  <c r="N112" i="6" l="1"/>
  <c r="Q112" i="6" s="1"/>
  <c r="D113" i="6" s="1"/>
  <c r="J113" i="6" s="1"/>
  <c r="M112" i="6"/>
  <c r="L112" i="6"/>
  <c r="O112" i="6" s="1"/>
  <c r="B113" i="6" s="1"/>
  <c r="H113" i="6" s="1"/>
  <c r="P112" i="6" l="1"/>
  <c r="C113" i="6" s="1"/>
  <c r="I113" i="6" s="1"/>
  <c r="K113" i="6" l="1"/>
  <c r="N113" i="6" l="1"/>
  <c r="Q113" i="6" s="1"/>
  <c r="D114" i="6" s="1"/>
  <c r="J114" i="6" s="1"/>
  <c r="M113" i="6"/>
  <c r="L113" i="6"/>
  <c r="O113" i="6" s="1"/>
  <c r="B114" i="6" s="1"/>
  <c r="H114" i="6" s="1"/>
  <c r="P113" i="6" l="1"/>
  <c r="C114" i="6" s="1"/>
  <c r="I114" i="6" s="1"/>
  <c r="K114" i="6" l="1"/>
  <c r="M114" i="6" l="1"/>
  <c r="L114" i="6"/>
  <c r="O114" i="6" s="1"/>
  <c r="B115" i="6" s="1"/>
  <c r="H115" i="6" s="1"/>
  <c r="N114" i="6"/>
  <c r="Q114" i="6" s="1"/>
  <c r="D115" i="6" s="1"/>
  <c r="J115" i="6" s="1"/>
  <c r="P114" i="6" l="1"/>
  <c r="C115" i="6" s="1"/>
  <c r="I115" i="6" s="1"/>
  <c r="K115" i="6" l="1"/>
  <c r="N115" i="6" l="1"/>
  <c r="Q115" i="6" s="1"/>
  <c r="D116" i="6" s="1"/>
  <c r="J116" i="6" s="1"/>
  <c r="M115" i="6"/>
  <c r="L115" i="6"/>
  <c r="O115" i="6" s="1"/>
  <c r="B116" i="6" s="1"/>
  <c r="H116" i="6" s="1"/>
  <c r="P115" i="6" l="1"/>
  <c r="C116" i="6" s="1"/>
  <c r="I116" i="6" s="1"/>
  <c r="K116" i="6" l="1"/>
  <c r="N116" i="6" l="1"/>
  <c r="Q116" i="6" s="1"/>
  <c r="D117" i="6" s="1"/>
  <c r="J117" i="6" s="1"/>
  <c r="M116" i="6"/>
  <c r="L116" i="6"/>
  <c r="O116" i="6" s="1"/>
  <c r="B117" i="6" s="1"/>
  <c r="H117" i="6" s="1"/>
  <c r="P116" i="6" l="1"/>
  <c r="C117" i="6" s="1"/>
  <c r="I117" i="6" s="1"/>
  <c r="K117" i="6" l="1"/>
  <c r="M117" i="6" l="1"/>
  <c r="N117" i="6"/>
  <c r="Q117" i="6" s="1"/>
  <c r="D118" i="6" s="1"/>
  <c r="J118" i="6" s="1"/>
  <c r="L117" i="6"/>
  <c r="O117" i="6" s="1"/>
  <c r="B118" i="6" s="1"/>
  <c r="H118" i="6" s="1"/>
  <c r="P117" i="6" l="1"/>
  <c r="C118" i="6" s="1"/>
  <c r="I118" i="6" s="1"/>
  <c r="K118" i="6" l="1"/>
  <c r="L118" i="6" l="1"/>
  <c r="O118" i="6" s="1"/>
  <c r="B119" i="6" s="1"/>
  <c r="H119" i="6" s="1"/>
  <c r="M118" i="6"/>
  <c r="N118" i="6"/>
  <c r="Q118" i="6" s="1"/>
  <c r="D119" i="6" s="1"/>
  <c r="J119" i="6" s="1"/>
  <c r="P118" i="6" l="1"/>
  <c r="C119" i="6" s="1"/>
  <c r="I119" i="6" s="1"/>
  <c r="K119" i="6" l="1"/>
  <c r="L119" i="6" l="1"/>
  <c r="O119" i="6" s="1"/>
  <c r="B120" i="6" s="1"/>
  <c r="H120" i="6" s="1"/>
  <c r="M119" i="6"/>
  <c r="N119" i="6"/>
  <c r="Q119" i="6" s="1"/>
  <c r="D120" i="6" s="1"/>
  <c r="J120" i="6" s="1"/>
  <c r="P119" i="6" l="1"/>
  <c r="C120" i="6" s="1"/>
  <c r="I120" i="6" s="1"/>
  <c r="K120" i="6" l="1"/>
  <c r="N120" i="6" l="1"/>
  <c r="Q120" i="6" s="1"/>
  <c r="D121" i="6" s="1"/>
  <c r="J121" i="6" s="1"/>
  <c r="M120" i="6"/>
  <c r="L120" i="6"/>
  <c r="O120" i="6" s="1"/>
  <c r="B121" i="6" s="1"/>
  <c r="H121" i="6" s="1"/>
  <c r="P120" i="6" l="1"/>
  <c r="C121" i="6" s="1"/>
  <c r="I121" i="6" s="1"/>
  <c r="K121" i="6" l="1"/>
  <c r="L121" i="6" l="1"/>
  <c r="O121" i="6" s="1"/>
  <c r="B122" i="6" s="1"/>
  <c r="H122" i="6" s="1"/>
  <c r="M121" i="6"/>
  <c r="N121" i="6"/>
  <c r="Q121" i="6" s="1"/>
  <c r="D122" i="6" s="1"/>
  <c r="J122" i="6" s="1"/>
  <c r="P121" i="6" l="1"/>
  <c r="C122" i="6" s="1"/>
  <c r="I122" i="6" s="1"/>
  <c r="K122" i="6" l="1"/>
  <c r="L122" i="6" l="1"/>
  <c r="O122" i="6" s="1"/>
  <c r="B123" i="6" s="1"/>
  <c r="H123" i="6" s="1"/>
  <c r="N122" i="6"/>
  <c r="Q122" i="6" s="1"/>
  <c r="D123" i="6" s="1"/>
  <c r="J123" i="6" s="1"/>
  <c r="M122" i="6"/>
  <c r="P122" i="6" l="1"/>
  <c r="C123" i="6" s="1"/>
  <c r="I123" i="6" s="1"/>
  <c r="K123" i="6" l="1"/>
  <c r="M123" i="6" l="1"/>
  <c r="L123" i="6"/>
  <c r="O123" i="6" s="1"/>
  <c r="B124" i="6" s="1"/>
  <c r="H124" i="6" s="1"/>
  <c r="N123" i="6"/>
  <c r="Q123" i="6" s="1"/>
  <c r="D124" i="6" s="1"/>
  <c r="J124" i="6" s="1"/>
  <c r="P123" i="6" l="1"/>
  <c r="C124" i="6" s="1"/>
  <c r="I124" i="6" s="1"/>
  <c r="K124" i="6" l="1"/>
  <c r="M124" i="6" l="1"/>
  <c r="L124" i="6"/>
  <c r="O124" i="6" s="1"/>
  <c r="B125" i="6" s="1"/>
  <c r="H125" i="6" s="1"/>
  <c r="N124" i="6"/>
  <c r="Q124" i="6" s="1"/>
  <c r="D125" i="6" s="1"/>
  <c r="J125" i="6" s="1"/>
  <c r="P124" i="6" l="1"/>
  <c r="C125" i="6" s="1"/>
  <c r="I125" i="6" s="1"/>
  <c r="K125" i="6" l="1"/>
  <c r="N125" i="6" l="1"/>
  <c r="Q125" i="6" s="1"/>
  <c r="D126" i="6" s="1"/>
  <c r="J126" i="6" s="1"/>
  <c r="L125" i="6"/>
  <c r="O125" i="6" s="1"/>
  <c r="B126" i="6" s="1"/>
  <c r="H126" i="6" s="1"/>
  <c r="M125" i="6"/>
  <c r="P125" i="6" l="1"/>
  <c r="C126" i="6" s="1"/>
  <c r="I126" i="6" s="1"/>
  <c r="K126" i="6" l="1"/>
  <c r="M126" i="6" l="1"/>
  <c r="L126" i="6"/>
  <c r="O126" i="6" s="1"/>
  <c r="B127" i="6" s="1"/>
  <c r="H127" i="6" s="1"/>
  <c r="N126" i="6"/>
  <c r="Q126" i="6" s="1"/>
  <c r="D127" i="6" s="1"/>
  <c r="J127" i="6" s="1"/>
  <c r="P126" i="6" l="1"/>
  <c r="C127" i="6" s="1"/>
  <c r="I127" i="6" s="1"/>
  <c r="K127" i="6" l="1"/>
  <c r="M127" i="6" l="1"/>
  <c r="L127" i="6"/>
  <c r="O127" i="6" s="1"/>
  <c r="B128" i="6" s="1"/>
  <c r="H128" i="6" s="1"/>
  <c r="N127" i="6"/>
  <c r="Q127" i="6" s="1"/>
  <c r="D128" i="6" s="1"/>
  <c r="J128" i="6" s="1"/>
  <c r="P127" i="6" l="1"/>
  <c r="C128" i="6" s="1"/>
  <c r="I128" i="6" s="1"/>
  <c r="K128" i="6" l="1"/>
  <c r="M128" i="6" l="1"/>
  <c r="N128" i="6"/>
  <c r="Q128" i="6" s="1"/>
  <c r="D129" i="6" s="1"/>
  <c r="J129" i="6" s="1"/>
  <c r="L128" i="6"/>
  <c r="O128" i="6" s="1"/>
  <c r="B129" i="6" s="1"/>
  <c r="H129" i="6" s="1"/>
  <c r="P128" i="6" l="1"/>
  <c r="C129" i="6" s="1"/>
  <c r="I129" i="6" s="1"/>
  <c r="K129" i="6" l="1"/>
  <c r="N129" i="6" l="1"/>
  <c r="Q129" i="6" s="1"/>
  <c r="D130" i="6" s="1"/>
  <c r="J130" i="6" s="1"/>
  <c r="M129" i="6"/>
  <c r="L129" i="6"/>
  <c r="O129" i="6" s="1"/>
  <c r="B130" i="6" s="1"/>
  <c r="H130" i="6" s="1"/>
  <c r="P129" i="6" l="1"/>
  <c r="C130" i="6" s="1"/>
  <c r="I130" i="6" s="1"/>
  <c r="K130" i="6" l="1"/>
  <c r="N130" i="6" l="1"/>
  <c r="Q130" i="6" s="1"/>
  <c r="D131" i="6" s="1"/>
  <c r="J131" i="6" s="1"/>
  <c r="L130" i="6"/>
  <c r="O130" i="6" s="1"/>
  <c r="B131" i="6" s="1"/>
  <c r="H131" i="6" s="1"/>
  <c r="M130" i="6"/>
  <c r="P130" i="6" l="1"/>
  <c r="C131" i="6" s="1"/>
  <c r="I131" i="6" s="1"/>
  <c r="K131" i="6" l="1"/>
  <c r="M131" i="6" l="1"/>
  <c r="L131" i="6"/>
  <c r="O131" i="6" s="1"/>
  <c r="B132" i="6" s="1"/>
  <c r="H132" i="6" s="1"/>
  <c r="N131" i="6"/>
  <c r="Q131" i="6" s="1"/>
  <c r="D132" i="6" s="1"/>
  <c r="J132" i="6" s="1"/>
  <c r="P131" i="6" l="1"/>
  <c r="C132" i="6" s="1"/>
  <c r="I132" i="6" s="1"/>
  <c r="K132" i="6" l="1"/>
  <c r="L132" i="6" l="1"/>
  <c r="O132" i="6" s="1"/>
  <c r="B133" i="6" s="1"/>
  <c r="H133" i="6" s="1"/>
  <c r="M132" i="6"/>
  <c r="N132" i="6"/>
  <c r="Q132" i="6" s="1"/>
  <c r="D133" i="6" s="1"/>
  <c r="J133" i="6" s="1"/>
  <c r="P132" i="6" l="1"/>
  <c r="C133" i="6" s="1"/>
  <c r="I133" i="6" s="1"/>
  <c r="K133" i="6" l="1"/>
  <c r="L133" i="6" l="1"/>
  <c r="O133" i="6" s="1"/>
  <c r="B134" i="6" s="1"/>
  <c r="H134" i="6" s="1"/>
  <c r="M133" i="6"/>
  <c r="N133" i="6"/>
  <c r="Q133" i="6" s="1"/>
  <c r="D134" i="6" s="1"/>
  <c r="J134" i="6" s="1"/>
  <c r="P133" i="6" l="1"/>
  <c r="C134" i="6" s="1"/>
  <c r="I134" i="6" s="1"/>
  <c r="K134" i="6" l="1"/>
  <c r="N134" i="6" l="1"/>
  <c r="Q134" i="6" s="1"/>
  <c r="D135" i="6" s="1"/>
  <c r="J135" i="6" s="1"/>
  <c r="M134" i="6"/>
  <c r="L134" i="6"/>
  <c r="O134" i="6" s="1"/>
  <c r="B135" i="6" s="1"/>
  <c r="H135" i="6" s="1"/>
  <c r="P134" i="6" l="1"/>
  <c r="C135" i="6" s="1"/>
  <c r="I135" i="6" s="1"/>
  <c r="K135" i="6" l="1"/>
  <c r="L135" i="6" l="1"/>
  <c r="O135" i="6" s="1"/>
  <c r="B136" i="6" s="1"/>
  <c r="H136" i="6" s="1"/>
  <c r="M135" i="6"/>
  <c r="N135" i="6"/>
  <c r="Q135" i="6" s="1"/>
  <c r="D136" i="6" s="1"/>
  <c r="J136" i="6" s="1"/>
  <c r="P135" i="6" l="1"/>
  <c r="C136" i="6" s="1"/>
  <c r="I136" i="6" s="1"/>
  <c r="K136" i="6" l="1"/>
  <c r="M136" i="6" l="1"/>
  <c r="L136" i="6"/>
  <c r="O136" i="6" s="1"/>
  <c r="B137" i="6" s="1"/>
  <c r="H137" i="6" s="1"/>
  <c r="N136" i="6"/>
  <c r="Q136" i="6" s="1"/>
  <c r="D137" i="6" s="1"/>
  <c r="J137" i="6" s="1"/>
  <c r="P136" i="6" l="1"/>
  <c r="C137" i="6" s="1"/>
  <c r="I137" i="6" s="1"/>
  <c r="K137" i="6" l="1"/>
  <c r="N137" i="6" l="1"/>
  <c r="Q137" i="6" s="1"/>
  <c r="D138" i="6" s="1"/>
  <c r="J138" i="6" s="1"/>
  <c r="M137" i="6"/>
  <c r="L137" i="6"/>
  <c r="O137" i="6" s="1"/>
  <c r="B138" i="6" s="1"/>
  <c r="H138" i="6" s="1"/>
  <c r="P137" i="6" l="1"/>
  <c r="C138" i="6" s="1"/>
  <c r="I138" i="6" s="1"/>
  <c r="K138" i="6" l="1"/>
  <c r="N138" i="6" l="1"/>
  <c r="Q138" i="6" s="1"/>
  <c r="D139" i="6" s="1"/>
  <c r="J139" i="6" s="1"/>
  <c r="M138" i="6"/>
  <c r="L138" i="6"/>
  <c r="O138" i="6" s="1"/>
  <c r="B139" i="6" s="1"/>
  <c r="H139" i="6" s="1"/>
  <c r="P138" i="6" l="1"/>
  <c r="C139" i="6" s="1"/>
  <c r="I139" i="6" s="1"/>
  <c r="K139" i="6" l="1"/>
  <c r="M139" i="6" l="1"/>
  <c r="L139" i="6"/>
  <c r="O139" i="6" s="1"/>
  <c r="B140" i="6" s="1"/>
  <c r="H140" i="6" s="1"/>
  <c r="N139" i="6"/>
  <c r="Q139" i="6" s="1"/>
  <c r="D140" i="6" s="1"/>
  <c r="J140" i="6" s="1"/>
  <c r="P139" i="6" l="1"/>
  <c r="C140" i="6" s="1"/>
  <c r="I140" i="6" s="1"/>
  <c r="K140" i="6" l="1"/>
  <c r="M140" i="6" l="1"/>
  <c r="N140" i="6"/>
  <c r="Q140" i="6" s="1"/>
  <c r="D141" i="6" s="1"/>
  <c r="J141" i="6" s="1"/>
  <c r="L140" i="6"/>
  <c r="O140" i="6" s="1"/>
  <c r="B141" i="6" s="1"/>
  <c r="H141" i="6" s="1"/>
  <c r="P140" i="6" l="1"/>
  <c r="C141" i="6" s="1"/>
  <c r="I141" i="6" s="1"/>
  <c r="K141" i="6" l="1"/>
  <c r="M141" i="6" l="1"/>
  <c r="L141" i="6"/>
  <c r="O141" i="6" s="1"/>
  <c r="B142" i="6" s="1"/>
  <c r="H142" i="6" s="1"/>
  <c r="N141" i="6"/>
  <c r="Q141" i="6" s="1"/>
  <c r="D142" i="6" s="1"/>
  <c r="J142" i="6" s="1"/>
  <c r="P141" i="6" l="1"/>
  <c r="C142" i="6" s="1"/>
  <c r="I142" i="6" s="1"/>
  <c r="K142" i="6" l="1"/>
  <c r="M142" i="6" l="1"/>
  <c r="N142" i="6"/>
  <c r="Q142" i="6" s="1"/>
  <c r="D143" i="6" s="1"/>
  <c r="J143" i="6" s="1"/>
  <c r="L142" i="6"/>
  <c r="O142" i="6" s="1"/>
  <c r="B143" i="6" s="1"/>
  <c r="H143" i="6" s="1"/>
  <c r="P142" i="6" l="1"/>
  <c r="C143" i="6" s="1"/>
  <c r="I143" i="6" s="1"/>
  <c r="K143" i="6" l="1"/>
  <c r="N143" i="6" l="1"/>
  <c r="Q143" i="6" s="1"/>
  <c r="D144" i="6" s="1"/>
  <c r="J144" i="6" s="1"/>
  <c r="L143" i="6"/>
  <c r="O143" i="6" s="1"/>
  <c r="B144" i="6" s="1"/>
  <c r="H144" i="6" s="1"/>
  <c r="M143" i="6"/>
  <c r="P143" i="6" l="1"/>
  <c r="C144" i="6" s="1"/>
  <c r="I144" i="6" s="1"/>
  <c r="K144" i="6" l="1"/>
  <c r="L144" i="6" l="1"/>
  <c r="O144" i="6" s="1"/>
  <c r="B145" i="6" s="1"/>
  <c r="H145" i="6" s="1"/>
  <c r="M144" i="6"/>
  <c r="N144" i="6"/>
  <c r="Q144" i="6" s="1"/>
  <c r="D145" i="6" s="1"/>
  <c r="J145" i="6" s="1"/>
  <c r="P144" i="6" l="1"/>
  <c r="C145" i="6" s="1"/>
  <c r="I145" i="6" s="1"/>
  <c r="K145" i="6" l="1"/>
  <c r="M145" i="6" l="1"/>
  <c r="L145" i="6"/>
  <c r="O145" i="6" s="1"/>
  <c r="B146" i="6" s="1"/>
  <c r="H146" i="6" s="1"/>
  <c r="N145" i="6"/>
  <c r="Q145" i="6" s="1"/>
  <c r="D146" i="6" s="1"/>
  <c r="J146" i="6" s="1"/>
  <c r="P145" i="6" l="1"/>
  <c r="C146" i="6" s="1"/>
  <c r="I146" i="6" s="1"/>
  <c r="K146" i="6" l="1"/>
  <c r="N146" i="6" l="1"/>
  <c r="Q146" i="6" s="1"/>
  <c r="D147" i="6" s="1"/>
  <c r="J147" i="6" s="1"/>
  <c r="L146" i="6"/>
  <c r="O146" i="6" s="1"/>
  <c r="B147" i="6" s="1"/>
  <c r="H147" i="6" s="1"/>
  <c r="M146" i="6"/>
  <c r="P146" i="6" l="1"/>
  <c r="C147" i="6" s="1"/>
  <c r="I147" i="6" s="1"/>
  <c r="K147" i="6" l="1"/>
  <c r="L147" i="6" l="1"/>
  <c r="O147" i="6" s="1"/>
  <c r="B148" i="6" s="1"/>
  <c r="H148" i="6" s="1"/>
  <c r="N147" i="6"/>
  <c r="Q147" i="6" s="1"/>
  <c r="D148" i="6" s="1"/>
  <c r="J148" i="6" s="1"/>
  <c r="M147" i="6"/>
  <c r="P147" i="6" l="1"/>
  <c r="C148" i="6" s="1"/>
  <c r="I148" i="6" s="1"/>
  <c r="K148" i="6" l="1"/>
  <c r="N148" i="6" l="1"/>
  <c r="Q148" i="6" s="1"/>
  <c r="D149" i="6" s="1"/>
  <c r="J149" i="6" s="1"/>
  <c r="M148" i="6"/>
  <c r="L148" i="6"/>
  <c r="O148" i="6" s="1"/>
  <c r="B149" i="6" s="1"/>
  <c r="H149" i="6" s="1"/>
  <c r="P148" i="6" l="1"/>
  <c r="C149" i="6" s="1"/>
  <c r="I149" i="6" s="1"/>
  <c r="K149" i="6" l="1"/>
  <c r="M149" i="6" l="1"/>
  <c r="N149" i="6"/>
  <c r="Q149" i="6" s="1"/>
  <c r="D150" i="6" s="1"/>
  <c r="J150" i="6" s="1"/>
  <c r="L149" i="6"/>
  <c r="O149" i="6" s="1"/>
  <c r="B150" i="6" s="1"/>
  <c r="H150" i="6" s="1"/>
  <c r="P149" i="6" l="1"/>
  <c r="C150" i="6" s="1"/>
  <c r="I150" i="6" s="1"/>
  <c r="K150" i="6" l="1"/>
  <c r="L150" i="6" l="1"/>
  <c r="O150" i="6" s="1"/>
  <c r="B151" i="6" s="1"/>
  <c r="H151" i="6" s="1"/>
  <c r="N150" i="6"/>
  <c r="Q150" i="6" s="1"/>
  <c r="D151" i="6" s="1"/>
  <c r="J151" i="6" s="1"/>
  <c r="M150" i="6"/>
  <c r="P150" i="6" l="1"/>
  <c r="C151" i="6" s="1"/>
  <c r="I151" i="6" s="1"/>
  <c r="K151" i="6" l="1"/>
  <c r="M151" i="6" l="1"/>
  <c r="N151" i="6"/>
  <c r="Q151" i="6" s="1"/>
  <c r="D152" i="6" s="1"/>
  <c r="J152" i="6" s="1"/>
  <c r="L151" i="6"/>
  <c r="O151" i="6" s="1"/>
  <c r="B152" i="6" s="1"/>
  <c r="H152" i="6" s="1"/>
  <c r="P151" i="6" l="1"/>
  <c r="C152" i="6" s="1"/>
  <c r="I152" i="6" s="1"/>
  <c r="K152" i="6" l="1"/>
  <c r="M152" i="6" l="1"/>
  <c r="N152" i="6"/>
  <c r="Q152" i="6" s="1"/>
  <c r="D153" i="6" s="1"/>
  <c r="J153" i="6" s="1"/>
  <c r="L152" i="6"/>
  <c r="O152" i="6" s="1"/>
  <c r="B153" i="6" s="1"/>
  <c r="H153" i="6" s="1"/>
  <c r="P152" i="6" l="1"/>
  <c r="C153" i="6" s="1"/>
  <c r="I153" i="6" s="1"/>
  <c r="K153" i="6" l="1"/>
  <c r="N153" i="6" l="1"/>
  <c r="Q153" i="6" s="1"/>
  <c r="D154" i="6" s="1"/>
  <c r="J154" i="6" s="1"/>
  <c r="L153" i="6"/>
  <c r="O153" i="6" s="1"/>
  <c r="B154" i="6" s="1"/>
  <c r="H154" i="6" s="1"/>
  <c r="M153" i="6"/>
  <c r="P153" i="6" l="1"/>
  <c r="C154" i="6" s="1"/>
  <c r="I154" i="6" s="1"/>
  <c r="K154" i="6" l="1"/>
  <c r="N154" i="6" l="1"/>
  <c r="Q154" i="6" s="1"/>
  <c r="D155" i="6" s="1"/>
  <c r="J155" i="6" s="1"/>
  <c r="M154" i="6"/>
  <c r="L154" i="6"/>
  <c r="O154" i="6" s="1"/>
  <c r="B155" i="6" s="1"/>
  <c r="H155" i="6" s="1"/>
  <c r="P154" i="6" l="1"/>
  <c r="C155" i="6" s="1"/>
  <c r="I155" i="6" s="1"/>
  <c r="K155" i="6" l="1"/>
  <c r="N155" i="6" l="1"/>
  <c r="Q155" i="6" s="1"/>
  <c r="M155" i="6"/>
  <c r="P155" i="6" s="1"/>
  <c r="L155" i="6"/>
  <c r="O155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E5405A-EA85-4FF4-9A54-E061DC19B4F6}" name="owoce" type="6" refreshedVersion="8" background="1" saveData="1">
    <textPr codePage="852" sourceFile="C:\Users\domad\Desktop\Dane_2305\owoce.txt" decimal="," thousands=" ">
      <textFields count="4">
        <textField/>
        <textField/>
        <textField/>
        <textField/>
      </textFields>
    </textPr>
  </connection>
  <connection id="2" xr16:uid="{3FADE099-933A-4BF3-BB99-862D240E1F41}" name="owoce1" type="6" refreshedVersion="8" background="1" saveData="1">
    <textPr codePage="852" sourceFile="C:\Users\domad\Desktop\Dane_2305\owoce.txt" decimal="," thousands=" ">
      <textFields count="4">
        <textField/>
        <textField/>
        <textField/>
        <textField/>
      </textFields>
    </textPr>
  </connection>
  <connection id="3" xr16:uid="{7947839C-0573-4ACB-9510-FCCBE7FBEA43}" name="owoce2" type="6" refreshedVersion="8" background="1" saveData="1">
    <textPr codePage="852" sourceFile="C:\Users\domad\Desktop\Dane_2305\owoce.txt" decimal="," thousands=" ">
      <textFields count="4">
        <textField/>
        <textField/>
        <textField/>
        <textField/>
      </textFields>
    </textPr>
  </connection>
  <connection id="4" xr16:uid="{D70A34AE-308C-4033-9CC1-E24AD620385A}" name="owoce3" type="6" refreshedVersion="8" background="1" saveData="1">
    <textPr codePage="852" sourceFile="C:\Users\domad\Desktop\Dane_2305\owoce.txt" decimal="," thousands=" ">
      <textFields count="4">
        <textField/>
        <textField/>
        <textField/>
        <textField/>
      </textFields>
    </textPr>
  </connection>
  <connection id="5" xr16:uid="{1A4DCB4F-66BC-428F-B0AE-BB7750E1BD7D}" name="owoce31" type="6" refreshedVersion="8" background="1" saveData="1">
    <textPr codePage="852" sourceFile="C:\Users\domad\Desktop\Dane_2305\owoce.txt" decimal="," thousands=" ">
      <textFields count="4">
        <textField/>
        <textField/>
        <textField/>
        <textField/>
      </textFields>
    </textPr>
  </connection>
  <connection id="6" xr16:uid="{2A681675-2CF2-4328-8F29-8719BE4EAF08}" name="owoce32" type="6" refreshedVersion="8" background="1" saveData="1">
    <textPr codePage="852" sourceFile="C:\Users\domad\Desktop\Dane_2305\owoce.txt" decimal="," thousands=" ">
      <textFields count="4">
        <textField/>
        <textField/>
        <textField/>
        <textField/>
      </textFields>
    </textPr>
  </connection>
  <connection id="7" xr16:uid="{D9C85184-D4D3-4F6D-9BAD-F475269F8B8C}" keepAlive="1" name="Zapytanie — owoce" description="Połączenie z zapytaniem „owoce” w skoroszycie." type="5" refreshedVersion="0" background="1">
    <dbPr connection="Provider=Microsoft.Mashup.OleDb.1;Data Source=$Workbook$;Location=owoce;Extended Properties=&quot;&quot;" command="SELECT * FROM [owoce]"/>
  </connection>
</connections>
</file>

<file path=xl/sharedStrings.xml><?xml version="1.0" encoding="utf-8"?>
<sst xmlns="http://schemas.openxmlformats.org/spreadsheetml/2006/main" count="575" uniqueCount="35">
  <si>
    <t>data</t>
  </si>
  <si>
    <t>dostawa_malin</t>
  </si>
  <si>
    <t>dostawa_truskawek</t>
  </si>
  <si>
    <t>dostawa_porzeczek</t>
  </si>
  <si>
    <t>Etykiety wierszy</t>
  </si>
  <si>
    <t>Suma końcowa</t>
  </si>
  <si>
    <t>Suma z dostawa_malin</t>
  </si>
  <si>
    <t>Suma z dostawa_truskawek</t>
  </si>
  <si>
    <t>Suma z dostawa_porzeczek</t>
  </si>
  <si>
    <t>miesiąc</t>
  </si>
  <si>
    <t>Miesiąc</t>
  </si>
  <si>
    <t>Dostawa_malin</t>
  </si>
  <si>
    <t>Dostawa_truskawek</t>
  </si>
  <si>
    <t>Dostawa_porzeczek</t>
  </si>
  <si>
    <t>maj</t>
  </si>
  <si>
    <t>czerwiec</t>
  </si>
  <si>
    <t>lipiec</t>
  </si>
  <si>
    <t>sierpień</t>
  </si>
  <si>
    <t>wrzesień</t>
  </si>
  <si>
    <t>Dostawa</t>
  </si>
  <si>
    <t>Po dostawie</t>
  </si>
  <si>
    <t>Co produkujemy</t>
  </si>
  <si>
    <t>mal_trus</t>
  </si>
  <si>
    <t>mal_porz</t>
  </si>
  <si>
    <t>Ile odejmujemy</t>
  </si>
  <si>
    <t>trus_porz</t>
  </si>
  <si>
    <t>maliny</t>
  </si>
  <si>
    <t>truskawki</t>
  </si>
  <si>
    <t>porzeczki</t>
  </si>
  <si>
    <t>Po produkcji</t>
  </si>
  <si>
    <t>Pozostałości</t>
  </si>
  <si>
    <t>Liczba z Co produkujemy</t>
  </si>
  <si>
    <t>kg</t>
  </si>
  <si>
    <t>Suma z kg</t>
  </si>
  <si>
    <t>2 sposób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</si>
</sst>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3" fillId="4" borderId="0" xfId="3" applyAlignment="1">
      <alignment horizontal="center"/>
    </xf>
    <xf numFmtId="43" fontId="4" fillId="5" borderId="1" xfId="4" applyNumberFormat="1" applyAlignment="1">
      <alignment horizontal="center"/>
    </xf>
    <xf numFmtId="0" fontId="0" fillId="0" borderId="0" xfId="0" applyAlignment="1">
      <alignment horizontal="center"/>
    </xf>
  </cellXfs>
  <cellStyles count="5">
    <cellStyle name="Dane wejściowe" xfId="4" builtinId="20"/>
    <cellStyle name="Dobry" xfId="1" builtinId="26"/>
    <cellStyle name="Neutralny" xfId="2" builtinId="28"/>
    <cellStyle name="Normalny" xfId="0" builtinId="0"/>
    <cellStyle name="Zły" xfId="3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Zestawienie</a:t>
            </a:r>
            <a:r>
              <a:rPr lang="pl-PL" baseline="0"/>
              <a:t> dostarczanych owoców dla każdego miesiący pracy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zad1!$L$19</c:f>
              <c:strCache>
                <c:ptCount val="1"/>
                <c:pt idx="0">
                  <c:v>Dostawa_malin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zad1!$K$20:$K$24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zad1!$L$20:$L$24</c:f>
              <c:numCache>
                <c:formatCode>General</c:formatCode>
                <c:ptCount val="5"/>
                <c:pt idx="0">
                  <c:v>9238</c:v>
                </c:pt>
                <c:pt idx="1">
                  <c:v>9485</c:v>
                </c:pt>
                <c:pt idx="2">
                  <c:v>11592</c:v>
                </c:pt>
                <c:pt idx="3">
                  <c:v>11045</c:v>
                </c:pt>
                <c:pt idx="4">
                  <c:v>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E-4414-8F2A-F3D4E92367ED}"/>
            </c:ext>
          </c:extLst>
        </c:ser>
        <c:ser>
          <c:idx val="1"/>
          <c:order val="1"/>
          <c:tx>
            <c:strRef>
              <c:f>zad1!$M$19</c:f>
              <c:strCache>
                <c:ptCount val="1"/>
                <c:pt idx="0">
                  <c:v>Dostawa_truskawek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zad1!$K$20:$K$24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zad1!$M$20:$M$24</c:f>
              <c:numCache>
                <c:formatCode>General</c:formatCode>
                <c:ptCount val="5"/>
                <c:pt idx="0">
                  <c:v>9287</c:v>
                </c:pt>
                <c:pt idx="1">
                  <c:v>8916</c:v>
                </c:pt>
                <c:pt idx="2">
                  <c:v>11339</c:v>
                </c:pt>
                <c:pt idx="3">
                  <c:v>11386</c:v>
                </c:pt>
                <c:pt idx="4">
                  <c:v>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DE-4414-8F2A-F3D4E92367ED}"/>
            </c:ext>
          </c:extLst>
        </c:ser>
        <c:ser>
          <c:idx val="2"/>
          <c:order val="2"/>
          <c:tx>
            <c:strRef>
              <c:f>zad1!$N$19</c:f>
              <c:strCache>
                <c:ptCount val="1"/>
                <c:pt idx="0">
                  <c:v>Dostawa_porzeczek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zad1!$K$20:$K$24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zad1!$N$20:$N$24</c:f>
              <c:numCache>
                <c:formatCode>General</c:formatCode>
                <c:ptCount val="5"/>
                <c:pt idx="0">
                  <c:v>3309</c:v>
                </c:pt>
                <c:pt idx="1">
                  <c:v>5081</c:v>
                </c:pt>
                <c:pt idx="2">
                  <c:v>10567</c:v>
                </c:pt>
                <c:pt idx="3">
                  <c:v>11078</c:v>
                </c:pt>
                <c:pt idx="4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DE-4414-8F2A-F3D4E9236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171647"/>
        <c:axId val="590370975"/>
      </c:barChart>
      <c:catAx>
        <c:axId val="48717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0370975"/>
        <c:crosses val="autoZero"/>
        <c:auto val="1"/>
        <c:lblAlgn val="ctr"/>
        <c:lblOffset val="100"/>
        <c:noMultiLvlLbl val="0"/>
      </c:catAx>
      <c:valAx>
        <c:axId val="5903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owoców w kilogramach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717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323849</xdr:colOff>
      <xdr:row>28</xdr:row>
      <xdr:rowOff>90486</xdr:rowOff>
    </xdr:from>
    <xdr:to>
      <xdr:col>11</xdr:col>
      <xdr:colOff>1666874</xdr:colOff>
      <xdr:row>47</xdr:row>
      <xdr:rowOff>57149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3040DEE-137D-5257-7292-19FFB83A4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04.707253009263" createdVersion="8" refreshedVersion="8" minRefreshableVersion="3" recordCount="153" xr:uid="{4595575E-5929-46F2-8DEB-97C8A2D6CCA7}">
  <cacheSource type="worksheet">
    <worksheetSource ref="A1:E154" sheet="zad1"/>
  </cacheSource>
  <cacheFields count="5">
    <cacheField name="data" numFmtId="14">
      <sharedItems containsSemiMixedTypes="0" containsNonDate="0" containsDate="1" containsString="0" minDate="2020-05-01T00:00:00" maxDate="2020-10-01T00:00:00"/>
    </cacheField>
    <cacheField name="miesiąc" numFmtId="0">
      <sharedItems containsSemiMixedTypes="0" containsString="0" containsNumber="1" containsInteger="1" minValue="5" maxValue="9" count="5">
        <n v="5"/>
        <n v="6"/>
        <n v="7"/>
        <n v="8"/>
        <n v="9"/>
      </sharedItems>
    </cacheField>
    <cacheField name="dostawa_malin" numFmtId="0">
      <sharedItems containsSemiMixedTypes="0" containsString="0" containsNumber="1" containsInteger="1" minValue="142" maxValue="495"/>
    </cacheField>
    <cacheField name="dostawa_truskawek" numFmtId="0">
      <sharedItems containsSemiMixedTypes="0" containsString="0" containsNumber="1" containsInteger="1" minValue="102" maxValue="490"/>
    </cacheField>
    <cacheField name="dostawa_porzeczek" numFmtId="0">
      <sharedItems containsSemiMixedTypes="0" containsString="0" containsNumber="1" containsInteger="1" minValue="72" maxValue="5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08.500543634262" createdVersion="8" refreshedVersion="8" minRefreshableVersion="3" recordCount="153" xr:uid="{C54E79A0-2BD5-42C3-BBB8-314848B2F7F2}">
  <cacheSource type="worksheet">
    <worksheetSource ref="T2:T155" sheet="31"/>
  </cacheSource>
  <cacheFields count="1">
    <cacheField name="Co produkujemy" numFmtId="0">
      <sharedItems count="3">
        <s v="mal_trus"/>
        <s v="mal_porz"/>
        <s v="trus_por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08.531530439817" createdVersion="8" refreshedVersion="8" minRefreshableVersion="3" recordCount="153" xr:uid="{576CCB29-0F8D-4D17-ACC4-D978C44B6E11}">
  <cacheSource type="worksheet">
    <worksheetSource ref="AA3:AB156" sheet="32"/>
  </cacheSource>
  <cacheFields count="2">
    <cacheField name="Co produkujemy" numFmtId="0">
      <sharedItems count="3">
        <s v="mal_trus"/>
        <s v="mal_porz"/>
        <s v="trus_porz"/>
      </sharedItems>
    </cacheField>
    <cacheField name="kg" numFmtId="0">
      <sharedItems containsSemiMixedTypes="0" containsString="0" containsNumber="1" containsInteger="1" minValue="211" maxValue="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0-05-01T00:00:00"/>
    <x v="0"/>
    <n v="211"/>
    <n v="281"/>
    <n v="88"/>
  </r>
  <r>
    <d v="2020-05-02T00:00:00"/>
    <x v="0"/>
    <n v="393"/>
    <n v="313"/>
    <n v="83"/>
  </r>
  <r>
    <d v="2020-05-03T00:00:00"/>
    <x v="0"/>
    <n v="389"/>
    <n v="315"/>
    <n v="104"/>
  </r>
  <r>
    <d v="2020-05-04T00:00:00"/>
    <x v="0"/>
    <n v="308"/>
    <n v="221"/>
    <n v="119"/>
  </r>
  <r>
    <d v="2020-05-05T00:00:00"/>
    <x v="0"/>
    <n v="387"/>
    <n v="275"/>
    <n v="72"/>
  </r>
  <r>
    <d v="2020-05-06T00:00:00"/>
    <x v="0"/>
    <n v="294"/>
    <n v="366"/>
    <n v="99"/>
  </r>
  <r>
    <d v="2020-05-07T00:00:00"/>
    <x v="0"/>
    <n v="389"/>
    <n v="288"/>
    <n v="87"/>
  </r>
  <r>
    <d v="2020-05-08T00:00:00"/>
    <x v="0"/>
    <n v="259"/>
    <n v="361"/>
    <n v="112"/>
  </r>
  <r>
    <d v="2020-05-09T00:00:00"/>
    <x v="0"/>
    <n v="369"/>
    <n v="233"/>
    <n v="110"/>
  </r>
  <r>
    <d v="2020-05-10T00:00:00"/>
    <x v="0"/>
    <n v="263"/>
    <n v="393"/>
    <n v="75"/>
  </r>
  <r>
    <d v="2020-05-11T00:00:00"/>
    <x v="0"/>
    <n v="239"/>
    <n v="347"/>
    <n v="94"/>
  </r>
  <r>
    <d v="2020-05-12T00:00:00"/>
    <x v="0"/>
    <n v="282"/>
    <n v="338"/>
    <n v="86"/>
  </r>
  <r>
    <d v="2020-05-13T00:00:00"/>
    <x v="0"/>
    <n v="306"/>
    <n v="273"/>
    <n v="75"/>
  </r>
  <r>
    <d v="2020-05-14T00:00:00"/>
    <x v="0"/>
    <n v="251"/>
    <n v="325"/>
    <n v="89"/>
  </r>
  <r>
    <d v="2020-05-15T00:00:00"/>
    <x v="0"/>
    <n v="224"/>
    <n v="352"/>
    <n v="97"/>
  </r>
  <r>
    <d v="2020-05-16T00:00:00"/>
    <x v="0"/>
    <n v="233"/>
    <n v="270"/>
    <n v="94"/>
  </r>
  <r>
    <d v="2020-05-17T00:00:00"/>
    <x v="0"/>
    <n v="345"/>
    <n v="275"/>
    <n v="90"/>
  </r>
  <r>
    <d v="2020-05-18T00:00:00"/>
    <x v="0"/>
    <n v="232"/>
    <n v="228"/>
    <n v="107"/>
  </r>
  <r>
    <d v="2020-05-19T00:00:00"/>
    <x v="0"/>
    <n v="238"/>
    <n v="394"/>
    <n v="105"/>
  </r>
  <r>
    <d v="2020-05-20T00:00:00"/>
    <x v="0"/>
    <n v="378"/>
    <n v="311"/>
    <n v="110"/>
  </r>
  <r>
    <d v="2020-05-21T00:00:00"/>
    <x v="0"/>
    <n v="281"/>
    <n v="354"/>
    <n v="121"/>
  </r>
  <r>
    <d v="2020-05-22T00:00:00"/>
    <x v="0"/>
    <n v="390"/>
    <n v="267"/>
    <n v="124"/>
  </r>
  <r>
    <d v="2020-05-23T00:00:00"/>
    <x v="0"/>
    <n v="308"/>
    <n v="337"/>
    <n v="105"/>
  </r>
  <r>
    <d v="2020-05-24T00:00:00"/>
    <x v="0"/>
    <n v="391"/>
    <n v="238"/>
    <n v="113"/>
  </r>
  <r>
    <d v="2020-05-25T00:00:00"/>
    <x v="0"/>
    <n v="241"/>
    <n v="283"/>
    <n v="140"/>
  </r>
  <r>
    <d v="2020-05-26T00:00:00"/>
    <x v="0"/>
    <n v="249"/>
    <n v="275"/>
    <n v="118"/>
  </r>
  <r>
    <d v="2020-05-27T00:00:00"/>
    <x v="0"/>
    <n v="298"/>
    <n v="263"/>
    <n v="145"/>
  </r>
  <r>
    <d v="2020-05-28T00:00:00"/>
    <x v="0"/>
    <n v="254"/>
    <n v="241"/>
    <n v="149"/>
  </r>
  <r>
    <d v="2020-05-29T00:00:00"/>
    <x v="0"/>
    <n v="329"/>
    <n v="323"/>
    <n v="134"/>
  </r>
  <r>
    <d v="2020-05-30T00:00:00"/>
    <x v="0"/>
    <n v="213"/>
    <n v="221"/>
    <n v="119"/>
  </r>
  <r>
    <d v="2020-05-31T00:00:00"/>
    <x v="0"/>
    <n v="294"/>
    <n v="326"/>
    <n v="145"/>
  </r>
  <r>
    <d v="2020-06-01T00:00:00"/>
    <x v="1"/>
    <n v="225"/>
    <n v="206"/>
    <n v="122"/>
  </r>
  <r>
    <d v="2020-06-02T00:00:00"/>
    <x v="1"/>
    <n v="264"/>
    <n v="355"/>
    <n v="134"/>
  </r>
  <r>
    <d v="2020-06-03T00:00:00"/>
    <x v="1"/>
    <n v="253"/>
    <n v="271"/>
    <n v="142"/>
  </r>
  <r>
    <d v="2020-06-04T00:00:00"/>
    <x v="1"/>
    <n v="352"/>
    <n v="207"/>
    <n v="125"/>
  </r>
  <r>
    <d v="2020-06-05T00:00:00"/>
    <x v="1"/>
    <n v="269"/>
    <n v="248"/>
    <n v="137"/>
  </r>
  <r>
    <d v="2020-06-06T00:00:00"/>
    <x v="1"/>
    <n v="242"/>
    <n v="247"/>
    <n v="125"/>
  </r>
  <r>
    <d v="2020-06-07T00:00:00"/>
    <x v="1"/>
    <n v="327"/>
    <n v="262"/>
    <n v="103"/>
  </r>
  <r>
    <d v="2020-06-08T00:00:00"/>
    <x v="1"/>
    <n v="316"/>
    <n v="253"/>
    <n v="134"/>
  </r>
  <r>
    <d v="2020-06-09T00:00:00"/>
    <x v="1"/>
    <n v="294"/>
    <n v="249"/>
    <n v="137"/>
  </r>
  <r>
    <d v="2020-06-10T00:00:00"/>
    <x v="1"/>
    <n v="270"/>
    <n v="206"/>
    <n v="146"/>
  </r>
  <r>
    <d v="2020-06-11T00:00:00"/>
    <x v="1"/>
    <n v="349"/>
    <n v="301"/>
    <n v="138"/>
  </r>
  <r>
    <d v="2020-06-12T00:00:00"/>
    <x v="1"/>
    <n v="224"/>
    <n v="385"/>
    <n v="138"/>
  </r>
  <r>
    <d v="2020-06-13T00:00:00"/>
    <x v="1"/>
    <n v="309"/>
    <n v="204"/>
    <n v="140"/>
  </r>
  <r>
    <d v="2020-06-14T00:00:00"/>
    <x v="1"/>
    <n v="246"/>
    <n v="275"/>
    <n v="130"/>
  </r>
  <r>
    <d v="2020-06-15T00:00:00"/>
    <x v="1"/>
    <n v="241"/>
    <n v="247"/>
    <n v="166"/>
  </r>
  <r>
    <d v="2020-06-16T00:00:00"/>
    <x v="1"/>
    <n v="365"/>
    <n v="256"/>
    <n v="132"/>
  </r>
  <r>
    <d v="2020-06-17T00:00:00"/>
    <x v="1"/>
    <n v="225"/>
    <n v="392"/>
    <n v="158"/>
  </r>
  <r>
    <d v="2020-06-18T00:00:00"/>
    <x v="1"/>
    <n v="335"/>
    <n v="254"/>
    <n v="173"/>
  </r>
  <r>
    <d v="2020-06-19T00:00:00"/>
    <x v="1"/>
    <n v="376"/>
    <n v="258"/>
    <n v="151"/>
  </r>
  <r>
    <d v="2020-06-20T00:00:00"/>
    <x v="1"/>
    <n v="310"/>
    <n v="248"/>
    <n v="173"/>
  </r>
  <r>
    <d v="2020-06-21T00:00:00"/>
    <x v="1"/>
    <n v="408"/>
    <n v="250"/>
    <n v="242"/>
  </r>
  <r>
    <d v="2020-06-22T00:00:00"/>
    <x v="1"/>
    <n v="256"/>
    <n v="393"/>
    <n v="219"/>
  </r>
  <r>
    <d v="2020-06-23T00:00:00"/>
    <x v="1"/>
    <n v="322"/>
    <n v="425"/>
    <n v="215"/>
  </r>
  <r>
    <d v="2020-06-24T00:00:00"/>
    <x v="1"/>
    <n v="447"/>
    <n v="385"/>
    <n v="212"/>
  </r>
  <r>
    <d v="2020-06-25T00:00:00"/>
    <x v="1"/>
    <n v="408"/>
    <n v="260"/>
    <n v="225"/>
  </r>
  <r>
    <d v="2020-06-26T00:00:00"/>
    <x v="1"/>
    <n v="283"/>
    <n v="396"/>
    <n v="221"/>
  </r>
  <r>
    <d v="2020-06-27T00:00:00"/>
    <x v="1"/>
    <n v="414"/>
    <n v="314"/>
    <n v="220"/>
  </r>
  <r>
    <d v="2020-06-28T00:00:00"/>
    <x v="1"/>
    <n v="442"/>
    <n v="449"/>
    <n v="245"/>
  </r>
  <r>
    <d v="2020-06-29T00:00:00"/>
    <x v="1"/>
    <n v="269"/>
    <n v="370"/>
    <n v="242"/>
  </r>
  <r>
    <d v="2020-06-30T00:00:00"/>
    <x v="1"/>
    <n v="444"/>
    <n v="350"/>
    <n v="236"/>
  </r>
  <r>
    <d v="2020-07-01T00:00:00"/>
    <x v="2"/>
    <n v="425"/>
    <n v="342"/>
    <n v="237"/>
  </r>
  <r>
    <d v="2020-07-02T00:00:00"/>
    <x v="2"/>
    <n v="377"/>
    <n v="290"/>
    <n v="240"/>
  </r>
  <r>
    <d v="2020-07-03T00:00:00"/>
    <x v="2"/>
    <n v="382"/>
    <n v="360"/>
    <n v="203"/>
  </r>
  <r>
    <d v="2020-07-04T00:00:00"/>
    <x v="2"/>
    <n v="287"/>
    <n v="428"/>
    <n v="204"/>
  </r>
  <r>
    <d v="2020-07-05T00:00:00"/>
    <x v="2"/>
    <n v="429"/>
    <n v="394"/>
    <n v="246"/>
  </r>
  <r>
    <d v="2020-07-06T00:00:00"/>
    <x v="2"/>
    <n v="287"/>
    <n v="356"/>
    <n v="233"/>
  </r>
  <r>
    <d v="2020-07-07T00:00:00"/>
    <x v="2"/>
    <n v="421"/>
    <n v="292"/>
    <n v="226"/>
  </r>
  <r>
    <d v="2020-07-08T00:00:00"/>
    <x v="2"/>
    <n v="334"/>
    <n v="353"/>
    <n v="282"/>
  </r>
  <r>
    <d v="2020-07-09T00:00:00"/>
    <x v="2"/>
    <n v="282"/>
    <n v="329"/>
    <n v="262"/>
  </r>
  <r>
    <d v="2020-07-10T00:00:00"/>
    <x v="2"/>
    <n v="356"/>
    <n v="331"/>
    <n v="290"/>
  </r>
  <r>
    <d v="2020-07-11T00:00:00"/>
    <x v="2"/>
    <n v="307"/>
    <n v="394"/>
    <n v="256"/>
  </r>
  <r>
    <d v="2020-07-12T00:00:00"/>
    <x v="2"/>
    <n v="441"/>
    <n v="271"/>
    <n v="292"/>
  </r>
  <r>
    <d v="2020-07-13T00:00:00"/>
    <x v="2"/>
    <n v="407"/>
    <n v="311"/>
    <n v="280"/>
  </r>
  <r>
    <d v="2020-07-14T00:00:00"/>
    <x v="2"/>
    <n v="480"/>
    <n v="342"/>
    <n v="292"/>
  </r>
  <r>
    <d v="2020-07-15T00:00:00"/>
    <x v="2"/>
    <n v="494"/>
    <n v="310"/>
    <n v="275"/>
  </r>
  <r>
    <d v="2020-07-16T00:00:00"/>
    <x v="2"/>
    <n v="493"/>
    <n v="431"/>
    <n v="283"/>
  </r>
  <r>
    <d v="2020-07-17T00:00:00"/>
    <x v="2"/>
    <n v="302"/>
    <n v="415"/>
    <n v="297"/>
  </r>
  <r>
    <d v="2020-07-18T00:00:00"/>
    <x v="2"/>
    <n v="331"/>
    <n v="353"/>
    <n v="373"/>
  </r>
  <r>
    <d v="2020-07-19T00:00:00"/>
    <x v="2"/>
    <n v="486"/>
    <n v="323"/>
    <n v="359"/>
  </r>
  <r>
    <d v="2020-07-20T00:00:00"/>
    <x v="2"/>
    <n v="360"/>
    <n v="331"/>
    <n v="445"/>
  </r>
  <r>
    <d v="2020-07-21T00:00:00"/>
    <x v="2"/>
    <n v="391"/>
    <n v="455"/>
    <n v="427"/>
  </r>
  <r>
    <d v="2020-07-22T00:00:00"/>
    <x v="2"/>
    <n v="327"/>
    <n v="471"/>
    <n v="423"/>
  </r>
  <r>
    <d v="2020-07-23T00:00:00"/>
    <x v="2"/>
    <n v="355"/>
    <n v="490"/>
    <n v="449"/>
  </r>
  <r>
    <d v="2020-07-24T00:00:00"/>
    <x v="2"/>
    <n v="360"/>
    <n v="339"/>
    <n v="470"/>
  </r>
  <r>
    <d v="2020-07-25T00:00:00"/>
    <x v="2"/>
    <n v="303"/>
    <n v="404"/>
    <n v="434"/>
  </r>
  <r>
    <d v="2020-07-26T00:00:00"/>
    <x v="2"/>
    <n v="310"/>
    <n v="332"/>
    <n v="536"/>
  </r>
  <r>
    <d v="2020-07-27T00:00:00"/>
    <x v="2"/>
    <n v="435"/>
    <n v="406"/>
    <n v="421"/>
  </r>
  <r>
    <d v="2020-07-28T00:00:00"/>
    <x v="2"/>
    <n v="344"/>
    <n v="348"/>
    <n v="555"/>
  </r>
  <r>
    <d v="2020-07-29T00:00:00"/>
    <x v="2"/>
    <n v="303"/>
    <n v="335"/>
    <n v="436"/>
  </r>
  <r>
    <d v="2020-07-30T00:00:00"/>
    <x v="2"/>
    <n v="433"/>
    <n v="425"/>
    <n v="422"/>
  </r>
  <r>
    <d v="2020-07-31T00:00:00"/>
    <x v="2"/>
    <n v="350"/>
    <n v="378"/>
    <n v="419"/>
  </r>
  <r>
    <d v="2020-08-01T00:00:00"/>
    <x v="3"/>
    <n v="396"/>
    <n v="466"/>
    <n v="434"/>
  </r>
  <r>
    <d v="2020-08-02T00:00:00"/>
    <x v="3"/>
    <n v="495"/>
    <n v="410"/>
    <n v="418"/>
  </r>
  <r>
    <d v="2020-08-03T00:00:00"/>
    <x v="3"/>
    <n v="420"/>
    <n v="328"/>
    <n v="422"/>
  </r>
  <r>
    <d v="2020-08-04T00:00:00"/>
    <x v="3"/>
    <n v="411"/>
    <n v="481"/>
    <n v="445"/>
  </r>
  <r>
    <d v="2020-08-05T00:00:00"/>
    <x v="3"/>
    <n v="317"/>
    <n v="434"/>
    <n v="411"/>
  </r>
  <r>
    <d v="2020-08-06T00:00:00"/>
    <x v="3"/>
    <n v="342"/>
    <n v="465"/>
    <n v="417"/>
  </r>
  <r>
    <d v="2020-08-07T00:00:00"/>
    <x v="3"/>
    <n v="450"/>
    <n v="318"/>
    <n v="490"/>
  </r>
  <r>
    <d v="2020-08-08T00:00:00"/>
    <x v="3"/>
    <n v="343"/>
    <n v="329"/>
    <n v="345"/>
  </r>
  <r>
    <d v="2020-08-09T00:00:00"/>
    <x v="3"/>
    <n v="287"/>
    <n v="328"/>
    <n v="377"/>
  </r>
  <r>
    <d v="2020-08-10T00:00:00"/>
    <x v="3"/>
    <n v="298"/>
    <n v="401"/>
    <n v="416"/>
  </r>
  <r>
    <d v="2020-08-11T00:00:00"/>
    <x v="3"/>
    <n v="429"/>
    <n v="348"/>
    <n v="426"/>
  </r>
  <r>
    <d v="2020-08-12T00:00:00"/>
    <x v="3"/>
    <n v="417"/>
    <n v="457"/>
    <n v="438"/>
  </r>
  <r>
    <d v="2020-08-13T00:00:00"/>
    <x v="3"/>
    <n v="384"/>
    <n v="330"/>
    <n v="292"/>
  </r>
  <r>
    <d v="2020-08-14T00:00:00"/>
    <x v="3"/>
    <n v="370"/>
    <n v="388"/>
    <n v="390"/>
  </r>
  <r>
    <d v="2020-08-15T00:00:00"/>
    <x v="3"/>
    <n v="436"/>
    <n v="298"/>
    <n v="420"/>
  </r>
  <r>
    <d v="2020-08-16T00:00:00"/>
    <x v="3"/>
    <n v="303"/>
    <n v="429"/>
    <n v="407"/>
  </r>
  <r>
    <d v="2020-08-17T00:00:00"/>
    <x v="3"/>
    <n v="449"/>
    <n v="444"/>
    <n v="425"/>
  </r>
  <r>
    <d v="2020-08-18T00:00:00"/>
    <x v="3"/>
    <n v="300"/>
    <n v="358"/>
    <n v="377"/>
  </r>
  <r>
    <d v="2020-08-19T00:00:00"/>
    <x v="3"/>
    <n v="307"/>
    <n v="417"/>
    <n v="405"/>
  </r>
  <r>
    <d v="2020-08-20T00:00:00"/>
    <x v="3"/>
    <n v="314"/>
    <n v="340"/>
    <n v="345"/>
  </r>
  <r>
    <d v="2020-08-21T00:00:00"/>
    <x v="3"/>
    <n v="379"/>
    <n v="288"/>
    <n v="353"/>
  </r>
  <r>
    <d v="2020-08-22T00:00:00"/>
    <x v="3"/>
    <n v="405"/>
    <n v="454"/>
    <n v="342"/>
  </r>
  <r>
    <d v="2020-08-23T00:00:00"/>
    <x v="3"/>
    <n v="407"/>
    <n v="300"/>
    <n v="365"/>
  </r>
  <r>
    <d v="2020-08-24T00:00:00"/>
    <x v="3"/>
    <n v="432"/>
    <n v="423"/>
    <n v="221"/>
  </r>
  <r>
    <d v="2020-08-25T00:00:00"/>
    <x v="3"/>
    <n v="405"/>
    <n v="449"/>
    <n v="231"/>
  </r>
  <r>
    <d v="2020-08-26T00:00:00"/>
    <x v="3"/>
    <n v="162"/>
    <n v="294"/>
    <n v="255"/>
  </r>
  <r>
    <d v="2020-08-27T00:00:00"/>
    <x v="3"/>
    <n v="297"/>
    <n v="341"/>
    <n v="223"/>
  </r>
  <r>
    <d v="2020-08-28T00:00:00"/>
    <x v="3"/>
    <n v="226"/>
    <n v="329"/>
    <n v="261"/>
  </r>
  <r>
    <d v="2020-08-29T00:00:00"/>
    <x v="3"/>
    <n v="226"/>
    <n v="256"/>
    <n v="239"/>
  </r>
  <r>
    <d v="2020-08-30T00:00:00"/>
    <x v="3"/>
    <n v="287"/>
    <n v="217"/>
    <n v="262"/>
  </r>
  <r>
    <d v="2020-08-31T00:00:00"/>
    <x v="3"/>
    <n v="351"/>
    <n v="266"/>
    <n v="226"/>
  </r>
  <r>
    <d v="2020-09-01T00:00:00"/>
    <x v="4"/>
    <n v="214"/>
    <n v="260"/>
    <n v="241"/>
  </r>
  <r>
    <d v="2020-09-02T00:00:00"/>
    <x v="4"/>
    <n v="282"/>
    <n v="227"/>
    <n v="258"/>
  </r>
  <r>
    <d v="2020-09-03T00:00:00"/>
    <x v="4"/>
    <n v="257"/>
    <n v="251"/>
    <n v="252"/>
  </r>
  <r>
    <d v="2020-09-04T00:00:00"/>
    <x v="4"/>
    <n v="172"/>
    <n v="171"/>
    <n v="268"/>
  </r>
  <r>
    <d v="2020-09-05T00:00:00"/>
    <x v="4"/>
    <n v="197"/>
    <n v="326"/>
    <n v="224"/>
  </r>
  <r>
    <d v="2020-09-06T00:00:00"/>
    <x v="4"/>
    <n v="292"/>
    <n v="329"/>
    <n v="255"/>
  </r>
  <r>
    <d v="2020-09-07T00:00:00"/>
    <x v="4"/>
    <n v="172"/>
    <n v="216"/>
    <n v="199"/>
  </r>
  <r>
    <d v="2020-09-08T00:00:00"/>
    <x v="4"/>
    <n v="258"/>
    <n v="291"/>
    <n v="220"/>
  </r>
  <r>
    <d v="2020-09-09T00:00:00"/>
    <x v="4"/>
    <n v="276"/>
    <n v="347"/>
    <n v="197"/>
  </r>
  <r>
    <d v="2020-09-10T00:00:00"/>
    <x v="4"/>
    <n v="210"/>
    <n v="333"/>
    <n v="218"/>
  </r>
  <r>
    <d v="2020-09-11T00:00:00"/>
    <x v="4"/>
    <n v="168"/>
    <n v="211"/>
    <n v="180"/>
  </r>
  <r>
    <d v="2020-09-12T00:00:00"/>
    <x v="4"/>
    <n v="196"/>
    <n v="348"/>
    <n v="225"/>
  </r>
  <r>
    <d v="2020-09-13T00:00:00"/>
    <x v="4"/>
    <n v="284"/>
    <n v="226"/>
    <n v="197"/>
  </r>
  <r>
    <d v="2020-09-14T00:00:00"/>
    <x v="4"/>
    <n v="162"/>
    <n v="345"/>
    <n v="194"/>
  </r>
  <r>
    <d v="2020-09-15T00:00:00"/>
    <x v="4"/>
    <n v="212"/>
    <n v="184"/>
    <n v="183"/>
  </r>
  <r>
    <d v="2020-09-16T00:00:00"/>
    <x v="4"/>
    <n v="165"/>
    <n v="232"/>
    <n v="202"/>
  </r>
  <r>
    <d v="2020-09-17T00:00:00"/>
    <x v="4"/>
    <n v="163"/>
    <n v="314"/>
    <n v="213"/>
  </r>
  <r>
    <d v="2020-09-18T00:00:00"/>
    <x v="4"/>
    <n v="200"/>
    <n v="307"/>
    <n v="206"/>
  </r>
  <r>
    <d v="2020-09-19T00:00:00"/>
    <x v="4"/>
    <n v="201"/>
    <n v="274"/>
    <n v="210"/>
  </r>
  <r>
    <d v="2020-09-20T00:00:00"/>
    <x v="4"/>
    <n v="269"/>
    <n v="278"/>
    <n v="228"/>
  </r>
  <r>
    <d v="2020-09-21T00:00:00"/>
    <x v="4"/>
    <n v="188"/>
    <n v="195"/>
    <n v="207"/>
  </r>
  <r>
    <d v="2020-09-22T00:00:00"/>
    <x v="4"/>
    <n v="142"/>
    <n v="249"/>
    <n v="202"/>
  </r>
  <r>
    <d v="2020-09-23T00:00:00"/>
    <x v="4"/>
    <n v="232"/>
    <n v="116"/>
    <n v="195"/>
  </r>
  <r>
    <d v="2020-09-24T00:00:00"/>
    <x v="4"/>
    <n v="296"/>
    <n v="102"/>
    <n v="192"/>
  </r>
  <r>
    <d v="2020-09-25T00:00:00"/>
    <x v="4"/>
    <n v="161"/>
    <n v="151"/>
    <n v="216"/>
  </r>
  <r>
    <d v="2020-09-26T00:00:00"/>
    <x v="4"/>
    <n v="162"/>
    <n v="261"/>
    <n v="184"/>
  </r>
  <r>
    <d v="2020-09-27T00:00:00"/>
    <x v="4"/>
    <n v="216"/>
    <n v="147"/>
    <n v="204"/>
  </r>
  <r>
    <d v="2020-09-28T00:00:00"/>
    <x v="4"/>
    <n v="282"/>
    <n v="297"/>
    <n v="195"/>
  </r>
  <r>
    <d v="2020-09-29T00:00:00"/>
    <x v="4"/>
    <n v="214"/>
    <n v="198"/>
    <n v="200"/>
  </r>
  <r>
    <d v="2020-09-30T00:00:00"/>
    <x v="4"/>
    <n v="289"/>
    <n v="290"/>
    <n v="1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1"/>
  </r>
  <r>
    <x v="0"/>
  </r>
  <r>
    <x v="0"/>
  </r>
  <r>
    <x v="1"/>
  </r>
  <r>
    <x v="0"/>
  </r>
  <r>
    <x v="0"/>
  </r>
  <r>
    <x v="2"/>
  </r>
  <r>
    <x v="0"/>
  </r>
  <r>
    <x v="1"/>
  </r>
  <r>
    <x v="0"/>
  </r>
  <r>
    <x v="2"/>
  </r>
  <r>
    <x v="0"/>
  </r>
  <r>
    <x v="1"/>
  </r>
  <r>
    <x v="0"/>
  </r>
  <r>
    <x v="0"/>
  </r>
  <r>
    <x v="1"/>
  </r>
  <r>
    <x v="0"/>
  </r>
  <r>
    <x v="2"/>
  </r>
  <r>
    <x v="0"/>
  </r>
  <r>
    <x v="0"/>
  </r>
  <r>
    <x v="1"/>
  </r>
  <r>
    <x v="0"/>
  </r>
  <r>
    <x v="2"/>
  </r>
  <r>
    <x v="0"/>
  </r>
  <r>
    <x v="0"/>
  </r>
  <r>
    <x v="1"/>
  </r>
  <r>
    <x v="0"/>
  </r>
  <r>
    <x v="2"/>
  </r>
  <r>
    <x v="1"/>
  </r>
  <r>
    <x v="0"/>
  </r>
  <r>
    <x v="2"/>
  </r>
  <r>
    <x v="0"/>
  </r>
  <r>
    <x v="1"/>
  </r>
  <r>
    <x v="0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1"/>
  </r>
  <r>
    <x v="0"/>
  </r>
  <r>
    <x v="2"/>
  </r>
  <r>
    <x v="1"/>
  </r>
  <r>
    <x v="0"/>
  </r>
  <r>
    <x v="1"/>
  </r>
  <r>
    <x v="2"/>
  </r>
  <r>
    <x v="0"/>
  </r>
  <r>
    <x v="1"/>
  </r>
  <r>
    <x v="2"/>
  </r>
  <r>
    <x v="0"/>
  </r>
  <r>
    <x v="1"/>
  </r>
  <r>
    <x v="2"/>
  </r>
  <r>
    <x v="1"/>
  </r>
  <r>
    <x v="2"/>
  </r>
  <r>
    <x v="0"/>
  </r>
  <r>
    <x v="1"/>
  </r>
  <r>
    <x v="2"/>
  </r>
  <r>
    <x v="0"/>
  </r>
  <r>
    <x v="1"/>
  </r>
  <r>
    <x v="2"/>
  </r>
  <r>
    <x v="0"/>
  </r>
  <r>
    <x v="2"/>
  </r>
  <r>
    <x v="1"/>
  </r>
  <r>
    <x v="0"/>
  </r>
  <r>
    <x v="2"/>
  </r>
  <r>
    <x v="1"/>
  </r>
  <r>
    <x v="0"/>
  </r>
  <r>
    <x v="2"/>
  </r>
  <r>
    <x v="1"/>
  </r>
  <r>
    <x v="0"/>
  </r>
  <r>
    <x v="1"/>
  </r>
  <r>
    <x v="2"/>
  </r>
  <r>
    <x v="1"/>
  </r>
  <r>
    <x v="0"/>
  </r>
  <r>
    <x v="2"/>
  </r>
  <r>
    <x v="1"/>
  </r>
  <r>
    <x v="0"/>
  </r>
  <r>
    <x v="2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2"/>
  </r>
  <r>
    <x v="1"/>
  </r>
  <r>
    <x v="0"/>
  </r>
  <r>
    <x v="2"/>
  </r>
  <r>
    <x v="1"/>
  </r>
  <r>
    <x v="0"/>
  </r>
  <r>
    <x v="2"/>
  </r>
  <r>
    <x v="0"/>
  </r>
  <r>
    <x v="2"/>
  </r>
  <r>
    <x v="1"/>
  </r>
  <r>
    <x v="0"/>
  </r>
  <r>
    <x v="2"/>
  </r>
  <r>
    <x v="0"/>
  </r>
  <r>
    <x v="1"/>
  </r>
  <r>
    <x v="2"/>
  </r>
  <r>
    <x v="0"/>
  </r>
  <r>
    <x v="2"/>
  </r>
  <r>
    <x v="0"/>
  </r>
  <r>
    <x v="1"/>
  </r>
  <r>
    <x v="2"/>
  </r>
  <r>
    <x v="0"/>
  </r>
  <r>
    <x v="2"/>
  </r>
  <r>
    <x v="1"/>
  </r>
  <r>
    <x v="0"/>
  </r>
  <r>
    <x v="2"/>
  </r>
  <r>
    <x v="1"/>
  </r>
  <r>
    <x v="0"/>
  </r>
  <r>
    <x v="2"/>
  </r>
  <r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11"/>
  </r>
  <r>
    <x v="0"/>
    <n v="383"/>
  </r>
  <r>
    <x v="0"/>
    <n v="315"/>
  </r>
  <r>
    <x v="1"/>
    <n v="392"/>
  </r>
  <r>
    <x v="0"/>
    <n v="387"/>
  </r>
  <r>
    <x v="0"/>
    <n v="294"/>
  </r>
  <r>
    <x v="0"/>
    <n v="389"/>
  </r>
  <r>
    <x v="2"/>
    <n v="372"/>
  </r>
  <r>
    <x v="0"/>
    <n v="302"/>
  </r>
  <r>
    <x v="0"/>
    <n v="393"/>
  </r>
  <r>
    <x v="0"/>
    <n v="347"/>
  </r>
  <r>
    <x v="1"/>
    <n v="365"/>
  </r>
  <r>
    <x v="0"/>
    <n v="311"/>
  </r>
  <r>
    <x v="0"/>
    <n v="251"/>
  </r>
  <r>
    <x v="2"/>
    <n v="261"/>
  </r>
  <r>
    <x v="0"/>
    <n v="457"/>
  </r>
  <r>
    <x v="0"/>
    <n v="345"/>
  </r>
  <r>
    <x v="2"/>
    <n v="291"/>
  </r>
  <r>
    <x v="0"/>
    <n v="470"/>
  </r>
  <r>
    <x v="0"/>
    <n v="378"/>
  </r>
  <r>
    <x v="2"/>
    <n v="336"/>
  </r>
  <r>
    <x v="0"/>
    <n v="287"/>
  </r>
  <r>
    <x v="0"/>
    <n v="337"/>
  </r>
  <r>
    <x v="1"/>
    <n v="342"/>
  </r>
  <r>
    <x v="0"/>
    <n v="521"/>
  </r>
  <r>
    <x v="0"/>
    <n v="275"/>
  </r>
  <r>
    <x v="1"/>
    <n v="396"/>
  </r>
  <r>
    <x v="0"/>
    <n v="254"/>
  </r>
  <r>
    <x v="0"/>
    <n v="329"/>
  </r>
  <r>
    <x v="2"/>
    <n v="409"/>
  </r>
  <r>
    <x v="0"/>
    <n v="382"/>
  </r>
  <r>
    <x v="1"/>
    <n v="267"/>
  </r>
  <r>
    <x v="0"/>
    <n v="347"/>
  </r>
  <r>
    <x v="2"/>
    <n v="276"/>
  </r>
  <r>
    <x v="0"/>
    <n v="416"/>
  </r>
  <r>
    <x v="1"/>
    <n v="262"/>
  </r>
  <r>
    <x v="0"/>
    <n v="438"/>
  </r>
  <r>
    <x v="0"/>
    <n v="319"/>
  </r>
  <r>
    <x v="1"/>
    <n v="324"/>
  </r>
  <r>
    <x v="0"/>
    <n v="294"/>
  </r>
  <r>
    <x v="2"/>
    <n v="321"/>
  </r>
  <r>
    <x v="0"/>
    <n v="394"/>
  </r>
  <r>
    <x v="0"/>
    <n v="385"/>
  </r>
  <r>
    <x v="1"/>
    <n v="373"/>
  </r>
  <r>
    <x v="0"/>
    <n v="246"/>
  </r>
  <r>
    <x v="2"/>
    <n v="339"/>
  </r>
  <r>
    <x v="0"/>
    <n v="397"/>
  </r>
  <r>
    <x v="0"/>
    <n v="392"/>
  </r>
  <r>
    <x v="1"/>
    <n v="377"/>
  </r>
  <r>
    <x v="0"/>
    <n v="376"/>
  </r>
  <r>
    <x v="2"/>
    <n v="384"/>
  </r>
  <r>
    <x v="1"/>
    <n v="268"/>
  </r>
  <r>
    <x v="0"/>
    <n v="643"/>
  </r>
  <r>
    <x v="2"/>
    <n v="425"/>
  </r>
  <r>
    <x v="0"/>
    <n v="385"/>
  </r>
  <r>
    <x v="1"/>
    <n v="446"/>
  </r>
  <r>
    <x v="0"/>
    <n v="656"/>
  </r>
  <r>
    <x v="1"/>
    <n v="441"/>
  </r>
  <r>
    <x v="0"/>
    <n v="451"/>
  </r>
  <r>
    <x v="2"/>
    <n v="487"/>
  </r>
  <r>
    <x v="0"/>
    <n v="545"/>
  </r>
  <r>
    <x v="1"/>
    <n v="473"/>
  </r>
  <r>
    <x v="0"/>
    <n v="497"/>
  </r>
  <r>
    <x v="2"/>
    <n v="443"/>
  </r>
  <r>
    <x v="0"/>
    <n v="480"/>
  </r>
  <r>
    <x v="1"/>
    <n v="450"/>
  </r>
  <r>
    <x v="0"/>
    <n v="455"/>
  </r>
  <r>
    <x v="2"/>
    <n v="459"/>
  </r>
  <r>
    <x v="0"/>
    <n v="481"/>
  </r>
  <r>
    <x v="1"/>
    <n v="544"/>
  </r>
  <r>
    <x v="0"/>
    <n v="368"/>
  </r>
  <r>
    <x v="2"/>
    <n v="546"/>
  </r>
  <r>
    <x v="0"/>
    <n v="411"/>
  </r>
  <r>
    <x v="1"/>
    <n v="572"/>
  </r>
  <r>
    <x v="0"/>
    <n v="652"/>
  </r>
  <r>
    <x v="1"/>
    <n v="494"/>
  </r>
  <r>
    <x v="0"/>
    <n v="493"/>
  </r>
  <r>
    <x v="2"/>
    <n v="653"/>
  </r>
  <r>
    <x v="1"/>
    <n v="373"/>
  </r>
  <r>
    <x v="0"/>
    <n v="687"/>
  </r>
  <r>
    <x v="1"/>
    <n v="419"/>
  </r>
  <r>
    <x v="2"/>
    <n v="786"/>
  </r>
  <r>
    <x v="0"/>
    <n v="471"/>
  </r>
  <r>
    <x v="1"/>
    <n v="602"/>
  </r>
  <r>
    <x v="2"/>
    <n v="766"/>
  </r>
  <r>
    <x v="0"/>
    <n v="467"/>
  </r>
  <r>
    <x v="1"/>
    <n v="506"/>
  </r>
  <r>
    <x v="2"/>
    <n v="738"/>
  </r>
  <r>
    <x v="1"/>
    <n v="702"/>
  </r>
  <r>
    <x v="2"/>
    <n v="436"/>
  </r>
  <r>
    <x v="0"/>
    <n v="672"/>
  </r>
  <r>
    <x v="1"/>
    <n v="491"/>
  </r>
  <r>
    <x v="2"/>
    <n v="784"/>
  </r>
  <r>
    <x v="0"/>
    <n v="470"/>
  </r>
  <r>
    <x v="1"/>
    <n v="840"/>
  </r>
  <r>
    <x v="2"/>
    <n v="445"/>
  </r>
  <r>
    <x v="0"/>
    <n v="729"/>
  </r>
  <r>
    <x v="2"/>
    <n v="534"/>
  </r>
  <r>
    <x v="1"/>
    <n v="784"/>
  </r>
  <r>
    <x v="0"/>
    <n v="351"/>
  </r>
  <r>
    <x v="2"/>
    <n v="624"/>
  </r>
  <r>
    <x v="1"/>
    <n v="514"/>
  </r>
  <r>
    <x v="0"/>
    <n v="500"/>
  </r>
  <r>
    <x v="2"/>
    <n v="706"/>
  </r>
  <r>
    <x v="1"/>
    <n v="450"/>
  </r>
  <r>
    <x v="0"/>
    <n v="718"/>
  </r>
  <r>
    <x v="1"/>
    <n v="439"/>
  </r>
  <r>
    <x v="2"/>
    <n v="727"/>
  </r>
  <r>
    <x v="1"/>
    <n v="476"/>
  </r>
  <r>
    <x v="0"/>
    <n v="576"/>
  </r>
  <r>
    <x v="2"/>
    <n v="643"/>
  </r>
  <r>
    <x v="1"/>
    <n v="484"/>
  </r>
  <r>
    <x v="0"/>
    <n v="516"/>
  </r>
  <r>
    <x v="2"/>
    <n v="566"/>
  </r>
  <r>
    <x v="1"/>
    <n v="494"/>
  </r>
  <r>
    <x v="0"/>
    <n v="723"/>
  </r>
  <r>
    <x v="2"/>
    <n v="449"/>
  </r>
  <r>
    <x v="0"/>
    <n v="294"/>
  </r>
  <r>
    <x v="1"/>
    <n v="481"/>
  </r>
  <r>
    <x v="0"/>
    <n v="342"/>
  </r>
  <r>
    <x v="2"/>
    <n v="500"/>
  </r>
  <r>
    <x v="0"/>
    <n v="301"/>
  </r>
  <r>
    <x v="1"/>
    <n v="488"/>
  </r>
  <r>
    <x v="0"/>
    <n v="289"/>
  </r>
  <r>
    <x v="2"/>
    <n v="464"/>
  </r>
  <r>
    <x v="1"/>
    <n v="287"/>
  </r>
  <r>
    <x v="0"/>
    <n v="422"/>
  </r>
  <r>
    <x v="2"/>
    <n v="326"/>
  </r>
  <r>
    <x v="1"/>
    <n v="421"/>
  </r>
  <r>
    <x v="0"/>
    <n v="242"/>
  </r>
  <r>
    <x v="2"/>
    <n v="419"/>
  </r>
  <r>
    <x v="0"/>
    <n v="522"/>
  </r>
  <r>
    <x v="2"/>
    <n v="333"/>
  </r>
  <r>
    <x v="1"/>
    <n v="262"/>
  </r>
  <r>
    <x v="0"/>
    <n v="324"/>
  </r>
  <r>
    <x v="2"/>
    <n v="422"/>
  </r>
  <r>
    <x v="0"/>
    <n v="384"/>
  </r>
  <r>
    <x v="1"/>
    <n v="274"/>
  </r>
  <r>
    <x v="2"/>
    <n v="305"/>
  </r>
  <r>
    <x v="0"/>
    <n v="328"/>
  </r>
  <r>
    <x v="2"/>
    <n v="404"/>
  </r>
  <r>
    <x v="0"/>
    <n v="274"/>
  </r>
  <r>
    <x v="1"/>
    <n v="396"/>
  </r>
  <r>
    <x v="2"/>
    <n v="264"/>
  </r>
  <r>
    <x v="0"/>
    <n v="330"/>
  </r>
  <r>
    <x v="2"/>
    <n v="244"/>
  </r>
  <r>
    <x v="1"/>
    <n v="345"/>
  </r>
  <r>
    <x v="0"/>
    <n v="253"/>
  </r>
  <r>
    <x v="2"/>
    <n v="261"/>
  </r>
  <r>
    <x v="1"/>
    <n v="343"/>
  </r>
  <r>
    <x v="0"/>
    <n v="408"/>
  </r>
  <r>
    <x v="2"/>
    <n v="234"/>
  </r>
  <r>
    <x v="1"/>
    <n v="3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5A050-E1B2-4EF0-973E-A26A39BDA98A}" name="Tabela przestawna2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6:L12" firstHeaderRow="0" firstDataRow="1" firstDataCol="1"/>
  <pivotFields count="5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dostawa_malin" fld="2" baseField="0" baseItem="0"/>
    <dataField name="Suma z dostawa_truskawek" fld="3" baseField="0" baseItem="0"/>
    <dataField name="Suma z dostawa_porzeczek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4C4B4-BCA2-4574-B07D-1D9A2C22AA9D}" name="Tabela przestawna1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X10:Y14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Liczba z Co produkujem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13D78-ECBC-4CB5-BFB9-20E2673C19BF}" name="Tabela przestawna1" cacheId="1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G7:AH11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k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1" xr16:uid="{3864289D-13B8-4340-9102-82235E5718E5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2" xr16:uid="{D38293FB-E7F0-4C0D-B5AD-3448CCAE44ED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3" xr16:uid="{BBB84106-6562-4F4D-B634-C842539CB00C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4" xr16:uid="{8B9CA68A-A374-49E0-9500-486AE6643AF9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5" xr16:uid="{19E62A61-C54A-4904-A5F1-3BC5844F30DA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6" xr16:uid="{21D9DB7D-A06C-4A86-8B4B-A2A4670BF2B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workbookViewId="0">
      <selection activeCell="H6" sqref="H6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43952</v>
      </c>
      <c r="B2">
        <v>211</v>
      </c>
      <c r="C2">
        <v>281</v>
      </c>
      <c r="D2">
        <v>88</v>
      </c>
    </row>
    <row r="3" spans="1:4" x14ac:dyDescent="0.25">
      <c r="A3" s="1">
        <v>43953</v>
      </c>
      <c r="B3">
        <v>393</v>
      </c>
      <c r="C3">
        <v>313</v>
      </c>
      <c r="D3">
        <v>83</v>
      </c>
    </row>
    <row r="4" spans="1:4" x14ac:dyDescent="0.25">
      <c r="A4" s="1">
        <v>43954</v>
      </c>
      <c r="B4">
        <v>389</v>
      </c>
      <c r="C4">
        <v>315</v>
      </c>
      <c r="D4">
        <v>104</v>
      </c>
    </row>
    <row r="5" spans="1:4" x14ac:dyDescent="0.25">
      <c r="A5" s="1">
        <v>43955</v>
      </c>
      <c r="B5">
        <v>308</v>
      </c>
      <c r="C5">
        <v>221</v>
      </c>
      <c r="D5">
        <v>119</v>
      </c>
    </row>
    <row r="6" spans="1:4" x14ac:dyDescent="0.25">
      <c r="A6" s="1">
        <v>43956</v>
      </c>
      <c r="B6">
        <v>387</v>
      </c>
      <c r="C6">
        <v>275</v>
      </c>
      <c r="D6">
        <v>72</v>
      </c>
    </row>
    <row r="7" spans="1:4" x14ac:dyDescent="0.25">
      <c r="A7" s="1">
        <v>43957</v>
      </c>
      <c r="B7">
        <v>294</v>
      </c>
      <c r="C7">
        <v>366</v>
      </c>
      <c r="D7">
        <v>99</v>
      </c>
    </row>
    <row r="8" spans="1:4" x14ac:dyDescent="0.25">
      <c r="A8" s="1">
        <v>43958</v>
      </c>
      <c r="B8">
        <v>389</v>
      </c>
      <c r="C8">
        <v>288</v>
      </c>
      <c r="D8">
        <v>87</v>
      </c>
    </row>
    <row r="9" spans="1:4" x14ac:dyDescent="0.25">
      <c r="A9" s="1">
        <v>43959</v>
      </c>
      <c r="B9">
        <v>259</v>
      </c>
      <c r="C9">
        <v>361</v>
      </c>
      <c r="D9">
        <v>112</v>
      </c>
    </row>
    <row r="10" spans="1:4" x14ac:dyDescent="0.25">
      <c r="A10" s="1">
        <v>43960</v>
      </c>
      <c r="B10">
        <v>369</v>
      </c>
      <c r="C10">
        <v>233</v>
      </c>
      <c r="D10">
        <v>110</v>
      </c>
    </row>
    <row r="11" spans="1:4" x14ac:dyDescent="0.25">
      <c r="A11" s="1">
        <v>43961</v>
      </c>
      <c r="B11">
        <v>263</v>
      </c>
      <c r="C11">
        <v>393</v>
      </c>
      <c r="D11">
        <v>75</v>
      </c>
    </row>
    <row r="12" spans="1:4" x14ac:dyDescent="0.25">
      <c r="A12" s="1">
        <v>43962</v>
      </c>
      <c r="B12">
        <v>239</v>
      </c>
      <c r="C12">
        <v>347</v>
      </c>
      <c r="D12">
        <v>94</v>
      </c>
    </row>
    <row r="13" spans="1:4" x14ac:dyDescent="0.25">
      <c r="A13" s="1">
        <v>43963</v>
      </c>
      <c r="B13">
        <v>282</v>
      </c>
      <c r="C13">
        <v>338</v>
      </c>
      <c r="D13">
        <v>86</v>
      </c>
    </row>
    <row r="14" spans="1:4" x14ac:dyDescent="0.25">
      <c r="A14" s="1">
        <v>43964</v>
      </c>
      <c r="B14">
        <v>306</v>
      </c>
      <c r="C14">
        <v>273</v>
      </c>
      <c r="D14">
        <v>75</v>
      </c>
    </row>
    <row r="15" spans="1:4" x14ac:dyDescent="0.25">
      <c r="A15" s="1">
        <v>43965</v>
      </c>
      <c r="B15">
        <v>251</v>
      </c>
      <c r="C15">
        <v>325</v>
      </c>
      <c r="D15">
        <v>89</v>
      </c>
    </row>
    <row r="16" spans="1:4" x14ac:dyDescent="0.25">
      <c r="A16" s="1">
        <v>43966</v>
      </c>
      <c r="B16">
        <v>224</v>
      </c>
      <c r="C16">
        <v>352</v>
      </c>
      <c r="D16">
        <v>97</v>
      </c>
    </row>
    <row r="17" spans="1:4" x14ac:dyDescent="0.25">
      <c r="A17" s="1">
        <v>43967</v>
      </c>
      <c r="B17">
        <v>233</v>
      </c>
      <c r="C17">
        <v>270</v>
      </c>
      <c r="D17">
        <v>94</v>
      </c>
    </row>
    <row r="18" spans="1:4" x14ac:dyDescent="0.25">
      <c r="A18" s="1">
        <v>43968</v>
      </c>
      <c r="B18">
        <v>345</v>
      </c>
      <c r="C18">
        <v>275</v>
      </c>
      <c r="D18">
        <v>90</v>
      </c>
    </row>
    <row r="19" spans="1:4" x14ac:dyDescent="0.25">
      <c r="A19" s="1">
        <v>43969</v>
      </c>
      <c r="B19">
        <v>232</v>
      </c>
      <c r="C19">
        <v>228</v>
      </c>
      <c r="D19">
        <v>107</v>
      </c>
    </row>
    <row r="20" spans="1:4" x14ac:dyDescent="0.25">
      <c r="A20" s="1">
        <v>43970</v>
      </c>
      <c r="B20">
        <v>238</v>
      </c>
      <c r="C20">
        <v>394</v>
      </c>
      <c r="D20">
        <v>105</v>
      </c>
    </row>
    <row r="21" spans="1:4" x14ac:dyDescent="0.25">
      <c r="A21" s="1">
        <v>43971</v>
      </c>
      <c r="B21">
        <v>378</v>
      </c>
      <c r="C21">
        <v>311</v>
      </c>
      <c r="D21">
        <v>110</v>
      </c>
    </row>
    <row r="22" spans="1:4" x14ac:dyDescent="0.25">
      <c r="A22" s="1">
        <v>43972</v>
      </c>
      <c r="B22">
        <v>281</v>
      </c>
      <c r="C22">
        <v>354</v>
      </c>
      <c r="D22">
        <v>121</v>
      </c>
    </row>
    <row r="23" spans="1:4" x14ac:dyDescent="0.25">
      <c r="A23" s="1">
        <v>43973</v>
      </c>
      <c r="B23">
        <v>390</v>
      </c>
      <c r="C23">
        <v>267</v>
      </c>
      <c r="D23">
        <v>124</v>
      </c>
    </row>
    <row r="24" spans="1:4" x14ac:dyDescent="0.25">
      <c r="A24" s="1">
        <v>43974</v>
      </c>
      <c r="B24">
        <v>308</v>
      </c>
      <c r="C24">
        <v>337</v>
      </c>
      <c r="D24">
        <v>105</v>
      </c>
    </row>
    <row r="25" spans="1:4" x14ac:dyDescent="0.25">
      <c r="A25" s="1">
        <v>43975</v>
      </c>
      <c r="B25">
        <v>391</v>
      </c>
      <c r="C25">
        <v>238</v>
      </c>
      <c r="D25">
        <v>113</v>
      </c>
    </row>
    <row r="26" spans="1:4" x14ac:dyDescent="0.25">
      <c r="A26" s="1">
        <v>43976</v>
      </c>
      <c r="B26">
        <v>241</v>
      </c>
      <c r="C26">
        <v>283</v>
      </c>
      <c r="D26">
        <v>140</v>
      </c>
    </row>
    <row r="27" spans="1:4" x14ac:dyDescent="0.25">
      <c r="A27" s="1">
        <v>43977</v>
      </c>
      <c r="B27">
        <v>249</v>
      </c>
      <c r="C27">
        <v>275</v>
      </c>
      <c r="D27">
        <v>118</v>
      </c>
    </row>
    <row r="28" spans="1:4" x14ac:dyDescent="0.25">
      <c r="A28" s="1">
        <v>43978</v>
      </c>
      <c r="B28">
        <v>298</v>
      </c>
      <c r="C28">
        <v>263</v>
      </c>
      <c r="D28">
        <v>145</v>
      </c>
    </row>
    <row r="29" spans="1:4" x14ac:dyDescent="0.25">
      <c r="A29" s="1">
        <v>43979</v>
      </c>
      <c r="B29">
        <v>254</v>
      </c>
      <c r="C29">
        <v>241</v>
      </c>
      <c r="D29">
        <v>149</v>
      </c>
    </row>
    <row r="30" spans="1:4" x14ac:dyDescent="0.25">
      <c r="A30" s="1">
        <v>43980</v>
      </c>
      <c r="B30">
        <v>329</v>
      </c>
      <c r="C30">
        <v>323</v>
      </c>
      <c r="D30">
        <v>134</v>
      </c>
    </row>
    <row r="31" spans="1:4" x14ac:dyDescent="0.25">
      <c r="A31" s="1">
        <v>43981</v>
      </c>
      <c r="B31">
        <v>213</v>
      </c>
      <c r="C31">
        <v>221</v>
      </c>
      <c r="D31">
        <v>119</v>
      </c>
    </row>
    <row r="32" spans="1:4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6FCF-9D91-4DB7-BA47-B77E5F8BA378}">
  <dimension ref="A1:N154"/>
  <sheetViews>
    <sheetView topLeftCell="F10" workbookViewId="0">
      <selection activeCell="K19" sqref="K19:N24"/>
    </sheetView>
  </sheetViews>
  <sheetFormatPr defaultRowHeight="15" x14ac:dyDescent="0.25"/>
  <cols>
    <col min="1" max="1" width="10.140625" bestFit="1" customWidth="1"/>
    <col min="2" max="2" width="10.140625" customWidth="1"/>
    <col min="3" max="3" width="14.5703125" bestFit="1" customWidth="1"/>
    <col min="4" max="4" width="18.85546875" bestFit="1" customWidth="1"/>
    <col min="5" max="5" width="18.5703125" bestFit="1" customWidth="1"/>
    <col min="9" max="9" width="17.7109375" bestFit="1" customWidth="1"/>
    <col min="10" max="10" width="21.42578125" bestFit="1" customWidth="1"/>
    <col min="11" max="11" width="25.7109375" bestFit="1" customWidth="1"/>
    <col min="12" max="12" width="25.28515625" bestFit="1" customWidth="1"/>
    <col min="13" max="13" width="19" bestFit="1" customWidth="1"/>
    <col min="14" max="14" width="18.7109375" bestFit="1" customWidth="1"/>
  </cols>
  <sheetData>
    <row r="1" spans="1:12" x14ac:dyDescent="0.25">
      <c r="A1" t="s">
        <v>0</v>
      </c>
      <c r="B1" t="s">
        <v>9</v>
      </c>
      <c r="C1" t="s">
        <v>1</v>
      </c>
      <c r="D1" t="s">
        <v>2</v>
      </c>
      <c r="E1" t="s">
        <v>3</v>
      </c>
    </row>
    <row r="2" spans="1:12" x14ac:dyDescent="0.25">
      <c r="A2" s="1">
        <v>43952</v>
      </c>
      <c r="B2">
        <f>MONTH(A2)</f>
        <v>5</v>
      </c>
      <c r="C2">
        <v>211</v>
      </c>
      <c r="D2">
        <v>281</v>
      </c>
      <c r="E2">
        <v>88</v>
      </c>
    </row>
    <row r="3" spans="1:12" x14ac:dyDescent="0.25">
      <c r="A3" s="1">
        <v>43953</v>
      </c>
      <c r="B3">
        <f t="shared" ref="B3:B66" si="0">MONTH(A3)</f>
        <v>5</v>
      </c>
      <c r="C3">
        <v>393</v>
      </c>
      <c r="D3">
        <v>313</v>
      </c>
      <c r="E3">
        <v>83</v>
      </c>
    </row>
    <row r="4" spans="1:12" x14ac:dyDescent="0.25">
      <c r="A4" s="1">
        <v>43954</v>
      </c>
      <c r="B4">
        <f t="shared" si="0"/>
        <v>5</v>
      </c>
      <c r="C4">
        <v>389</v>
      </c>
      <c r="D4">
        <v>315</v>
      </c>
      <c r="E4">
        <v>104</v>
      </c>
    </row>
    <row r="5" spans="1:12" x14ac:dyDescent="0.25">
      <c r="A5" s="1">
        <v>43955</v>
      </c>
      <c r="B5">
        <f t="shared" si="0"/>
        <v>5</v>
      </c>
      <c r="C5">
        <v>308</v>
      </c>
      <c r="D5">
        <v>221</v>
      </c>
      <c r="E5">
        <v>119</v>
      </c>
    </row>
    <row r="6" spans="1:12" x14ac:dyDescent="0.25">
      <c r="A6" s="1">
        <v>43956</v>
      </c>
      <c r="B6">
        <f t="shared" si="0"/>
        <v>5</v>
      </c>
      <c r="C6">
        <v>387</v>
      </c>
      <c r="D6">
        <v>275</v>
      </c>
      <c r="E6">
        <v>72</v>
      </c>
      <c r="I6" s="2" t="s">
        <v>4</v>
      </c>
      <c r="J6" t="s">
        <v>6</v>
      </c>
      <c r="K6" t="s">
        <v>7</v>
      </c>
      <c r="L6" t="s">
        <v>8</v>
      </c>
    </row>
    <row r="7" spans="1:12" x14ac:dyDescent="0.25">
      <c r="A7" s="1">
        <v>43957</v>
      </c>
      <c r="B7">
        <f t="shared" si="0"/>
        <v>5</v>
      </c>
      <c r="C7">
        <v>294</v>
      </c>
      <c r="D7">
        <v>366</v>
      </c>
      <c r="E7">
        <v>99</v>
      </c>
      <c r="I7" s="3">
        <v>5</v>
      </c>
      <c r="J7">
        <v>9238</v>
      </c>
      <c r="K7">
        <v>9287</v>
      </c>
      <c r="L7">
        <v>3309</v>
      </c>
    </row>
    <row r="8" spans="1:12" x14ac:dyDescent="0.25">
      <c r="A8" s="1">
        <v>43958</v>
      </c>
      <c r="B8">
        <f t="shared" si="0"/>
        <v>5</v>
      </c>
      <c r="C8">
        <v>389</v>
      </c>
      <c r="D8">
        <v>288</v>
      </c>
      <c r="E8">
        <v>87</v>
      </c>
      <c r="I8" s="3">
        <v>6</v>
      </c>
      <c r="J8">
        <v>9485</v>
      </c>
      <c r="K8">
        <v>8916</v>
      </c>
      <c r="L8">
        <v>5081</v>
      </c>
    </row>
    <row r="9" spans="1:12" x14ac:dyDescent="0.25">
      <c r="A9" s="1">
        <v>43959</v>
      </c>
      <c r="B9">
        <f t="shared" si="0"/>
        <v>5</v>
      </c>
      <c r="C9">
        <v>259</v>
      </c>
      <c r="D9">
        <v>361</v>
      </c>
      <c r="E9">
        <v>112</v>
      </c>
      <c r="I9" s="3">
        <v>7</v>
      </c>
      <c r="J9">
        <v>11592</v>
      </c>
      <c r="K9">
        <v>11339</v>
      </c>
      <c r="L9">
        <v>10567</v>
      </c>
    </row>
    <row r="10" spans="1:12" x14ac:dyDescent="0.25">
      <c r="A10" s="1">
        <v>43960</v>
      </c>
      <c r="B10">
        <f t="shared" si="0"/>
        <v>5</v>
      </c>
      <c r="C10">
        <v>369</v>
      </c>
      <c r="D10">
        <v>233</v>
      </c>
      <c r="E10">
        <v>110</v>
      </c>
      <c r="I10" s="3">
        <v>8</v>
      </c>
      <c r="J10">
        <v>11045</v>
      </c>
      <c r="K10">
        <v>11386</v>
      </c>
      <c r="L10">
        <v>11078</v>
      </c>
    </row>
    <row r="11" spans="1:12" x14ac:dyDescent="0.25">
      <c r="A11" s="1">
        <v>43961</v>
      </c>
      <c r="B11">
        <f t="shared" si="0"/>
        <v>5</v>
      </c>
      <c r="C11">
        <v>263</v>
      </c>
      <c r="D11">
        <v>393</v>
      </c>
      <c r="E11">
        <v>75</v>
      </c>
      <c r="I11" s="3">
        <v>9</v>
      </c>
      <c r="J11">
        <v>6532</v>
      </c>
      <c r="K11">
        <v>7476</v>
      </c>
      <c r="L11">
        <v>6355</v>
      </c>
    </row>
    <row r="12" spans="1:12" x14ac:dyDescent="0.25">
      <c r="A12" s="1">
        <v>43962</v>
      </c>
      <c r="B12">
        <f t="shared" si="0"/>
        <v>5</v>
      </c>
      <c r="C12">
        <v>239</v>
      </c>
      <c r="D12">
        <v>347</v>
      </c>
      <c r="E12">
        <v>94</v>
      </c>
      <c r="I12" s="3" t="s">
        <v>5</v>
      </c>
      <c r="J12">
        <v>47892</v>
      </c>
      <c r="K12">
        <v>48404</v>
      </c>
      <c r="L12">
        <v>36390</v>
      </c>
    </row>
    <row r="13" spans="1:12" x14ac:dyDescent="0.25">
      <c r="A13" s="1">
        <v>43963</v>
      </c>
      <c r="B13">
        <f t="shared" si="0"/>
        <v>5</v>
      </c>
      <c r="C13">
        <v>282</v>
      </c>
      <c r="D13">
        <v>338</v>
      </c>
      <c r="E13">
        <v>86</v>
      </c>
    </row>
    <row r="14" spans="1:12" x14ac:dyDescent="0.25">
      <c r="A14" s="1">
        <v>43964</v>
      </c>
      <c r="B14">
        <f t="shared" si="0"/>
        <v>5</v>
      </c>
      <c r="C14">
        <v>306</v>
      </c>
      <c r="D14">
        <v>273</v>
      </c>
      <c r="E14">
        <v>75</v>
      </c>
    </row>
    <row r="15" spans="1:12" x14ac:dyDescent="0.25">
      <c r="A15" s="1">
        <v>43965</v>
      </c>
      <c r="B15">
        <f t="shared" si="0"/>
        <v>5</v>
      </c>
      <c r="C15">
        <v>251</v>
      </c>
      <c r="D15">
        <v>325</v>
      </c>
      <c r="E15">
        <v>89</v>
      </c>
    </row>
    <row r="16" spans="1:12" x14ac:dyDescent="0.25">
      <c r="A16" s="1">
        <v>43966</v>
      </c>
      <c r="B16">
        <f t="shared" si="0"/>
        <v>5</v>
      </c>
      <c r="C16">
        <v>224</v>
      </c>
      <c r="D16">
        <v>352</v>
      </c>
      <c r="E16">
        <v>97</v>
      </c>
    </row>
    <row r="17" spans="1:14" x14ac:dyDescent="0.25">
      <c r="A17" s="1">
        <v>43967</v>
      </c>
      <c r="B17">
        <f t="shared" si="0"/>
        <v>5</v>
      </c>
      <c r="C17">
        <v>233</v>
      </c>
      <c r="D17">
        <v>270</v>
      </c>
      <c r="E17">
        <v>94</v>
      </c>
    </row>
    <row r="18" spans="1:14" x14ac:dyDescent="0.25">
      <c r="A18" s="1">
        <v>43968</v>
      </c>
      <c r="B18">
        <f t="shared" si="0"/>
        <v>5</v>
      </c>
      <c r="C18">
        <v>345</v>
      </c>
      <c r="D18">
        <v>275</v>
      </c>
      <c r="E18">
        <v>90</v>
      </c>
    </row>
    <row r="19" spans="1:14" x14ac:dyDescent="0.25">
      <c r="A19" s="1">
        <v>43969</v>
      </c>
      <c r="B19">
        <f t="shared" si="0"/>
        <v>5</v>
      </c>
      <c r="C19">
        <v>232</v>
      </c>
      <c r="D19">
        <v>228</v>
      </c>
      <c r="E19">
        <v>107</v>
      </c>
      <c r="K19" t="s">
        <v>10</v>
      </c>
      <c r="L19" t="s">
        <v>11</v>
      </c>
      <c r="M19" t="s">
        <v>12</v>
      </c>
      <c r="N19" t="s">
        <v>13</v>
      </c>
    </row>
    <row r="20" spans="1:14" x14ac:dyDescent="0.25">
      <c r="A20" s="1">
        <v>43970</v>
      </c>
      <c r="B20">
        <f t="shared" si="0"/>
        <v>5</v>
      </c>
      <c r="C20">
        <v>238</v>
      </c>
      <c r="D20">
        <v>394</v>
      </c>
      <c r="E20">
        <v>105</v>
      </c>
      <c r="K20" s="3" t="s">
        <v>14</v>
      </c>
      <c r="L20">
        <v>9238</v>
      </c>
      <c r="M20">
        <v>9287</v>
      </c>
      <c r="N20">
        <v>3309</v>
      </c>
    </row>
    <row r="21" spans="1:14" x14ac:dyDescent="0.25">
      <c r="A21" s="1">
        <v>43971</v>
      </c>
      <c r="B21">
        <f t="shared" si="0"/>
        <v>5</v>
      </c>
      <c r="C21">
        <v>378</v>
      </c>
      <c r="D21">
        <v>311</v>
      </c>
      <c r="E21">
        <v>110</v>
      </c>
      <c r="K21" s="3" t="s">
        <v>15</v>
      </c>
      <c r="L21">
        <v>9485</v>
      </c>
      <c r="M21">
        <v>8916</v>
      </c>
      <c r="N21">
        <v>5081</v>
      </c>
    </row>
    <row r="22" spans="1:14" x14ac:dyDescent="0.25">
      <c r="A22" s="1">
        <v>43972</v>
      </c>
      <c r="B22">
        <f t="shared" si="0"/>
        <v>5</v>
      </c>
      <c r="C22">
        <v>281</v>
      </c>
      <c r="D22">
        <v>354</v>
      </c>
      <c r="E22">
        <v>121</v>
      </c>
      <c r="K22" s="3" t="s">
        <v>16</v>
      </c>
      <c r="L22">
        <v>11592</v>
      </c>
      <c r="M22">
        <v>11339</v>
      </c>
      <c r="N22">
        <v>10567</v>
      </c>
    </row>
    <row r="23" spans="1:14" x14ac:dyDescent="0.25">
      <c r="A23" s="1">
        <v>43973</v>
      </c>
      <c r="B23">
        <f t="shared" si="0"/>
        <v>5</v>
      </c>
      <c r="C23">
        <v>390</v>
      </c>
      <c r="D23">
        <v>267</v>
      </c>
      <c r="E23">
        <v>124</v>
      </c>
      <c r="K23" s="3" t="s">
        <v>17</v>
      </c>
      <c r="L23">
        <v>11045</v>
      </c>
      <c r="M23">
        <v>11386</v>
      </c>
      <c r="N23">
        <v>11078</v>
      </c>
    </row>
    <row r="24" spans="1:14" x14ac:dyDescent="0.25">
      <c r="A24" s="1">
        <v>43974</v>
      </c>
      <c r="B24">
        <f t="shared" si="0"/>
        <v>5</v>
      </c>
      <c r="C24">
        <v>308</v>
      </c>
      <c r="D24">
        <v>337</v>
      </c>
      <c r="E24">
        <v>105</v>
      </c>
      <c r="K24" s="3" t="s">
        <v>18</v>
      </c>
      <c r="L24">
        <v>6532</v>
      </c>
      <c r="M24">
        <v>7476</v>
      </c>
      <c r="N24">
        <v>6355</v>
      </c>
    </row>
    <row r="25" spans="1:14" x14ac:dyDescent="0.25">
      <c r="A25" s="1">
        <v>43975</v>
      </c>
      <c r="B25">
        <f t="shared" si="0"/>
        <v>5</v>
      </c>
      <c r="C25">
        <v>391</v>
      </c>
      <c r="D25">
        <v>238</v>
      </c>
      <c r="E25">
        <v>113</v>
      </c>
    </row>
    <row r="26" spans="1:14" x14ac:dyDescent="0.25">
      <c r="A26" s="1">
        <v>43976</v>
      </c>
      <c r="B26">
        <f t="shared" si="0"/>
        <v>5</v>
      </c>
      <c r="C26">
        <v>241</v>
      </c>
      <c r="D26">
        <v>283</v>
      </c>
      <c r="E26">
        <v>140</v>
      </c>
    </row>
    <row r="27" spans="1:14" x14ac:dyDescent="0.25">
      <c r="A27" s="1">
        <v>43977</v>
      </c>
      <c r="B27">
        <f t="shared" si="0"/>
        <v>5</v>
      </c>
      <c r="C27">
        <v>249</v>
      </c>
      <c r="D27">
        <v>275</v>
      </c>
      <c r="E27">
        <v>118</v>
      </c>
    </row>
    <row r="28" spans="1:14" x14ac:dyDescent="0.25">
      <c r="A28" s="1">
        <v>43978</v>
      </c>
      <c r="B28">
        <f t="shared" si="0"/>
        <v>5</v>
      </c>
      <c r="C28">
        <v>298</v>
      </c>
      <c r="D28">
        <v>263</v>
      </c>
      <c r="E28">
        <v>145</v>
      </c>
    </row>
    <row r="29" spans="1:14" x14ac:dyDescent="0.25">
      <c r="A29" s="1">
        <v>43979</v>
      </c>
      <c r="B29">
        <f t="shared" si="0"/>
        <v>5</v>
      </c>
      <c r="C29">
        <v>254</v>
      </c>
      <c r="D29">
        <v>241</v>
      </c>
      <c r="E29">
        <v>149</v>
      </c>
    </row>
    <row r="30" spans="1:14" x14ac:dyDescent="0.25">
      <c r="A30" s="1">
        <v>43980</v>
      </c>
      <c r="B30">
        <f t="shared" si="0"/>
        <v>5</v>
      </c>
      <c r="C30">
        <v>329</v>
      </c>
      <c r="D30">
        <v>323</v>
      </c>
      <c r="E30">
        <v>134</v>
      </c>
    </row>
    <row r="31" spans="1:14" x14ac:dyDescent="0.25">
      <c r="A31" s="1">
        <v>43981</v>
      </c>
      <c r="B31">
        <f t="shared" si="0"/>
        <v>5</v>
      </c>
      <c r="C31">
        <v>213</v>
      </c>
      <c r="D31">
        <v>221</v>
      </c>
      <c r="E31">
        <v>119</v>
      </c>
    </row>
    <row r="32" spans="1:14" x14ac:dyDescent="0.25">
      <c r="A32" s="1">
        <v>43982</v>
      </c>
      <c r="B32">
        <f t="shared" si="0"/>
        <v>5</v>
      </c>
      <c r="C32">
        <v>294</v>
      </c>
      <c r="D32">
        <v>326</v>
      </c>
      <c r="E32">
        <v>145</v>
      </c>
    </row>
    <row r="33" spans="1:5" x14ac:dyDescent="0.25">
      <c r="A33" s="1">
        <v>43983</v>
      </c>
      <c r="B33">
        <f t="shared" si="0"/>
        <v>6</v>
      </c>
      <c r="C33">
        <v>225</v>
      </c>
      <c r="D33">
        <v>206</v>
      </c>
      <c r="E33">
        <v>122</v>
      </c>
    </row>
    <row r="34" spans="1:5" x14ac:dyDescent="0.25">
      <c r="A34" s="1">
        <v>43984</v>
      </c>
      <c r="B34">
        <f t="shared" si="0"/>
        <v>6</v>
      </c>
      <c r="C34">
        <v>264</v>
      </c>
      <c r="D34">
        <v>355</v>
      </c>
      <c r="E34">
        <v>134</v>
      </c>
    </row>
    <row r="35" spans="1:5" x14ac:dyDescent="0.25">
      <c r="A35" s="1">
        <v>43985</v>
      </c>
      <c r="B35">
        <f t="shared" si="0"/>
        <v>6</v>
      </c>
      <c r="C35">
        <v>253</v>
      </c>
      <c r="D35">
        <v>271</v>
      </c>
      <c r="E35">
        <v>142</v>
      </c>
    </row>
    <row r="36" spans="1:5" x14ac:dyDescent="0.25">
      <c r="A36" s="1">
        <v>43986</v>
      </c>
      <c r="B36">
        <f t="shared" si="0"/>
        <v>6</v>
      </c>
      <c r="C36">
        <v>352</v>
      </c>
      <c r="D36">
        <v>207</v>
      </c>
      <c r="E36">
        <v>125</v>
      </c>
    </row>
    <row r="37" spans="1:5" x14ac:dyDescent="0.25">
      <c r="A37" s="1">
        <v>43987</v>
      </c>
      <c r="B37">
        <f t="shared" si="0"/>
        <v>6</v>
      </c>
      <c r="C37">
        <v>269</v>
      </c>
      <c r="D37">
        <v>248</v>
      </c>
      <c r="E37">
        <v>137</v>
      </c>
    </row>
    <row r="38" spans="1:5" x14ac:dyDescent="0.25">
      <c r="A38" s="1">
        <v>43988</v>
      </c>
      <c r="B38">
        <f t="shared" si="0"/>
        <v>6</v>
      </c>
      <c r="C38">
        <v>242</v>
      </c>
      <c r="D38">
        <v>247</v>
      </c>
      <c r="E38">
        <v>125</v>
      </c>
    </row>
    <row r="39" spans="1:5" x14ac:dyDescent="0.25">
      <c r="A39" s="1">
        <v>43989</v>
      </c>
      <c r="B39">
        <f t="shared" si="0"/>
        <v>6</v>
      </c>
      <c r="C39">
        <v>327</v>
      </c>
      <c r="D39">
        <v>262</v>
      </c>
      <c r="E39">
        <v>103</v>
      </c>
    </row>
    <row r="40" spans="1:5" x14ac:dyDescent="0.25">
      <c r="A40" s="1">
        <v>43990</v>
      </c>
      <c r="B40">
        <f t="shared" si="0"/>
        <v>6</v>
      </c>
      <c r="C40">
        <v>316</v>
      </c>
      <c r="D40">
        <v>253</v>
      </c>
      <c r="E40">
        <v>134</v>
      </c>
    </row>
    <row r="41" spans="1:5" x14ac:dyDescent="0.25">
      <c r="A41" s="1">
        <v>43991</v>
      </c>
      <c r="B41">
        <f t="shared" si="0"/>
        <v>6</v>
      </c>
      <c r="C41">
        <v>294</v>
      </c>
      <c r="D41">
        <v>249</v>
      </c>
      <c r="E41">
        <v>137</v>
      </c>
    </row>
    <row r="42" spans="1:5" x14ac:dyDescent="0.25">
      <c r="A42" s="1">
        <v>43992</v>
      </c>
      <c r="B42">
        <f t="shared" si="0"/>
        <v>6</v>
      </c>
      <c r="C42">
        <v>270</v>
      </c>
      <c r="D42">
        <v>206</v>
      </c>
      <c r="E42">
        <v>146</v>
      </c>
    </row>
    <row r="43" spans="1:5" x14ac:dyDescent="0.25">
      <c r="A43" s="1">
        <v>43993</v>
      </c>
      <c r="B43">
        <f t="shared" si="0"/>
        <v>6</v>
      </c>
      <c r="C43">
        <v>349</v>
      </c>
      <c r="D43">
        <v>301</v>
      </c>
      <c r="E43">
        <v>138</v>
      </c>
    </row>
    <row r="44" spans="1:5" x14ac:dyDescent="0.25">
      <c r="A44" s="1">
        <v>43994</v>
      </c>
      <c r="B44">
        <f t="shared" si="0"/>
        <v>6</v>
      </c>
      <c r="C44">
        <v>224</v>
      </c>
      <c r="D44">
        <v>385</v>
      </c>
      <c r="E44">
        <v>138</v>
      </c>
    </row>
    <row r="45" spans="1:5" x14ac:dyDescent="0.25">
      <c r="A45" s="1">
        <v>43995</v>
      </c>
      <c r="B45">
        <f t="shared" si="0"/>
        <v>6</v>
      </c>
      <c r="C45">
        <v>309</v>
      </c>
      <c r="D45">
        <v>204</v>
      </c>
      <c r="E45">
        <v>140</v>
      </c>
    </row>
    <row r="46" spans="1:5" x14ac:dyDescent="0.25">
      <c r="A46" s="1">
        <v>43996</v>
      </c>
      <c r="B46">
        <f t="shared" si="0"/>
        <v>6</v>
      </c>
      <c r="C46">
        <v>246</v>
      </c>
      <c r="D46">
        <v>275</v>
      </c>
      <c r="E46">
        <v>130</v>
      </c>
    </row>
    <row r="47" spans="1:5" x14ac:dyDescent="0.25">
      <c r="A47" s="1">
        <v>43997</v>
      </c>
      <c r="B47">
        <f t="shared" si="0"/>
        <v>6</v>
      </c>
      <c r="C47">
        <v>241</v>
      </c>
      <c r="D47">
        <v>247</v>
      </c>
      <c r="E47">
        <v>166</v>
      </c>
    </row>
    <row r="48" spans="1:5" x14ac:dyDescent="0.25">
      <c r="A48" s="1">
        <v>43998</v>
      </c>
      <c r="B48">
        <f t="shared" si="0"/>
        <v>6</v>
      </c>
      <c r="C48">
        <v>365</v>
      </c>
      <c r="D48">
        <v>256</v>
      </c>
      <c r="E48">
        <v>132</v>
      </c>
    </row>
    <row r="49" spans="1:5" x14ac:dyDescent="0.25">
      <c r="A49" s="1">
        <v>43999</v>
      </c>
      <c r="B49">
        <f t="shared" si="0"/>
        <v>6</v>
      </c>
      <c r="C49">
        <v>225</v>
      </c>
      <c r="D49">
        <v>392</v>
      </c>
      <c r="E49">
        <v>158</v>
      </c>
    </row>
    <row r="50" spans="1:5" x14ac:dyDescent="0.25">
      <c r="A50" s="1">
        <v>44000</v>
      </c>
      <c r="B50">
        <f t="shared" si="0"/>
        <v>6</v>
      </c>
      <c r="C50">
        <v>335</v>
      </c>
      <c r="D50">
        <v>254</v>
      </c>
      <c r="E50">
        <v>173</v>
      </c>
    </row>
    <row r="51" spans="1:5" x14ac:dyDescent="0.25">
      <c r="A51" s="1">
        <v>44001</v>
      </c>
      <c r="B51">
        <f t="shared" si="0"/>
        <v>6</v>
      </c>
      <c r="C51">
        <v>376</v>
      </c>
      <c r="D51">
        <v>258</v>
      </c>
      <c r="E51">
        <v>151</v>
      </c>
    </row>
    <row r="52" spans="1:5" x14ac:dyDescent="0.25">
      <c r="A52" s="1">
        <v>44002</v>
      </c>
      <c r="B52">
        <f t="shared" si="0"/>
        <v>6</v>
      </c>
      <c r="C52">
        <v>310</v>
      </c>
      <c r="D52">
        <v>248</v>
      </c>
      <c r="E52">
        <v>173</v>
      </c>
    </row>
    <row r="53" spans="1:5" x14ac:dyDescent="0.25">
      <c r="A53" s="1">
        <v>44003</v>
      </c>
      <c r="B53">
        <f t="shared" si="0"/>
        <v>6</v>
      </c>
      <c r="C53">
        <v>408</v>
      </c>
      <c r="D53">
        <v>250</v>
      </c>
      <c r="E53">
        <v>242</v>
      </c>
    </row>
    <row r="54" spans="1:5" x14ac:dyDescent="0.25">
      <c r="A54" s="1">
        <v>44004</v>
      </c>
      <c r="B54">
        <f t="shared" si="0"/>
        <v>6</v>
      </c>
      <c r="C54">
        <v>256</v>
      </c>
      <c r="D54">
        <v>393</v>
      </c>
      <c r="E54">
        <v>219</v>
      </c>
    </row>
    <row r="55" spans="1:5" x14ac:dyDescent="0.25">
      <c r="A55" s="1">
        <v>44005</v>
      </c>
      <c r="B55">
        <f t="shared" si="0"/>
        <v>6</v>
      </c>
      <c r="C55">
        <v>322</v>
      </c>
      <c r="D55">
        <v>425</v>
      </c>
      <c r="E55">
        <v>215</v>
      </c>
    </row>
    <row r="56" spans="1:5" x14ac:dyDescent="0.25">
      <c r="A56" s="1">
        <v>44006</v>
      </c>
      <c r="B56">
        <f t="shared" si="0"/>
        <v>6</v>
      </c>
      <c r="C56">
        <v>447</v>
      </c>
      <c r="D56">
        <v>385</v>
      </c>
      <c r="E56">
        <v>212</v>
      </c>
    </row>
    <row r="57" spans="1:5" x14ac:dyDescent="0.25">
      <c r="A57" s="1">
        <v>44007</v>
      </c>
      <c r="B57">
        <f t="shared" si="0"/>
        <v>6</v>
      </c>
      <c r="C57">
        <v>408</v>
      </c>
      <c r="D57">
        <v>260</v>
      </c>
      <c r="E57">
        <v>225</v>
      </c>
    </row>
    <row r="58" spans="1:5" x14ac:dyDescent="0.25">
      <c r="A58" s="1">
        <v>44008</v>
      </c>
      <c r="B58">
        <f t="shared" si="0"/>
        <v>6</v>
      </c>
      <c r="C58">
        <v>283</v>
      </c>
      <c r="D58">
        <v>396</v>
      </c>
      <c r="E58">
        <v>221</v>
      </c>
    </row>
    <row r="59" spans="1:5" x14ac:dyDescent="0.25">
      <c r="A59" s="1">
        <v>44009</v>
      </c>
      <c r="B59">
        <f t="shared" si="0"/>
        <v>6</v>
      </c>
      <c r="C59">
        <v>414</v>
      </c>
      <c r="D59">
        <v>314</v>
      </c>
      <c r="E59">
        <v>220</v>
      </c>
    </row>
    <row r="60" spans="1:5" x14ac:dyDescent="0.25">
      <c r="A60" s="1">
        <v>44010</v>
      </c>
      <c r="B60">
        <f t="shared" si="0"/>
        <v>6</v>
      </c>
      <c r="C60">
        <v>442</v>
      </c>
      <c r="D60">
        <v>449</v>
      </c>
      <c r="E60">
        <v>245</v>
      </c>
    </row>
    <row r="61" spans="1:5" x14ac:dyDescent="0.25">
      <c r="A61" s="1">
        <v>44011</v>
      </c>
      <c r="B61">
        <f t="shared" si="0"/>
        <v>6</v>
      </c>
      <c r="C61">
        <v>269</v>
      </c>
      <c r="D61">
        <v>370</v>
      </c>
      <c r="E61">
        <v>242</v>
      </c>
    </row>
    <row r="62" spans="1:5" x14ac:dyDescent="0.25">
      <c r="A62" s="1">
        <v>44012</v>
      </c>
      <c r="B62">
        <f t="shared" si="0"/>
        <v>6</v>
      </c>
      <c r="C62">
        <v>444</v>
      </c>
      <c r="D62">
        <v>350</v>
      </c>
      <c r="E62">
        <v>236</v>
      </c>
    </row>
    <row r="63" spans="1:5" x14ac:dyDescent="0.25">
      <c r="A63" s="1">
        <v>44013</v>
      </c>
      <c r="B63">
        <f t="shared" si="0"/>
        <v>7</v>
      </c>
      <c r="C63">
        <v>425</v>
      </c>
      <c r="D63">
        <v>342</v>
      </c>
      <c r="E63">
        <v>237</v>
      </c>
    </row>
    <row r="64" spans="1:5" x14ac:dyDescent="0.25">
      <c r="A64" s="1">
        <v>44014</v>
      </c>
      <c r="B64">
        <f t="shared" si="0"/>
        <v>7</v>
      </c>
      <c r="C64">
        <v>377</v>
      </c>
      <c r="D64">
        <v>290</v>
      </c>
      <c r="E64">
        <v>240</v>
      </c>
    </row>
    <row r="65" spans="1:5" x14ac:dyDescent="0.25">
      <c r="A65" s="1">
        <v>44015</v>
      </c>
      <c r="B65">
        <f t="shared" si="0"/>
        <v>7</v>
      </c>
      <c r="C65">
        <v>382</v>
      </c>
      <c r="D65">
        <v>360</v>
      </c>
      <c r="E65">
        <v>203</v>
      </c>
    </row>
    <row r="66" spans="1:5" x14ac:dyDescent="0.25">
      <c r="A66" s="1">
        <v>44016</v>
      </c>
      <c r="B66">
        <f t="shared" si="0"/>
        <v>7</v>
      </c>
      <c r="C66">
        <v>287</v>
      </c>
      <c r="D66">
        <v>428</v>
      </c>
      <c r="E66">
        <v>204</v>
      </c>
    </row>
    <row r="67" spans="1:5" x14ac:dyDescent="0.25">
      <c r="A67" s="1">
        <v>44017</v>
      </c>
      <c r="B67">
        <f t="shared" ref="B67:B130" si="1">MONTH(A67)</f>
        <v>7</v>
      </c>
      <c r="C67">
        <v>429</v>
      </c>
      <c r="D67">
        <v>394</v>
      </c>
      <c r="E67">
        <v>246</v>
      </c>
    </row>
    <row r="68" spans="1:5" x14ac:dyDescent="0.25">
      <c r="A68" s="1">
        <v>44018</v>
      </c>
      <c r="B68">
        <f t="shared" si="1"/>
        <v>7</v>
      </c>
      <c r="C68">
        <v>287</v>
      </c>
      <c r="D68">
        <v>356</v>
      </c>
      <c r="E68">
        <v>233</v>
      </c>
    </row>
    <row r="69" spans="1:5" x14ac:dyDescent="0.25">
      <c r="A69" s="1">
        <v>44019</v>
      </c>
      <c r="B69">
        <f t="shared" si="1"/>
        <v>7</v>
      </c>
      <c r="C69">
        <v>421</v>
      </c>
      <c r="D69">
        <v>292</v>
      </c>
      <c r="E69">
        <v>226</v>
      </c>
    </row>
    <row r="70" spans="1:5" x14ac:dyDescent="0.25">
      <c r="A70" s="1">
        <v>44020</v>
      </c>
      <c r="B70">
        <f t="shared" si="1"/>
        <v>7</v>
      </c>
      <c r="C70">
        <v>334</v>
      </c>
      <c r="D70">
        <v>353</v>
      </c>
      <c r="E70">
        <v>282</v>
      </c>
    </row>
    <row r="71" spans="1:5" x14ac:dyDescent="0.25">
      <c r="A71" s="1">
        <v>44021</v>
      </c>
      <c r="B71">
        <f t="shared" si="1"/>
        <v>7</v>
      </c>
      <c r="C71">
        <v>282</v>
      </c>
      <c r="D71">
        <v>329</v>
      </c>
      <c r="E71">
        <v>262</v>
      </c>
    </row>
    <row r="72" spans="1:5" x14ac:dyDescent="0.25">
      <c r="A72" s="1">
        <v>44022</v>
      </c>
      <c r="B72">
        <f t="shared" si="1"/>
        <v>7</v>
      </c>
      <c r="C72">
        <v>356</v>
      </c>
      <c r="D72">
        <v>331</v>
      </c>
      <c r="E72">
        <v>290</v>
      </c>
    </row>
    <row r="73" spans="1:5" x14ac:dyDescent="0.25">
      <c r="A73" s="1">
        <v>44023</v>
      </c>
      <c r="B73">
        <f t="shared" si="1"/>
        <v>7</v>
      </c>
      <c r="C73">
        <v>307</v>
      </c>
      <c r="D73">
        <v>394</v>
      </c>
      <c r="E73">
        <v>256</v>
      </c>
    </row>
    <row r="74" spans="1:5" x14ac:dyDescent="0.25">
      <c r="A74" s="1">
        <v>44024</v>
      </c>
      <c r="B74">
        <f t="shared" si="1"/>
        <v>7</v>
      </c>
      <c r="C74">
        <v>441</v>
      </c>
      <c r="D74">
        <v>271</v>
      </c>
      <c r="E74">
        <v>292</v>
      </c>
    </row>
    <row r="75" spans="1:5" x14ac:dyDescent="0.25">
      <c r="A75" s="1">
        <v>44025</v>
      </c>
      <c r="B75">
        <f t="shared" si="1"/>
        <v>7</v>
      </c>
      <c r="C75">
        <v>407</v>
      </c>
      <c r="D75">
        <v>311</v>
      </c>
      <c r="E75">
        <v>280</v>
      </c>
    </row>
    <row r="76" spans="1:5" x14ac:dyDescent="0.25">
      <c r="A76" s="1">
        <v>44026</v>
      </c>
      <c r="B76">
        <f t="shared" si="1"/>
        <v>7</v>
      </c>
      <c r="C76">
        <v>480</v>
      </c>
      <c r="D76">
        <v>342</v>
      </c>
      <c r="E76">
        <v>292</v>
      </c>
    </row>
    <row r="77" spans="1:5" x14ac:dyDescent="0.25">
      <c r="A77" s="1">
        <v>44027</v>
      </c>
      <c r="B77">
        <f t="shared" si="1"/>
        <v>7</v>
      </c>
      <c r="C77">
        <v>494</v>
      </c>
      <c r="D77">
        <v>310</v>
      </c>
      <c r="E77">
        <v>275</v>
      </c>
    </row>
    <row r="78" spans="1:5" x14ac:dyDescent="0.25">
      <c r="A78" s="1">
        <v>44028</v>
      </c>
      <c r="B78">
        <f t="shared" si="1"/>
        <v>7</v>
      </c>
      <c r="C78">
        <v>493</v>
      </c>
      <c r="D78">
        <v>431</v>
      </c>
      <c r="E78">
        <v>283</v>
      </c>
    </row>
    <row r="79" spans="1:5" x14ac:dyDescent="0.25">
      <c r="A79" s="1">
        <v>44029</v>
      </c>
      <c r="B79">
        <f t="shared" si="1"/>
        <v>7</v>
      </c>
      <c r="C79">
        <v>302</v>
      </c>
      <c r="D79">
        <v>415</v>
      </c>
      <c r="E79">
        <v>297</v>
      </c>
    </row>
    <row r="80" spans="1:5" x14ac:dyDescent="0.25">
      <c r="A80" s="1">
        <v>44030</v>
      </c>
      <c r="B80">
        <f t="shared" si="1"/>
        <v>7</v>
      </c>
      <c r="C80">
        <v>331</v>
      </c>
      <c r="D80">
        <v>353</v>
      </c>
      <c r="E80">
        <v>373</v>
      </c>
    </row>
    <row r="81" spans="1:5" x14ac:dyDescent="0.25">
      <c r="A81" s="1">
        <v>44031</v>
      </c>
      <c r="B81">
        <f t="shared" si="1"/>
        <v>7</v>
      </c>
      <c r="C81">
        <v>486</v>
      </c>
      <c r="D81">
        <v>323</v>
      </c>
      <c r="E81">
        <v>359</v>
      </c>
    </row>
    <row r="82" spans="1:5" x14ac:dyDescent="0.25">
      <c r="A82" s="1">
        <v>44032</v>
      </c>
      <c r="B82">
        <f t="shared" si="1"/>
        <v>7</v>
      </c>
      <c r="C82">
        <v>360</v>
      </c>
      <c r="D82">
        <v>331</v>
      </c>
      <c r="E82">
        <v>445</v>
      </c>
    </row>
    <row r="83" spans="1:5" x14ac:dyDescent="0.25">
      <c r="A83" s="1">
        <v>44033</v>
      </c>
      <c r="B83">
        <f t="shared" si="1"/>
        <v>7</v>
      </c>
      <c r="C83">
        <v>391</v>
      </c>
      <c r="D83">
        <v>455</v>
      </c>
      <c r="E83">
        <v>427</v>
      </c>
    </row>
    <row r="84" spans="1:5" x14ac:dyDescent="0.25">
      <c r="A84" s="1">
        <v>44034</v>
      </c>
      <c r="B84">
        <f t="shared" si="1"/>
        <v>7</v>
      </c>
      <c r="C84">
        <v>327</v>
      </c>
      <c r="D84">
        <v>471</v>
      </c>
      <c r="E84">
        <v>423</v>
      </c>
    </row>
    <row r="85" spans="1:5" x14ac:dyDescent="0.25">
      <c r="A85" s="1">
        <v>44035</v>
      </c>
      <c r="B85">
        <f t="shared" si="1"/>
        <v>7</v>
      </c>
      <c r="C85">
        <v>355</v>
      </c>
      <c r="D85">
        <v>490</v>
      </c>
      <c r="E85">
        <v>449</v>
      </c>
    </row>
    <row r="86" spans="1:5" x14ac:dyDescent="0.25">
      <c r="A86" s="1">
        <v>44036</v>
      </c>
      <c r="B86">
        <f t="shared" si="1"/>
        <v>7</v>
      </c>
      <c r="C86">
        <v>360</v>
      </c>
      <c r="D86">
        <v>339</v>
      </c>
      <c r="E86">
        <v>470</v>
      </c>
    </row>
    <row r="87" spans="1:5" x14ac:dyDescent="0.25">
      <c r="A87" s="1">
        <v>44037</v>
      </c>
      <c r="B87">
        <f t="shared" si="1"/>
        <v>7</v>
      </c>
      <c r="C87">
        <v>303</v>
      </c>
      <c r="D87">
        <v>404</v>
      </c>
      <c r="E87">
        <v>434</v>
      </c>
    </row>
    <row r="88" spans="1:5" x14ac:dyDescent="0.25">
      <c r="A88" s="1">
        <v>44038</v>
      </c>
      <c r="B88">
        <f t="shared" si="1"/>
        <v>7</v>
      </c>
      <c r="C88">
        <v>310</v>
      </c>
      <c r="D88">
        <v>332</v>
      </c>
      <c r="E88">
        <v>536</v>
      </c>
    </row>
    <row r="89" spans="1:5" x14ac:dyDescent="0.25">
      <c r="A89" s="1">
        <v>44039</v>
      </c>
      <c r="B89">
        <f t="shared" si="1"/>
        <v>7</v>
      </c>
      <c r="C89">
        <v>435</v>
      </c>
      <c r="D89">
        <v>406</v>
      </c>
      <c r="E89">
        <v>421</v>
      </c>
    </row>
    <row r="90" spans="1:5" x14ac:dyDescent="0.25">
      <c r="A90" s="1">
        <v>44040</v>
      </c>
      <c r="B90">
        <f t="shared" si="1"/>
        <v>7</v>
      </c>
      <c r="C90">
        <v>344</v>
      </c>
      <c r="D90">
        <v>348</v>
      </c>
      <c r="E90">
        <v>555</v>
      </c>
    </row>
    <row r="91" spans="1:5" x14ac:dyDescent="0.25">
      <c r="A91" s="1">
        <v>44041</v>
      </c>
      <c r="B91">
        <f t="shared" si="1"/>
        <v>7</v>
      </c>
      <c r="C91">
        <v>303</v>
      </c>
      <c r="D91">
        <v>335</v>
      </c>
      <c r="E91">
        <v>436</v>
      </c>
    </row>
    <row r="92" spans="1:5" x14ac:dyDescent="0.25">
      <c r="A92" s="1">
        <v>44042</v>
      </c>
      <c r="B92">
        <f t="shared" si="1"/>
        <v>7</v>
      </c>
      <c r="C92">
        <v>433</v>
      </c>
      <c r="D92">
        <v>425</v>
      </c>
      <c r="E92">
        <v>422</v>
      </c>
    </row>
    <row r="93" spans="1:5" x14ac:dyDescent="0.25">
      <c r="A93" s="1">
        <v>44043</v>
      </c>
      <c r="B93">
        <f t="shared" si="1"/>
        <v>7</v>
      </c>
      <c r="C93">
        <v>350</v>
      </c>
      <c r="D93">
        <v>378</v>
      </c>
      <c r="E93">
        <v>419</v>
      </c>
    </row>
    <row r="94" spans="1:5" x14ac:dyDescent="0.25">
      <c r="A94" s="1">
        <v>44044</v>
      </c>
      <c r="B94">
        <f t="shared" si="1"/>
        <v>8</v>
      </c>
      <c r="C94">
        <v>396</v>
      </c>
      <c r="D94">
        <v>466</v>
      </c>
      <c r="E94">
        <v>434</v>
      </c>
    </row>
    <row r="95" spans="1:5" x14ac:dyDescent="0.25">
      <c r="A95" s="1">
        <v>44045</v>
      </c>
      <c r="B95">
        <f t="shared" si="1"/>
        <v>8</v>
      </c>
      <c r="C95">
        <v>495</v>
      </c>
      <c r="D95">
        <v>410</v>
      </c>
      <c r="E95">
        <v>418</v>
      </c>
    </row>
    <row r="96" spans="1:5" x14ac:dyDescent="0.25">
      <c r="A96" s="1">
        <v>44046</v>
      </c>
      <c r="B96">
        <f t="shared" si="1"/>
        <v>8</v>
      </c>
      <c r="C96">
        <v>420</v>
      </c>
      <c r="D96">
        <v>328</v>
      </c>
      <c r="E96">
        <v>422</v>
      </c>
    </row>
    <row r="97" spans="1:5" x14ac:dyDescent="0.25">
      <c r="A97" s="1">
        <v>44047</v>
      </c>
      <c r="B97">
        <f t="shared" si="1"/>
        <v>8</v>
      </c>
      <c r="C97">
        <v>411</v>
      </c>
      <c r="D97">
        <v>481</v>
      </c>
      <c r="E97">
        <v>445</v>
      </c>
    </row>
    <row r="98" spans="1:5" x14ac:dyDescent="0.25">
      <c r="A98" s="1">
        <v>44048</v>
      </c>
      <c r="B98">
        <f t="shared" si="1"/>
        <v>8</v>
      </c>
      <c r="C98">
        <v>317</v>
      </c>
      <c r="D98">
        <v>434</v>
      </c>
      <c r="E98">
        <v>411</v>
      </c>
    </row>
    <row r="99" spans="1:5" x14ac:dyDescent="0.25">
      <c r="A99" s="1">
        <v>44049</v>
      </c>
      <c r="B99">
        <f t="shared" si="1"/>
        <v>8</v>
      </c>
      <c r="C99">
        <v>342</v>
      </c>
      <c r="D99">
        <v>465</v>
      </c>
      <c r="E99">
        <v>417</v>
      </c>
    </row>
    <row r="100" spans="1:5" x14ac:dyDescent="0.25">
      <c r="A100" s="1">
        <v>44050</v>
      </c>
      <c r="B100">
        <f t="shared" si="1"/>
        <v>8</v>
      </c>
      <c r="C100">
        <v>450</v>
      </c>
      <c r="D100">
        <v>318</v>
      </c>
      <c r="E100">
        <v>490</v>
      </c>
    </row>
    <row r="101" spans="1:5" x14ac:dyDescent="0.25">
      <c r="A101" s="1">
        <v>44051</v>
      </c>
      <c r="B101">
        <f t="shared" si="1"/>
        <v>8</v>
      </c>
      <c r="C101">
        <v>343</v>
      </c>
      <c r="D101">
        <v>329</v>
      </c>
      <c r="E101">
        <v>345</v>
      </c>
    </row>
    <row r="102" spans="1:5" x14ac:dyDescent="0.25">
      <c r="A102" s="1">
        <v>44052</v>
      </c>
      <c r="B102">
        <f t="shared" si="1"/>
        <v>8</v>
      </c>
      <c r="C102">
        <v>287</v>
      </c>
      <c r="D102">
        <v>328</v>
      </c>
      <c r="E102">
        <v>377</v>
      </c>
    </row>
    <row r="103" spans="1:5" x14ac:dyDescent="0.25">
      <c r="A103" s="1">
        <v>44053</v>
      </c>
      <c r="B103">
        <f t="shared" si="1"/>
        <v>8</v>
      </c>
      <c r="C103">
        <v>298</v>
      </c>
      <c r="D103">
        <v>401</v>
      </c>
      <c r="E103">
        <v>416</v>
      </c>
    </row>
    <row r="104" spans="1:5" x14ac:dyDescent="0.25">
      <c r="A104" s="1">
        <v>44054</v>
      </c>
      <c r="B104">
        <f t="shared" si="1"/>
        <v>8</v>
      </c>
      <c r="C104">
        <v>429</v>
      </c>
      <c r="D104">
        <v>348</v>
      </c>
      <c r="E104">
        <v>426</v>
      </c>
    </row>
    <row r="105" spans="1:5" x14ac:dyDescent="0.25">
      <c r="A105" s="1">
        <v>44055</v>
      </c>
      <c r="B105">
        <f t="shared" si="1"/>
        <v>8</v>
      </c>
      <c r="C105">
        <v>417</v>
      </c>
      <c r="D105">
        <v>457</v>
      </c>
      <c r="E105">
        <v>438</v>
      </c>
    </row>
    <row r="106" spans="1:5" x14ac:dyDescent="0.25">
      <c r="A106" s="1">
        <v>44056</v>
      </c>
      <c r="B106">
        <f t="shared" si="1"/>
        <v>8</v>
      </c>
      <c r="C106">
        <v>384</v>
      </c>
      <c r="D106">
        <v>330</v>
      </c>
      <c r="E106">
        <v>292</v>
      </c>
    </row>
    <row r="107" spans="1:5" x14ac:dyDescent="0.25">
      <c r="A107" s="1">
        <v>44057</v>
      </c>
      <c r="B107">
        <f t="shared" si="1"/>
        <v>8</v>
      </c>
      <c r="C107">
        <v>370</v>
      </c>
      <c r="D107">
        <v>388</v>
      </c>
      <c r="E107">
        <v>390</v>
      </c>
    </row>
    <row r="108" spans="1:5" x14ac:dyDescent="0.25">
      <c r="A108" s="1">
        <v>44058</v>
      </c>
      <c r="B108">
        <f t="shared" si="1"/>
        <v>8</v>
      </c>
      <c r="C108">
        <v>436</v>
      </c>
      <c r="D108">
        <v>298</v>
      </c>
      <c r="E108">
        <v>420</v>
      </c>
    </row>
    <row r="109" spans="1:5" x14ac:dyDescent="0.25">
      <c r="A109" s="1">
        <v>44059</v>
      </c>
      <c r="B109">
        <f t="shared" si="1"/>
        <v>8</v>
      </c>
      <c r="C109">
        <v>303</v>
      </c>
      <c r="D109">
        <v>429</v>
      </c>
      <c r="E109">
        <v>407</v>
      </c>
    </row>
    <row r="110" spans="1:5" x14ac:dyDescent="0.25">
      <c r="A110" s="1">
        <v>44060</v>
      </c>
      <c r="B110">
        <f t="shared" si="1"/>
        <v>8</v>
      </c>
      <c r="C110">
        <v>449</v>
      </c>
      <c r="D110">
        <v>444</v>
      </c>
      <c r="E110">
        <v>425</v>
      </c>
    </row>
    <row r="111" spans="1:5" x14ac:dyDescent="0.25">
      <c r="A111" s="1">
        <v>44061</v>
      </c>
      <c r="B111">
        <f t="shared" si="1"/>
        <v>8</v>
      </c>
      <c r="C111">
        <v>300</v>
      </c>
      <c r="D111">
        <v>358</v>
      </c>
      <c r="E111">
        <v>377</v>
      </c>
    </row>
    <row r="112" spans="1:5" x14ac:dyDescent="0.25">
      <c r="A112" s="1">
        <v>44062</v>
      </c>
      <c r="B112">
        <f t="shared" si="1"/>
        <v>8</v>
      </c>
      <c r="C112">
        <v>307</v>
      </c>
      <c r="D112">
        <v>417</v>
      </c>
      <c r="E112">
        <v>405</v>
      </c>
    </row>
    <row r="113" spans="1:5" x14ac:dyDescent="0.25">
      <c r="A113" s="1">
        <v>44063</v>
      </c>
      <c r="B113">
        <f t="shared" si="1"/>
        <v>8</v>
      </c>
      <c r="C113">
        <v>314</v>
      </c>
      <c r="D113">
        <v>340</v>
      </c>
      <c r="E113">
        <v>345</v>
      </c>
    </row>
    <row r="114" spans="1:5" x14ac:dyDescent="0.25">
      <c r="A114" s="1">
        <v>44064</v>
      </c>
      <c r="B114">
        <f t="shared" si="1"/>
        <v>8</v>
      </c>
      <c r="C114">
        <v>379</v>
      </c>
      <c r="D114">
        <v>288</v>
      </c>
      <c r="E114">
        <v>353</v>
      </c>
    </row>
    <row r="115" spans="1:5" x14ac:dyDescent="0.25">
      <c r="A115" s="1">
        <v>44065</v>
      </c>
      <c r="B115">
        <f t="shared" si="1"/>
        <v>8</v>
      </c>
      <c r="C115">
        <v>405</v>
      </c>
      <c r="D115">
        <v>454</v>
      </c>
      <c r="E115">
        <v>342</v>
      </c>
    </row>
    <row r="116" spans="1:5" x14ac:dyDescent="0.25">
      <c r="A116" s="1">
        <v>44066</v>
      </c>
      <c r="B116">
        <f t="shared" si="1"/>
        <v>8</v>
      </c>
      <c r="C116">
        <v>407</v>
      </c>
      <c r="D116">
        <v>300</v>
      </c>
      <c r="E116">
        <v>365</v>
      </c>
    </row>
    <row r="117" spans="1:5" x14ac:dyDescent="0.25">
      <c r="A117" s="1">
        <v>44067</v>
      </c>
      <c r="B117">
        <f t="shared" si="1"/>
        <v>8</v>
      </c>
      <c r="C117">
        <v>432</v>
      </c>
      <c r="D117">
        <v>423</v>
      </c>
      <c r="E117">
        <v>221</v>
      </c>
    </row>
    <row r="118" spans="1:5" x14ac:dyDescent="0.25">
      <c r="A118" s="1">
        <v>44068</v>
      </c>
      <c r="B118">
        <f t="shared" si="1"/>
        <v>8</v>
      </c>
      <c r="C118">
        <v>405</v>
      </c>
      <c r="D118">
        <v>449</v>
      </c>
      <c r="E118">
        <v>231</v>
      </c>
    </row>
    <row r="119" spans="1:5" x14ac:dyDescent="0.25">
      <c r="A119" s="1">
        <v>44069</v>
      </c>
      <c r="B119">
        <f t="shared" si="1"/>
        <v>8</v>
      </c>
      <c r="C119">
        <v>162</v>
      </c>
      <c r="D119">
        <v>294</v>
      </c>
      <c r="E119">
        <v>255</v>
      </c>
    </row>
    <row r="120" spans="1:5" x14ac:dyDescent="0.25">
      <c r="A120" s="1">
        <v>44070</v>
      </c>
      <c r="B120">
        <f t="shared" si="1"/>
        <v>8</v>
      </c>
      <c r="C120">
        <v>297</v>
      </c>
      <c r="D120">
        <v>341</v>
      </c>
      <c r="E120">
        <v>223</v>
      </c>
    </row>
    <row r="121" spans="1:5" x14ac:dyDescent="0.25">
      <c r="A121" s="1">
        <v>44071</v>
      </c>
      <c r="B121">
        <f t="shared" si="1"/>
        <v>8</v>
      </c>
      <c r="C121">
        <v>226</v>
      </c>
      <c r="D121">
        <v>329</v>
      </c>
      <c r="E121">
        <v>261</v>
      </c>
    </row>
    <row r="122" spans="1:5" x14ac:dyDescent="0.25">
      <c r="A122" s="1">
        <v>44072</v>
      </c>
      <c r="B122">
        <f t="shared" si="1"/>
        <v>8</v>
      </c>
      <c r="C122">
        <v>226</v>
      </c>
      <c r="D122">
        <v>256</v>
      </c>
      <c r="E122">
        <v>239</v>
      </c>
    </row>
    <row r="123" spans="1:5" x14ac:dyDescent="0.25">
      <c r="A123" s="1">
        <v>44073</v>
      </c>
      <c r="B123">
        <f t="shared" si="1"/>
        <v>8</v>
      </c>
      <c r="C123">
        <v>287</v>
      </c>
      <c r="D123">
        <v>217</v>
      </c>
      <c r="E123">
        <v>262</v>
      </c>
    </row>
    <row r="124" spans="1:5" x14ac:dyDescent="0.25">
      <c r="A124" s="1">
        <v>44074</v>
      </c>
      <c r="B124">
        <f t="shared" si="1"/>
        <v>8</v>
      </c>
      <c r="C124">
        <v>351</v>
      </c>
      <c r="D124">
        <v>266</v>
      </c>
      <c r="E124">
        <v>226</v>
      </c>
    </row>
    <row r="125" spans="1:5" x14ac:dyDescent="0.25">
      <c r="A125" s="1">
        <v>44075</v>
      </c>
      <c r="B125">
        <f t="shared" si="1"/>
        <v>9</v>
      </c>
      <c r="C125">
        <v>214</v>
      </c>
      <c r="D125">
        <v>260</v>
      </c>
      <c r="E125">
        <v>241</v>
      </c>
    </row>
    <row r="126" spans="1:5" x14ac:dyDescent="0.25">
      <c r="A126" s="1">
        <v>44076</v>
      </c>
      <c r="B126">
        <f t="shared" si="1"/>
        <v>9</v>
      </c>
      <c r="C126">
        <v>282</v>
      </c>
      <c r="D126">
        <v>227</v>
      </c>
      <c r="E126">
        <v>258</v>
      </c>
    </row>
    <row r="127" spans="1:5" x14ac:dyDescent="0.25">
      <c r="A127" s="1">
        <v>44077</v>
      </c>
      <c r="B127">
        <f t="shared" si="1"/>
        <v>9</v>
      </c>
      <c r="C127">
        <v>257</v>
      </c>
      <c r="D127">
        <v>251</v>
      </c>
      <c r="E127">
        <v>252</v>
      </c>
    </row>
    <row r="128" spans="1:5" x14ac:dyDescent="0.25">
      <c r="A128" s="1">
        <v>44078</v>
      </c>
      <c r="B128">
        <f t="shared" si="1"/>
        <v>9</v>
      </c>
      <c r="C128">
        <v>172</v>
      </c>
      <c r="D128">
        <v>171</v>
      </c>
      <c r="E128">
        <v>268</v>
      </c>
    </row>
    <row r="129" spans="1:5" x14ac:dyDescent="0.25">
      <c r="A129" s="1">
        <v>44079</v>
      </c>
      <c r="B129">
        <f t="shared" si="1"/>
        <v>9</v>
      </c>
      <c r="C129">
        <v>197</v>
      </c>
      <c r="D129">
        <v>326</v>
      </c>
      <c r="E129">
        <v>224</v>
      </c>
    </row>
    <row r="130" spans="1:5" x14ac:dyDescent="0.25">
      <c r="A130" s="1">
        <v>44080</v>
      </c>
      <c r="B130">
        <f t="shared" si="1"/>
        <v>9</v>
      </c>
      <c r="C130">
        <v>292</v>
      </c>
      <c r="D130">
        <v>329</v>
      </c>
      <c r="E130">
        <v>255</v>
      </c>
    </row>
    <row r="131" spans="1:5" x14ac:dyDescent="0.25">
      <c r="A131" s="1">
        <v>44081</v>
      </c>
      <c r="B131">
        <f t="shared" ref="B131:B154" si="2">MONTH(A131)</f>
        <v>9</v>
      </c>
      <c r="C131">
        <v>172</v>
      </c>
      <c r="D131">
        <v>216</v>
      </c>
      <c r="E131">
        <v>199</v>
      </c>
    </row>
    <row r="132" spans="1:5" x14ac:dyDescent="0.25">
      <c r="A132" s="1">
        <v>44082</v>
      </c>
      <c r="B132">
        <f t="shared" si="2"/>
        <v>9</v>
      </c>
      <c r="C132">
        <v>258</v>
      </c>
      <c r="D132">
        <v>291</v>
      </c>
      <c r="E132">
        <v>220</v>
      </c>
    </row>
    <row r="133" spans="1:5" x14ac:dyDescent="0.25">
      <c r="A133" s="1">
        <v>44083</v>
      </c>
      <c r="B133">
        <f t="shared" si="2"/>
        <v>9</v>
      </c>
      <c r="C133">
        <v>276</v>
      </c>
      <c r="D133">
        <v>347</v>
      </c>
      <c r="E133">
        <v>197</v>
      </c>
    </row>
    <row r="134" spans="1:5" x14ac:dyDescent="0.25">
      <c r="A134" s="1">
        <v>44084</v>
      </c>
      <c r="B134">
        <f t="shared" si="2"/>
        <v>9</v>
      </c>
      <c r="C134">
        <v>210</v>
      </c>
      <c r="D134">
        <v>333</v>
      </c>
      <c r="E134">
        <v>218</v>
      </c>
    </row>
    <row r="135" spans="1:5" x14ac:dyDescent="0.25">
      <c r="A135" s="1">
        <v>44085</v>
      </c>
      <c r="B135">
        <f t="shared" si="2"/>
        <v>9</v>
      </c>
      <c r="C135">
        <v>168</v>
      </c>
      <c r="D135">
        <v>211</v>
      </c>
      <c r="E135">
        <v>180</v>
      </c>
    </row>
    <row r="136" spans="1:5" x14ac:dyDescent="0.25">
      <c r="A136" s="1">
        <v>44086</v>
      </c>
      <c r="B136">
        <f t="shared" si="2"/>
        <v>9</v>
      </c>
      <c r="C136">
        <v>196</v>
      </c>
      <c r="D136">
        <v>348</v>
      </c>
      <c r="E136">
        <v>225</v>
      </c>
    </row>
    <row r="137" spans="1:5" x14ac:dyDescent="0.25">
      <c r="A137" s="1">
        <v>44087</v>
      </c>
      <c r="B137">
        <f t="shared" si="2"/>
        <v>9</v>
      </c>
      <c r="C137">
        <v>284</v>
      </c>
      <c r="D137">
        <v>226</v>
      </c>
      <c r="E137">
        <v>197</v>
      </c>
    </row>
    <row r="138" spans="1:5" x14ac:dyDescent="0.25">
      <c r="A138" s="1">
        <v>44088</v>
      </c>
      <c r="B138">
        <f t="shared" si="2"/>
        <v>9</v>
      </c>
      <c r="C138">
        <v>162</v>
      </c>
      <c r="D138">
        <v>345</v>
      </c>
      <c r="E138">
        <v>194</v>
      </c>
    </row>
    <row r="139" spans="1:5" x14ac:dyDescent="0.25">
      <c r="A139" s="1">
        <v>44089</v>
      </c>
      <c r="B139">
        <f t="shared" si="2"/>
        <v>9</v>
      </c>
      <c r="C139">
        <v>212</v>
      </c>
      <c r="D139">
        <v>184</v>
      </c>
      <c r="E139">
        <v>183</v>
      </c>
    </row>
    <row r="140" spans="1:5" x14ac:dyDescent="0.25">
      <c r="A140" s="1">
        <v>44090</v>
      </c>
      <c r="B140">
        <f t="shared" si="2"/>
        <v>9</v>
      </c>
      <c r="C140">
        <v>165</v>
      </c>
      <c r="D140">
        <v>232</v>
      </c>
      <c r="E140">
        <v>202</v>
      </c>
    </row>
    <row r="141" spans="1:5" x14ac:dyDescent="0.25">
      <c r="A141" s="1">
        <v>44091</v>
      </c>
      <c r="B141">
        <f t="shared" si="2"/>
        <v>9</v>
      </c>
      <c r="C141">
        <v>163</v>
      </c>
      <c r="D141">
        <v>314</v>
      </c>
      <c r="E141">
        <v>213</v>
      </c>
    </row>
    <row r="142" spans="1:5" x14ac:dyDescent="0.25">
      <c r="A142" s="1">
        <v>44092</v>
      </c>
      <c r="B142">
        <f t="shared" si="2"/>
        <v>9</v>
      </c>
      <c r="C142">
        <v>200</v>
      </c>
      <c r="D142">
        <v>307</v>
      </c>
      <c r="E142">
        <v>206</v>
      </c>
    </row>
    <row r="143" spans="1:5" x14ac:dyDescent="0.25">
      <c r="A143" s="1">
        <v>44093</v>
      </c>
      <c r="B143">
        <f t="shared" si="2"/>
        <v>9</v>
      </c>
      <c r="C143">
        <v>201</v>
      </c>
      <c r="D143">
        <v>274</v>
      </c>
      <c r="E143">
        <v>210</v>
      </c>
    </row>
    <row r="144" spans="1:5" x14ac:dyDescent="0.25">
      <c r="A144" s="1">
        <v>44094</v>
      </c>
      <c r="B144">
        <f t="shared" si="2"/>
        <v>9</v>
      </c>
      <c r="C144">
        <v>269</v>
      </c>
      <c r="D144">
        <v>278</v>
      </c>
      <c r="E144">
        <v>228</v>
      </c>
    </row>
    <row r="145" spans="1:5" x14ac:dyDescent="0.25">
      <c r="A145" s="1">
        <v>44095</v>
      </c>
      <c r="B145">
        <f t="shared" si="2"/>
        <v>9</v>
      </c>
      <c r="C145">
        <v>188</v>
      </c>
      <c r="D145">
        <v>195</v>
      </c>
      <c r="E145">
        <v>207</v>
      </c>
    </row>
    <row r="146" spans="1:5" x14ac:dyDescent="0.25">
      <c r="A146" s="1">
        <v>44096</v>
      </c>
      <c r="B146">
        <f t="shared" si="2"/>
        <v>9</v>
      </c>
      <c r="C146">
        <v>142</v>
      </c>
      <c r="D146">
        <v>249</v>
      </c>
      <c r="E146">
        <v>202</v>
      </c>
    </row>
    <row r="147" spans="1:5" x14ac:dyDescent="0.25">
      <c r="A147" s="1">
        <v>44097</v>
      </c>
      <c r="B147">
        <f t="shared" si="2"/>
        <v>9</v>
      </c>
      <c r="C147">
        <v>232</v>
      </c>
      <c r="D147">
        <v>116</v>
      </c>
      <c r="E147">
        <v>195</v>
      </c>
    </row>
    <row r="148" spans="1:5" x14ac:dyDescent="0.25">
      <c r="A148" s="1">
        <v>44098</v>
      </c>
      <c r="B148">
        <f t="shared" si="2"/>
        <v>9</v>
      </c>
      <c r="C148">
        <v>296</v>
      </c>
      <c r="D148">
        <v>102</v>
      </c>
      <c r="E148">
        <v>192</v>
      </c>
    </row>
    <row r="149" spans="1:5" x14ac:dyDescent="0.25">
      <c r="A149" s="1">
        <v>44099</v>
      </c>
      <c r="B149">
        <f t="shared" si="2"/>
        <v>9</v>
      </c>
      <c r="C149">
        <v>161</v>
      </c>
      <c r="D149">
        <v>151</v>
      </c>
      <c r="E149">
        <v>216</v>
      </c>
    </row>
    <row r="150" spans="1:5" x14ac:dyDescent="0.25">
      <c r="A150" s="1">
        <v>44100</v>
      </c>
      <c r="B150">
        <f t="shared" si="2"/>
        <v>9</v>
      </c>
      <c r="C150">
        <v>162</v>
      </c>
      <c r="D150">
        <v>261</v>
      </c>
      <c r="E150">
        <v>184</v>
      </c>
    </row>
    <row r="151" spans="1:5" x14ac:dyDescent="0.25">
      <c r="A151" s="1">
        <v>44101</v>
      </c>
      <c r="B151">
        <f t="shared" si="2"/>
        <v>9</v>
      </c>
      <c r="C151">
        <v>216</v>
      </c>
      <c r="D151">
        <v>147</v>
      </c>
      <c r="E151">
        <v>204</v>
      </c>
    </row>
    <row r="152" spans="1:5" x14ac:dyDescent="0.25">
      <c r="A152" s="1">
        <v>44102</v>
      </c>
      <c r="B152">
        <f t="shared" si="2"/>
        <v>9</v>
      </c>
      <c r="C152">
        <v>282</v>
      </c>
      <c r="D152">
        <v>297</v>
      </c>
      <c r="E152">
        <v>195</v>
      </c>
    </row>
    <row r="153" spans="1:5" x14ac:dyDescent="0.25">
      <c r="A153" s="1">
        <v>44103</v>
      </c>
      <c r="B153">
        <f t="shared" si="2"/>
        <v>9</v>
      </c>
      <c r="C153">
        <v>214</v>
      </c>
      <c r="D153">
        <v>198</v>
      </c>
      <c r="E153">
        <v>200</v>
      </c>
    </row>
    <row r="154" spans="1:5" x14ac:dyDescent="0.25">
      <c r="A154" s="1">
        <v>44104</v>
      </c>
      <c r="B154">
        <f t="shared" si="2"/>
        <v>9</v>
      </c>
      <c r="C154">
        <v>289</v>
      </c>
      <c r="D154">
        <v>290</v>
      </c>
      <c r="E154">
        <v>190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4259-7C7C-4BE0-974C-20ABCEC2A482}">
  <dimension ref="A1:H154"/>
  <sheetViews>
    <sheetView workbookViewId="0">
      <selection activeCell="H2" sqref="H2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 s="1">
        <v>43952</v>
      </c>
      <c r="B2">
        <v>211</v>
      </c>
      <c r="C2">
        <v>281</v>
      </c>
      <c r="D2">
        <v>88</v>
      </c>
      <c r="E2">
        <f>IF(D2&gt;C2, IF(D2&gt;B2, 1, 0),0)</f>
        <v>0</v>
      </c>
      <c r="H2">
        <f>COUNTIF(E2:E154,1)</f>
        <v>19</v>
      </c>
    </row>
    <row r="3" spans="1:8" x14ac:dyDescent="0.25">
      <c r="A3" s="1">
        <v>43953</v>
      </c>
      <c r="B3">
        <v>393</v>
      </c>
      <c r="C3">
        <v>313</v>
      </c>
      <c r="D3">
        <v>83</v>
      </c>
      <c r="E3">
        <f t="shared" ref="E3:E66" si="0">IF(D3&gt;C3, IF(D3&gt;B3, 1, 0),0)</f>
        <v>0</v>
      </c>
    </row>
    <row r="4" spans="1:8" x14ac:dyDescent="0.25">
      <c r="A4" s="1">
        <v>43954</v>
      </c>
      <c r="B4">
        <v>389</v>
      </c>
      <c r="C4">
        <v>315</v>
      </c>
      <c r="D4">
        <v>104</v>
      </c>
      <c r="E4">
        <f t="shared" si="0"/>
        <v>0</v>
      </c>
    </row>
    <row r="5" spans="1:8" x14ac:dyDescent="0.25">
      <c r="A5" s="1">
        <v>43955</v>
      </c>
      <c r="B5">
        <v>308</v>
      </c>
      <c r="C5">
        <v>221</v>
      </c>
      <c r="D5">
        <v>119</v>
      </c>
      <c r="E5">
        <f t="shared" si="0"/>
        <v>0</v>
      </c>
    </row>
    <row r="6" spans="1:8" x14ac:dyDescent="0.25">
      <c r="A6" s="1">
        <v>43956</v>
      </c>
      <c r="B6">
        <v>387</v>
      </c>
      <c r="C6">
        <v>275</v>
      </c>
      <c r="D6">
        <v>72</v>
      </c>
      <c r="E6">
        <f t="shared" si="0"/>
        <v>0</v>
      </c>
    </row>
    <row r="7" spans="1:8" x14ac:dyDescent="0.25">
      <c r="A7" s="1">
        <v>43957</v>
      </c>
      <c r="B7">
        <v>294</v>
      </c>
      <c r="C7">
        <v>366</v>
      </c>
      <c r="D7">
        <v>99</v>
      </c>
      <c r="E7">
        <f t="shared" si="0"/>
        <v>0</v>
      </c>
    </row>
    <row r="8" spans="1:8" x14ac:dyDescent="0.25">
      <c r="A8" s="1">
        <v>43958</v>
      </c>
      <c r="B8">
        <v>389</v>
      </c>
      <c r="C8">
        <v>288</v>
      </c>
      <c r="D8">
        <v>87</v>
      </c>
      <c r="E8">
        <f t="shared" si="0"/>
        <v>0</v>
      </c>
    </row>
    <row r="9" spans="1:8" x14ac:dyDescent="0.25">
      <c r="A9" s="1">
        <v>43959</v>
      </c>
      <c r="B9">
        <v>259</v>
      </c>
      <c r="C9">
        <v>361</v>
      </c>
      <c r="D9">
        <v>112</v>
      </c>
      <c r="E9">
        <f t="shared" si="0"/>
        <v>0</v>
      </c>
    </row>
    <row r="10" spans="1:8" x14ac:dyDescent="0.25">
      <c r="A10" s="1">
        <v>43960</v>
      </c>
      <c r="B10">
        <v>369</v>
      </c>
      <c r="C10">
        <v>233</v>
      </c>
      <c r="D10">
        <v>110</v>
      </c>
      <c r="E10">
        <f t="shared" si="0"/>
        <v>0</v>
      </c>
    </row>
    <row r="11" spans="1:8" x14ac:dyDescent="0.25">
      <c r="A11" s="1">
        <v>43961</v>
      </c>
      <c r="B11">
        <v>263</v>
      </c>
      <c r="C11">
        <v>393</v>
      </c>
      <c r="D11">
        <v>75</v>
      </c>
      <c r="E11">
        <f t="shared" si="0"/>
        <v>0</v>
      </c>
    </row>
    <row r="12" spans="1:8" x14ac:dyDescent="0.25">
      <c r="A12" s="1">
        <v>43962</v>
      </c>
      <c r="B12">
        <v>239</v>
      </c>
      <c r="C12">
        <v>347</v>
      </c>
      <c r="D12">
        <v>94</v>
      </c>
      <c r="E12">
        <f t="shared" si="0"/>
        <v>0</v>
      </c>
    </row>
    <row r="13" spans="1:8" x14ac:dyDescent="0.25">
      <c r="A13" s="1">
        <v>43963</v>
      </c>
      <c r="B13">
        <v>282</v>
      </c>
      <c r="C13">
        <v>338</v>
      </c>
      <c r="D13">
        <v>86</v>
      </c>
      <c r="E13">
        <f t="shared" si="0"/>
        <v>0</v>
      </c>
    </row>
    <row r="14" spans="1:8" x14ac:dyDescent="0.25">
      <c r="A14" s="1">
        <v>43964</v>
      </c>
      <c r="B14">
        <v>306</v>
      </c>
      <c r="C14">
        <v>273</v>
      </c>
      <c r="D14">
        <v>75</v>
      </c>
      <c r="E14">
        <f t="shared" si="0"/>
        <v>0</v>
      </c>
    </row>
    <row r="15" spans="1:8" x14ac:dyDescent="0.25">
      <c r="A15" s="1">
        <v>43965</v>
      </c>
      <c r="B15">
        <v>251</v>
      </c>
      <c r="C15">
        <v>325</v>
      </c>
      <c r="D15">
        <v>89</v>
      </c>
      <c r="E15">
        <f t="shared" si="0"/>
        <v>0</v>
      </c>
    </row>
    <row r="16" spans="1:8" x14ac:dyDescent="0.25">
      <c r="A16" s="1">
        <v>43966</v>
      </c>
      <c r="B16">
        <v>224</v>
      </c>
      <c r="C16">
        <v>352</v>
      </c>
      <c r="D16">
        <v>97</v>
      </c>
      <c r="E16">
        <f t="shared" si="0"/>
        <v>0</v>
      </c>
    </row>
    <row r="17" spans="1:5" x14ac:dyDescent="0.25">
      <c r="A17" s="1">
        <v>43967</v>
      </c>
      <c r="B17">
        <v>233</v>
      </c>
      <c r="C17">
        <v>270</v>
      </c>
      <c r="D17">
        <v>94</v>
      </c>
      <c r="E17">
        <f t="shared" si="0"/>
        <v>0</v>
      </c>
    </row>
    <row r="18" spans="1:5" x14ac:dyDescent="0.25">
      <c r="A18" s="1">
        <v>43968</v>
      </c>
      <c r="B18">
        <v>345</v>
      </c>
      <c r="C18">
        <v>275</v>
      </c>
      <c r="D18">
        <v>90</v>
      </c>
      <c r="E18">
        <f t="shared" si="0"/>
        <v>0</v>
      </c>
    </row>
    <row r="19" spans="1:5" x14ac:dyDescent="0.25">
      <c r="A19" s="1">
        <v>43969</v>
      </c>
      <c r="B19">
        <v>232</v>
      </c>
      <c r="C19">
        <v>228</v>
      </c>
      <c r="D19">
        <v>107</v>
      </c>
      <c r="E19">
        <f t="shared" si="0"/>
        <v>0</v>
      </c>
    </row>
    <row r="20" spans="1:5" x14ac:dyDescent="0.25">
      <c r="A20" s="1">
        <v>43970</v>
      </c>
      <c r="B20">
        <v>238</v>
      </c>
      <c r="C20">
        <v>394</v>
      </c>
      <c r="D20">
        <v>105</v>
      </c>
      <c r="E20">
        <f t="shared" si="0"/>
        <v>0</v>
      </c>
    </row>
    <row r="21" spans="1:5" x14ac:dyDescent="0.25">
      <c r="A21" s="1">
        <v>43971</v>
      </c>
      <c r="B21">
        <v>378</v>
      </c>
      <c r="C21">
        <v>311</v>
      </c>
      <c r="D21">
        <v>110</v>
      </c>
      <c r="E21">
        <f t="shared" si="0"/>
        <v>0</v>
      </c>
    </row>
    <row r="22" spans="1:5" x14ac:dyDescent="0.25">
      <c r="A22" s="1">
        <v>43972</v>
      </c>
      <c r="B22">
        <v>281</v>
      </c>
      <c r="C22">
        <v>354</v>
      </c>
      <c r="D22">
        <v>121</v>
      </c>
      <c r="E22">
        <f t="shared" si="0"/>
        <v>0</v>
      </c>
    </row>
    <row r="23" spans="1:5" x14ac:dyDescent="0.25">
      <c r="A23" s="1">
        <v>43973</v>
      </c>
      <c r="B23">
        <v>390</v>
      </c>
      <c r="C23">
        <v>267</v>
      </c>
      <c r="D23">
        <v>124</v>
      </c>
      <c r="E23">
        <f t="shared" si="0"/>
        <v>0</v>
      </c>
    </row>
    <row r="24" spans="1:5" x14ac:dyDescent="0.25">
      <c r="A24" s="1">
        <v>43974</v>
      </c>
      <c r="B24">
        <v>308</v>
      </c>
      <c r="C24">
        <v>337</v>
      </c>
      <c r="D24">
        <v>105</v>
      </c>
      <c r="E24">
        <f t="shared" si="0"/>
        <v>0</v>
      </c>
    </row>
    <row r="25" spans="1:5" x14ac:dyDescent="0.25">
      <c r="A25" s="1">
        <v>43975</v>
      </c>
      <c r="B25">
        <v>391</v>
      </c>
      <c r="C25">
        <v>238</v>
      </c>
      <c r="D25">
        <v>113</v>
      </c>
      <c r="E25">
        <f t="shared" si="0"/>
        <v>0</v>
      </c>
    </row>
    <row r="26" spans="1:5" x14ac:dyDescent="0.25">
      <c r="A26" s="1">
        <v>43976</v>
      </c>
      <c r="B26">
        <v>241</v>
      </c>
      <c r="C26">
        <v>283</v>
      </c>
      <c r="D26">
        <v>140</v>
      </c>
      <c r="E26">
        <f t="shared" si="0"/>
        <v>0</v>
      </c>
    </row>
    <row r="27" spans="1:5" x14ac:dyDescent="0.25">
      <c r="A27" s="1">
        <v>43977</v>
      </c>
      <c r="B27">
        <v>249</v>
      </c>
      <c r="C27">
        <v>275</v>
      </c>
      <c r="D27">
        <v>118</v>
      </c>
      <c r="E27">
        <f t="shared" si="0"/>
        <v>0</v>
      </c>
    </row>
    <row r="28" spans="1:5" x14ac:dyDescent="0.25">
      <c r="A28" s="1">
        <v>43978</v>
      </c>
      <c r="B28">
        <v>298</v>
      </c>
      <c r="C28">
        <v>263</v>
      </c>
      <c r="D28">
        <v>145</v>
      </c>
      <c r="E28">
        <f t="shared" si="0"/>
        <v>0</v>
      </c>
    </row>
    <row r="29" spans="1:5" x14ac:dyDescent="0.25">
      <c r="A29" s="1">
        <v>43979</v>
      </c>
      <c r="B29">
        <v>254</v>
      </c>
      <c r="C29">
        <v>241</v>
      </c>
      <c r="D29">
        <v>149</v>
      </c>
      <c r="E29">
        <f t="shared" si="0"/>
        <v>0</v>
      </c>
    </row>
    <row r="30" spans="1:5" x14ac:dyDescent="0.25">
      <c r="A30" s="1">
        <v>43980</v>
      </c>
      <c r="B30">
        <v>329</v>
      </c>
      <c r="C30">
        <v>323</v>
      </c>
      <c r="D30">
        <v>134</v>
      </c>
      <c r="E30">
        <f t="shared" si="0"/>
        <v>0</v>
      </c>
    </row>
    <row r="31" spans="1:5" x14ac:dyDescent="0.25">
      <c r="A31" s="1">
        <v>43981</v>
      </c>
      <c r="B31">
        <v>213</v>
      </c>
      <c r="C31">
        <v>221</v>
      </c>
      <c r="D31">
        <v>119</v>
      </c>
      <c r="E31">
        <f t="shared" si="0"/>
        <v>0</v>
      </c>
    </row>
    <row r="32" spans="1:5" x14ac:dyDescent="0.25">
      <c r="A32" s="1">
        <v>43982</v>
      </c>
      <c r="B32">
        <v>294</v>
      </c>
      <c r="C32">
        <v>326</v>
      </c>
      <c r="D32">
        <v>145</v>
      </c>
      <c r="E32">
        <f t="shared" si="0"/>
        <v>0</v>
      </c>
    </row>
    <row r="33" spans="1:5" x14ac:dyDescent="0.25">
      <c r="A33" s="1">
        <v>43983</v>
      </c>
      <c r="B33">
        <v>225</v>
      </c>
      <c r="C33">
        <v>206</v>
      </c>
      <c r="D33">
        <v>122</v>
      </c>
      <c r="E33">
        <f t="shared" si="0"/>
        <v>0</v>
      </c>
    </row>
    <row r="34" spans="1:5" x14ac:dyDescent="0.25">
      <c r="A34" s="1">
        <v>43984</v>
      </c>
      <c r="B34">
        <v>264</v>
      </c>
      <c r="C34">
        <v>355</v>
      </c>
      <c r="D34">
        <v>134</v>
      </c>
      <c r="E34">
        <f t="shared" si="0"/>
        <v>0</v>
      </c>
    </row>
    <row r="35" spans="1:5" x14ac:dyDescent="0.25">
      <c r="A35" s="1">
        <v>43985</v>
      </c>
      <c r="B35">
        <v>253</v>
      </c>
      <c r="C35">
        <v>271</v>
      </c>
      <c r="D35">
        <v>142</v>
      </c>
      <c r="E35">
        <f t="shared" si="0"/>
        <v>0</v>
      </c>
    </row>
    <row r="36" spans="1:5" x14ac:dyDescent="0.25">
      <c r="A36" s="1">
        <v>43986</v>
      </c>
      <c r="B36">
        <v>352</v>
      </c>
      <c r="C36">
        <v>207</v>
      </c>
      <c r="D36">
        <v>125</v>
      </c>
      <c r="E36">
        <f t="shared" si="0"/>
        <v>0</v>
      </c>
    </row>
    <row r="37" spans="1:5" x14ac:dyDescent="0.25">
      <c r="A37" s="1">
        <v>43987</v>
      </c>
      <c r="B37">
        <v>269</v>
      </c>
      <c r="C37">
        <v>248</v>
      </c>
      <c r="D37">
        <v>137</v>
      </c>
      <c r="E37">
        <f t="shared" si="0"/>
        <v>0</v>
      </c>
    </row>
    <row r="38" spans="1:5" x14ac:dyDescent="0.25">
      <c r="A38" s="1">
        <v>43988</v>
      </c>
      <c r="B38">
        <v>242</v>
      </c>
      <c r="C38">
        <v>247</v>
      </c>
      <c r="D38">
        <v>125</v>
      </c>
      <c r="E38">
        <f t="shared" si="0"/>
        <v>0</v>
      </c>
    </row>
    <row r="39" spans="1:5" x14ac:dyDescent="0.25">
      <c r="A39" s="1">
        <v>43989</v>
      </c>
      <c r="B39">
        <v>327</v>
      </c>
      <c r="C39">
        <v>262</v>
      </c>
      <c r="D39">
        <v>103</v>
      </c>
      <c r="E39">
        <f t="shared" si="0"/>
        <v>0</v>
      </c>
    </row>
    <row r="40" spans="1:5" x14ac:dyDescent="0.25">
      <c r="A40" s="1">
        <v>43990</v>
      </c>
      <c r="B40">
        <v>316</v>
      </c>
      <c r="C40">
        <v>253</v>
      </c>
      <c r="D40">
        <v>134</v>
      </c>
      <c r="E40">
        <f t="shared" si="0"/>
        <v>0</v>
      </c>
    </row>
    <row r="41" spans="1:5" x14ac:dyDescent="0.25">
      <c r="A41" s="1">
        <v>43991</v>
      </c>
      <c r="B41">
        <v>294</v>
      </c>
      <c r="C41">
        <v>249</v>
      </c>
      <c r="D41">
        <v>137</v>
      </c>
      <c r="E41">
        <f t="shared" si="0"/>
        <v>0</v>
      </c>
    </row>
    <row r="42" spans="1:5" x14ac:dyDescent="0.25">
      <c r="A42" s="1">
        <v>43992</v>
      </c>
      <c r="B42">
        <v>270</v>
      </c>
      <c r="C42">
        <v>206</v>
      </c>
      <c r="D42">
        <v>146</v>
      </c>
      <c r="E42">
        <f t="shared" si="0"/>
        <v>0</v>
      </c>
    </row>
    <row r="43" spans="1:5" x14ac:dyDescent="0.25">
      <c r="A43" s="1">
        <v>43993</v>
      </c>
      <c r="B43">
        <v>349</v>
      </c>
      <c r="C43">
        <v>301</v>
      </c>
      <c r="D43">
        <v>138</v>
      </c>
      <c r="E43">
        <f t="shared" si="0"/>
        <v>0</v>
      </c>
    </row>
    <row r="44" spans="1:5" x14ac:dyDescent="0.25">
      <c r="A44" s="1">
        <v>43994</v>
      </c>
      <c r="B44">
        <v>224</v>
      </c>
      <c r="C44">
        <v>385</v>
      </c>
      <c r="D44">
        <v>138</v>
      </c>
      <c r="E44">
        <f t="shared" si="0"/>
        <v>0</v>
      </c>
    </row>
    <row r="45" spans="1:5" x14ac:dyDescent="0.25">
      <c r="A45" s="1">
        <v>43995</v>
      </c>
      <c r="B45">
        <v>309</v>
      </c>
      <c r="C45">
        <v>204</v>
      </c>
      <c r="D45">
        <v>140</v>
      </c>
      <c r="E45">
        <f t="shared" si="0"/>
        <v>0</v>
      </c>
    </row>
    <row r="46" spans="1:5" x14ac:dyDescent="0.25">
      <c r="A46" s="1">
        <v>43996</v>
      </c>
      <c r="B46">
        <v>246</v>
      </c>
      <c r="C46">
        <v>275</v>
      </c>
      <c r="D46">
        <v>130</v>
      </c>
      <c r="E46">
        <f t="shared" si="0"/>
        <v>0</v>
      </c>
    </row>
    <row r="47" spans="1:5" x14ac:dyDescent="0.25">
      <c r="A47" s="1">
        <v>43997</v>
      </c>
      <c r="B47">
        <v>241</v>
      </c>
      <c r="C47">
        <v>247</v>
      </c>
      <c r="D47">
        <v>166</v>
      </c>
      <c r="E47">
        <f t="shared" si="0"/>
        <v>0</v>
      </c>
    </row>
    <row r="48" spans="1:5" x14ac:dyDescent="0.25">
      <c r="A48" s="1">
        <v>43998</v>
      </c>
      <c r="B48">
        <v>365</v>
      </c>
      <c r="C48">
        <v>256</v>
      </c>
      <c r="D48">
        <v>132</v>
      </c>
      <c r="E48">
        <f t="shared" si="0"/>
        <v>0</v>
      </c>
    </row>
    <row r="49" spans="1:5" x14ac:dyDescent="0.25">
      <c r="A49" s="1">
        <v>43999</v>
      </c>
      <c r="B49">
        <v>225</v>
      </c>
      <c r="C49">
        <v>392</v>
      </c>
      <c r="D49">
        <v>158</v>
      </c>
      <c r="E49">
        <f t="shared" si="0"/>
        <v>0</v>
      </c>
    </row>
    <row r="50" spans="1:5" x14ac:dyDescent="0.25">
      <c r="A50" s="1">
        <v>44000</v>
      </c>
      <c r="B50">
        <v>335</v>
      </c>
      <c r="C50">
        <v>254</v>
      </c>
      <c r="D50">
        <v>173</v>
      </c>
      <c r="E50">
        <f t="shared" si="0"/>
        <v>0</v>
      </c>
    </row>
    <row r="51" spans="1:5" x14ac:dyDescent="0.25">
      <c r="A51" s="1">
        <v>44001</v>
      </c>
      <c r="B51">
        <v>376</v>
      </c>
      <c r="C51">
        <v>258</v>
      </c>
      <c r="D51">
        <v>151</v>
      </c>
      <c r="E51">
        <f t="shared" si="0"/>
        <v>0</v>
      </c>
    </row>
    <row r="52" spans="1:5" x14ac:dyDescent="0.25">
      <c r="A52" s="1">
        <v>44002</v>
      </c>
      <c r="B52">
        <v>310</v>
      </c>
      <c r="C52">
        <v>248</v>
      </c>
      <c r="D52">
        <v>173</v>
      </c>
      <c r="E52">
        <f t="shared" si="0"/>
        <v>0</v>
      </c>
    </row>
    <row r="53" spans="1:5" x14ac:dyDescent="0.25">
      <c r="A53" s="1">
        <v>44003</v>
      </c>
      <c r="B53">
        <v>408</v>
      </c>
      <c r="C53">
        <v>250</v>
      </c>
      <c r="D53">
        <v>242</v>
      </c>
      <c r="E53">
        <f t="shared" si="0"/>
        <v>0</v>
      </c>
    </row>
    <row r="54" spans="1:5" x14ac:dyDescent="0.25">
      <c r="A54" s="1">
        <v>44004</v>
      </c>
      <c r="B54">
        <v>256</v>
      </c>
      <c r="C54">
        <v>393</v>
      </c>
      <c r="D54">
        <v>219</v>
      </c>
      <c r="E54">
        <f t="shared" si="0"/>
        <v>0</v>
      </c>
    </row>
    <row r="55" spans="1:5" x14ac:dyDescent="0.25">
      <c r="A55" s="1">
        <v>44005</v>
      </c>
      <c r="B55">
        <v>322</v>
      </c>
      <c r="C55">
        <v>425</v>
      </c>
      <c r="D55">
        <v>215</v>
      </c>
      <c r="E55">
        <f t="shared" si="0"/>
        <v>0</v>
      </c>
    </row>
    <row r="56" spans="1:5" x14ac:dyDescent="0.25">
      <c r="A56" s="1">
        <v>44006</v>
      </c>
      <c r="B56">
        <v>447</v>
      </c>
      <c r="C56">
        <v>385</v>
      </c>
      <c r="D56">
        <v>212</v>
      </c>
      <c r="E56">
        <f t="shared" si="0"/>
        <v>0</v>
      </c>
    </row>
    <row r="57" spans="1:5" x14ac:dyDescent="0.25">
      <c r="A57" s="1">
        <v>44007</v>
      </c>
      <c r="B57">
        <v>408</v>
      </c>
      <c r="C57">
        <v>260</v>
      </c>
      <c r="D57">
        <v>225</v>
      </c>
      <c r="E57">
        <f t="shared" si="0"/>
        <v>0</v>
      </c>
    </row>
    <row r="58" spans="1:5" x14ac:dyDescent="0.25">
      <c r="A58" s="1">
        <v>44008</v>
      </c>
      <c r="B58">
        <v>283</v>
      </c>
      <c r="C58">
        <v>396</v>
      </c>
      <c r="D58">
        <v>221</v>
      </c>
      <c r="E58">
        <f t="shared" si="0"/>
        <v>0</v>
      </c>
    </row>
    <row r="59" spans="1:5" x14ac:dyDescent="0.25">
      <c r="A59" s="1">
        <v>44009</v>
      </c>
      <c r="B59">
        <v>414</v>
      </c>
      <c r="C59">
        <v>314</v>
      </c>
      <c r="D59">
        <v>220</v>
      </c>
      <c r="E59">
        <f t="shared" si="0"/>
        <v>0</v>
      </c>
    </row>
    <row r="60" spans="1:5" x14ac:dyDescent="0.25">
      <c r="A60" s="1">
        <v>44010</v>
      </c>
      <c r="B60">
        <v>442</v>
      </c>
      <c r="C60">
        <v>449</v>
      </c>
      <c r="D60">
        <v>245</v>
      </c>
      <c r="E60">
        <f t="shared" si="0"/>
        <v>0</v>
      </c>
    </row>
    <row r="61" spans="1:5" x14ac:dyDescent="0.25">
      <c r="A61" s="1">
        <v>44011</v>
      </c>
      <c r="B61">
        <v>269</v>
      </c>
      <c r="C61">
        <v>370</v>
      </c>
      <c r="D61">
        <v>242</v>
      </c>
      <c r="E61">
        <f t="shared" si="0"/>
        <v>0</v>
      </c>
    </row>
    <row r="62" spans="1:5" x14ac:dyDescent="0.25">
      <c r="A62" s="1">
        <v>44012</v>
      </c>
      <c r="B62">
        <v>444</v>
      </c>
      <c r="C62">
        <v>350</v>
      </c>
      <c r="D62">
        <v>236</v>
      </c>
      <c r="E62">
        <f t="shared" si="0"/>
        <v>0</v>
      </c>
    </row>
    <row r="63" spans="1:5" x14ac:dyDescent="0.25">
      <c r="A63" s="1">
        <v>44013</v>
      </c>
      <c r="B63">
        <v>425</v>
      </c>
      <c r="C63">
        <v>342</v>
      </c>
      <c r="D63">
        <v>237</v>
      </c>
      <c r="E63">
        <f t="shared" si="0"/>
        <v>0</v>
      </c>
    </row>
    <row r="64" spans="1:5" x14ac:dyDescent="0.25">
      <c r="A64" s="1">
        <v>44014</v>
      </c>
      <c r="B64">
        <v>377</v>
      </c>
      <c r="C64">
        <v>290</v>
      </c>
      <c r="D64">
        <v>240</v>
      </c>
      <c r="E64">
        <f t="shared" si="0"/>
        <v>0</v>
      </c>
    </row>
    <row r="65" spans="1:5" x14ac:dyDescent="0.25">
      <c r="A65" s="1">
        <v>44015</v>
      </c>
      <c r="B65">
        <v>382</v>
      </c>
      <c r="C65">
        <v>360</v>
      </c>
      <c r="D65">
        <v>203</v>
      </c>
      <c r="E65">
        <f t="shared" si="0"/>
        <v>0</v>
      </c>
    </row>
    <row r="66" spans="1:5" x14ac:dyDescent="0.25">
      <c r="A66" s="1">
        <v>44016</v>
      </c>
      <c r="B66">
        <v>287</v>
      </c>
      <c r="C66">
        <v>428</v>
      </c>
      <c r="D66">
        <v>204</v>
      </c>
      <c r="E66">
        <f t="shared" si="0"/>
        <v>0</v>
      </c>
    </row>
    <row r="67" spans="1:5" x14ac:dyDescent="0.25">
      <c r="A67" s="1">
        <v>44017</v>
      </c>
      <c r="B67">
        <v>429</v>
      </c>
      <c r="C67">
        <v>394</v>
      </c>
      <c r="D67">
        <v>246</v>
      </c>
      <c r="E67">
        <f t="shared" ref="E67:E130" si="1">IF(D67&gt;C67, IF(D67&gt;B67, 1, 0),0)</f>
        <v>0</v>
      </c>
    </row>
    <row r="68" spans="1:5" x14ac:dyDescent="0.25">
      <c r="A68" s="1">
        <v>44018</v>
      </c>
      <c r="B68">
        <v>287</v>
      </c>
      <c r="C68">
        <v>356</v>
      </c>
      <c r="D68">
        <v>233</v>
      </c>
      <c r="E68">
        <f t="shared" si="1"/>
        <v>0</v>
      </c>
    </row>
    <row r="69" spans="1:5" x14ac:dyDescent="0.25">
      <c r="A69" s="1">
        <v>44019</v>
      </c>
      <c r="B69">
        <v>421</v>
      </c>
      <c r="C69">
        <v>292</v>
      </c>
      <c r="D69">
        <v>226</v>
      </c>
      <c r="E69">
        <f t="shared" si="1"/>
        <v>0</v>
      </c>
    </row>
    <row r="70" spans="1:5" x14ac:dyDescent="0.25">
      <c r="A70" s="1">
        <v>44020</v>
      </c>
      <c r="B70">
        <v>334</v>
      </c>
      <c r="C70">
        <v>353</v>
      </c>
      <c r="D70">
        <v>282</v>
      </c>
      <c r="E70">
        <f t="shared" si="1"/>
        <v>0</v>
      </c>
    </row>
    <row r="71" spans="1:5" x14ac:dyDescent="0.25">
      <c r="A71" s="1">
        <v>44021</v>
      </c>
      <c r="B71">
        <v>282</v>
      </c>
      <c r="C71">
        <v>329</v>
      </c>
      <c r="D71">
        <v>262</v>
      </c>
      <c r="E71">
        <f t="shared" si="1"/>
        <v>0</v>
      </c>
    </row>
    <row r="72" spans="1:5" x14ac:dyDescent="0.25">
      <c r="A72" s="1">
        <v>44022</v>
      </c>
      <c r="B72">
        <v>356</v>
      </c>
      <c r="C72">
        <v>331</v>
      </c>
      <c r="D72">
        <v>290</v>
      </c>
      <c r="E72">
        <f t="shared" si="1"/>
        <v>0</v>
      </c>
    </row>
    <row r="73" spans="1:5" x14ac:dyDescent="0.25">
      <c r="A73" s="1">
        <v>44023</v>
      </c>
      <c r="B73">
        <v>307</v>
      </c>
      <c r="C73">
        <v>394</v>
      </c>
      <c r="D73">
        <v>256</v>
      </c>
      <c r="E73">
        <f t="shared" si="1"/>
        <v>0</v>
      </c>
    </row>
    <row r="74" spans="1:5" x14ac:dyDescent="0.25">
      <c r="A74" s="1">
        <v>44024</v>
      </c>
      <c r="B74">
        <v>441</v>
      </c>
      <c r="C74">
        <v>271</v>
      </c>
      <c r="D74">
        <v>292</v>
      </c>
      <c r="E74">
        <f t="shared" si="1"/>
        <v>0</v>
      </c>
    </row>
    <row r="75" spans="1:5" x14ac:dyDescent="0.25">
      <c r="A75" s="1">
        <v>44025</v>
      </c>
      <c r="B75">
        <v>407</v>
      </c>
      <c r="C75">
        <v>311</v>
      </c>
      <c r="D75">
        <v>280</v>
      </c>
      <c r="E75">
        <f t="shared" si="1"/>
        <v>0</v>
      </c>
    </row>
    <row r="76" spans="1:5" x14ac:dyDescent="0.25">
      <c r="A76" s="1">
        <v>44026</v>
      </c>
      <c r="B76">
        <v>480</v>
      </c>
      <c r="C76">
        <v>342</v>
      </c>
      <c r="D76">
        <v>292</v>
      </c>
      <c r="E76">
        <f t="shared" si="1"/>
        <v>0</v>
      </c>
    </row>
    <row r="77" spans="1:5" x14ac:dyDescent="0.25">
      <c r="A77" s="1">
        <v>44027</v>
      </c>
      <c r="B77">
        <v>494</v>
      </c>
      <c r="C77">
        <v>310</v>
      </c>
      <c r="D77">
        <v>275</v>
      </c>
      <c r="E77">
        <f t="shared" si="1"/>
        <v>0</v>
      </c>
    </row>
    <row r="78" spans="1:5" x14ac:dyDescent="0.25">
      <c r="A78" s="1">
        <v>44028</v>
      </c>
      <c r="B78">
        <v>493</v>
      </c>
      <c r="C78">
        <v>431</v>
      </c>
      <c r="D78">
        <v>283</v>
      </c>
      <c r="E78">
        <f t="shared" si="1"/>
        <v>0</v>
      </c>
    </row>
    <row r="79" spans="1:5" x14ac:dyDescent="0.25">
      <c r="A79" s="1">
        <v>44029</v>
      </c>
      <c r="B79">
        <v>302</v>
      </c>
      <c r="C79">
        <v>415</v>
      </c>
      <c r="D79">
        <v>297</v>
      </c>
      <c r="E79">
        <f t="shared" si="1"/>
        <v>0</v>
      </c>
    </row>
    <row r="80" spans="1:5" x14ac:dyDescent="0.25">
      <c r="A80" s="1">
        <v>44030</v>
      </c>
      <c r="B80">
        <v>331</v>
      </c>
      <c r="C80">
        <v>353</v>
      </c>
      <c r="D80">
        <v>373</v>
      </c>
      <c r="E80">
        <f t="shared" si="1"/>
        <v>1</v>
      </c>
    </row>
    <row r="81" spans="1:5" x14ac:dyDescent="0.25">
      <c r="A81" s="1">
        <v>44031</v>
      </c>
      <c r="B81">
        <v>486</v>
      </c>
      <c r="C81">
        <v>323</v>
      </c>
      <c r="D81">
        <v>359</v>
      </c>
      <c r="E81">
        <f t="shared" si="1"/>
        <v>0</v>
      </c>
    </row>
    <row r="82" spans="1:5" x14ac:dyDescent="0.25">
      <c r="A82" s="1">
        <v>44032</v>
      </c>
      <c r="B82">
        <v>360</v>
      </c>
      <c r="C82">
        <v>331</v>
      </c>
      <c r="D82">
        <v>445</v>
      </c>
      <c r="E82">
        <f t="shared" si="1"/>
        <v>1</v>
      </c>
    </row>
    <row r="83" spans="1:5" x14ac:dyDescent="0.25">
      <c r="A83" s="1">
        <v>44033</v>
      </c>
      <c r="B83">
        <v>391</v>
      </c>
      <c r="C83">
        <v>455</v>
      </c>
      <c r="D83">
        <v>427</v>
      </c>
      <c r="E83">
        <f t="shared" si="1"/>
        <v>0</v>
      </c>
    </row>
    <row r="84" spans="1:5" x14ac:dyDescent="0.25">
      <c r="A84" s="1">
        <v>44034</v>
      </c>
      <c r="B84">
        <v>327</v>
      </c>
      <c r="C84">
        <v>471</v>
      </c>
      <c r="D84">
        <v>423</v>
      </c>
      <c r="E84">
        <f t="shared" si="1"/>
        <v>0</v>
      </c>
    </row>
    <row r="85" spans="1:5" x14ac:dyDescent="0.25">
      <c r="A85" s="1">
        <v>44035</v>
      </c>
      <c r="B85">
        <v>355</v>
      </c>
      <c r="C85">
        <v>490</v>
      </c>
      <c r="D85">
        <v>449</v>
      </c>
      <c r="E85">
        <f t="shared" si="1"/>
        <v>0</v>
      </c>
    </row>
    <row r="86" spans="1:5" x14ac:dyDescent="0.25">
      <c r="A86" s="1">
        <v>44036</v>
      </c>
      <c r="B86">
        <v>360</v>
      </c>
      <c r="C86">
        <v>339</v>
      </c>
      <c r="D86">
        <v>470</v>
      </c>
      <c r="E86">
        <f t="shared" si="1"/>
        <v>1</v>
      </c>
    </row>
    <row r="87" spans="1:5" x14ac:dyDescent="0.25">
      <c r="A87" s="1">
        <v>44037</v>
      </c>
      <c r="B87">
        <v>303</v>
      </c>
      <c r="C87">
        <v>404</v>
      </c>
      <c r="D87">
        <v>434</v>
      </c>
      <c r="E87">
        <f t="shared" si="1"/>
        <v>1</v>
      </c>
    </row>
    <row r="88" spans="1:5" x14ac:dyDescent="0.25">
      <c r="A88" s="1">
        <v>44038</v>
      </c>
      <c r="B88">
        <v>310</v>
      </c>
      <c r="C88">
        <v>332</v>
      </c>
      <c r="D88">
        <v>536</v>
      </c>
      <c r="E88">
        <f t="shared" si="1"/>
        <v>1</v>
      </c>
    </row>
    <row r="89" spans="1:5" x14ac:dyDescent="0.25">
      <c r="A89" s="1">
        <v>44039</v>
      </c>
      <c r="B89">
        <v>435</v>
      </c>
      <c r="C89">
        <v>406</v>
      </c>
      <c r="D89">
        <v>421</v>
      </c>
      <c r="E89">
        <f t="shared" si="1"/>
        <v>0</v>
      </c>
    </row>
    <row r="90" spans="1:5" x14ac:dyDescent="0.25">
      <c r="A90" s="1">
        <v>44040</v>
      </c>
      <c r="B90">
        <v>344</v>
      </c>
      <c r="C90">
        <v>348</v>
      </c>
      <c r="D90">
        <v>555</v>
      </c>
      <c r="E90">
        <f t="shared" si="1"/>
        <v>1</v>
      </c>
    </row>
    <row r="91" spans="1:5" x14ac:dyDescent="0.25">
      <c r="A91" s="1">
        <v>44041</v>
      </c>
      <c r="B91">
        <v>303</v>
      </c>
      <c r="C91">
        <v>335</v>
      </c>
      <c r="D91">
        <v>436</v>
      </c>
      <c r="E91">
        <f t="shared" si="1"/>
        <v>1</v>
      </c>
    </row>
    <row r="92" spans="1:5" x14ac:dyDescent="0.25">
      <c r="A92" s="1">
        <v>44042</v>
      </c>
      <c r="B92">
        <v>433</v>
      </c>
      <c r="C92">
        <v>425</v>
      </c>
      <c r="D92">
        <v>422</v>
      </c>
      <c r="E92">
        <f t="shared" si="1"/>
        <v>0</v>
      </c>
    </row>
    <row r="93" spans="1:5" x14ac:dyDescent="0.25">
      <c r="A93" s="1">
        <v>44043</v>
      </c>
      <c r="B93">
        <v>350</v>
      </c>
      <c r="C93">
        <v>378</v>
      </c>
      <c r="D93">
        <v>419</v>
      </c>
      <c r="E93">
        <f t="shared" si="1"/>
        <v>1</v>
      </c>
    </row>
    <row r="94" spans="1:5" x14ac:dyDescent="0.25">
      <c r="A94" s="1">
        <v>44044</v>
      </c>
      <c r="B94">
        <v>396</v>
      </c>
      <c r="C94">
        <v>466</v>
      </c>
      <c r="D94">
        <v>434</v>
      </c>
      <c r="E94">
        <f t="shared" si="1"/>
        <v>0</v>
      </c>
    </row>
    <row r="95" spans="1:5" x14ac:dyDescent="0.25">
      <c r="A95" s="1">
        <v>44045</v>
      </c>
      <c r="B95">
        <v>495</v>
      </c>
      <c r="C95">
        <v>410</v>
      </c>
      <c r="D95">
        <v>418</v>
      </c>
      <c r="E95">
        <f t="shared" si="1"/>
        <v>0</v>
      </c>
    </row>
    <row r="96" spans="1:5" x14ac:dyDescent="0.25">
      <c r="A96" s="1">
        <v>44046</v>
      </c>
      <c r="B96">
        <v>420</v>
      </c>
      <c r="C96">
        <v>328</v>
      </c>
      <c r="D96">
        <v>422</v>
      </c>
      <c r="E96">
        <f t="shared" si="1"/>
        <v>1</v>
      </c>
    </row>
    <row r="97" spans="1:5" x14ac:dyDescent="0.25">
      <c r="A97" s="1">
        <v>44047</v>
      </c>
      <c r="B97">
        <v>411</v>
      </c>
      <c r="C97">
        <v>481</v>
      </c>
      <c r="D97">
        <v>445</v>
      </c>
      <c r="E97">
        <f t="shared" si="1"/>
        <v>0</v>
      </c>
    </row>
    <row r="98" spans="1:5" x14ac:dyDescent="0.25">
      <c r="A98" s="1">
        <v>44048</v>
      </c>
      <c r="B98">
        <v>317</v>
      </c>
      <c r="C98">
        <v>434</v>
      </c>
      <c r="D98">
        <v>411</v>
      </c>
      <c r="E98">
        <f t="shared" si="1"/>
        <v>0</v>
      </c>
    </row>
    <row r="99" spans="1:5" x14ac:dyDescent="0.25">
      <c r="A99" s="1">
        <v>44049</v>
      </c>
      <c r="B99">
        <v>342</v>
      </c>
      <c r="C99">
        <v>465</v>
      </c>
      <c r="D99">
        <v>417</v>
      </c>
      <c r="E99">
        <f t="shared" si="1"/>
        <v>0</v>
      </c>
    </row>
    <row r="100" spans="1:5" x14ac:dyDescent="0.25">
      <c r="A100" s="1">
        <v>44050</v>
      </c>
      <c r="B100">
        <v>450</v>
      </c>
      <c r="C100">
        <v>318</v>
      </c>
      <c r="D100">
        <v>490</v>
      </c>
      <c r="E100">
        <f t="shared" si="1"/>
        <v>1</v>
      </c>
    </row>
    <row r="101" spans="1:5" x14ac:dyDescent="0.25">
      <c r="A101" s="1">
        <v>44051</v>
      </c>
      <c r="B101">
        <v>343</v>
      </c>
      <c r="C101">
        <v>329</v>
      </c>
      <c r="D101">
        <v>345</v>
      </c>
      <c r="E101">
        <f t="shared" si="1"/>
        <v>1</v>
      </c>
    </row>
    <row r="102" spans="1:5" x14ac:dyDescent="0.25">
      <c r="A102" s="1">
        <v>44052</v>
      </c>
      <c r="B102">
        <v>287</v>
      </c>
      <c r="C102">
        <v>328</v>
      </c>
      <c r="D102">
        <v>377</v>
      </c>
      <c r="E102">
        <f t="shared" si="1"/>
        <v>1</v>
      </c>
    </row>
    <row r="103" spans="1:5" x14ac:dyDescent="0.25">
      <c r="A103" s="1">
        <v>44053</v>
      </c>
      <c r="B103">
        <v>298</v>
      </c>
      <c r="C103">
        <v>401</v>
      </c>
      <c r="D103">
        <v>416</v>
      </c>
      <c r="E103">
        <f t="shared" si="1"/>
        <v>1</v>
      </c>
    </row>
    <row r="104" spans="1:5" x14ac:dyDescent="0.25">
      <c r="A104" s="1">
        <v>44054</v>
      </c>
      <c r="B104">
        <v>429</v>
      </c>
      <c r="C104">
        <v>348</v>
      </c>
      <c r="D104">
        <v>426</v>
      </c>
      <c r="E104">
        <f t="shared" si="1"/>
        <v>0</v>
      </c>
    </row>
    <row r="105" spans="1:5" x14ac:dyDescent="0.25">
      <c r="A105" s="1">
        <v>44055</v>
      </c>
      <c r="B105">
        <v>417</v>
      </c>
      <c r="C105">
        <v>457</v>
      </c>
      <c r="D105">
        <v>438</v>
      </c>
      <c r="E105">
        <f t="shared" si="1"/>
        <v>0</v>
      </c>
    </row>
    <row r="106" spans="1:5" x14ac:dyDescent="0.25">
      <c r="A106" s="1">
        <v>44056</v>
      </c>
      <c r="B106">
        <v>384</v>
      </c>
      <c r="C106">
        <v>330</v>
      </c>
      <c r="D106">
        <v>292</v>
      </c>
      <c r="E106">
        <f t="shared" si="1"/>
        <v>0</v>
      </c>
    </row>
    <row r="107" spans="1:5" x14ac:dyDescent="0.25">
      <c r="A107" s="1">
        <v>44057</v>
      </c>
      <c r="B107">
        <v>370</v>
      </c>
      <c r="C107">
        <v>388</v>
      </c>
      <c r="D107">
        <v>390</v>
      </c>
      <c r="E107">
        <f t="shared" si="1"/>
        <v>1</v>
      </c>
    </row>
    <row r="108" spans="1:5" x14ac:dyDescent="0.25">
      <c r="A108" s="1">
        <v>44058</v>
      </c>
      <c r="B108">
        <v>436</v>
      </c>
      <c r="C108">
        <v>298</v>
      </c>
      <c r="D108">
        <v>420</v>
      </c>
      <c r="E108">
        <f t="shared" si="1"/>
        <v>0</v>
      </c>
    </row>
    <row r="109" spans="1:5" x14ac:dyDescent="0.25">
      <c r="A109" s="1">
        <v>44059</v>
      </c>
      <c r="B109">
        <v>303</v>
      </c>
      <c r="C109">
        <v>429</v>
      </c>
      <c r="D109">
        <v>407</v>
      </c>
      <c r="E109">
        <f t="shared" si="1"/>
        <v>0</v>
      </c>
    </row>
    <row r="110" spans="1:5" x14ac:dyDescent="0.25">
      <c r="A110" s="1">
        <v>44060</v>
      </c>
      <c r="B110">
        <v>449</v>
      </c>
      <c r="C110">
        <v>444</v>
      </c>
      <c r="D110">
        <v>425</v>
      </c>
      <c r="E110">
        <f t="shared" si="1"/>
        <v>0</v>
      </c>
    </row>
    <row r="111" spans="1:5" x14ac:dyDescent="0.25">
      <c r="A111" s="1">
        <v>44061</v>
      </c>
      <c r="B111">
        <v>300</v>
      </c>
      <c r="C111">
        <v>358</v>
      </c>
      <c r="D111">
        <v>377</v>
      </c>
      <c r="E111">
        <f t="shared" si="1"/>
        <v>1</v>
      </c>
    </row>
    <row r="112" spans="1:5" x14ac:dyDescent="0.25">
      <c r="A112" s="1">
        <v>44062</v>
      </c>
      <c r="B112">
        <v>307</v>
      </c>
      <c r="C112">
        <v>417</v>
      </c>
      <c r="D112">
        <v>405</v>
      </c>
      <c r="E112">
        <f t="shared" si="1"/>
        <v>0</v>
      </c>
    </row>
    <row r="113" spans="1:5" x14ac:dyDescent="0.25">
      <c r="A113" s="1">
        <v>44063</v>
      </c>
      <c r="B113">
        <v>314</v>
      </c>
      <c r="C113">
        <v>340</v>
      </c>
      <c r="D113">
        <v>345</v>
      </c>
      <c r="E113">
        <f t="shared" si="1"/>
        <v>1</v>
      </c>
    </row>
    <row r="114" spans="1:5" x14ac:dyDescent="0.25">
      <c r="A114" s="1">
        <v>44064</v>
      </c>
      <c r="B114">
        <v>379</v>
      </c>
      <c r="C114">
        <v>288</v>
      </c>
      <c r="D114">
        <v>353</v>
      </c>
      <c r="E114">
        <f t="shared" si="1"/>
        <v>0</v>
      </c>
    </row>
    <row r="115" spans="1:5" x14ac:dyDescent="0.25">
      <c r="A115" s="1">
        <v>44065</v>
      </c>
      <c r="B115">
        <v>405</v>
      </c>
      <c r="C115">
        <v>454</v>
      </c>
      <c r="D115">
        <v>342</v>
      </c>
      <c r="E115">
        <f t="shared" si="1"/>
        <v>0</v>
      </c>
    </row>
    <row r="116" spans="1:5" x14ac:dyDescent="0.25">
      <c r="A116" s="1">
        <v>44066</v>
      </c>
      <c r="B116">
        <v>407</v>
      </c>
      <c r="C116">
        <v>300</v>
      </c>
      <c r="D116">
        <v>365</v>
      </c>
      <c r="E116">
        <f t="shared" si="1"/>
        <v>0</v>
      </c>
    </row>
    <row r="117" spans="1:5" x14ac:dyDescent="0.25">
      <c r="A117" s="1">
        <v>44067</v>
      </c>
      <c r="B117">
        <v>432</v>
      </c>
      <c r="C117">
        <v>423</v>
      </c>
      <c r="D117">
        <v>221</v>
      </c>
      <c r="E117">
        <f t="shared" si="1"/>
        <v>0</v>
      </c>
    </row>
    <row r="118" spans="1:5" x14ac:dyDescent="0.25">
      <c r="A118" s="1">
        <v>44068</v>
      </c>
      <c r="B118">
        <v>405</v>
      </c>
      <c r="C118">
        <v>449</v>
      </c>
      <c r="D118">
        <v>231</v>
      </c>
      <c r="E118">
        <f t="shared" si="1"/>
        <v>0</v>
      </c>
    </row>
    <row r="119" spans="1:5" x14ac:dyDescent="0.25">
      <c r="A119" s="1">
        <v>44069</v>
      </c>
      <c r="B119">
        <v>162</v>
      </c>
      <c r="C119">
        <v>294</v>
      </c>
      <c r="D119">
        <v>255</v>
      </c>
      <c r="E119">
        <f t="shared" si="1"/>
        <v>0</v>
      </c>
    </row>
    <row r="120" spans="1:5" x14ac:dyDescent="0.25">
      <c r="A120" s="1">
        <v>44070</v>
      </c>
      <c r="B120">
        <v>297</v>
      </c>
      <c r="C120">
        <v>341</v>
      </c>
      <c r="D120">
        <v>223</v>
      </c>
      <c r="E120">
        <f t="shared" si="1"/>
        <v>0</v>
      </c>
    </row>
    <row r="121" spans="1:5" x14ac:dyDescent="0.25">
      <c r="A121" s="1">
        <v>44071</v>
      </c>
      <c r="B121">
        <v>226</v>
      </c>
      <c r="C121">
        <v>329</v>
      </c>
      <c r="D121">
        <v>261</v>
      </c>
      <c r="E121">
        <f t="shared" si="1"/>
        <v>0</v>
      </c>
    </row>
    <row r="122" spans="1:5" x14ac:dyDescent="0.25">
      <c r="A122" s="1">
        <v>44072</v>
      </c>
      <c r="B122">
        <v>226</v>
      </c>
      <c r="C122">
        <v>256</v>
      </c>
      <c r="D122">
        <v>239</v>
      </c>
      <c r="E122">
        <f t="shared" si="1"/>
        <v>0</v>
      </c>
    </row>
    <row r="123" spans="1:5" x14ac:dyDescent="0.25">
      <c r="A123" s="1">
        <v>44073</v>
      </c>
      <c r="B123">
        <v>287</v>
      </c>
      <c r="C123">
        <v>217</v>
      </c>
      <c r="D123">
        <v>262</v>
      </c>
      <c r="E123">
        <f t="shared" si="1"/>
        <v>0</v>
      </c>
    </row>
    <row r="124" spans="1:5" x14ac:dyDescent="0.25">
      <c r="A124" s="1">
        <v>44074</v>
      </c>
      <c r="B124">
        <v>351</v>
      </c>
      <c r="C124">
        <v>266</v>
      </c>
      <c r="D124">
        <v>226</v>
      </c>
      <c r="E124">
        <f t="shared" si="1"/>
        <v>0</v>
      </c>
    </row>
    <row r="125" spans="1:5" x14ac:dyDescent="0.25">
      <c r="A125" s="1">
        <v>44075</v>
      </c>
      <c r="B125">
        <v>214</v>
      </c>
      <c r="C125">
        <v>260</v>
      </c>
      <c r="D125">
        <v>241</v>
      </c>
      <c r="E125">
        <f t="shared" si="1"/>
        <v>0</v>
      </c>
    </row>
    <row r="126" spans="1:5" x14ac:dyDescent="0.25">
      <c r="A126" s="1">
        <v>44076</v>
      </c>
      <c r="B126">
        <v>282</v>
      </c>
      <c r="C126">
        <v>227</v>
      </c>
      <c r="D126">
        <v>258</v>
      </c>
      <c r="E126">
        <f t="shared" si="1"/>
        <v>0</v>
      </c>
    </row>
    <row r="127" spans="1:5" x14ac:dyDescent="0.25">
      <c r="A127" s="1">
        <v>44077</v>
      </c>
      <c r="B127">
        <v>257</v>
      </c>
      <c r="C127">
        <v>251</v>
      </c>
      <c r="D127">
        <v>252</v>
      </c>
      <c r="E127">
        <f t="shared" si="1"/>
        <v>0</v>
      </c>
    </row>
    <row r="128" spans="1:5" x14ac:dyDescent="0.25">
      <c r="A128" s="1">
        <v>44078</v>
      </c>
      <c r="B128">
        <v>172</v>
      </c>
      <c r="C128">
        <v>171</v>
      </c>
      <c r="D128">
        <v>268</v>
      </c>
      <c r="E128">
        <f t="shared" si="1"/>
        <v>1</v>
      </c>
    </row>
    <row r="129" spans="1:5" x14ac:dyDescent="0.25">
      <c r="A129" s="1">
        <v>44079</v>
      </c>
      <c r="B129">
        <v>197</v>
      </c>
      <c r="C129">
        <v>326</v>
      </c>
      <c r="D129">
        <v>224</v>
      </c>
      <c r="E129">
        <f t="shared" si="1"/>
        <v>0</v>
      </c>
    </row>
    <row r="130" spans="1:5" x14ac:dyDescent="0.25">
      <c r="A130" s="1">
        <v>44080</v>
      </c>
      <c r="B130">
        <v>292</v>
      </c>
      <c r="C130">
        <v>329</v>
      </c>
      <c r="D130">
        <v>255</v>
      </c>
      <c r="E130">
        <f t="shared" si="1"/>
        <v>0</v>
      </c>
    </row>
    <row r="131" spans="1:5" x14ac:dyDescent="0.25">
      <c r="A131" s="1">
        <v>44081</v>
      </c>
      <c r="B131">
        <v>172</v>
      </c>
      <c r="C131">
        <v>216</v>
      </c>
      <c r="D131">
        <v>199</v>
      </c>
      <c r="E131">
        <f t="shared" ref="E131:E154" si="2">IF(D131&gt;C131, IF(D131&gt;B131, 1, 0),0)</f>
        <v>0</v>
      </c>
    </row>
    <row r="132" spans="1:5" x14ac:dyDescent="0.25">
      <c r="A132" s="1">
        <v>44082</v>
      </c>
      <c r="B132">
        <v>258</v>
      </c>
      <c r="C132">
        <v>291</v>
      </c>
      <c r="D132">
        <v>220</v>
      </c>
      <c r="E132">
        <f t="shared" si="2"/>
        <v>0</v>
      </c>
    </row>
    <row r="133" spans="1:5" x14ac:dyDescent="0.25">
      <c r="A133" s="1">
        <v>44083</v>
      </c>
      <c r="B133">
        <v>276</v>
      </c>
      <c r="C133">
        <v>347</v>
      </c>
      <c r="D133">
        <v>197</v>
      </c>
      <c r="E133">
        <f t="shared" si="2"/>
        <v>0</v>
      </c>
    </row>
    <row r="134" spans="1:5" x14ac:dyDescent="0.25">
      <c r="A134" s="1">
        <v>44084</v>
      </c>
      <c r="B134">
        <v>210</v>
      </c>
      <c r="C134">
        <v>333</v>
      </c>
      <c r="D134">
        <v>218</v>
      </c>
      <c r="E134">
        <f t="shared" si="2"/>
        <v>0</v>
      </c>
    </row>
    <row r="135" spans="1:5" x14ac:dyDescent="0.25">
      <c r="A135" s="1">
        <v>44085</v>
      </c>
      <c r="B135">
        <v>168</v>
      </c>
      <c r="C135">
        <v>211</v>
      </c>
      <c r="D135">
        <v>180</v>
      </c>
      <c r="E135">
        <f t="shared" si="2"/>
        <v>0</v>
      </c>
    </row>
    <row r="136" spans="1:5" x14ac:dyDescent="0.25">
      <c r="A136" s="1">
        <v>44086</v>
      </c>
      <c r="B136">
        <v>196</v>
      </c>
      <c r="C136">
        <v>348</v>
      </c>
      <c r="D136">
        <v>225</v>
      </c>
      <c r="E136">
        <f t="shared" si="2"/>
        <v>0</v>
      </c>
    </row>
    <row r="137" spans="1:5" x14ac:dyDescent="0.25">
      <c r="A137" s="1">
        <v>44087</v>
      </c>
      <c r="B137">
        <v>284</v>
      </c>
      <c r="C137">
        <v>226</v>
      </c>
      <c r="D137">
        <v>197</v>
      </c>
      <c r="E137">
        <f t="shared" si="2"/>
        <v>0</v>
      </c>
    </row>
    <row r="138" spans="1:5" x14ac:dyDescent="0.25">
      <c r="A138" s="1">
        <v>44088</v>
      </c>
      <c r="B138">
        <v>162</v>
      </c>
      <c r="C138">
        <v>345</v>
      </c>
      <c r="D138">
        <v>194</v>
      </c>
      <c r="E138">
        <f t="shared" si="2"/>
        <v>0</v>
      </c>
    </row>
    <row r="139" spans="1:5" x14ac:dyDescent="0.25">
      <c r="A139" s="1">
        <v>44089</v>
      </c>
      <c r="B139">
        <v>212</v>
      </c>
      <c r="C139">
        <v>184</v>
      </c>
      <c r="D139">
        <v>183</v>
      </c>
      <c r="E139">
        <f t="shared" si="2"/>
        <v>0</v>
      </c>
    </row>
    <row r="140" spans="1:5" x14ac:dyDescent="0.25">
      <c r="A140" s="1">
        <v>44090</v>
      </c>
      <c r="B140">
        <v>165</v>
      </c>
      <c r="C140">
        <v>232</v>
      </c>
      <c r="D140">
        <v>202</v>
      </c>
      <c r="E140">
        <f t="shared" si="2"/>
        <v>0</v>
      </c>
    </row>
    <row r="141" spans="1:5" x14ac:dyDescent="0.25">
      <c r="A141" s="1">
        <v>44091</v>
      </c>
      <c r="B141">
        <v>163</v>
      </c>
      <c r="C141">
        <v>314</v>
      </c>
      <c r="D141">
        <v>213</v>
      </c>
      <c r="E141">
        <f t="shared" si="2"/>
        <v>0</v>
      </c>
    </row>
    <row r="142" spans="1:5" x14ac:dyDescent="0.25">
      <c r="A142" s="1">
        <v>44092</v>
      </c>
      <c r="B142">
        <v>200</v>
      </c>
      <c r="C142">
        <v>307</v>
      </c>
      <c r="D142">
        <v>206</v>
      </c>
      <c r="E142">
        <f t="shared" si="2"/>
        <v>0</v>
      </c>
    </row>
    <row r="143" spans="1:5" x14ac:dyDescent="0.25">
      <c r="A143" s="1">
        <v>44093</v>
      </c>
      <c r="B143">
        <v>201</v>
      </c>
      <c r="C143">
        <v>274</v>
      </c>
      <c r="D143">
        <v>210</v>
      </c>
      <c r="E143">
        <f t="shared" si="2"/>
        <v>0</v>
      </c>
    </row>
    <row r="144" spans="1:5" x14ac:dyDescent="0.25">
      <c r="A144" s="1">
        <v>44094</v>
      </c>
      <c r="B144">
        <v>269</v>
      </c>
      <c r="C144">
        <v>278</v>
      </c>
      <c r="D144">
        <v>228</v>
      </c>
      <c r="E144">
        <f t="shared" si="2"/>
        <v>0</v>
      </c>
    </row>
    <row r="145" spans="1:5" x14ac:dyDescent="0.25">
      <c r="A145" s="1">
        <v>44095</v>
      </c>
      <c r="B145">
        <v>188</v>
      </c>
      <c r="C145">
        <v>195</v>
      </c>
      <c r="D145">
        <v>207</v>
      </c>
      <c r="E145">
        <f t="shared" si="2"/>
        <v>1</v>
      </c>
    </row>
    <row r="146" spans="1:5" x14ac:dyDescent="0.25">
      <c r="A146" s="1">
        <v>44096</v>
      </c>
      <c r="B146">
        <v>142</v>
      </c>
      <c r="C146">
        <v>249</v>
      </c>
      <c r="D146">
        <v>202</v>
      </c>
      <c r="E146">
        <f t="shared" si="2"/>
        <v>0</v>
      </c>
    </row>
    <row r="147" spans="1:5" x14ac:dyDescent="0.25">
      <c r="A147" s="1">
        <v>44097</v>
      </c>
      <c r="B147">
        <v>232</v>
      </c>
      <c r="C147">
        <v>116</v>
      </c>
      <c r="D147">
        <v>195</v>
      </c>
      <c r="E147">
        <f t="shared" si="2"/>
        <v>0</v>
      </c>
    </row>
    <row r="148" spans="1:5" x14ac:dyDescent="0.25">
      <c r="A148" s="1">
        <v>44098</v>
      </c>
      <c r="B148">
        <v>296</v>
      </c>
      <c r="C148">
        <v>102</v>
      </c>
      <c r="D148">
        <v>192</v>
      </c>
      <c r="E148">
        <f t="shared" si="2"/>
        <v>0</v>
      </c>
    </row>
    <row r="149" spans="1:5" x14ac:dyDescent="0.25">
      <c r="A149" s="1">
        <v>44099</v>
      </c>
      <c r="B149">
        <v>161</v>
      </c>
      <c r="C149">
        <v>151</v>
      </c>
      <c r="D149">
        <v>216</v>
      </c>
      <c r="E149">
        <f t="shared" si="2"/>
        <v>1</v>
      </c>
    </row>
    <row r="150" spans="1:5" x14ac:dyDescent="0.25">
      <c r="A150" s="1">
        <v>44100</v>
      </c>
      <c r="B150">
        <v>162</v>
      </c>
      <c r="C150">
        <v>261</v>
      </c>
      <c r="D150">
        <v>184</v>
      </c>
      <c r="E150">
        <f t="shared" si="2"/>
        <v>0</v>
      </c>
    </row>
    <row r="151" spans="1:5" x14ac:dyDescent="0.25">
      <c r="A151" s="1">
        <v>44101</v>
      </c>
      <c r="B151">
        <v>216</v>
      </c>
      <c r="C151">
        <v>147</v>
      </c>
      <c r="D151">
        <v>204</v>
      </c>
      <c r="E151">
        <f t="shared" si="2"/>
        <v>0</v>
      </c>
    </row>
    <row r="152" spans="1:5" x14ac:dyDescent="0.25">
      <c r="A152" s="1">
        <v>44102</v>
      </c>
      <c r="B152">
        <v>282</v>
      </c>
      <c r="C152">
        <v>297</v>
      </c>
      <c r="D152">
        <v>195</v>
      </c>
      <c r="E152">
        <f t="shared" si="2"/>
        <v>0</v>
      </c>
    </row>
    <row r="153" spans="1:5" x14ac:dyDescent="0.25">
      <c r="A153" s="1">
        <v>44103</v>
      </c>
      <c r="B153">
        <v>214</v>
      </c>
      <c r="C153">
        <v>198</v>
      </c>
      <c r="D153">
        <v>200</v>
      </c>
      <c r="E153">
        <f t="shared" si="2"/>
        <v>0</v>
      </c>
    </row>
    <row r="154" spans="1:5" x14ac:dyDescent="0.25">
      <c r="A154" s="1">
        <v>44104</v>
      </c>
      <c r="B154">
        <v>289</v>
      </c>
      <c r="C154">
        <v>290</v>
      </c>
      <c r="D154">
        <v>190</v>
      </c>
      <c r="E154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A638-944F-4098-AA1D-86C41B2BF1AE}">
  <dimension ref="A1:Q155"/>
  <sheetViews>
    <sheetView workbookViewId="0">
      <selection activeCell="S8" sqref="S8"/>
    </sheetView>
  </sheetViews>
  <sheetFormatPr defaultRowHeight="15" x14ac:dyDescent="0.25"/>
  <cols>
    <col min="1" max="1" width="10.140625" bestFit="1" customWidth="1"/>
    <col min="2" max="4" width="10.140625" customWidth="1"/>
    <col min="5" max="5" width="14.5703125" bestFit="1" customWidth="1"/>
    <col min="6" max="6" width="18.85546875" bestFit="1" customWidth="1"/>
    <col min="7" max="7" width="18.5703125" bestFit="1" customWidth="1"/>
    <col min="8" max="8" width="16.28515625" customWidth="1"/>
    <col min="9" max="9" width="18.85546875" bestFit="1" customWidth="1"/>
    <col min="10" max="10" width="24" customWidth="1"/>
    <col min="11" max="11" width="15.7109375" bestFit="1" customWidth="1"/>
  </cols>
  <sheetData>
    <row r="1" spans="1:17" x14ac:dyDescent="0.25">
      <c r="B1" s="8" t="s">
        <v>30</v>
      </c>
      <c r="C1" s="8"/>
      <c r="D1" s="8"/>
      <c r="E1" s="4" t="s">
        <v>19</v>
      </c>
      <c r="F1" s="4"/>
      <c r="G1" s="4"/>
      <c r="H1" s="5" t="s">
        <v>20</v>
      </c>
      <c r="I1" s="5"/>
      <c r="J1" s="5"/>
      <c r="L1" s="6" t="s">
        <v>24</v>
      </c>
      <c r="M1" s="6"/>
      <c r="N1" s="6"/>
      <c r="O1" s="7" t="s">
        <v>29</v>
      </c>
      <c r="P1" s="7"/>
      <c r="Q1" s="7"/>
    </row>
    <row r="2" spans="1:17" x14ac:dyDescent="0.25">
      <c r="A2" t="s">
        <v>0</v>
      </c>
      <c r="B2" t="s">
        <v>26</v>
      </c>
      <c r="C2" t="s">
        <v>27</v>
      </c>
      <c r="D2" t="s">
        <v>28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21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</row>
    <row r="3" spans="1:17" x14ac:dyDescent="0.25">
      <c r="A3" s="1">
        <v>43952</v>
      </c>
      <c r="B3">
        <v>0</v>
      </c>
      <c r="C3">
        <v>0</v>
      </c>
      <c r="D3">
        <v>0</v>
      </c>
      <c r="E3">
        <v>211</v>
      </c>
      <c r="F3">
        <v>281</v>
      </c>
      <c r="G3">
        <v>88</v>
      </c>
      <c r="H3">
        <v>211</v>
      </c>
      <c r="I3">
        <v>281</v>
      </c>
      <c r="J3">
        <v>88</v>
      </c>
      <c r="K3" t="str">
        <f>IF(AND(H3&lt;J3,H3&lt;I3), "trus_porz", IF(AND(I3&lt;H3,I3&lt;J3), "mal_porz", IF(AND(J3&lt;I3,J3&lt;H3), "mal_trus", "")))</f>
        <v>mal_trus</v>
      </c>
      <c r="L3">
        <f>IF(K3="mal_trus",MIN(H3,I3),IF(K3="mal_porz",MIN(H3,J3),0))</f>
        <v>211</v>
      </c>
      <c r="M3">
        <f>IF(K3="trus_porz",MIN(I3,J3), IF(K3="mal_trus", MIN(H3,I3),0))</f>
        <v>211</v>
      </c>
      <c r="N3">
        <f>IF(K3="mal_porz",MIN(H3,J3), IF(K3="trus_porz", MIN(I3,J3),0))</f>
        <v>0</v>
      </c>
      <c r="O3">
        <f>H3-L3</f>
        <v>0</v>
      </c>
      <c r="P3">
        <f>I3-M3</f>
        <v>70</v>
      </c>
      <c r="Q3">
        <f>J3-N3</f>
        <v>88</v>
      </c>
    </row>
    <row r="4" spans="1:17" x14ac:dyDescent="0.25">
      <c r="A4" s="1">
        <v>43953</v>
      </c>
      <c r="B4">
        <f>O3</f>
        <v>0</v>
      </c>
      <c r="C4">
        <f>P3</f>
        <v>70</v>
      </c>
      <c r="D4">
        <f>Q3</f>
        <v>88</v>
      </c>
      <c r="E4">
        <v>393</v>
      </c>
      <c r="F4">
        <v>313</v>
      </c>
      <c r="G4">
        <v>83</v>
      </c>
      <c r="H4">
        <f>B4+E4</f>
        <v>393</v>
      </c>
      <c r="I4">
        <f>C4+F4</f>
        <v>383</v>
      </c>
      <c r="J4">
        <f>D4+G4</f>
        <v>171</v>
      </c>
      <c r="K4" t="str">
        <f t="shared" ref="K4:K67" si="0">IF(AND(H4&lt;J4,H4&lt;I4), "trus_porz", IF(AND(I4&lt;H4,I4&lt;J4), "mal_porz", IF(AND(J4&lt;I4,J4&lt;H4), "mal_trus", "")))</f>
        <v>mal_trus</v>
      </c>
      <c r="L4">
        <f t="shared" ref="L4:L67" si="1">IF(K4="mal_trus",MIN(H4,I4),IF(K4="mal_porz",MIN(H4,J4),0))</f>
        <v>383</v>
      </c>
      <c r="M4">
        <f t="shared" ref="M4:M67" si="2">IF(K4="trus_porz",MIN(I4,J4), IF(K4="mal_trus", MIN(H4,I4),0))</f>
        <v>383</v>
      </c>
      <c r="N4">
        <f t="shared" ref="N4:N67" si="3">IF(K4="mal_porz",MIN(H4,J4), IF(K4="trus_porz", MIN(I4,J4),0))</f>
        <v>0</v>
      </c>
      <c r="O4">
        <f t="shared" ref="O4:O67" si="4">H4-L4</f>
        <v>10</v>
      </c>
      <c r="P4">
        <f t="shared" ref="P4:P67" si="5">I4-M4</f>
        <v>0</v>
      </c>
      <c r="Q4">
        <f t="shared" ref="Q4:Q67" si="6">J4-N4</f>
        <v>171</v>
      </c>
    </row>
    <row r="5" spans="1:17" x14ac:dyDescent="0.25">
      <c r="A5" s="1">
        <v>43954</v>
      </c>
      <c r="B5">
        <f t="shared" ref="B5:B68" si="7">O4</f>
        <v>10</v>
      </c>
      <c r="C5">
        <f t="shared" ref="C5:C68" si="8">P4</f>
        <v>0</v>
      </c>
      <c r="D5">
        <f t="shared" ref="D5:D68" si="9">Q4</f>
        <v>171</v>
      </c>
      <c r="E5">
        <v>389</v>
      </c>
      <c r="F5">
        <v>315</v>
      </c>
      <c r="G5">
        <v>104</v>
      </c>
      <c r="H5">
        <f t="shared" ref="H5:H68" si="10">B5+E5</f>
        <v>399</v>
      </c>
      <c r="I5">
        <f t="shared" ref="I5:I68" si="11">C5+F5</f>
        <v>315</v>
      </c>
      <c r="J5">
        <f t="shared" ref="J5:J68" si="12">D5+G5</f>
        <v>275</v>
      </c>
      <c r="K5" t="str">
        <f t="shared" si="0"/>
        <v>mal_trus</v>
      </c>
      <c r="L5">
        <f t="shared" si="1"/>
        <v>315</v>
      </c>
      <c r="M5">
        <f t="shared" si="2"/>
        <v>315</v>
      </c>
      <c r="N5">
        <f t="shared" si="3"/>
        <v>0</v>
      </c>
      <c r="O5">
        <f t="shared" si="4"/>
        <v>84</v>
      </c>
      <c r="P5">
        <f t="shared" si="5"/>
        <v>0</v>
      </c>
      <c r="Q5">
        <f t="shared" si="6"/>
        <v>275</v>
      </c>
    </row>
    <row r="6" spans="1:17" x14ac:dyDescent="0.25">
      <c r="A6" s="1">
        <v>43955</v>
      </c>
      <c r="B6">
        <f t="shared" si="7"/>
        <v>84</v>
      </c>
      <c r="C6">
        <f t="shared" si="8"/>
        <v>0</v>
      </c>
      <c r="D6">
        <f t="shared" si="9"/>
        <v>275</v>
      </c>
      <c r="E6">
        <v>308</v>
      </c>
      <c r="F6">
        <v>221</v>
      </c>
      <c r="G6">
        <v>119</v>
      </c>
      <c r="H6">
        <f t="shared" si="10"/>
        <v>392</v>
      </c>
      <c r="I6">
        <f t="shared" si="11"/>
        <v>221</v>
      </c>
      <c r="J6">
        <f t="shared" si="12"/>
        <v>394</v>
      </c>
      <c r="K6" t="str">
        <f t="shared" si="0"/>
        <v>mal_porz</v>
      </c>
      <c r="L6">
        <f t="shared" si="1"/>
        <v>392</v>
      </c>
      <c r="M6">
        <f t="shared" si="2"/>
        <v>0</v>
      </c>
      <c r="N6">
        <f t="shared" si="3"/>
        <v>392</v>
      </c>
      <c r="O6">
        <f t="shared" si="4"/>
        <v>0</v>
      </c>
      <c r="P6">
        <f t="shared" si="5"/>
        <v>221</v>
      </c>
      <c r="Q6">
        <f t="shared" si="6"/>
        <v>2</v>
      </c>
    </row>
    <row r="7" spans="1:17" x14ac:dyDescent="0.25">
      <c r="A7" s="1">
        <v>43956</v>
      </c>
      <c r="B7">
        <f t="shared" si="7"/>
        <v>0</v>
      </c>
      <c r="C7">
        <f t="shared" si="8"/>
        <v>221</v>
      </c>
      <c r="D7">
        <f t="shared" si="9"/>
        <v>2</v>
      </c>
      <c r="E7">
        <v>387</v>
      </c>
      <c r="F7">
        <v>275</v>
      </c>
      <c r="G7">
        <v>72</v>
      </c>
      <c r="H7">
        <f t="shared" si="10"/>
        <v>387</v>
      </c>
      <c r="I7">
        <f t="shared" si="11"/>
        <v>496</v>
      </c>
      <c r="J7">
        <f t="shared" si="12"/>
        <v>74</v>
      </c>
      <c r="K7" t="str">
        <f t="shared" si="0"/>
        <v>mal_trus</v>
      </c>
      <c r="L7">
        <f t="shared" si="1"/>
        <v>387</v>
      </c>
      <c r="M7">
        <f t="shared" si="2"/>
        <v>387</v>
      </c>
      <c r="N7">
        <f t="shared" si="3"/>
        <v>0</v>
      </c>
      <c r="O7">
        <f t="shared" si="4"/>
        <v>0</v>
      </c>
      <c r="P7">
        <f t="shared" si="5"/>
        <v>109</v>
      </c>
      <c r="Q7">
        <f t="shared" si="6"/>
        <v>74</v>
      </c>
    </row>
    <row r="8" spans="1:17" x14ac:dyDescent="0.25">
      <c r="A8" s="1">
        <v>43957</v>
      </c>
      <c r="B8">
        <f t="shared" si="7"/>
        <v>0</v>
      </c>
      <c r="C8">
        <f t="shared" si="8"/>
        <v>109</v>
      </c>
      <c r="D8">
        <f t="shared" si="9"/>
        <v>74</v>
      </c>
      <c r="E8">
        <v>294</v>
      </c>
      <c r="F8">
        <v>366</v>
      </c>
      <c r="G8">
        <v>99</v>
      </c>
      <c r="H8">
        <f t="shared" si="10"/>
        <v>294</v>
      </c>
      <c r="I8">
        <f t="shared" si="11"/>
        <v>475</v>
      </c>
      <c r="J8">
        <f t="shared" si="12"/>
        <v>173</v>
      </c>
      <c r="K8" t="str">
        <f t="shared" si="0"/>
        <v>mal_trus</v>
      </c>
      <c r="L8">
        <f t="shared" si="1"/>
        <v>294</v>
      </c>
      <c r="M8">
        <f t="shared" si="2"/>
        <v>294</v>
      </c>
      <c r="N8">
        <f t="shared" si="3"/>
        <v>0</v>
      </c>
      <c r="O8">
        <f t="shared" si="4"/>
        <v>0</v>
      </c>
      <c r="P8">
        <f t="shared" si="5"/>
        <v>181</v>
      </c>
      <c r="Q8">
        <f t="shared" si="6"/>
        <v>173</v>
      </c>
    </row>
    <row r="9" spans="1:17" x14ac:dyDescent="0.25">
      <c r="A9" s="1">
        <v>43958</v>
      </c>
      <c r="B9">
        <f t="shared" si="7"/>
        <v>0</v>
      </c>
      <c r="C9">
        <f t="shared" si="8"/>
        <v>181</v>
      </c>
      <c r="D9">
        <f t="shared" si="9"/>
        <v>173</v>
      </c>
      <c r="E9">
        <v>389</v>
      </c>
      <c r="F9">
        <v>288</v>
      </c>
      <c r="G9">
        <v>87</v>
      </c>
      <c r="H9">
        <f t="shared" si="10"/>
        <v>389</v>
      </c>
      <c r="I9">
        <f t="shared" si="11"/>
        <v>469</v>
      </c>
      <c r="J9">
        <f t="shared" si="12"/>
        <v>260</v>
      </c>
      <c r="K9" t="str">
        <f t="shared" si="0"/>
        <v>mal_trus</v>
      </c>
      <c r="L9">
        <f t="shared" si="1"/>
        <v>389</v>
      </c>
      <c r="M9">
        <f t="shared" si="2"/>
        <v>389</v>
      </c>
      <c r="N9">
        <f t="shared" si="3"/>
        <v>0</v>
      </c>
      <c r="O9">
        <f t="shared" si="4"/>
        <v>0</v>
      </c>
      <c r="P9">
        <f t="shared" si="5"/>
        <v>80</v>
      </c>
      <c r="Q9">
        <f t="shared" si="6"/>
        <v>260</v>
      </c>
    </row>
    <row r="10" spans="1:17" x14ac:dyDescent="0.25">
      <c r="A10" s="1">
        <v>43959</v>
      </c>
      <c r="B10">
        <f t="shared" si="7"/>
        <v>0</v>
      </c>
      <c r="C10">
        <f t="shared" si="8"/>
        <v>80</v>
      </c>
      <c r="D10">
        <f t="shared" si="9"/>
        <v>260</v>
      </c>
      <c r="E10">
        <v>259</v>
      </c>
      <c r="F10">
        <v>361</v>
      </c>
      <c r="G10">
        <v>112</v>
      </c>
      <c r="H10">
        <f t="shared" si="10"/>
        <v>259</v>
      </c>
      <c r="I10">
        <f t="shared" si="11"/>
        <v>441</v>
      </c>
      <c r="J10">
        <f t="shared" si="12"/>
        <v>372</v>
      </c>
      <c r="K10" t="str">
        <f t="shared" si="0"/>
        <v>trus_porz</v>
      </c>
      <c r="L10">
        <f t="shared" si="1"/>
        <v>0</v>
      </c>
      <c r="M10">
        <f t="shared" si="2"/>
        <v>372</v>
      </c>
      <c r="N10">
        <f t="shared" si="3"/>
        <v>372</v>
      </c>
      <c r="O10">
        <f t="shared" si="4"/>
        <v>259</v>
      </c>
      <c r="P10">
        <f t="shared" si="5"/>
        <v>69</v>
      </c>
      <c r="Q10">
        <f t="shared" si="6"/>
        <v>0</v>
      </c>
    </row>
    <row r="11" spans="1:17" x14ac:dyDescent="0.25">
      <c r="A11" s="1">
        <v>43960</v>
      </c>
      <c r="B11">
        <f t="shared" si="7"/>
        <v>259</v>
      </c>
      <c r="C11">
        <f t="shared" si="8"/>
        <v>69</v>
      </c>
      <c r="D11">
        <f t="shared" si="9"/>
        <v>0</v>
      </c>
      <c r="E11">
        <v>369</v>
      </c>
      <c r="F11">
        <v>233</v>
      </c>
      <c r="G11">
        <v>110</v>
      </c>
      <c r="H11">
        <f t="shared" si="10"/>
        <v>628</v>
      </c>
      <c r="I11">
        <f t="shared" si="11"/>
        <v>302</v>
      </c>
      <c r="J11">
        <f t="shared" si="12"/>
        <v>110</v>
      </c>
      <c r="K11" t="str">
        <f t="shared" si="0"/>
        <v>mal_trus</v>
      </c>
      <c r="L11">
        <f t="shared" si="1"/>
        <v>302</v>
      </c>
      <c r="M11">
        <f t="shared" si="2"/>
        <v>302</v>
      </c>
      <c r="N11">
        <f t="shared" si="3"/>
        <v>0</v>
      </c>
      <c r="O11">
        <f t="shared" si="4"/>
        <v>326</v>
      </c>
      <c r="P11">
        <f t="shared" si="5"/>
        <v>0</v>
      </c>
      <c r="Q11">
        <f t="shared" si="6"/>
        <v>110</v>
      </c>
    </row>
    <row r="12" spans="1:17" x14ac:dyDescent="0.25">
      <c r="A12" s="1">
        <v>43961</v>
      </c>
      <c r="B12">
        <f t="shared" si="7"/>
        <v>326</v>
      </c>
      <c r="C12">
        <f t="shared" si="8"/>
        <v>0</v>
      </c>
      <c r="D12">
        <f t="shared" si="9"/>
        <v>110</v>
      </c>
      <c r="E12">
        <v>263</v>
      </c>
      <c r="F12">
        <v>393</v>
      </c>
      <c r="G12">
        <v>75</v>
      </c>
      <c r="H12">
        <f t="shared" si="10"/>
        <v>589</v>
      </c>
      <c r="I12">
        <f t="shared" si="11"/>
        <v>393</v>
      </c>
      <c r="J12">
        <f t="shared" si="12"/>
        <v>185</v>
      </c>
      <c r="K12" t="str">
        <f t="shared" si="0"/>
        <v>mal_trus</v>
      </c>
      <c r="L12">
        <f t="shared" si="1"/>
        <v>393</v>
      </c>
      <c r="M12">
        <f t="shared" si="2"/>
        <v>393</v>
      </c>
      <c r="N12">
        <f t="shared" si="3"/>
        <v>0</v>
      </c>
      <c r="O12">
        <f t="shared" si="4"/>
        <v>196</v>
      </c>
      <c r="P12">
        <f t="shared" si="5"/>
        <v>0</v>
      </c>
      <c r="Q12">
        <f t="shared" si="6"/>
        <v>185</v>
      </c>
    </row>
    <row r="13" spans="1:17" x14ac:dyDescent="0.25">
      <c r="A13" s="1">
        <v>43962</v>
      </c>
      <c r="B13">
        <f t="shared" si="7"/>
        <v>196</v>
      </c>
      <c r="C13">
        <f t="shared" si="8"/>
        <v>0</v>
      </c>
      <c r="D13">
        <f t="shared" si="9"/>
        <v>185</v>
      </c>
      <c r="E13">
        <v>239</v>
      </c>
      <c r="F13">
        <v>347</v>
      </c>
      <c r="G13">
        <v>94</v>
      </c>
      <c r="H13">
        <f t="shared" si="10"/>
        <v>435</v>
      </c>
      <c r="I13">
        <f t="shared" si="11"/>
        <v>347</v>
      </c>
      <c r="J13">
        <f t="shared" si="12"/>
        <v>279</v>
      </c>
      <c r="K13" t="str">
        <f t="shared" si="0"/>
        <v>mal_trus</v>
      </c>
      <c r="L13">
        <f t="shared" si="1"/>
        <v>347</v>
      </c>
      <c r="M13">
        <f t="shared" si="2"/>
        <v>347</v>
      </c>
      <c r="N13">
        <f t="shared" si="3"/>
        <v>0</v>
      </c>
      <c r="O13">
        <f t="shared" si="4"/>
        <v>88</v>
      </c>
      <c r="P13">
        <f t="shared" si="5"/>
        <v>0</v>
      </c>
      <c r="Q13">
        <f t="shared" si="6"/>
        <v>279</v>
      </c>
    </row>
    <row r="14" spans="1:17" x14ac:dyDescent="0.25">
      <c r="A14" s="1">
        <v>43963</v>
      </c>
      <c r="B14">
        <f t="shared" si="7"/>
        <v>88</v>
      </c>
      <c r="C14">
        <f t="shared" si="8"/>
        <v>0</v>
      </c>
      <c r="D14">
        <f t="shared" si="9"/>
        <v>279</v>
      </c>
      <c r="E14">
        <v>282</v>
      </c>
      <c r="F14">
        <v>338</v>
      </c>
      <c r="G14">
        <v>86</v>
      </c>
      <c r="H14">
        <f t="shared" si="10"/>
        <v>370</v>
      </c>
      <c r="I14">
        <f t="shared" si="11"/>
        <v>338</v>
      </c>
      <c r="J14">
        <f t="shared" si="12"/>
        <v>365</v>
      </c>
      <c r="K14" t="str">
        <f t="shared" si="0"/>
        <v>mal_porz</v>
      </c>
      <c r="L14">
        <f t="shared" si="1"/>
        <v>365</v>
      </c>
      <c r="M14">
        <f t="shared" si="2"/>
        <v>0</v>
      </c>
      <c r="N14">
        <f t="shared" si="3"/>
        <v>365</v>
      </c>
      <c r="O14">
        <f t="shared" si="4"/>
        <v>5</v>
      </c>
      <c r="P14">
        <f t="shared" si="5"/>
        <v>338</v>
      </c>
      <c r="Q14">
        <f t="shared" si="6"/>
        <v>0</v>
      </c>
    </row>
    <row r="15" spans="1:17" x14ac:dyDescent="0.25">
      <c r="A15" s="1">
        <v>43964</v>
      </c>
      <c r="B15">
        <f t="shared" si="7"/>
        <v>5</v>
      </c>
      <c r="C15">
        <f t="shared" si="8"/>
        <v>338</v>
      </c>
      <c r="D15">
        <f t="shared" si="9"/>
        <v>0</v>
      </c>
      <c r="E15">
        <v>306</v>
      </c>
      <c r="F15">
        <v>273</v>
      </c>
      <c r="G15">
        <v>75</v>
      </c>
      <c r="H15">
        <f t="shared" si="10"/>
        <v>311</v>
      </c>
      <c r="I15">
        <f t="shared" si="11"/>
        <v>611</v>
      </c>
      <c r="J15">
        <f t="shared" si="12"/>
        <v>75</v>
      </c>
      <c r="K15" t="str">
        <f t="shared" si="0"/>
        <v>mal_trus</v>
      </c>
      <c r="L15">
        <f t="shared" si="1"/>
        <v>311</v>
      </c>
      <c r="M15">
        <f t="shared" si="2"/>
        <v>311</v>
      </c>
      <c r="N15">
        <f t="shared" si="3"/>
        <v>0</v>
      </c>
      <c r="O15">
        <f t="shared" si="4"/>
        <v>0</v>
      </c>
      <c r="P15">
        <f t="shared" si="5"/>
        <v>300</v>
      </c>
      <c r="Q15">
        <f t="shared" si="6"/>
        <v>75</v>
      </c>
    </row>
    <row r="16" spans="1:17" x14ac:dyDescent="0.25">
      <c r="A16" s="1">
        <v>43965</v>
      </c>
      <c r="B16">
        <f t="shared" si="7"/>
        <v>0</v>
      </c>
      <c r="C16">
        <f t="shared" si="8"/>
        <v>300</v>
      </c>
      <c r="D16">
        <f t="shared" si="9"/>
        <v>75</v>
      </c>
      <c r="E16">
        <v>251</v>
      </c>
      <c r="F16">
        <v>325</v>
      </c>
      <c r="G16">
        <v>89</v>
      </c>
      <c r="H16">
        <f t="shared" si="10"/>
        <v>251</v>
      </c>
      <c r="I16">
        <f t="shared" si="11"/>
        <v>625</v>
      </c>
      <c r="J16">
        <f t="shared" si="12"/>
        <v>164</v>
      </c>
      <c r="K16" t="str">
        <f t="shared" si="0"/>
        <v>mal_trus</v>
      </c>
      <c r="L16">
        <f t="shared" si="1"/>
        <v>251</v>
      </c>
      <c r="M16">
        <f t="shared" si="2"/>
        <v>251</v>
      </c>
      <c r="N16">
        <f t="shared" si="3"/>
        <v>0</v>
      </c>
      <c r="O16">
        <f t="shared" si="4"/>
        <v>0</v>
      </c>
      <c r="P16">
        <f t="shared" si="5"/>
        <v>374</v>
      </c>
      <c r="Q16">
        <f t="shared" si="6"/>
        <v>164</v>
      </c>
    </row>
    <row r="17" spans="1:17" x14ac:dyDescent="0.25">
      <c r="A17" s="1">
        <v>43966</v>
      </c>
      <c r="B17">
        <f t="shared" si="7"/>
        <v>0</v>
      </c>
      <c r="C17">
        <f t="shared" si="8"/>
        <v>374</v>
      </c>
      <c r="D17">
        <f t="shared" si="9"/>
        <v>164</v>
      </c>
      <c r="E17">
        <v>224</v>
      </c>
      <c r="F17">
        <v>352</v>
      </c>
      <c r="G17">
        <v>97</v>
      </c>
      <c r="H17">
        <f t="shared" si="10"/>
        <v>224</v>
      </c>
      <c r="I17">
        <f t="shared" si="11"/>
        <v>726</v>
      </c>
      <c r="J17">
        <f t="shared" si="12"/>
        <v>261</v>
      </c>
      <c r="K17" t="str">
        <f t="shared" si="0"/>
        <v>trus_porz</v>
      </c>
      <c r="L17">
        <f t="shared" si="1"/>
        <v>0</v>
      </c>
      <c r="M17">
        <f t="shared" si="2"/>
        <v>261</v>
      </c>
      <c r="N17">
        <f t="shared" si="3"/>
        <v>261</v>
      </c>
      <c r="O17">
        <f t="shared" si="4"/>
        <v>224</v>
      </c>
      <c r="P17">
        <f t="shared" si="5"/>
        <v>465</v>
      </c>
      <c r="Q17">
        <f t="shared" si="6"/>
        <v>0</v>
      </c>
    </row>
    <row r="18" spans="1:17" x14ac:dyDescent="0.25">
      <c r="A18" s="1">
        <v>43967</v>
      </c>
      <c r="B18">
        <f t="shared" si="7"/>
        <v>224</v>
      </c>
      <c r="C18">
        <f t="shared" si="8"/>
        <v>465</v>
      </c>
      <c r="D18">
        <f t="shared" si="9"/>
        <v>0</v>
      </c>
      <c r="E18">
        <v>233</v>
      </c>
      <c r="F18">
        <v>270</v>
      </c>
      <c r="G18">
        <v>94</v>
      </c>
      <c r="H18">
        <f t="shared" si="10"/>
        <v>457</v>
      </c>
      <c r="I18">
        <f t="shared" si="11"/>
        <v>735</v>
      </c>
      <c r="J18">
        <f t="shared" si="12"/>
        <v>94</v>
      </c>
      <c r="K18" t="str">
        <f t="shared" si="0"/>
        <v>mal_trus</v>
      </c>
      <c r="L18">
        <f t="shared" si="1"/>
        <v>457</v>
      </c>
      <c r="M18">
        <f t="shared" si="2"/>
        <v>457</v>
      </c>
      <c r="N18">
        <f t="shared" si="3"/>
        <v>0</v>
      </c>
      <c r="O18">
        <f t="shared" si="4"/>
        <v>0</v>
      </c>
      <c r="P18">
        <f t="shared" si="5"/>
        <v>278</v>
      </c>
      <c r="Q18">
        <f t="shared" si="6"/>
        <v>94</v>
      </c>
    </row>
    <row r="19" spans="1:17" x14ac:dyDescent="0.25">
      <c r="A19" s="1">
        <v>43968</v>
      </c>
      <c r="B19">
        <f t="shared" si="7"/>
        <v>0</v>
      </c>
      <c r="C19">
        <f t="shared" si="8"/>
        <v>278</v>
      </c>
      <c r="D19">
        <f t="shared" si="9"/>
        <v>94</v>
      </c>
      <c r="E19">
        <v>345</v>
      </c>
      <c r="F19">
        <v>275</v>
      </c>
      <c r="G19">
        <v>90</v>
      </c>
      <c r="H19">
        <f t="shared" si="10"/>
        <v>345</v>
      </c>
      <c r="I19">
        <f t="shared" si="11"/>
        <v>553</v>
      </c>
      <c r="J19">
        <f t="shared" si="12"/>
        <v>184</v>
      </c>
      <c r="K19" t="str">
        <f t="shared" si="0"/>
        <v>mal_trus</v>
      </c>
      <c r="L19">
        <f t="shared" si="1"/>
        <v>345</v>
      </c>
      <c r="M19">
        <f t="shared" si="2"/>
        <v>345</v>
      </c>
      <c r="N19">
        <f t="shared" si="3"/>
        <v>0</v>
      </c>
      <c r="O19">
        <f t="shared" si="4"/>
        <v>0</v>
      </c>
      <c r="P19">
        <f t="shared" si="5"/>
        <v>208</v>
      </c>
      <c r="Q19">
        <f t="shared" si="6"/>
        <v>184</v>
      </c>
    </row>
    <row r="20" spans="1:17" x14ac:dyDescent="0.25">
      <c r="A20" s="1">
        <v>43969</v>
      </c>
      <c r="B20">
        <f t="shared" si="7"/>
        <v>0</v>
      </c>
      <c r="C20">
        <f t="shared" si="8"/>
        <v>208</v>
      </c>
      <c r="D20">
        <f t="shared" si="9"/>
        <v>184</v>
      </c>
      <c r="E20">
        <v>232</v>
      </c>
      <c r="F20">
        <v>228</v>
      </c>
      <c r="G20">
        <v>107</v>
      </c>
      <c r="H20">
        <f t="shared" si="10"/>
        <v>232</v>
      </c>
      <c r="I20">
        <f t="shared" si="11"/>
        <v>436</v>
      </c>
      <c r="J20">
        <f t="shared" si="12"/>
        <v>291</v>
      </c>
      <c r="K20" t="str">
        <f t="shared" si="0"/>
        <v>trus_porz</v>
      </c>
      <c r="L20">
        <f t="shared" si="1"/>
        <v>0</v>
      </c>
      <c r="M20">
        <f t="shared" si="2"/>
        <v>291</v>
      </c>
      <c r="N20">
        <f t="shared" si="3"/>
        <v>291</v>
      </c>
      <c r="O20">
        <f t="shared" si="4"/>
        <v>232</v>
      </c>
      <c r="P20">
        <f t="shared" si="5"/>
        <v>145</v>
      </c>
      <c r="Q20">
        <f t="shared" si="6"/>
        <v>0</v>
      </c>
    </row>
    <row r="21" spans="1:17" x14ac:dyDescent="0.25">
      <c r="A21" s="1">
        <v>43970</v>
      </c>
      <c r="B21">
        <f t="shared" si="7"/>
        <v>232</v>
      </c>
      <c r="C21">
        <f t="shared" si="8"/>
        <v>145</v>
      </c>
      <c r="D21">
        <f t="shared" si="9"/>
        <v>0</v>
      </c>
      <c r="E21">
        <v>238</v>
      </c>
      <c r="F21">
        <v>394</v>
      </c>
      <c r="G21">
        <v>105</v>
      </c>
      <c r="H21">
        <f t="shared" si="10"/>
        <v>470</v>
      </c>
      <c r="I21">
        <f t="shared" si="11"/>
        <v>539</v>
      </c>
      <c r="J21">
        <f t="shared" si="12"/>
        <v>105</v>
      </c>
      <c r="K21" t="str">
        <f t="shared" si="0"/>
        <v>mal_trus</v>
      </c>
      <c r="L21">
        <f t="shared" si="1"/>
        <v>470</v>
      </c>
      <c r="M21">
        <f t="shared" si="2"/>
        <v>470</v>
      </c>
      <c r="N21">
        <f t="shared" si="3"/>
        <v>0</v>
      </c>
      <c r="O21">
        <f t="shared" si="4"/>
        <v>0</v>
      </c>
      <c r="P21">
        <f t="shared" si="5"/>
        <v>69</v>
      </c>
      <c r="Q21">
        <f t="shared" si="6"/>
        <v>105</v>
      </c>
    </row>
    <row r="22" spans="1:17" x14ac:dyDescent="0.25">
      <c r="A22" s="1">
        <v>43971</v>
      </c>
      <c r="B22">
        <f t="shared" si="7"/>
        <v>0</v>
      </c>
      <c r="C22">
        <f t="shared" si="8"/>
        <v>69</v>
      </c>
      <c r="D22">
        <f t="shared" si="9"/>
        <v>105</v>
      </c>
      <c r="E22">
        <v>378</v>
      </c>
      <c r="F22">
        <v>311</v>
      </c>
      <c r="G22">
        <v>110</v>
      </c>
      <c r="H22">
        <f t="shared" si="10"/>
        <v>378</v>
      </c>
      <c r="I22">
        <f t="shared" si="11"/>
        <v>380</v>
      </c>
      <c r="J22">
        <f t="shared" si="12"/>
        <v>215</v>
      </c>
      <c r="K22" t="str">
        <f t="shared" si="0"/>
        <v>mal_trus</v>
      </c>
      <c r="L22">
        <f t="shared" si="1"/>
        <v>378</v>
      </c>
      <c r="M22">
        <f t="shared" si="2"/>
        <v>378</v>
      </c>
      <c r="N22">
        <f t="shared" si="3"/>
        <v>0</v>
      </c>
      <c r="O22">
        <f t="shared" si="4"/>
        <v>0</v>
      </c>
      <c r="P22">
        <f t="shared" si="5"/>
        <v>2</v>
      </c>
      <c r="Q22">
        <f t="shared" si="6"/>
        <v>215</v>
      </c>
    </row>
    <row r="23" spans="1:17" x14ac:dyDescent="0.25">
      <c r="A23" s="1">
        <v>43972</v>
      </c>
      <c r="B23">
        <f t="shared" si="7"/>
        <v>0</v>
      </c>
      <c r="C23">
        <f t="shared" si="8"/>
        <v>2</v>
      </c>
      <c r="D23">
        <f t="shared" si="9"/>
        <v>215</v>
      </c>
      <c r="E23">
        <v>281</v>
      </c>
      <c r="F23">
        <v>354</v>
      </c>
      <c r="G23">
        <v>121</v>
      </c>
      <c r="H23">
        <f t="shared" si="10"/>
        <v>281</v>
      </c>
      <c r="I23">
        <f t="shared" si="11"/>
        <v>356</v>
      </c>
      <c r="J23">
        <f t="shared" si="12"/>
        <v>336</v>
      </c>
      <c r="K23" t="str">
        <f t="shared" si="0"/>
        <v>trus_porz</v>
      </c>
      <c r="L23">
        <f t="shared" si="1"/>
        <v>0</v>
      </c>
      <c r="M23">
        <f t="shared" si="2"/>
        <v>336</v>
      </c>
      <c r="N23">
        <f t="shared" si="3"/>
        <v>336</v>
      </c>
      <c r="O23">
        <f t="shared" si="4"/>
        <v>281</v>
      </c>
      <c r="P23">
        <f t="shared" si="5"/>
        <v>20</v>
      </c>
      <c r="Q23">
        <f t="shared" si="6"/>
        <v>0</v>
      </c>
    </row>
    <row r="24" spans="1:17" x14ac:dyDescent="0.25">
      <c r="A24" s="1">
        <v>43973</v>
      </c>
      <c r="B24">
        <f t="shared" si="7"/>
        <v>281</v>
      </c>
      <c r="C24">
        <f t="shared" si="8"/>
        <v>20</v>
      </c>
      <c r="D24">
        <f t="shared" si="9"/>
        <v>0</v>
      </c>
      <c r="E24">
        <v>390</v>
      </c>
      <c r="F24">
        <v>267</v>
      </c>
      <c r="G24">
        <v>124</v>
      </c>
      <c r="H24">
        <f t="shared" si="10"/>
        <v>671</v>
      </c>
      <c r="I24">
        <f t="shared" si="11"/>
        <v>287</v>
      </c>
      <c r="J24">
        <f t="shared" si="12"/>
        <v>124</v>
      </c>
      <c r="K24" t="str">
        <f t="shared" si="0"/>
        <v>mal_trus</v>
      </c>
      <c r="L24">
        <f t="shared" si="1"/>
        <v>287</v>
      </c>
      <c r="M24">
        <f t="shared" si="2"/>
        <v>287</v>
      </c>
      <c r="N24">
        <f t="shared" si="3"/>
        <v>0</v>
      </c>
      <c r="O24">
        <f t="shared" si="4"/>
        <v>384</v>
      </c>
      <c r="P24">
        <f t="shared" si="5"/>
        <v>0</v>
      </c>
      <c r="Q24">
        <f t="shared" si="6"/>
        <v>124</v>
      </c>
    </row>
    <row r="25" spans="1:17" x14ac:dyDescent="0.25">
      <c r="A25" s="1">
        <v>43974</v>
      </c>
      <c r="B25">
        <f t="shared" si="7"/>
        <v>384</v>
      </c>
      <c r="C25">
        <f t="shared" si="8"/>
        <v>0</v>
      </c>
      <c r="D25">
        <f t="shared" si="9"/>
        <v>124</v>
      </c>
      <c r="E25">
        <v>308</v>
      </c>
      <c r="F25">
        <v>337</v>
      </c>
      <c r="G25">
        <v>105</v>
      </c>
      <c r="H25">
        <f t="shared" si="10"/>
        <v>692</v>
      </c>
      <c r="I25">
        <f t="shared" si="11"/>
        <v>337</v>
      </c>
      <c r="J25">
        <f t="shared" si="12"/>
        <v>229</v>
      </c>
      <c r="K25" t="str">
        <f t="shared" si="0"/>
        <v>mal_trus</v>
      </c>
      <c r="L25">
        <f t="shared" si="1"/>
        <v>337</v>
      </c>
      <c r="M25">
        <f t="shared" si="2"/>
        <v>337</v>
      </c>
      <c r="N25">
        <f t="shared" si="3"/>
        <v>0</v>
      </c>
      <c r="O25">
        <f t="shared" si="4"/>
        <v>355</v>
      </c>
      <c r="P25">
        <f t="shared" si="5"/>
        <v>0</v>
      </c>
      <c r="Q25">
        <f t="shared" si="6"/>
        <v>229</v>
      </c>
    </row>
    <row r="26" spans="1:17" x14ac:dyDescent="0.25">
      <c r="A26" s="1">
        <v>43975</v>
      </c>
      <c r="B26">
        <f t="shared" si="7"/>
        <v>355</v>
      </c>
      <c r="C26">
        <f t="shared" si="8"/>
        <v>0</v>
      </c>
      <c r="D26">
        <f t="shared" si="9"/>
        <v>229</v>
      </c>
      <c r="E26">
        <v>391</v>
      </c>
      <c r="F26">
        <v>238</v>
      </c>
      <c r="G26">
        <v>113</v>
      </c>
      <c r="H26">
        <f t="shared" si="10"/>
        <v>746</v>
      </c>
      <c r="I26">
        <f t="shared" si="11"/>
        <v>238</v>
      </c>
      <c r="J26">
        <f t="shared" si="12"/>
        <v>342</v>
      </c>
      <c r="K26" t="str">
        <f t="shared" si="0"/>
        <v>mal_porz</v>
      </c>
      <c r="L26">
        <f t="shared" si="1"/>
        <v>342</v>
      </c>
      <c r="M26">
        <f t="shared" si="2"/>
        <v>0</v>
      </c>
      <c r="N26">
        <f t="shared" si="3"/>
        <v>342</v>
      </c>
      <c r="O26">
        <f t="shared" si="4"/>
        <v>404</v>
      </c>
      <c r="P26">
        <f t="shared" si="5"/>
        <v>238</v>
      </c>
      <c r="Q26">
        <f t="shared" si="6"/>
        <v>0</v>
      </c>
    </row>
    <row r="27" spans="1:17" x14ac:dyDescent="0.25">
      <c r="A27" s="1">
        <v>43976</v>
      </c>
      <c r="B27">
        <f t="shared" si="7"/>
        <v>404</v>
      </c>
      <c r="C27">
        <f t="shared" si="8"/>
        <v>238</v>
      </c>
      <c r="D27">
        <f t="shared" si="9"/>
        <v>0</v>
      </c>
      <c r="E27">
        <v>241</v>
      </c>
      <c r="F27">
        <v>283</v>
      </c>
      <c r="G27">
        <v>140</v>
      </c>
      <c r="H27">
        <f t="shared" si="10"/>
        <v>645</v>
      </c>
      <c r="I27">
        <f t="shared" si="11"/>
        <v>521</v>
      </c>
      <c r="J27">
        <f t="shared" si="12"/>
        <v>140</v>
      </c>
      <c r="K27" t="str">
        <f t="shared" si="0"/>
        <v>mal_trus</v>
      </c>
      <c r="L27">
        <f t="shared" si="1"/>
        <v>521</v>
      </c>
      <c r="M27">
        <f t="shared" si="2"/>
        <v>521</v>
      </c>
      <c r="N27">
        <f t="shared" si="3"/>
        <v>0</v>
      </c>
      <c r="O27">
        <f t="shared" si="4"/>
        <v>124</v>
      </c>
      <c r="P27">
        <f t="shared" si="5"/>
        <v>0</v>
      </c>
      <c r="Q27">
        <f t="shared" si="6"/>
        <v>140</v>
      </c>
    </row>
    <row r="28" spans="1:17" x14ac:dyDescent="0.25">
      <c r="A28" s="1">
        <v>43977</v>
      </c>
      <c r="B28">
        <f t="shared" si="7"/>
        <v>124</v>
      </c>
      <c r="C28">
        <f t="shared" si="8"/>
        <v>0</v>
      </c>
      <c r="D28">
        <f t="shared" si="9"/>
        <v>140</v>
      </c>
      <c r="E28">
        <v>249</v>
      </c>
      <c r="F28">
        <v>275</v>
      </c>
      <c r="G28">
        <v>118</v>
      </c>
      <c r="H28">
        <f t="shared" si="10"/>
        <v>373</v>
      </c>
      <c r="I28">
        <f t="shared" si="11"/>
        <v>275</v>
      </c>
      <c r="J28">
        <f t="shared" si="12"/>
        <v>258</v>
      </c>
      <c r="K28" t="str">
        <f t="shared" si="0"/>
        <v>mal_trus</v>
      </c>
      <c r="L28">
        <f t="shared" si="1"/>
        <v>275</v>
      </c>
      <c r="M28">
        <f t="shared" si="2"/>
        <v>275</v>
      </c>
      <c r="N28">
        <f t="shared" si="3"/>
        <v>0</v>
      </c>
      <c r="O28">
        <f t="shared" si="4"/>
        <v>98</v>
      </c>
      <c r="P28">
        <f t="shared" si="5"/>
        <v>0</v>
      </c>
      <c r="Q28">
        <f t="shared" si="6"/>
        <v>258</v>
      </c>
    </row>
    <row r="29" spans="1:17" x14ac:dyDescent="0.25">
      <c r="A29" s="1">
        <v>43978</v>
      </c>
      <c r="B29">
        <f t="shared" si="7"/>
        <v>98</v>
      </c>
      <c r="C29">
        <f t="shared" si="8"/>
        <v>0</v>
      </c>
      <c r="D29">
        <f t="shared" si="9"/>
        <v>258</v>
      </c>
      <c r="E29">
        <v>298</v>
      </c>
      <c r="F29">
        <v>263</v>
      </c>
      <c r="G29">
        <v>145</v>
      </c>
      <c r="H29">
        <f t="shared" si="10"/>
        <v>396</v>
      </c>
      <c r="I29">
        <f t="shared" si="11"/>
        <v>263</v>
      </c>
      <c r="J29">
        <f t="shared" si="12"/>
        <v>403</v>
      </c>
      <c r="K29" t="str">
        <f t="shared" si="0"/>
        <v>mal_porz</v>
      </c>
      <c r="L29">
        <f t="shared" si="1"/>
        <v>396</v>
      </c>
      <c r="M29">
        <f t="shared" si="2"/>
        <v>0</v>
      </c>
      <c r="N29">
        <f t="shared" si="3"/>
        <v>396</v>
      </c>
      <c r="O29">
        <f t="shared" si="4"/>
        <v>0</v>
      </c>
      <c r="P29">
        <f t="shared" si="5"/>
        <v>263</v>
      </c>
      <c r="Q29">
        <f t="shared" si="6"/>
        <v>7</v>
      </c>
    </row>
    <row r="30" spans="1:17" x14ac:dyDescent="0.25">
      <c r="A30" s="1">
        <v>43979</v>
      </c>
      <c r="B30">
        <f t="shared" si="7"/>
        <v>0</v>
      </c>
      <c r="C30">
        <f t="shared" si="8"/>
        <v>263</v>
      </c>
      <c r="D30">
        <f t="shared" si="9"/>
        <v>7</v>
      </c>
      <c r="E30">
        <v>254</v>
      </c>
      <c r="F30">
        <v>241</v>
      </c>
      <c r="G30">
        <v>149</v>
      </c>
      <c r="H30">
        <f t="shared" si="10"/>
        <v>254</v>
      </c>
      <c r="I30">
        <f t="shared" si="11"/>
        <v>504</v>
      </c>
      <c r="J30">
        <f t="shared" si="12"/>
        <v>156</v>
      </c>
      <c r="K30" t="str">
        <f t="shared" si="0"/>
        <v>mal_trus</v>
      </c>
      <c r="L30">
        <f t="shared" si="1"/>
        <v>254</v>
      </c>
      <c r="M30">
        <f t="shared" si="2"/>
        <v>254</v>
      </c>
      <c r="N30">
        <f t="shared" si="3"/>
        <v>0</v>
      </c>
      <c r="O30">
        <f t="shared" si="4"/>
        <v>0</v>
      </c>
      <c r="P30">
        <f t="shared" si="5"/>
        <v>250</v>
      </c>
      <c r="Q30">
        <f t="shared" si="6"/>
        <v>156</v>
      </c>
    </row>
    <row r="31" spans="1:17" x14ac:dyDescent="0.25">
      <c r="A31" s="1">
        <v>43980</v>
      </c>
      <c r="B31">
        <f t="shared" si="7"/>
        <v>0</v>
      </c>
      <c r="C31">
        <f t="shared" si="8"/>
        <v>250</v>
      </c>
      <c r="D31">
        <f t="shared" si="9"/>
        <v>156</v>
      </c>
      <c r="E31">
        <v>329</v>
      </c>
      <c r="F31">
        <v>323</v>
      </c>
      <c r="G31">
        <v>134</v>
      </c>
      <c r="H31">
        <f t="shared" si="10"/>
        <v>329</v>
      </c>
      <c r="I31">
        <f t="shared" si="11"/>
        <v>573</v>
      </c>
      <c r="J31">
        <f t="shared" si="12"/>
        <v>290</v>
      </c>
      <c r="K31" t="str">
        <f t="shared" si="0"/>
        <v>mal_trus</v>
      </c>
      <c r="L31">
        <f t="shared" si="1"/>
        <v>329</v>
      </c>
      <c r="M31">
        <f t="shared" si="2"/>
        <v>329</v>
      </c>
      <c r="N31">
        <f t="shared" si="3"/>
        <v>0</v>
      </c>
      <c r="O31">
        <f t="shared" si="4"/>
        <v>0</v>
      </c>
      <c r="P31">
        <f t="shared" si="5"/>
        <v>244</v>
      </c>
      <c r="Q31">
        <f t="shared" si="6"/>
        <v>290</v>
      </c>
    </row>
    <row r="32" spans="1:17" x14ac:dyDescent="0.25">
      <c r="A32" s="1">
        <v>43981</v>
      </c>
      <c r="B32">
        <f t="shared" si="7"/>
        <v>0</v>
      </c>
      <c r="C32">
        <f t="shared" si="8"/>
        <v>244</v>
      </c>
      <c r="D32">
        <f t="shared" si="9"/>
        <v>290</v>
      </c>
      <c r="E32">
        <v>213</v>
      </c>
      <c r="F32">
        <v>221</v>
      </c>
      <c r="G32">
        <v>119</v>
      </c>
      <c r="H32">
        <f t="shared" si="10"/>
        <v>213</v>
      </c>
      <c r="I32">
        <f t="shared" si="11"/>
        <v>465</v>
      </c>
      <c r="J32">
        <f t="shared" si="12"/>
        <v>409</v>
      </c>
      <c r="K32" t="str">
        <f t="shared" si="0"/>
        <v>trus_porz</v>
      </c>
      <c r="L32">
        <f t="shared" si="1"/>
        <v>0</v>
      </c>
      <c r="M32">
        <f t="shared" si="2"/>
        <v>409</v>
      </c>
      <c r="N32">
        <f t="shared" si="3"/>
        <v>409</v>
      </c>
      <c r="O32">
        <f t="shared" si="4"/>
        <v>213</v>
      </c>
      <c r="P32">
        <f t="shared" si="5"/>
        <v>56</v>
      </c>
      <c r="Q32">
        <f t="shared" si="6"/>
        <v>0</v>
      </c>
    </row>
    <row r="33" spans="1:17" x14ac:dyDescent="0.25">
      <c r="A33" s="1">
        <v>43982</v>
      </c>
      <c r="B33">
        <f t="shared" si="7"/>
        <v>213</v>
      </c>
      <c r="C33">
        <f t="shared" si="8"/>
        <v>56</v>
      </c>
      <c r="D33">
        <f t="shared" si="9"/>
        <v>0</v>
      </c>
      <c r="E33">
        <v>294</v>
      </c>
      <c r="F33">
        <v>326</v>
      </c>
      <c r="G33">
        <v>145</v>
      </c>
      <c r="H33">
        <f t="shared" si="10"/>
        <v>507</v>
      </c>
      <c r="I33">
        <f t="shared" si="11"/>
        <v>382</v>
      </c>
      <c r="J33">
        <f t="shared" si="12"/>
        <v>145</v>
      </c>
      <c r="K33" t="str">
        <f t="shared" si="0"/>
        <v>mal_trus</v>
      </c>
      <c r="L33">
        <f t="shared" si="1"/>
        <v>382</v>
      </c>
      <c r="M33">
        <f t="shared" si="2"/>
        <v>382</v>
      </c>
      <c r="N33">
        <f t="shared" si="3"/>
        <v>0</v>
      </c>
      <c r="O33">
        <f t="shared" si="4"/>
        <v>125</v>
      </c>
      <c r="P33">
        <f t="shared" si="5"/>
        <v>0</v>
      </c>
      <c r="Q33">
        <f t="shared" si="6"/>
        <v>145</v>
      </c>
    </row>
    <row r="34" spans="1:17" x14ac:dyDescent="0.25">
      <c r="A34" s="1">
        <v>43983</v>
      </c>
      <c r="B34">
        <f t="shared" si="7"/>
        <v>125</v>
      </c>
      <c r="C34">
        <f t="shared" si="8"/>
        <v>0</v>
      </c>
      <c r="D34">
        <f t="shared" si="9"/>
        <v>145</v>
      </c>
      <c r="E34">
        <v>225</v>
      </c>
      <c r="F34">
        <v>206</v>
      </c>
      <c r="G34">
        <v>122</v>
      </c>
      <c r="H34">
        <f t="shared" si="10"/>
        <v>350</v>
      </c>
      <c r="I34">
        <f t="shared" si="11"/>
        <v>206</v>
      </c>
      <c r="J34">
        <f t="shared" si="12"/>
        <v>267</v>
      </c>
      <c r="K34" t="str">
        <f t="shared" si="0"/>
        <v>mal_porz</v>
      </c>
      <c r="L34">
        <f t="shared" si="1"/>
        <v>267</v>
      </c>
      <c r="M34">
        <f t="shared" si="2"/>
        <v>0</v>
      </c>
      <c r="N34">
        <f t="shared" si="3"/>
        <v>267</v>
      </c>
      <c r="O34">
        <f t="shared" si="4"/>
        <v>83</v>
      </c>
      <c r="P34">
        <f t="shared" si="5"/>
        <v>206</v>
      </c>
      <c r="Q34">
        <f t="shared" si="6"/>
        <v>0</v>
      </c>
    </row>
    <row r="35" spans="1:17" x14ac:dyDescent="0.25">
      <c r="A35" s="1">
        <v>43984</v>
      </c>
      <c r="B35">
        <f t="shared" si="7"/>
        <v>83</v>
      </c>
      <c r="C35">
        <f t="shared" si="8"/>
        <v>206</v>
      </c>
      <c r="D35">
        <f t="shared" si="9"/>
        <v>0</v>
      </c>
      <c r="E35">
        <v>264</v>
      </c>
      <c r="F35">
        <v>355</v>
      </c>
      <c r="G35">
        <v>134</v>
      </c>
      <c r="H35">
        <f t="shared" si="10"/>
        <v>347</v>
      </c>
      <c r="I35">
        <f t="shared" si="11"/>
        <v>561</v>
      </c>
      <c r="J35">
        <f t="shared" si="12"/>
        <v>134</v>
      </c>
      <c r="K35" t="str">
        <f t="shared" si="0"/>
        <v>mal_trus</v>
      </c>
      <c r="L35">
        <f t="shared" si="1"/>
        <v>347</v>
      </c>
      <c r="M35">
        <f t="shared" si="2"/>
        <v>347</v>
      </c>
      <c r="N35">
        <f t="shared" si="3"/>
        <v>0</v>
      </c>
      <c r="O35">
        <f t="shared" si="4"/>
        <v>0</v>
      </c>
      <c r="P35">
        <f t="shared" si="5"/>
        <v>214</v>
      </c>
      <c r="Q35">
        <f t="shared" si="6"/>
        <v>134</v>
      </c>
    </row>
    <row r="36" spans="1:17" x14ac:dyDescent="0.25">
      <c r="A36" s="1">
        <v>43985</v>
      </c>
      <c r="B36">
        <f t="shared" si="7"/>
        <v>0</v>
      </c>
      <c r="C36">
        <f t="shared" si="8"/>
        <v>214</v>
      </c>
      <c r="D36">
        <f t="shared" si="9"/>
        <v>134</v>
      </c>
      <c r="E36">
        <v>253</v>
      </c>
      <c r="F36">
        <v>271</v>
      </c>
      <c r="G36">
        <v>142</v>
      </c>
      <c r="H36">
        <f t="shared" si="10"/>
        <v>253</v>
      </c>
      <c r="I36">
        <f t="shared" si="11"/>
        <v>485</v>
      </c>
      <c r="J36">
        <f t="shared" si="12"/>
        <v>276</v>
      </c>
      <c r="K36" t="str">
        <f t="shared" si="0"/>
        <v>trus_porz</v>
      </c>
      <c r="L36">
        <f t="shared" si="1"/>
        <v>0</v>
      </c>
      <c r="M36">
        <f t="shared" si="2"/>
        <v>276</v>
      </c>
      <c r="N36">
        <f t="shared" si="3"/>
        <v>276</v>
      </c>
      <c r="O36">
        <f t="shared" si="4"/>
        <v>253</v>
      </c>
      <c r="P36">
        <f t="shared" si="5"/>
        <v>209</v>
      </c>
      <c r="Q36">
        <f t="shared" si="6"/>
        <v>0</v>
      </c>
    </row>
    <row r="37" spans="1:17" x14ac:dyDescent="0.25">
      <c r="A37" s="1">
        <v>43986</v>
      </c>
      <c r="B37">
        <f t="shared" si="7"/>
        <v>253</v>
      </c>
      <c r="C37">
        <f t="shared" si="8"/>
        <v>209</v>
      </c>
      <c r="D37">
        <f t="shared" si="9"/>
        <v>0</v>
      </c>
      <c r="E37">
        <v>352</v>
      </c>
      <c r="F37">
        <v>207</v>
      </c>
      <c r="G37">
        <v>125</v>
      </c>
      <c r="H37">
        <f t="shared" si="10"/>
        <v>605</v>
      </c>
      <c r="I37">
        <f t="shared" si="11"/>
        <v>416</v>
      </c>
      <c r="J37">
        <f t="shared" si="12"/>
        <v>125</v>
      </c>
      <c r="K37" t="str">
        <f t="shared" si="0"/>
        <v>mal_trus</v>
      </c>
      <c r="L37">
        <f t="shared" si="1"/>
        <v>416</v>
      </c>
      <c r="M37">
        <f t="shared" si="2"/>
        <v>416</v>
      </c>
      <c r="N37">
        <f t="shared" si="3"/>
        <v>0</v>
      </c>
      <c r="O37">
        <f t="shared" si="4"/>
        <v>189</v>
      </c>
      <c r="P37">
        <f t="shared" si="5"/>
        <v>0</v>
      </c>
      <c r="Q37">
        <f t="shared" si="6"/>
        <v>125</v>
      </c>
    </row>
    <row r="38" spans="1:17" x14ac:dyDescent="0.25">
      <c r="A38" s="1">
        <v>43987</v>
      </c>
      <c r="B38">
        <f t="shared" si="7"/>
        <v>189</v>
      </c>
      <c r="C38">
        <f t="shared" si="8"/>
        <v>0</v>
      </c>
      <c r="D38">
        <f t="shared" si="9"/>
        <v>125</v>
      </c>
      <c r="E38">
        <v>269</v>
      </c>
      <c r="F38">
        <v>248</v>
      </c>
      <c r="G38">
        <v>137</v>
      </c>
      <c r="H38">
        <f t="shared" si="10"/>
        <v>458</v>
      </c>
      <c r="I38">
        <f t="shared" si="11"/>
        <v>248</v>
      </c>
      <c r="J38">
        <f t="shared" si="12"/>
        <v>262</v>
      </c>
      <c r="K38" t="str">
        <f t="shared" si="0"/>
        <v>mal_porz</v>
      </c>
      <c r="L38">
        <f t="shared" si="1"/>
        <v>262</v>
      </c>
      <c r="M38">
        <f t="shared" si="2"/>
        <v>0</v>
      </c>
      <c r="N38">
        <f t="shared" si="3"/>
        <v>262</v>
      </c>
      <c r="O38">
        <f t="shared" si="4"/>
        <v>196</v>
      </c>
      <c r="P38">
        <f t="shared" si="5"/>
        <v>248</v>
      </c>
      <c r="Q38">
        <f t="shared" si="6"/>
        <v>0</v>
      </c>
    </row>
    <row r="39" spans="1:17" x14ac:dyDescent="0.25">
      <c r="A39" s="1">
        <v>43988</v>
      </c>
      <c r="B39">
        <f t="shared" si="7"/>
        <v>196</v>
      </c>
      <c r="C39">
        <f t="shared" si="8"/>
        <v>248</v>
      </c>
      <c r="D39">
        <f t="shared" si="9"/>
        <v>0</v>
      </c>
      <c r="E39">
        <v>242</v>
      </c>
      <c r="F39">
        <v>247</v>
      </c>
      <c r="G39">
        <v>125</v>
      </c>
      <c r="H39">
        <f t="shared" si="10"/>
        <v>438</v>
      </c>
      <c r="I39">
        <f t="shared" si="11"/>
        <v>495</v>
      </c>
      <c r="J39">
        <f t="shared" si="12"/>
        <v>125</v>
      </c>
      <c r="K39" t="str">
        <f t="shared" si="0"/>
        <v>mal_trus</v>
      </c>
      <c r="L39">
        <f t="shared" si="1"/>
        <v>438</v>
      </c>
      <c r="M39">
        <f t="shared" si="2"/>
        <v>438</v>
      </c>
      <c r="N39">
        <f t="shared" si="3"/>
        <v>0</v>
      </c>
      <c r="O39">
        <f t="shared" si="4"/>
        <v>0</v>
      </c>
      <c r="P39">
        <f t="shared" si="5"/>
        <v>57</v>
      </c>
      <c r="Q39">
        <f t="shared" si="6"/>
        <v>125</v>
      </c>
    </row>
    <row r="40" spans="1:17" x14ac:dyDescent="0.25">
      <c r="A40" s="1">
        <v>43989</v>
      </c>
      <c r="B40">
        <f t="shared" si="7"/>
        <v>0</v>
      </c>
      <c r="C40">
        <f t="shared" si="8"/>
        <v>57</v>
      </c>
      <c r="D40">
        <f t="shared" si="9"/>
        <v>125</v>
      </c>
      <c r="E40">
        <v>327</v>
      </c>
      <c r="F40">
        <v>262</v>
      </c>
      <c r="G40">
        <v>103</v>
      </c>
      <c r="H40">
        <f t="shared" si="10"/>
        <v>327</v>
      </c>
      <c r="I40">
        <f t="shared" si="11"/>
        <v>319</v>
      </c>
      <c r="J40">
        <f t="shared" si="12"/>
        <v>228</v>
      </c>
      <c r="K40" t="str">
        <f t="shared" si="0"/>
        <v>mal_trus</v>
      </c>
      <c r="L40">
        <f t="shared" si="1"/>
        <v>319</v>
      </c>
      <c r="M40">
        <f t="shared" si="2"/>
        <v>319</v>
      </c>
      <c r="N40">
        <f t="shared" si="3"/>
        <v>0</v>
      </c>
      <c r="O40">
        <f t="shared" si="4"/>
        <v>8</v>
      </c>
      <c r="P40">
        <f t="shared" si="5"/>
        <v>0</v>
      </c>
      <c r="Q40">
        <f t="shared" si="6"/>
        <v>228</v>
      </c>
    </row>
    <row r="41" spans="1:17" x14ac:dyDescent="0.25">
      <c r="A41" s="1">
        <v>43990</v>
      </c>
      <c r="B41">
        <f t="shared" si="7"/>
        <v>8</v>
      </c>
      <c r="C41">
        <f t="shared" si="8"/>
        <v>0</v>
      </c>
      <c r="D41">
        <f t="shared" si="9"/>
        <v>228</v>
      </c>
      <c r="E41">
        <v>316</v>
      </c>
      <c r="F41">
        <v>253</v>
      </c>
      <c r="G41">
        <v>134</v>
      </c>
      <c r="H41">
        <f t="shared" si="10"/>
        <v>324</v>
      </c>
      <c r="I41">
        <f t="shared" si="11"/>
        <v>253</v>
      </c>
      <c r="J41">
        <f t="shared" si="12"/>
        <v>362</v>
      </c>
      <c r="K41" t="str">
        <f t="shared" si="0"/>
        <v>mal_porz</v>
      </c>
      <c r="L41">
        <f t="shared" si="1"/>
        <v>324</v>
      </c>
      <c r="M41">
        <f t="shared" si="2"/>
        <v>0</v>
      </c>
      <c r="N41">
        <f t="shared" si="3"/>
        <v>324</v>
      </c>
      <c r="O41">
        <f t="shared" si="4"/>
        <v>0</v>
      </c>
      <c r="P41">
        <f t="shared" si="5"/>
        <v>253</v>
      </c>
      <c r="Q41">
        <f t="shared" si="6"/>
        <v>38</v>
      </c>
    </row>
    <row r="42" spans="1:17" x14ac:dyDescent="0.25">
      <c r="A42" s="1">
        <v>43991</v>
      </c>
      <c r="B42">
        <f t="shared" si="7"/>
        <v>0</v>
      </c>
      <c r="C42">
        <f t="shared" si="8"/>
        <v>253</v>
      </c>
      <c r="D42">
        <f t="shared" si="9"/>
        <v>38</v>
      </c>
      <c r="E42">
        <v>294</v>
      </c>
      <c r="F42">
        <v>249</v>
      </c>
      <c r="G42">
        <v>137</v>
      </c>
      <c r="H42">
        <f t="shared" si="10"/>
        <v>294</v>
      </c>
      <c r="I42">
        <f t="shared" si="11"/>
        <v>502</v>
      </c>
      <c r="J42">
        <f t="shared" si="12"/>
        <v>175</v>
      </c>
      <c r="K42" t="str">
        <f t="shared" si="0"/>
        <v>mal_trus</v>
      </c>
      <c r="L42">
        <f t="shared" si="1"/>
        <v>294</v>
      </c>
      <c r="M42">
        <f t="shared" si="2"/>
        <v>294</v>
      </c>
      <c r="N42">
        <f t="shared" si="3"/>
        <v>0</v>
      </c>
      <c r="O42">
        <f t="shared" si="4"/>
        <v>0</v>
      </c>
      <c r="P42">
        <f t="shared" si="5"/>
        <v>208</v>
      </c>
      <c r="Q42">
        <f t="shared" si="6"/>
        <v>175</v>
      </c>
    </row>
    <row r="43" spans="1:17" x14ac:dyDescent="0.25">
      <c r="A43" s="1">
        <v>43992</v>
      </c>
      <c r="B43">
        <f t="shared" si="7"/>
        <v>0</v>
      </c>
      <c r="C43">
        <f t="shared" si="8"/>
        <v>208</v>
      </c>
      <c r="D43">
        <f t="shared" si="9"/>
        <v>175</v>
      </c>
      <c r="E43">
        <v>270</v>
      </c>
      <c r="F43">
        <v>206</v>
      </c>
      <c r="G43">
        <v>146</v>
      </c>
      <c r="H43">
        <f t="shared" si="10"/>
        <v>270</v>
      </c>
      <c r="I43">
        <f t="shared" si="11"/>
        <v>414</v>
      </c>
      <c r="J43">
        <f t="shared" si="12"/>
        <v>321</v>
      </c>
      <c r="K43" t="str">
        <f t="shared" si="0"/>
        <v>trus_porz</v>
      </c>
      <c r="L43">
        <f t="shared" si="1"/>
        <v>0</v>
      </c>
      <c r="M43">
        <f t="shared" si="2"/>
        <v>321</v>
      </c>
      <c r="N43">
        <f t="shared" si="3"/>
        <v>321</v>
      </c>
      <c r="O43">
        <f t="shared" si="4"/>
        <v>270</v>
      </c>
      <c r="P43">
        <f t="shared" si="5"/>
        <v>93</v>
      </c>
      <c r="Q43">
        <f t="shared" si="6"/>
        <v>0</v>
      </c>
    </row>
    <row r="44" spans="1:17" x14ac:dyDescent="0.25">
      <c r="A44" s="1">
        <v>43993</v>
      </c>
      <c r="B44">
        <f t="shared" si="7"/>
        <v>270</v>
      </c>
      <c r="C44">
        <f t="shared" si="8"/>
        <v>93</v>
      </c>
      <c r="D44">
        <f t="shared" si="9"/>
        <v>0</v>
      </c>
      <c r="E44">
        <v>349</v>
      </c>
      <c r="F44">
        <v>301</v>
      </c>
      <c r="G44">
        <v>138</v>
      </c>
      <c r="H44">
        <f t="shared" si="10"/>
        <v>619</v>
      </c>
      <c r="I44">
        <f t="shared" si="11"/>
        <v>394</v>
      </c>
      <c r="J44">
        <f t="shared" si="12"/>
        <v>138</v>
      </c>
      <c r="K44" t="str">
        <f t="shared" si="0"/>
        <v>mal_trus</v>
      </c>
      <c r="L44">
        <f t="shared" si="1"/>
        <v>394</v>
      </c>
      <c r="M44">
        <f t="shared" si="2"/>
        <v>394</v>
      </c>
      <c r="N44">
        <f t="shared" si="3"/>
        <v>0</v>
      </c>
      <c r="O44">
        <f t="shared" si="4"/>
        <v>225</v>
      </c>
      <c r="P44">
        <f t="shared" si="5"/>
        <v>0</v>
      </c>
      <c r="Q44">
        <f t="shared" si="6"/>
        <v>138</v>
      </c>
    </row>
    <row r="45" spans="1:17" x14ac:dyDescent="0.25">
      <c r="A45" s="1">
        <v>43994</v>
      </c>
      <c r="B45">
        <f t="shared" si="7"/>
        <v>225</v>
      </c>
      <c r="C45">
        <f t="shared" si="8"/>
        <v>0</v>
      </c>
      <c r="D45">
        <f t="shared" si="9"/>
        <v>138</v>
      </c>
      <c r="E45">
        <v>224</v>
      </c>
      <c r="F45">
        <v>385</v>
      </c>
      <c r="G45">
        <v>138</v>
      </c>
      <c r="H45">
        <f t="shared" si="10"/>
        <v>449</v>
      </c>
      <c r="I45">
        <f t="shared" si="11"/>
        <v>385</v>
      </c>
      <c r="J45">
        <f t="shared" si="12"/>
        <v>276</v>
      </c>
      <c r="K45" t="str">
        <f t="shared" si="0"/>
        <v>mal_trus</v>
      </c>
      <c r="L45">
        <f t="shared" si="1"/>
        <v>385</v>
      </c>
      <c r="M45">
        <f t="shared" si="2"/>
        <v>385</v>
      </c>
      <c r="N45">
        <f t="shared" si="3"/>
        <v>0</v>
      </c>
      <c r="O45">
        <f t="shared" si="4"/>
        <v>64</v>
      </c>
      <c r="P45">
        <f t="shared" si="5"/>
        <v>0</v>
      </c>
      <c r="Q45">
        <f t="shared" si="6"/>
        <v>276</v>
      </c>
    </row>
    <row r="46" spans="1:17" x14ac:dyDescent="0.25">
      <c r="A46" s="1">
        <v>43995</v>
      </c>
      <c r="B46">
        <f t="shared" si="7"/>
        <v>64</v>
      </c>
      <c r="C46">
        <f t="shared" si="8"/>
        <v>0</v>
      </c>
      <c r="D46">
        <f t="shared" si="9"/>
        <v>276</v>
      </c>
      <c r="E46">
        <v>309</v>
      </c>
      <c r="F46">
        <v>204</v>
      </c>
      <c r="G46">
        <v>140</v>
      </c>
      <c r="H46">
        <f t="shared" si="10"/>
        <v>373</v>
      </c>
      <c r="I46">
        <f t="shared" si="11"/>
        <v>204</v>
      </c>
      <c r="J46">
        <f t="shared" si="12"/>
        <v>416</v>
      </c>
      <c r="K46" t="str">
        <f t="shared" si="0"/>
        <v>mal_porz</v>
      </c>
      <c r="L46">
        <f t="shared" si="1"/>
        <v>373</v>
      </c>
      <c r="M46">
        <f t="shared" si="2"/>
        <v>0</v>
      </c>
      <c r="N46">
        <f t="shared" si="3"/>
        <v>373</v>
      </c>
      <c r="O46">
        <f t="shared" si="4"/>
        <v>0</v>
      </c>
      <c r="P46">
        <f t="shared" si="5"/>
        <v>204</v>
      </c>
      <c r="Q46">
        <f t="shared" si="6"/>
        <v>43</v>
      </c>
    </row>
    <row r="47" spans="1:17" x14ac:dyDescent="0.25">
      <c r="A47" s="1">
        <v>43996</v>
      </c>
      <c r="B47">
        <f t="shared" si="7"/>
        <v>0</v>
      </c>
      <c r="C47">
        <f t="shared" si="8"/>
        <v>204</v>
      </c>
      <c r="D47">
        <f t="shared" si="9"/>
        <v>43</v>
      </c>
      <c r="E47">
        <v>246</v>
      </c>
      <c r="F47">
        <v>275</v>
      </c>
      <c r="G47">
        <v>130</v>
      </c>
      <c r="H47">
        <f t="shared" si="10"/>
        <v>246</v>
      </c>
      <c r="I47">
        <f t="shared" si="11"/>
        <v>479</v>
      </c>
      <c r="J47">
        <f t="shared" si="12"/>
        <v>173</v>
      </c>
      <c r="K47" t="str">
        <f t="shared" si="0"/>
        <v>mal_trus</v>
      </c>
      <c r="L47">
        <f t="shared" si="1"/>
        <v>246</v>
      </c>
      <c r="M47">
        <f t="shared" si="2"/>
        <v>246</v>
      </c>
      <c r="N47">
        <f t="shared" si="3"/>
        <v>0</v>
      </c>
      <c r="O47">
        <f t="shared" si="4"/>
        <v>0</v>
      </c>
      <c r="P47">
        <f t="shared" si="5"/>
        <v>233</v>
      </c>
      <c r="Q47">
        <f t="shared" si="6"/>
        <v>173</v>
      </c>
    </row>
    <row r="48" spans="1:17" x14ac:dyDescent="0.25">
      <c r="A48" s="1">
        <v>43997</v>
      </c>
      <c r="B48">
        <f t="shared" si="7"/>
        <v>0</v>
      </c>
      <c r="C48">
        <f t="shared" si="8"/>
        <v>233</v>
      </c>
      <c r="D48">
        <f t="shared" si="9"/>
        <v>173</v>
      </c>
      <c r="E48">
        <v>241</v>
      </c>
      <c r="F48">
        <v>247</v>
      </c>
      <c r="G48">
        <v>166</v>
      </c>
      <c r="H48">
        <f t="shared" si="10"/>
        <v>241</v>
      </c>
      <c r="I48">
        <f t="shared" si="11"/>
        <v>480</v>
      </c>
      <c r="J48">
        <f t="shared" si="12"/>
        <v>339</v>
      </c>
      <c r="K48" t="str">
        <f t="shared" si="0"/>
        <v>trus_porz</v>
      </c>
      <c r="L48">
        <f t="shared" si="1"/>
        <v>0</v>
      </c>
      <c r="M48">
        <f t="shared" si="2"/>
        <v>339</v>
      </c>
      <c r="N48">
        <f t="shared" si="3"/>
        <v>339</v>
      </c>
      <c r="O48">
        <f t="shared" si="4"/>
        <v>241</v>
      </c>
      <c r="P48">
        <f t="shared" si="5"/>
        <v>141</v>
      </c>
      <c r="Q48">
        <f t="shared" si="6"/>
        <v>0</v>
      </c>
    </row>
    <row r="49" spans="1:17" x14ac:dyDescent="0.25">
      <c r="A49" s="1">
        <v>43998</v>
      </c>
      <c r="B49">
        <f t="shared" si="7"/>
        <v>241</v>
      </c>
      <c r="C49">
        <f t="shared" si="8"/>
        <v>141</v>
      </c>
      <c r="D49">
        <f t="shared" si="9"/>
        <v>0</v>
      </c>
      <c r="E49">
        <v>365</v>
      </c>
      <c r="F49">
        <v>256</v>
      </c>
      <c r="G49">
        <v>132</v>
      </c>
      <c r="H49">
        <f t="shared" si="10"/>
        <v>606</v>
      </c>
      <c r="I49">
        <f t="shared" si="11"/>
        <v>397</v>
      </c>
      <c r="J49">
        <f t="shared" si="12"/>
        <v>132</v>
      </c>
      <c r="K49" t="str">
        <f t="shared" si="0"/>
        <v>mal_trus</v>
      </c>
      <c r="L49">
        <f t="shared" si="1"/>
        <v>397</v>
      </c>
      <c r="M49">
        <f t="shared" si="2"/>
        <v>397</v>
      </c>
      <c r="N49">
        <f t="shared" si="3"/>
        <v>0</v>
      </c>
      <c r="O49">
        <f t="shared" si="4"/>
        <v>209</v>
      </c>
      <c r="P49">
        <f t="shared" si="5"/>
        <v>0</v>
      </c>
      <c r="Q49">
        <f t="shared" si="6"/>
        <v>132</v>
      </c>
    </row>
    <row r="50" spans="1:17" x14ac:dyDescent="0.25">
      <c r="A50" s="1">
        <v>43999</v>
      </c>
      <c r="B50">
        <f t="shared" si="7"/>
        <v>209</v>
      </c>
      <c r="C50">
        <f t="shared" si="8"/>
        <v>0</v>
      </c>
      <c r="D50">
        <f t="shared" si="9"/>
        <v>132</v>
      </c>
      <c r="E50">
        <v>225</v>
      </c>
      <c r="F50">
        <v>392</v>
      </c>
      <c r="G50">
        <v>158</v>
      </c>
      <c r="H50">
        <f t="shared" si="10"/>
        <v>434</v>
      </c>
      <c r="I50">
        <f t="shared" si="11"/>
        <v>392</v>
      </c>
      <c r="J50">
        <f t="shared" si="12"/>
        <v>290</v>
      </c>
      <c r="K50" t="str">
        <f t="shared" si="0"/>
        <v>mal_trus</v>
      </c>
      <c r="L50">
        <f t="shared" si="1"/>
        <v>392</v>
      </c>
      <c r="M50">
        <f t="shared" si="2"/>
        <v>392</v>
      </c>
      <c r="N50">
        <f t="shared" si="3"/>
        <v>0</v>
      </c>
      <c r="O50">
        <f t="shared" si="4"/>
        <v>42</v>
      </c>
      <c r="P50">
        <f t="shared" si="5"/>
        <v>0</v>
      </c>
      <c r="Q50">
        <f t="shared" si="6"/>
        <v>290</v>
      </c>
    </row>
    <row r="51" spans="1:17" x14ac:dyDescent="0.25">
      <c r="A51" s="1">
        <v>44000</v>
      </c>
      <c r="B51">
        <f t="shared" si="7"/>
        <v>42</v>
      </c>
      <c r="C51">
        <f t="shared" si="8"/>
        <v>0</v>
      </c>
      <c r="D51">
        <f t="shared" si="9"/>
        <v>290</v>
      </c>
      <c r="E51">
        <v>335</v>
      </c>
      <c r="F51">
        <v>254</v>
      </c>
      <c r="G51">
        <v>173</v>
      </c>
      <c r="H51">
        <f t="shared" si="10"/>
        <v>377</v>
      </c>
      <c r="I51">
        <f t="shared" si="11"/>
        <v>254</v>
      </c>
      <c r="J51">
        <f t="shared" si="12"/>
        <v>463</v>
      </c>
      <c r="K51" t="str">
        <f t="shared" si="0"/>
        <v>mal_porz</v>
      </c>
      <c r="L51">
        <f t="shared" si="1"/>
        <v>377</v>
      </c>
      <c r="M51">
        <f t="shared" si="2"/>
        <v>0</v>
      </c>
      <c r="N51">
        <f t="shared" si="3"/>
        <v>377</v>
      </c>
      <c r="O51">
        <f t="shared" si="4"/>
        <v>0</v>
      </c>
      <c r="P51">
        <f t="shared" si="5"/>
        <v>254</v>
      </c>
      <c r="Q51">
        <f t="shared" si="6"/>
        <v>86</v>
      </c>
    </row>
    <row r="52" spans="1:17" x14ac:dyDescent="0.25">
      <c r="A52" s="1">
        <v>44001</v>
      </c>
      <c r="B52">
        <f t="shared" si="7"/>
        <v>0</v>
      </c>
      <c r="C52">
        <f t="shared" si="8"/>
        <v>254</v>
      </c>
      <c r="D52">
        <f t="shared" si="9"/>
        <v>86</v>
      </c>
      <c r="E52">
        <v>376</v>
      </c>
      <c r="F52">
        <v>258</v>
      </c>
      <c r="G52">
        <v>151</v>
      </c>
      <c r="H52">
        <f t="shared" si="10"/>
        <v>376</v>
      </c>
      <c r="I52">
        <f t="shared" si="11"/>
        <v>512</v>
      </c>
      <c r="J52">
        <f t="shared" si="12"/>
        <v>237</v>
      </c>
      <c r="K52" t="str">
        <f t="shared" si="0"/>
        <v>mal_trus</v>
      </c>
      <c r="L52">
        <f t="shared" si="1"/>
        <v>376</v>
      </c>
      <c r="M52">
        <f t="shared" si="2"/>
        <v>376</v>
      </c>
      <c r="N52">
        <f t="shared" si="3"/>
        <v>0</v>
      </c>
      <c r="O52">
        <f t="shared" si="4"/>
        <v>0</v>
      </c>
      <c r="P52">
        <f t="shared" si="5"/>
        <v>136</v>
      </c>
      <c r="Q52">
        <f t="shared" si="6"/>
        <v>237</v>
      </c>
    </row>
    <row r="53" spans="1:17" x14ac:dyDescent="0.25">
      <c r="A53" s="1">
        <v>44002</v>
      </c>
      <c r="B53">
        <f t="shared" si="7"/>
        <v>0</v>
      </c>
      <c r="C53">
        <f t="shared" si="8"/>
        <v>136</v>
      </c>
      <c r="D53">
        <f t="shared" si="9"/>
        <v>237</v>
      </c>
      <c r="E53">
        <v>310</v>
      </c>
      <c r="F53">
        <v>248</v>
      </c>
      <c r="G53">
        <v>173</v>
      </c>
      <c r="H53">
        <f t="shared" si="10"/>
        <v>310</v>
      </c>
      <c r="I53">
        <f t="shared" si="11"/>
        <v>384</v>
      </c>
      <c r="J53">
        <f t="shared" si="12"/>
        <v>410</v>
      </c>
      <c r="K53" t="str">
        <f t="shared" si="0"/>
        <v>trus_porz</v>
      </c>
      <c r="L53">
        <f t="shared" si="1"/>
        <v>0</v>
      </c>
      <c r="M53">
        <f t="shared" si="2"/>
        <v>384</v>
      </c>
      <c r="N53">
        <f t="shared" si="3"/>
        <v>384</v>
      </c>
      <c r="O53">
        <f t="shared" si="4"/>
        <v>310</v>
      </c>
      <c r="P53">
        <f t="shared" si="5"/>
        <v>0</v>
      </c>
      <c r="Q53">
        <f t="shared" si="6"/>
        <v>26</v>
      </c>
    </row>
    <row r="54" spans="1:17" x14ac:dyDescent="0.25">
      <c r="A54" s="1">
        <v>44003</v>
      </c>
      <c r="B54">
        <f t="shared" si="7"/>
        <v>310</v>
      </c>
      <c r="C54">
        <f t="shared" si="8"/>
        <v>0</v>
      </c>
      <c r="D54">
        <f t="shared" si="9"/>
        <v>26</v>
      </c>
      <c r="E54">
        <v>408</v>
      </c>
      <c r="F54">
        <v>250</v>
      </c>
      <c r="G54">
        <v>242</v>
      </c>
      <c r="H54">
        <f t="shared" si="10"/>
        <v>718</v>
      </c>
      <c r="I54">
        <f t="shared" si="11"/>
        <v>250</v>
      </c>
      <c r="J54">
        <f t="shared" si="12"/>
        <v>268</v>
      </c>
      <c r="K54" t="str">
        <f t="shared" si="0"/>
        <v>mal_porz</v>
      </c>
      <c r="L54">
        <f t="shared" si="1"/>
        <v>268</v>
      </c>
      <c r="M54">
        <f t="shared" si="2"/>
        <v>0</v>
      </c>
      <c r="N54">
        <f t="shared" si="3"/>
        <v>268</v>
      </c>
      <c r="O54">
        <f t="shared" si="4"/>
        <v>450</v>
      </c>
      <c r="P54">
        <f t="shared" si="5"/>
        <v>250</v>
      </c>
      <c r="Q54">
        <f t="shared" si="6"/>
        <v>0</v>
      </c>
    </row>
    <row r="55" spans="1:17" x14ac:dyDescent="0.25">
      <c r="A55" s="1">
        <v>44004</v>
      </c>
      <c r="B55">
        <f t="shared" si="7"/>
        <v>450</v>
      </c>
      <c r="C55">
        <f t="shared" si="8"/>
        <v>250</v>
      </c>
      <c r="D55">
        <f t="shared" si="9"/>
        <v>0</v>
      </c>
      <c r="E55">
        <v>256</v>
      </c>
      <c r="F55">
        <v>393</v>
      </c>
      <c r="G55">
        <v>219</v>
      </c>
      <c r="H55">
        <f t="shared" si="10"/>
        <v>706</v>
      </c>
      <c r="I55">
        <f t="shared" si="11"/>
        <v>643</v>
      </c>
      <c r="J55">
        <f t="shared" si="12"/>
        <v>219</v>
      </c>
      <c r="K55" t="str">
        <f t="shared" si="0"/>
        <v>mal_trus</v>
      </c>
      <c r="L55">
        <f t="shared" si="1"/>
        <v>643</v>
      </c>
      <c r="M55">
        <f t="shared" si="2"/>
        <v>643</v>
      </c>
      <c r="N55">
        <f t="shared" si="3"/>
        <v>0</v>
      </c>
      <c r="O55">
        <f t="shared" si="4"/>
        <v>63</v>
      </c>
      <c r="P55">
        <f t="shared" si="5"/>
        <v>0</v>
      </c>
      <c r="Q55">
        <f t="shared" si="6"/>
        <v>219</v>
      </c>
    </row>
    <row r="56" spans="1:17" x14ac:dyDescent="0.25">
      <c r="A56" s="1">
        <v>44005</v>
      </c>
      <c r="B56">
        <f t="shared" si="7"/>
        <v>63</v>
      </c>
      <c r="C56">
        <f t="shared" si="8"/>
        <v>0</v>
      </c>
      <c r="D56">
        <f t="shared" si="9"/>
        <v>219</v>
      </c>
      <c r="E56">
        <v>322</v>
      </c>
      <c r="F56">
        <v>425</v>
      </c>
      <c r="G56">
        <v>215</v>
      </c>
      <c r="H56">
        <f t="shared" si="10"/>
        <v>385</v>
      </c>
      <c r="I56">
        <f t="shared" si="11"/>
        <v>425</v>
      </c>
      <c r="J56">
        <f t="shared" si="12"/>
        <v>434</v>
      </c>
      <c r="K56" t="str">
        <f t="shared" si="0"/>
        <v>trus_porz</v>
      </c>
      <c r="L56">
        <f t="shared" si="1"/>
        <v>0</v>
      </c>
      <c r="M56">
        <f t="shared" si="2"/>
        <v>425</v>
      </c>
      <c r="N56">
        <f t="shared" si="3"/>
        <v>425</v>
      </c>
      <c r="O56">
        <f t="shared" si="4"/>
        <v>385</v>
      </c>
      <c r="P56">
        <f t="shared" si="5"/>
        <v>0</v>
      </c>
      <c r="Q56">
        <f t="shared" si="6"/>
        <v>9</v>
      </c>
    </row>
    <row r="57" spans="1:17" x14ac:dyDescent="0.25">
      <c r="A57" s="1">
        <v>44006</v>
      </c>
      <c r="B57">
        <f t="shared" si="7"/>
        <v>385</v>
      </c>
      <c r="C57">
        <f t="shared" si="8"/>
        <v>0</v>
      </c>
      <c r="D57">
        <f t="shared" si="9"/>
        <v>9</v>
      </c>
      <c r="E57">
        <v>447</v>
      </c>
      <c r="F57">
        <v>385</v>
      </c>
      <c r="G57">
        <v>212</v>
      </c>
      <c r="H57">
        <f t="shared" si="10"/>
        <v>832</v>
      </c>
      <c r="I57">
        <f t="shared" si="11"/>
        <v>385</v>
      </c>
      <c r="J57">
        <f t="shared" si="12"/>
        <v>221</v>
      </c>
      <c r="K57" t="str">
        <f t="shared" si="0"/>
        <v>mal_trus</v>
      </c>
      <c r="L57">
        <f t="shared" si="1"/>
        <v>385</v>
      </c>
      <c r="M57">
        <f t="shared" si="2"/>
        <v>385</v>
      </c>
      <c r="N57">
        <f t="shared" si="3"/>
        <v>0</v>
      </c>
      <c r="O57">
        <f t="shared" si="4"/>
        <v>447</v>
      </c>
      <c r="P57">
        <f t="shared" si="5"/>
        <v>0</v>
      </c>
      <c r="Q57">
        <f t="shared" si="6"/>
        <v>221</v>
      </c>
    </row>
    <row r="58" spans="1:17" x14ac:dyDescent="0.25">
      <c r="A58" s="1">
        <v>44007</v>
      </c>
      <c r="B58">
        <f t="shared" si="7"/>
        <v>447</v>
      </c>
      <c r="C58">
        <f t="shared" si="8"/>
        <v>0</v>
      </c>
      <c r="D58">
        <f t="shared" si="9"/>
        <v>221</v>
      </c>
      <c r="E58">
        <v>408</v>
      </c>
      <c r="F58">
        <v>260</v>
      </c>
      <c r="G58">
        <v>225</v>
      </c>
      <c r="H58">
        <f t="shared" si="10"/>
        <v>855</v>
      </c>
      <c r="I58">
        <f t="shared" si="11"/>
        <v>260</v>
      </c>
      <c r="J58">
        <f t="shared" si="12"/>
        <v>446</v>
      </c>
      <c r="K58" t="str">
        <f t="shared" si="0"/>
        <v>mal_porz</v>
      </c>
      <c r="L58">
        <f t="shared" si="1"/>
        <v>446</v>
      </c>
      <c r="M58">
        <f t="shared" si="2"/>
        <v>0</v>
      </c>
      <c r="N58">
        <f t="shared" si="3"/>
        <v>446</v>
      </c>
      <c r="O58">
        <f t="shared" si="4"/>
        <v>409</v>
      </c>
      <c r="P58">
        <f t="shared" si="5"/>
        <v>260</v>
      </c>
      <c r="Q58">
        <f t="shared" si="6"/>
        <v>0</v>
      </c>
    </row>
    <row r="59" spans="1:17" x14ac:dyDescent="0.25">
      <c r="A59" s="1">
        <v>44008</v>
      </c>
      <c r="B59">
        <f t="shared" si="7"/>
        <v>409</v>
      </c>
      <c r="C59">
        <f t="shared" si="8"/>
        <v>260</v>
      </c>
      <c r="D59">
        <f t="shared" si="9"/>
        <v>0</v>
      </c>
      <c r="E59">
        <v>283</v>
      </c>
      <c r="F59">
        <v>396</v>
      </c>
      <c r="G59">
        <v>221</v>
      </c>
      <c r="H59">
        <f t="shared" si="10"/>
        <v>692</v>
      </c>
      <c r="I59">
        <f t="shared" si="11"/>
        <v>656</v>
      </c>
      <c r="J59">
        <f t="shared" si="12"/>
        <v>221</v>
      </c>
      <c r="K59" t="str">
        <f t="shared" si="0"/>
        <v>mal_trus</v>
      </c>
      <c r="L59">
        <f t="shared" si="1"/>
        <v>656</v>
      </c>
      <c r="M59">
        <f t="shared" si="2"/>
        <v>656</v>
      </c>
      <c r="N59">
        <f t="shared" si="3"/>
        <v>0</v>
      </c>
      <c r="O59">
        <f t="shared" si="4"/>
        <v>36</v>
      </c>
      <c r="P59">
        <f t="shared" si="5"/>
        <v>0</v>
      </c>
      <c r="Q59">
        <f t="shared" si="6"/>
        <v>221</v>
      </c>
    </row>
    <row r="60" spans="1:17" x14ac:dyDescent="0.25">
      <c r="A60" s="1">
        <v>44009</v>
      </c>
      <c r="B60">
        <f t="shared" si="7"/>
        <v>36</v>
      </c>
      <c r="C60">
        <f t="shared" si="8"/>
        <v>0</v>
      </c>
      <c r="D60">
        <f t="shared" si="9"/>
        <v>221</v>
      </c>
      <c r="E60">
        <v>414</v>
      </c>
      <c r="F60">
        <v>314</v>
      </c>
      <c r="G60">
        <v>220</v>
      </c>
      <c r="H60">
        <f t="shared" si="10"/>
        <v>450</v>
      </c>
      <c r="I60">
        <f t="shared" si="11"/>
        <v>314</v>
      </c>
      <c r="J60">
        <f t="shared" si="12"/>
        <v>441</v>
      </c>
      <c r="K60" t="str">
        <f t="shared" si="0"/>
        <v>mal_porz</v>
      </c>
      <c r="L60">
        <f t="shared" si="1"/>
        <v>441</v>
      </c>
      <c r="M60">
        <f t="shared" si="2"/>
        <v>0</v>
      </c>
      <c r="N60">
        <f t="shared" si="3"/>
        <v>441</v>
      </c>
      <c r="O60">
        <f t="shared" si="4"/>
        <v>9</v>
      </c>
      <c r="P60">
        <f t="shared" si="5"/>
        <v>314</v>
      </c>
      <c r="Q60">
        <f t="shared" si="6"/>
        <v>0</v>
      </c>
    </row>
    <row r="61" spans="1:17" x14ac:dyDescent="0.25">
      <c r="A61" s="1">
        <v>44010</v>
      </c>
      <c r="B61">
        <f t="shared" si="7"/>
        <v>9</v>
      </c>
      <c r="C61">
        <f t="shared" si="8"/>
        <v>314</v>
      </c>
      <c r="D61">
        <f t="shared" si="9"/>
        <v>0</v>
      </c>
      <c r="E61">
        <v>442</v>
      </c>
      <c r="F61">
        <v>449</v>
      </c>
      <c r="G61">
        <v>245</v>
      </c>
      <c r="H61">
        <f t="shared" si="10"/>
        <v>451</v>
      </c>
      <c r="I61">
        <f t="shared" si="11"/>
        <v>763</v>
      </c>
      <c r="J61">
        <f t="shared" si="12"/>
        <v>245</v>
      </c>
      <c r="K61" t="str">
        <f t="shared" si="0"/>
        <v>mal_trus</v>
      </c>
      <c r="L61">
        <f t="shared" si="1"/>
        <v>451</v>
      </c>
      <c r="M61">
        <f t="shared" si="2"/>
        <v>451</v>
      </c>
      <c r="N61">
        <f t="shared" si="3"/>
        <v>0</v>
      </c>
      <c r="O61">
        <f t="shared" si="4"/>
        <v>0</v>
      </c>
      <c r="P61">
        <f t="shared" si="5"/>
        <v>312</v>
      </c>
      <c r="Q61">
        <f t="shared" si="6"/>
        <v>245</v>
      </c>
    </row>
    <row r="62" spans="1:17" x14ac:dyDescent="0.25">
      <c r="A62" s="1">
        <v>44011</v>
      </c>
      <c r="B62">
        <f t="shared" si="7"/>
        <v>0</v>
      </c>
      <c r="C62">
        <f t="shared" si="8"/>
        <v>312</v>
      </c>
      <c r="D62">
        <f t="shared" si="9"/>
        <v>245</v>
      </c>
      <c r="E62">
        <v>269</v>
      </c>
      <c r="F62">
        <v>370</v>
      </c>
      <c r="G62">
        <v>242</v>
      </c>
      <c r="H62">
        <f t="shared" si="10"/>
        <v>269</v>
      </c>
      <c r="I62">
        <f t="shared" si="11"/>
        <v>682</v>
      </c>
      <c r="J62">
        <f t="shared" si="12"/>
        <v>487</v>
      </c>
      <c r="K62" t="str">
        <f t="shared" si="0"/>
        <v>trus_porz</v>
      </c>
      <c r="L62">
        <f t="shared" si="1"/>
        <v>0</v>
      </c>
      <c r="M62">
        <f t="shared" si="2"/>
        <v>487</v>
      </c>
      <c r="N62">
        <f t="shared" si="3"/>
        <v>487</v>
      </c>
      <c r="O62">
        <f t="shared" si="4"/>
        <v>269</v>
      </c>
      <c r="P62">
        <f t="shared" si="5"/>
        <v>195</v>
      </c>
      <c r="Q62">
        <f t="shared" si="6"/>
        <v>0</v>
      </c>
    </row>
    <row r="63" spans="1:17" x14ac:dyDescent="0.25">
      <c r="A63" s="1">
        <v>44012</v>
      </c>
      <c r="B63">
        <f t="shared" si="7"/>
        <v>269</v>
      </c>
      <c r="C63">
        <f t="shared" si="8"/>
        <v>195</v>
      </c>
      <c r="D63">
        <f t="shared" si="9"/>
        <v>0</v>
      </c>
      <c r="E63">
        <v>444</v>
      </c>
      <c r="F63">
        <v>350</v>
      </c>
      <c r="G63">
        <v>236</v>
      </c>
      <c r="H63">
        <f t="shared" si="10"/>
        <v>713</v>
      </c>
      <c r="I63">
        <f t="shared" si="11"/>
        <v>545</v>
      </c>
      <c r="J63">
        <f t="shared" si="12"/>
        <v>236</v>
      </c>
      <c r="K63" t="str">
        <f t="shared" si="0"/>
        <v>mal_trus</v>
      </c>
      <c r="L63">
        <f t="shared" si="1"/>
        <v>545</v>
      </c>
      <c r="M63">
        <f t="shared" si="2"/>
        <v>545</v>
      </c>
      <c r="N63">
        <f t="shared" si="3"/>
        <v>0</v>
      </c>
      <c r="O63">
        <f t="shared" si="4"/>
        <v>168</v>
      </c>
      <c r="P63">
        <f t="shared" si="5"/>
        <v>0</v>
      </c>
      <c r="Q63">
        <f t="shared" si="6"/>
        <v>236</v>
      </c>
    </row>
    <row r="64" spans="1:17" x14ac:dyDescent="0.25">
      <c r="A64" s="1">
        <v>44013</v>
      </c>
      <c r="B64">
        <f t="shared" si="7"/>
        <v>168</v>
      </c>
      <c r="C64">
        <f t="shared" si="8"/>
        <v>0</v>
      </c>
      <c r="D64">
        <f t="shared" si="9"/>
        <v>236</v>
      </c>
      <c r="E64">
        <v>425</v>
      </c>
      <c r="F64">
        <v>342</v>
      </c>
      <c r="G64">
        <v>237</v>
      </c>
      <c r="H64">
        <f t="shared" si="10"/>
        <v>593</v>
      </c>
      <c r="I64">
        <f t="shared" si="11"/>
        <v>342</v>
      </c>
      <c r="J64">
        <f t="shared" si="12"/>
        <v>473</v>
      </c>
      <c r="K64" t="str">
        <f t="shared" si="0"/>
        <v>mal_porz</v>
      </c>
      <c r="L64">
        <f t="shared" si="1"/>
        <v>473</v>
      </c>
      <c r="M64">
        <f t="shared" si="2"/>
        <v>0</v>
      </c>
      <c r="N64">
        <f t="shared" si="3"/>
        <v>473</v>
      </c>
      <c r="O64">
        <f t="shared" si="4"/>
        <v>120</v>
      </c>
      <c r="P64">
        <f t="shared" si="5"/>
        <v>342</v>
      </c>
      <c r="Q64">
        <f t="shared" si="6"/>
        <v>0</v>
      </c>
    </row>
    <row r="65" spans="1:17" x14ac:dyDescent="0.25">
      <c r="A65" s="1">
        <v>44014</v>
      </c>
      <c r="B65">
        <f t="shared" si="7"/>
        <v>120</v>
      </c>
      <c r="C65">
        <f t="shared" si="8"/>
        <v>342</v>
      </c>
      <c r="D65">
        <f t="shared" si="9"/>
        <v>0</v>
      </c>
      <c r="E65">
        <v>377</v>
      </c>
      <c r="F65">
        <v>290</v>
      </c>
      <c r="G65">
        <v>240</v>
      </c>
      <c r="H65">
        <f t="shared" si="10"/>
        <v>497</v>
      </c>
      <c r="I65">
        <f t="shared" si="11"/>
        <v>632</v>
      </c>
      <c r="J65">
        <f t="shared" si="12"/>
        <v>240</v>
      </c>
      <c r="K65" t="str">
        <f t="shared" si="0"/>
        <v>mal_trus</v>
      </c>
      <c r="L65">
        <f t="shared" si="1"/>
        <v>497</v>
      </c>
      <c r="M65">
        <f t="shared" si="2"/>
        <v>497</v>
      </c>
      <c r="N65">
        <f t="shared" si="3"/>
        <v>0</v>
      </c>
      <c r="O65">
        <f t="shared" si="4"/>
        <v>0</v>
      </c>
      <c r="P65">
        <f t="shared" si="5"/>
        <v>135</v>
      </c>
      <c r="Q65">
        <f t="shared" si="6"/>
        <v>240</v>
      </c>
    </row>
    <row r="66" spans="1:17" x14ac:dyDescent="0.25">
      <c r="A66" s="1">
        <v>44015</v>
      </c>
      <c r="B66">
        <f t="shared" si="7"/>
        <v>0</v>
      </c>
      <c r="C66">
        <f t="shared" si="8"/>
        <v>135</v>
      </c>
      <c r="D66">
        <f t="shared" si="9"/>
        <v>240</v>
      </c>
      <c r="E66">
        <v>382</v>
      </c>
      <c r="F66">
        <v>360</v>
      </c>
      <c r="G66">
        <v>203</v>
      </c>
      <c r="H66">
        <f t="shared" si="10"/>
        <v>382</v>
      </c>
      <c r="I66">
        <f t="shared" si="11"/>
        <v>495</v>
      </c>
      <c r="J66">
        <f t="shared" si="12"/>
        <v>443</v>
      </c>
      <c r="K66" t="str">
        <f t="shared" si="0"/>
        <v>trus_porz</v>
      </c>
      <c r="L66">
        <f t="shared" si="1"/>
        <v>0</v>
      </c>
      <c r="M66">
        <f t="shared" si="2"/>
        <v>443</v>
      </c>
      <c r="N66">
        <f t="shared" si="3"/>
        <v>443</v>
      </c>
      <c r="O66">
        <f t="shared" si="4"/>
        <v>382</v>
      </c>
      <c r="P66">
        <f t="shared" si="5"/>
        <v>52</v>
      </c>
      <c r="Q66">
        <f t="shared" si="6"/>
        <v>0</v>
      </c>
    </row>
    <row r="67" spans="1:17" x14ac:dyDescent="0.25">
      <c r="A67" s="1">
        <v>44016</v>
      </c>
      <c r="B67">
        <f t="shared" si="7"/>
        <v>382</v>
      </c>
      <c r="C67">
        <f t="shared" si="8"/>
        <v>52</v>
      </c>
      <c r="D67">
        <f t="shared" si="9"/>
        <v>0</v>
      </c>
      <c r="E67">
        <v>287</v>
      </c>
      <c r="F67">
        <v>428</v>
      </c>
      <c r="G67">
        <v>204</v>
      </c>
      <c r="H67">
        <f t="shared" si="10"/>
        <v>669</v>
      </c>
      <c r="I67">
        <f t="shared" si="11"/>
        <v>480</v>
      </c>
      <c r="J67">
        <f t="shared" si="12"/>
        <v>204</v>
      </c>
      <c r="K67" t="str">
        <f t="shared" si="0"/>
        <v>mal_trus</v>
      </c>
      <c r="L67">
        <f t="shared" si="1"/>
        <v>480</v>
      </c>
      <c r="M67">
        <f t="shared" si="2"/>
        <v>480</v>
      </c>
      <c r="N67">
        <f t="shared" si="3"/>
        <v>0</v>
      </c>
      <c r="O67">
        <f t="shared" si="4"/>
        <v>189</v>
      </c>
      <c r="P67">
        <f t="shared" si="5"/>
        <v>0</v>
      </c>
      <c r="Q67">
        <f t="shared" si="6"/>
        <v>204</v>
      </c>
    </row>
    <row r="68" spans="1:17" x14ac:dyDescent="0.25">
      <c r="A68" s="1">
        <v>44017</v>
      </c>
      <c r="B68">
        <f t="shared" si="7"/>
        <v>189</v>
      </c>
      <c r="C68">
        <f t="shared" si="8"/>
        <v>0</v>
      </c>
      <c r="D68">
        <f t="shared" si="9"/>
        <v>204</v>
      </c>
      <c r="E68">
        <v>429</v>
      </c>
      <c r="F68">
        <v>394</v>
      </c>
      <c r="G68">
        <v>246</v>
      </c>
      <c r="H68">
        <f t="shared" si="10"/>
        <v>618</v>
      </c>
      <c r="I68">
        <f t="shared" si="11"/>
        <v>394</v>
      </c>
      <c r="J68">
        <f t="shared" si="12"/>
        <v>450</v>
      </c>
      <c r="K68" t="str">
        <f t="shared" ref="K68:K131" si="13">IF(AND(H68&lt;J68,H68&lt;I68), "trus_porz", IF(AND(I68&lt;H68,I68&lt;J68), "mal_porz", IF(AND(J68&lt;I68,J68&lt;H68), "mal_trus", "")))</f>
        <v>mal_porz</v>
      </c>
      <c r="L68">
        <f t="shared" ref="L68:L131" si="14">IF(K68="mal_trus",MIN(H68,I68),IF(K68="mal_porz",MIN(H68,J68),0))</f>
        <v>450</v>
      </c>
      <c r="M68">
        <f t="shared" ref="M68:M131" si="15">IF(K68="trus_porz",MIN(I68,J68), IF(K68="mal_trus", MIN(H68,I68),0))</f>
        <v>0</v>
      </c>
      <c r="N68">
        <f t="shared" ref="N68:N131" si="16">IF(K68="mal_porz",MIN(H68,J68), IF(K68="trus_porz", MIN(I68,J68),0))</f>
        <v>450</v>
      </c>
      <c r="O68">
        <f t="shared" ref="O68:O131" si="17">H68-L68</f>
        <v>168</v>
      </c>
      <c r="P68">
        <f t="shared" ref="P68:P131" si="18">I68-M68</f>
        <v>394</v>
      </c>
      <c r="Q68">
        <f t="shared" ref="Q68:Q131" si="19">J68-N68</f>
        <v>0</v>
      </c>
    </row>
    <row r="69" spans="1:17" x14ac:dyDescent="0.25">
      <c r="A69" s="1">
        <v>44018</v>
      </c>
      <c r="B69">
        <f t="shared" ref="B69:B132" si="20">O68</f>
        <v>168</v>
      </c>
      <c r="C69">
        <f t="shared" ref="C69:C132" si="21">P68</f>
        <v>394</v>
      </c>
      <c r="D69">
        <f t="shared" ref="D69:D132" si="22">Q68</f>
        <v>0</v>
      </c>
      <c r="E69">
        <v>287</v>
      </c>
      <c r="F69">
        <v>356</v>
      </c>
      <c r="G69">
        <v>233</v>
      </c>
      <c r="H69">
        <f t="shared" ref="H69:H132" si="23">B69+E69</f>
        <v>455</v>
      </c>
      <c r="I69">
        <f t="shared" ref="I69:I132" si="24">C69+F69</f>
        <v>750</v>
      </c>
      <c r="J69">
        <f t="shared" ref="J69:J132" si="25">D69+G69</f>
        <v>233</v>
      </c>
      <c r="K69" t="str">
        <f t="shared" si="13"/>
        <v>mal_trus</v>
      </c>
      <c r="L69">
        <f t="shared" si="14"/>
        <v>455</v>
      </c>
      <c r="M69">
        <f t="shared" si="15"/>
        <v>455</v>
      </c>
      <c r="N69">
        <f t="shared" si="16"/>
        <v>0</v>
      </c>
      <c r="O69">
        <f t="shared" si="17"/>
        <v>0</v>
      </c>
      <c r="P69">
        <f t="shared" si="18"/>
        <v>295</v>
      </c>
      <c r="Q69">
        <f t="shared" si="19"/>
        <v>233</v>
      </c>
    </row>
    <row r="70" spans="1:17" x14ac:dyDescent="0.25">
      <c r="A70" s="1">
        <v>44019</v>
      </c>
      <c r="B70">
        <f t="shared" si="20"/>
        <v>0</v>
      </c>
      <c r="C70">
        <f t="shared" si="21"/>
        <v>295</v>
      </c>
      <c r="D70">
        <f t="shared" si="22"/>
        <v>233</v>
      </c>
      <c r="E70">
        <v>421</v>
      </c>
      <c r="F70">
        <v>292</v>
      </c>
      <c r="G70">
        <v>226</v>
      </c>
      <c r="H70">
        <f t="shared" si="23"/>
        <v>421</v>
      </c>
      <c r="I70">
        <f t="shared" si="24"/>
        <v>587</v>
      </c>
      <c r="J70">
        <f t="shared" si="25"/>
        <v>459</v>
      </c>
      <c r="K70" t="str">
        <f t="shared" si="13"/>
        <v>trus_porz</v>
      </c>
      <c r="L70">
        <f t="shared" si="14"/>
        <v>0</v>
      </c>
      <c r="M70">
        <f t="shared" si="15"/>
        <v>459</v>
      </c>
      <c r="N70">
        <f t="shared" si="16"/>
        <v>459</v>
      </c>
      <c r="O70">
        <f t="shared" si="17"/>
        <v>421</v>
      </c>
      <c r="P70">
        <f t="shared" si="18"/>
        <v>128</v>
      </c>
      <c r="Q70">
        <f t="shared" si="19"/>
        <v>0</v>
      </c>
    </row>
    <row r="71" spans="1:17" x14ac:dyDescent="0.25">
      <c r="A71" s="1">
        <v>44020</v>
      </c>
      <c r="B71">
        <f t="shared" si="20"/>
        <v>421</v>
      </c>
      <c r="C71">
        <f t="shared" si="21"/>
        <v>128</v>
      </c>
      <c r="D71">
        <f t="shared" si="22"/>
        <v>0</v>
      </c>
      <c r="E71">
        <v>334</v>
      </c>
      <c r="F71">
        <v>353</v>
      </c>
      <c r="G71">
        <v>282</v>
      </c>
      <c r="H71">
        <f t="shared" si="23"/>
        <v>755</v>
      </c>
      <c r="I71">
        <f t="shared" si="24"/>
        <v>481</v>
      </c>
      <c r="J71">
        <f t="shared" si="25"/>
        <v>282</v>
      </c>
      <c r="K71" t="str">
        <f t="shared" si="13"/>
        <v>mal_trus</v>
      </c>
      <c r="L71">
        <f t="shared" si="14"/>
        <v>481</v>
      </c>
      <c r="M71">
        <f t="shared" si="15"/>
        <v>481</v>
      </c>
      <c r="N71">
        <f t="shared" si="16"/>
        <v>0</v>
      </c>
      <c r="O71">
        <f t="shared" si="17"/>
        <v>274</v>
      </c>
      <c r="P71">
        <f t="shared" si="18"/>
        <v>0</v>
      </c>
      <c r="Q71">
        <f t="shared" si="19"/>
        <v>282</v>
      </c>
    </row>
    <row r="72" spans="1:17" x14ac:dyDescent="0.25">
      <c r="A72" s="1">
        <v>44021</v>
      </c>
      <c r="B72">
        <f t="shared" si="20"/>
        <v>274</v>
      </c>
      <c r="C72">
        <f t="shared" si="21"/>
        <v>0</v>
      </c>
      <c r="D72">
        <f t="shared" si="22"/>
        <v>282</v>
      </c>
      <c r="E72">
        <v>282</v>
      </c>
      <c r="F72">
        <v>329</v>
      </c>
      <c r="G72">
        <v>262</v>
      </c>
      <c r="H72">
        <f t="shared" si="23"/>
        <v>556</v>
      </c>
      <c r="I72">
        <f t="shared" si="24"/>
        <v>329</v>
      </c>
      <c r="J72">
        <f t="shared" si="25"/>
        <v>544</v>
      </c>
      <c r="K72" t="str">
        <f t="shared" si="13"/>
        <v>mal_porz</v>
      </c>
      <c r="L72">
        <f t="shared" si="14"/>
        <v>544</v>
      </c>
      <c r="M72">
        <f t="shared" si="15"/>
        <v>0</v>
      </c>
      <c r="N72">
        <f t="shared" si="16"/>
        <v>544</v>
      </c>
      <c r="O72">
        <f t="shared" si="17"/>
        <v>12</v>
      </c>
      <c r="P72">
        <f t="shared" si="18"/>
        <v>329</v>
      </c>
      <c r="Q72">
        <f t="shared" si="19"/>
        <v>0</v>
      </c>
    </row>
    <row r="73" spans="1:17" x14ac:dyDescent="0.25">
      <c r="A73" s="1">
        <v>44022</v>
      </c>
      <c r="B73">
        <f t="shared" si="20"/>
        <v>12</v>
      </c>
      <c r="C73">
        <f t="shared" si="21"/>
        <v>329</v>
      </c>
      <c r="D73">
        <f t="shared" si="22"/>
        <v>0</v>
      </c>
      <c r="E73">
        <v>356</v>
      </c>
      <c r="F73">
        <v>331</v>
      </c>
      <c r="G73">
        <v>290</v>
      </c>
      <c r="H73">
        <f t="shared" si="23"/>
        <v>368</v>
      </c>
      <c r="I73">
        <f t="shared" si="24"/>
        <v>660</v>
      </c>
      <c r="J73">
        <f t="shared" si="25"/>
        <v>290</v>
      </c>
      <c r="K73" t="str">
        <f t="shared" si="13"/>
        <v>mal_trus</v>
      </c>
      <c r="L73">
        <f t="shared" si="14"/>
        <v>368</v>
      </c>
      <c r="M73">
        <f t="shared" si="15"/>
        <v>368</v>
      </c>
      <c r="N73">
        <f t="shared" si="16"/>
        <v>0</v>
      </c>
      <c r="O73">
        <f t="shared" si="17"/>
        <v>0</v>
      </c>
      <c r="P73">
        <f t="shared" si="18"/>
        <v>292</v>
      </c>
      <c r="Q73">
        <f t="shared" si="19"/>
        <v>290</v>
      </c>
    </row>
    <row r="74" spans="1:17" x14ac:dyDescent="0.25">
      <c r="A74" s="1">
        <v>44023</v>
      </c>
      <c r="B74">
        <f t="shared" si="20"/>
        <v>0</v>
      </c>
      <c r="C74">
        <f t="shared" si="21"/>
        <v>292</v>
      </c>
      <c r="D74">
        <f t="shared" si="22"/>
        <v>290</v>
      </c>
      <c r="E74">
        <v>307</v>
      </c>
      <c r="F74">
        <v>394</v>
      </c>
      <c r="G74">
        <v>256</v>
      </c>
      <c r="H74">
        <f t="shared" si="23"/>
        <v>307</v>
      </c>
      <c r="I74">
        <f t="shared" si="24"/>
        <v>686</v>
      </c>
      <c r="J74">
        <f t="shared" si="25"/>
        <v>546</v>
      </c>
      <c r="K74" t="str">
        <f t="shared" si="13"/>
        <v>trus_porz</v>
      </c>
      <c r="L74">
        <f t="shared" si="14"/>
        <v>0</v>
      </c>
      <c r="M74">
        <f t="shared" si="15"/>
        <v>546</v>
      </c>
      <c r="N74">
        <f t="shared" si="16"/>
        <v>546</v>
      </c>
      <c r="O74">
        <f t="shared" si="17"/>
        <v>307</v>
      </c>
      <c r="P74">
        <f t="shared" si="18"/>
        <v>140</v>
      </c>
      <c r="Q74">
        <f t="shared" si="19"/>
        <v>0</v>
      </c>
    </row>
    <row r="75" spans="1:17" x14ac:dyDescent="0.25">
      <c r="A75" s="1">
        <v>44024</v>
      </c>
      <c r="B75">
        <f t="shared" si="20"/>
        <v>307</v>
      </c>
      <c r="C75">
        <f t="shared" si="21"/>
        <v>140</v>
      </c>
      <c r="D75">
        <f t="shared" si="22"/>
        <v>0</v>
      </c>
      <c r="E75">
        <v>441</v>
      </c>
      <c r="F75">
        <v>271</v>
      </c>
      <c r="G75">
        <v>292</v>
      </c>
      <c r="H75">
        <f t="shared" si="23"/>
        <v>748</v>
      </c>
      <c r="I75">
        <f t="shared" si="24"/>
        <v>411</v>
      </c>
      <c r="J75">
        <f t="shared" si="25"/>
        <v>292</v>
      </c>
      <c r="K75" t="str">
        <f t="shared" si="13"/>
        <v>mal_trus</v>
      </c>
      <c r="L75">
        <f t="shared" si="14"/>
        <v>411</v>
      </c>
      <c r="M75">
        <f t="shared" si="15"/>
        <v>411</v>
      </c>
      <c r="N75">
        <f t="shared" si="16"/>
        <v>0</v>
      </c>
      <c r="O75">
        <f t="shared" si="17"/>
        <v>337</v>
      </c>
      <c r="P75">
        <f t="shared" si="18"/>
        <v>0</v>
      </c>
      <c r="Q75">
        <f t="shared" si="19"/>
        <v>292</v>
      </c>
    </row>
    <row r="76" spans="1:17" x14ac:dyDescent="0.25">
      <c r="A76" s="1">
        <v>44025</v>
      </c>
      <c r="B76">
        <f t="shared" si="20"/>
        <v>337</v>
      </c>
      <c r="C76">
        <f t="shared" si="21"/>
        <v>0</v>
      </c>
      <c r="D76">
        <f t="shared" si="22"/>
        <v>292</v>
      </c>
      <c r="E76">
        <v>407</v>
      </c>
      <c r="F76">
        <v>311</v>
      </c>
      <c r="G76">
        <v>280</v>
      </c>
      <c r="H76">
        <f t="shared" si="23"/>
        <v>744</v>
      </c>
      <c r="I76">
        <f t="shared" si="24"/>
        <v>311</v>
      </c>
      <c r="J76">
        <f t="shared" si="25"/>
        <v>572</v>
      </c>
      <c r="K76" t="str">
        <f t="shared" si="13"/>
        <v>mal_porz</v>
      </c>
      <c r="L76">
        <f t="shared" si="14"/>
        <v>572</v>
      </c>
      <c r="M76">
        <f t="shared" si="15"/>
        <v>0</v>
      </c>
      <c r="N76">
        <f t="shared" si="16"/>
        <v>572</v>
      </c>
      <c r="O76">
        <f t="shared" si="17"/>
        <v>172</v>
      </c>
      <c r="P76">
        <f t="shared" si="18"/>
        <v>311</v>
      </c>
      <c r="Q76">
        <f t="shared" si="19"/>
        <v>0</v>
      </c>
    </row>
    <row r="77" spans="1:17" x14ac:dyDescent="0.25">
      <c r="A77" s="1">
        <v>44026</v>
      </c>
      <c r="B77">
        <f t="shared" si="20"/>
        <v>172</v>
      </c>
      <c r="C77">
        <f t="shared" si="21"/>
        <v>311</v>
      </c>
      <c r="D77">
        <f t="shared" si="22"/>
        <v>0</v>
      </c>
      <c r="E77">
        <v>480</v>
      </c>
      <c r="F77">
        <v>342</v>
      </c>
      <c r="G77">
        <v>292</v>
      </c>
      <c r="H77">
        <f t="shared" si="23"/>
        <v>652</v>
      </c>
      <c r="I77">
        <f t="shared" si="24"/>
        <v>653</v>
      </c>
      <c r="J77">
        <f t="shared" si="25"/>
        <v>292</v>
      </c>
      <c r="K77" t="str">
        <f t="shared" si="13"/>
        <v>mal_trus</v>
      </c>
      <c r="L77">
        <f t="shared" si="14"/>
        <v>652</v>
      </c>
      <c r="M77">
        <f t="shared" si="15"/>
        <v>652</v>
      </c>
      <c r="N77">
        <f t="shared" si="16"/>
        <v>0</v>
      </c>
      <c r="O77">
        <f t="shared" si="17"/>
        <v>0</v>
      </c>
      <c r="P77">
        <f t="shared" si="18"/>
        <v>1</v>
      </c>
      <c r="Q77">
        <f t="shared" si="19"/>
        <v>292</v>
      </c>
    </row>
    <row r="78" spans="1:17" x14ac:dyDescent="0.25">
      <c r="A78" s="1">
        <v>44027</v>
      </c>
      <c r="B78">
        <f t="shared" si="20"/>
        <v>0</v>
      </c>
      <c r="C78">
        <f t="shared" si="21"/>
        <v>1</v>
      </c>
      <c r="D78">
        <f t="shared" si="22"/>
        <v>292</v>
      </c>
      <c r="E78">
        <v>494</v>
      </c>
      <c r="F78">
        <v>310</v>
      </c>
      <c r="G78">
        <v>275</v>
      </c>
      <c r="H78">
        <f t="shared" si="23"/>
        <v>494</v>
      </c>
      <c r="I78">
        <f t="shared" si="24"/>
        <v>311</v>
      </c>
      <c r="J78">
        <f t="shared" si="25"/>
        <v>567</v>
      </c>
      <c r="K78" t="str">
        <f t="shared" si="13"/>
        <v>mal_porz</v>
      </c>
      <c r="L78">
        <f t="shared" si="14"/>
        <v>494</v>
      </c>
      <c r="M78">
        <f t="shared" si="15"/>
        <v>0</v>
      </c>
      <c r="N78">
        <f t="shared" si="16"/>
        <v>494</v>
      </c>
      <c r="O78">
        <f t="shared" si="17"/>
        <v>0</v>
      </c>
      <c r="P78">
        <f t="shared" si="18"/>
        <v>311</v>
      </c>
      <c r="Q78">
        <f t="shared" si="19"/>
        <v>73</v>
      </c>
    </row>
    <row r="79" spans="1:17" x14ac:dyDescent="0.25">
      <c r="A79" s="1">
        <v>44028</v>
      </c>
      <c r="B79">
        <f t="shared" si="20"/>
        <v>0</v>
      </c>
      <c r="C79">
        <f t="shared" si="21"/>
        <v>311</v>
      </c>
      <c r="D79">
        <f t="shared" si="22"/>
        <v>73</v>
      </c>
      <c r="E79">
        <v>493</v>
      </c>
      <c r="F79">
        <v>431</v>
      </c>
      <c r="G79">
        <v>283</v>
      </c>
      <c r="H79">
        <f t="shared" si="23"/>
        <v>493</v>
      </c>
      <c r="I79">
        <f t="shared" si="24"/>
        <v>742</v>
      </c>
      <c r="J79">
        <f t="shared" si="25"/>
        <v>356</v>
      </c>
      <c r="K79" t="str">
        <f t="shared" si="13"/>
        <v>mal_trus</v>
      </c>
      <c r="L79">
        <f t="shared" si="14"/>
        <v>493</v>
      </c>
      <c r="M79">
        <f t="shared" si="15"/>
        <v>493</v>
      </c>
      <c r="N79">
        <f t="shared" si="16"/>
        <v>0</v>
      </c>
      <c r="O79">
        <f t="shared" si="17"/>
        <v>0</v>
      </c>
      <c r="P79">
        <f t="shared" si="18"/>
        <v>249</v>
      </c>
      <c r="Q79">
        <f t="shared" si="19"/>
        <v>356</v>
      </c>
    </row>
    <row r="80" spans="1:17" x14ac:dyDescent="0.25">
      <c r="A80" s="1">
        <v>44029</v>
      </c>
      <c r="B80">
        <f t="shared" si="20"/>
        <v>0</v>
      </c>
      <c r="C80">
        <f t="shared" si="21"/>
        <v>249</v>
      </c>
      <c r="D80">
        <f t="shared" si="22"/>
        <v>356</v>
      </c>
      <c r="E80">
        <v>302</v>
      </c>
      <c r="F80">
        <v>415</v>
      </c>
      <c r="G80">
        <v>297</v>
      </c>
      <c r="H80">
        <f t="shared" si="23"/>
        <v>302</v>
      </c>
      <c r="I80">
        <f t="shared" si="24"/>
        <v>664</v>
      </c>
      <c r="J80">
        <f t="shared" si="25"/>
        <v>653</v>
      </c>
      <c r="K80" t="str">
        <f t="shared" si="13"/>
        <v>trus_porz</v>
      </c>
      <c r="L80">
        <f t="shared" si="14"/>
        <v>0</v>
      </c>
      <c r="M80">
        <f t="shared" si="15"/>
        <v>653</v>
      </c>
      <c r="N80">
        <f t="shared" si="16"/>
        <v>653</v>
      </c>
      <c r="O80">
        <f t="shared" si="17"/>
        <v>302</v>
      </c>
      <c r="P80">
        <f t="shared" si="18"/>
        <v>11</v>
      </c>
      <c r="Q80">
        <f t="shared" si="19"/>
        <v>0</v>
      </c>
    </row>
    <row r="81" spans="1:17" x14ac:dyDescent="0.25">
      <c r="A81" s="1">
        <v>44030</v>
      </c>
      <c r="B81">
        <f t="shared" si="20"/>
        <v>302</v>
      </c>
      <c r="C81">
        <f t="shared" si="21"/>
        <v>11</v>
      </c>
      <c r="D81">
        <f t="shared" si="22"/>
        <v>0</v>
      </c>
      <c r="E81">
        <v>331</v>
      </c>
      <c r="F81">
        <v>353</v>
      </c>
      <c r="G81">
        <v>373</v>
      </c>
      <c r="H81">
        <f t="shared" si="23"/>
        <v>633</v>
      </c>
      <c r="I81">
        <f t="shared" si="24"/>
        <v>364</v>
      </c>
      <c r="J81">
        <f t="shared" si="25"/>
        <v>373</v>
      </c>
      <c r="K81" t="str">
        <f t="shared" si="13"/>
        <v>mal_porz</v>
      </c>
      <c r="L81">
        <f t="shared" si="14"/>
        <v>373</v>
      </c>
      <c r="M81">
        <f t="shared" si="15"/>
        <v>0</v>
      </c>
      <c r="N81">
        <f t="shared" si="16"/>
        <v>373</v>
      </c>
      <c r="O81">
        <f t="shared" si="17"/>
        <v>260</v>
      </c>
      <c r="P81">
        <f t="shared" si="18"/>
        <v>364</v>
      </c>
      <c r="Q81">
        <f t="shared" si="19"/>
        <v>0</v>
      </c>
    </row>
    <row r="82" spans="1:17" x14ac:dyDescent="0.25">
      <c r="A82" s="1">
        <v>44031</v>
      </c>
      <c r="B82">
        <f t="shared" si="20"/>
        <v>260</v>
      </c>
      <c r="C82">
        <f t="shared" si="21"/>
        <v>364</v>
      </c>
      <c r="D82">
        <f t="shared" si="22"/>
        <v>0</v>
      </c>
      <c r="E82">
        <v>486</v>
      </c>
      <c r="F82">
        <v>323</v>
      </c>
      <c r="G82">
        <v>359</v>
      </c>
      <c r="H82">
        <f t="shared" si="23"/>
        <v>746</v>
      </c>
      <c r="I82">
        <f t="shared" si="24"/>
        <v>687</v>
      </c>
      <c r="J82">
        <f t="shared" si="25"/>
        <v>359</v>
      </c>
      <c r="K82" t="str">
        <f t="shared" si="13"/>
        <v>mal_trus</v>
      </c>
      <c r="L82">
        <f t="shared" si="14"/>
        <v>687</v>
      </c>
      <c r="M82">
        <f t="shared" si="15"/>
        <v>687</v>
      </c>
      <c r="N82">
        <f t="shared" si="16"/>
        <v>0</v>
      </c>
      <c r="O82">
        <f t="shared" si="17"/>
        <v>59</v>
      </c>
      <c r="P82">
        <f t="shared" si="18"/>
        <v>0</v>
      </c>
      <c r="Q82">
        <f t="shared" si="19"/>
        <v>359</v>
      </c>
    </row>
    <row r="83" spans="1:17" x14ac:dyDescent="0.25">
      <c r="A83" s="1">
        <v>44032</v>
      </c>
      <c r="B83">
        <f t="shared" si="20"/>
        <v>59</v>
      </c>
      <c r="C83">
        <f t="shared" si="21"/>
        <v>0</v>
      </c>
      <c r="D83">
        <f t="shared" si="22"/>
        <v>359</v>
      </c>
      <c r="E83">
        <v>360</v>
      </c>
      <c r="F83">
        <v>331</v>
      </c>
      <c r="G83">
        <v>445</v>
      </c>
      <c r="H83">
        <f t="shared" si="23"/>
        <v>419</v>
      </c>
      <c r="I83">
        <f t="shared" si="24"/>
        <v>331</v>
      </c>
      <c r="J83">
        <f t="shared" si="25"/>
        <v>804</v>
      </c>
      <c r="K83" t="str">
        <f t="shared" si="13"/>
        <v>mal_porz</v>
      </c>
      <c r="L83">
        <f t="shared" si="14"/>
        <v>419</v>
      </c>
      <c r="M83">
        <f t="shared" si="15"/>
        <v>0</v>
      </c>
      <c r="N83">
        <f t="shared" si="16"/>
        <v>419</v>
      </c>
      <c r="O83">
        <f t="shared" si="17"/>
        <v>0</v>
      </c>
      <c r="P83">
        <f t="shared" si="18"/>
        <v>331</v>
      </c>
      <c r="Q83">
        <f t="shared" si="19"/>
        <v>385</v>
      </c>
    </row>
    <row r="84" spans="1:17" x14ac:dyDescent="0.25">
      <c r="A84" s="1">
        <v>44033</v>
      </c>
      <c r="B84">
        <f t="shared" si="20"/>
        <v>0</v>
      </c>
      <c r="C84">
        <f t="shared" si="21"/>
        <v>331</v>
      </c>
      <c r="D84">
        <f t="shared" si="22"/>
        <v>385</v>
      </c>
      <c r="E84">
        <v>391</v>
      </c>
      <c r="F84">
        <v>455</v>
      </c>
      <c r="G84">
        <v>427</v>
      </c>
      <c r="H84">
        <f t="shared" si="23"/>
        <v>391</v>
      </c>
      <c r="I84">
        <f t="shared" si="24"/>
        <v>786</v>
      </c>
      <c r="J84">
        <f t="shared" si="25"/>
        <v>812</v>
      </c>
      <c r="K84" t="str">
        <f t="shared" si="13"/>
        <v>trus_porz</v>
      </c>
      <c r="L84">
        <f t="shared" si="14"/>
        <v>0</v>
      </c>
      <c r="M84">
        <f t="shared" si="15"/>
        <v>786</v>
      </c>
      <c r="N84">
        <f t="shared" si="16"/>
        <v>786</v>
      </c>
      <c r="O84">
        <f t="shared" si="17"/>
        <v>391</v>
      </c>
      <c r="P84">
        <f t="shared" si="18"/>
        <v>0</v>
      </c>
      <c r="Q84">
        <f t="shared" si="19"/>
        <v>26</v>
      </c>
    </row>
    <row r="85" spans="1:17" x14ac:dyDescent="0.25">
      <c r="A85" s="1">
        <v>44034</v>
      </c>
      <c r="B85">
        <f t="shared" si="20"/>
        <v>391</v>
      </c>
      <c r="C85">
        <f t="shared" si="21"/>
        <v>0</v>
      </c>
      <c r="D85">
        <f t="shared" si="22"/>
        <v>26</v>
      </c>
      <c r="E85">
        <v>327</v>
      </c>
      <c r="F85">
        <v>471</v>
      </c>
      <c r="G85">
        <v>423</v>
      </c>
      <c r="H85">
        <f t="shared" si="23"/>
        <v>718</v>
      </c>
      <c r="I85">
        <f t="shared" si="24"/>
        <v>471</v>
      </c>
      <c r="J85">
        <f t="shared" si="25"/>
        <v>449</v>
      </c>
      <c r="K85" t="str">
        <f t="shared" si="13"/>
        <v>mal_trus</v>
      </c>
      <c r="L85">
        <f t="shared" si="14"/>
        <v>471</v>
      </c>
      <c r="M85">
        <f t="shared" si="15"/>
        <v>471</v>
      </c>
      <c r="N85">
        <f t="shared" si="16"/>
        <v>0</v>
      </c>
      <c r="O85">
        <f t="shared" si="17"/>
        <v>247</v>
      </c>
      <c r="P85">
        <f t="shared" si="18"/>
        <v>0</v>
      </c>
      <c r="Q85">
        <f t="shared" si="19"/>
        <v>449</v>
      </c>
    </row>
    <row r="86" spans="1:17" x14ac:dyDescent="0.25">
      <c r="A86" s="1">
        <v>44035</v>
      </c>
      <c r="B86">
        <f t="shared" si="20"/>
        <v>247</v>
      </c>
      <c r="C86">
        <f t="shared" si="21"/>
        <v>0</v>
      </c>
      <c r="D86">
        <f t="shared" si="22"/>
        <v>449</v>
      </c>
      <c r="E86">
        <v>355</v>
      </c>
      <c r="F86">
        <v>490</v>
      </c>
      <c r="G86">
        <v>449</v>
      </c>
      <c r="H86">
        <f t="shared" si="23"/>
        <v>602</v>
      </c>
      <c r="I86">
        <f t="shared" si="24"/>
        <v>490</v>
      </c>
      <c r="J86">
        <f t="shared" si="25"/>
        <v>898</v>
      </c>
      <c r="K86" t="str">
        <f t="shared" si="13"/>
        <v>mal_porz</v>
      </c>
      <c r="L86">
        <f t="shared" si="14"/>
        <v>602</v>
      </c>
      <c r="M86">
        <f t="shared" si="15"/>
        <v>0</v>
      </c>
      <c r="N86">
        <f t="shared" si="16"/>
        <v>602</v>
      </c>
      <c r="O86">
        <f t="shared" si="17"/>
        <v>0</v>
      </c>
      <c r="P86">
        <f t="shared" si="18"/>
        <v>490</v>
      </c>
      <c r="Q86">
        <f t="shared" si="19"/>
        <v>296</v>
      </c>
    </row>
    <row r="87" spans="1:17" x14ac:dyDescent="0.25">
      <c r="A87" s="1">
        <v>44036</v>
      </c>
      <c r="B87">
        <f t="shared" si="20"/>
        <v>0</v>
      </c>
      <c r="C87">
        <f t="shared" si="21"/>
        <v>490</v>
      </c>
      <c r="D87">
        <f t="shared" si="22"/>
        <v>296</v>
      </c>
      <c r="E87">
        <v>360</v>
      </c>
      <c r="F87">
        <v>339</v>
      </c>
      <c r="G87">
        <v>470</v>
      </c>
      <c r="H87">
        <f t="shared" si="23"/>
        <v>360</v>
      </c>
      <c r="I87">
        <f t="shared" si="24"/>
        <v>829</v>
      </c>
      <c r="J87">
        <f t="shared" si="25"/>
        <v>766</v>
      </c>
      <c r="K87" t="str">
        <f t="shared" si="13"/>
        <v>trus_porz</v>
      </c>
      <c r="L87">
        <f t="shared" si="14"/>
        <v>0</v>
      </c>
      <c r="M87">
        <f t="shared" si="15"/>
        <v>766</v>
      </c>
      <c r="N87">
        <f t="shared" si="16"/>
        <v>766</v>
      </c>
      <c r="O87">
        <f t="shared" si="17"/>
        <v>360</v>
      </c>
      <c r="P87">
        <f t="shared" si="18"/>
        <v>63</v>
      </c>
      <c r="Q87">
        <f t="shared" si="19"/>
        <v>0</v>
      </c>
    </row>
    <row r="88" spans="1:17" x14ac:dyDescent="0.25">
      <c r="A88" s="1">
        <v>44037</v>
      </c>
      <c r="B88">
        <f t="shared" si="20"/>
        <v>360</v>
      </c>
      <c r="C88">
        <f t="shared" si="21"/>
        <v>63</v>
      </c>
      <c r="D88">
        <f t="shared" si="22"/>
        <v>0</v>
      </c>
      <c r="E88">
        <v>303</v>
      </c>
      <c r="F88">
        <v>404</v>
      </c>
      <c r="G88">
        <v>434</v>
      </c>
      <c r="H88">
        <f t="shared" si="23"/>
        <v>663</v>
      </c>
      <c r="I88">
        <f t="shared" si="24"/>
        <v>467</v>
      </c>
      <c r="J88">
        <f t="shared" si="25"/>
        <v>434</v>
      </c>
      <c r="K88" t="str">
        <f t="shared" si="13"/>
        <v>mal_trus</v>
      </c>
      <c r="L88">
        <f t="shared" si="14"/>
        <v>467</v>
      </c>
      <c r="M88">
        <f t="shared" si="15"/>
        <v>467</v>
      </c>
      <c r="N88">
        <f t="shared" si="16"/>
        <v>0</v>
      </c>
      <c r="O88">
        <f t="shared" si="17"/>
        <v>196</v>
      </c>
      <c r="P88">
        <f t="shared" si="18"/>
        <v>0</v>
      </c>
      <c r="Q88">
        <f t="shared" si="19"/>
        <v>434</v>
      </c>
    </row>
    <row r="89" spans="1:17" x14ac:dyDescent="0.25">
      <c r="A89" s="1">
        <v>44038</v>
      </c>
      <c r="B89">
        <f t="shared" si="20"/>
        <v>196</v>
      </c>
      <c r="C89">
        <f t="shared" si="21"/>
        <v>0</v>
      </c>
      <c r="D89">
        <f t="shared" si="22"/>
        <v>434</v>
      </c>
      <c r="E89">
        <v>310</v>
      </c>
      <c r="F89">
        <v>332</v>
      </c>
      <c r="G89">
        <v>536</v>
      </c>
      <c r="H89">
        <f t="shared" si="23"/>
        <v>506</v>
      </c>
      <c r="I89">
        <f t="shared" si="24"/>
        <v>332</v>
      </c>
      <c r="J89">
        <f t="shared" si="25"/>
        <v>970</v>
      </c>
      <c r="K89" t="str">
        <f t="shared" si="13"/>
        <v>mal_porz</v>
      </c>
      <c r="L89">
        <f t="shared" si="14"/>
        <v>506</v>
      </c>
      <c r="M89">
        <f t="shared" si="15"/>
        <v>0</v>
      </c>
      <c r="N89">
        <f t="shared" si="16"/>
        <v>506</v>
      </c>
      <c r="O89">
        <f t="shared" si="17"/>
        <v>0</v>
      </c>
      <c r="P89">
        <f t="shared" si="18"/>
        <v>332</v>
      </c>
      <c r="Q89">
        <f t="shared" si="19"/>
        <v>464</v>
      </c>
    </row>
    <row r="90" spans="1:17" x14ac:dyDescent="0.25">
      <c r="A90" s="1">
        <v>44039</v>
      </c>
      <c r="B90">
        <f t="shared" si="20"/>
        <v>0</v>
      </c>
      <c r="C90">
        <f t="shared" si="21"/>
        <v>332</v>
      </c>
      <c r="D90">
        <f t="shared" si="22"/>
        <v>464</v>
      </c>
      <c r="E90">
        <v>435</v>
      </c>
      <c r="F90">
        <v>406</v>
      </c>
      <c r="G90">
        <v>421</v>
      </c>
      <c r="H90">
        <f t="shared" si="23"/>
        <v>435</v>
      </c>
      <c r="I90">
        <f t="shared" si="24"/>
        <v>738</v>
      </c>
      <c r="J90">
        <f t="shared" si="25"/>
        <v>885</v>
      </c>
      <c r="K90" t="str">
        <f t="shared" si="13"/>
        <v>trus_porz</v>
      </c>
      <c r="L90">
        <f t="shared" si="14"/>
        <v>0</v>
      </c>
      <c r="M90">
        <f t="shared" si="15"/>
        <v>738</v>
      </c>
      <c r="N90">
        <f t="shared" si="16"/>
        <v>738</v>
      </c>
      <c r="O90">
        <f t="shared" si="17"/>
        <v>435</v>
      </c>
      <c r="P90">
        <f t="shared" si="18"/>
        <v>0</v>
      </c>
      <c r="Q90">
        <f t="shared" si="19"/>
        <v>147</v>
      </c>
    </row>
    <row r="91" spans="1:17" x14ac:dyDescent="0.25">
      <c r="A91" s="1">
        <v>44040</v>
      </c>
      <c r="B91">
        <f t="shared" si="20"/>
        <v>435</v>
      </c>
      <c r="C91">
        <f t="shared" si="21"/>
        <v>0</v>
      </c>
      <c r="D91">
        <f t="shared" si="22"/>
        <v>147</v>
      </c>
      <c r="E91">
        <v>344</v>
      </c>
      <c r="F91">
        <v>348</v>
      </c>
      <c r="G91">
        <v>555</v>
      </c>
      <c r="H91">
        <f t="shared" si="23"/>
        <v>779</v>
      </c>
      <c r="I91">
        <f t="shared" si="24"/>
        <v>348</v>
      </c>
      <c r="J91">
        <f t="shared" si="25"/>
        <v>702</v>
      </c>
      <c r="K91" t="str">
        <f t="shared" si="13"/>
        <v>mal_porz</v>
      </c>
      <c r="L91">
        <f t="shared" si="14"/>
        <v>702</v>
      </c>
      <c r="M91">
        <f t="shared" si="15"/>
        <v>0</v>
      </c>
      <c r="N91">
        <f t="shared" si="16"/>
        <v>702</v>
      </c>
      <c r="O91">
        <f t="shared" si="17"/>
        <v>77</v>
      </c>
      <c r="P91">
        <f t="shared" si="18"/>
        <v>348</v>
      </c>
      <c r="Q91">
        <f t="shared" si="19"/>
        <v>0</v>
      </c>
    </row>
    <row r="92" spans="1:17" x14ac:dyDescent="0.25">
      <c r="A92" s="1">
        <v>44041</v>
      </c>
      <c r="B92">
        <f t="shared" si="20"/>
        <v>77</v>
      </c>
      <c r="C92">
        <f t="shared" si="21"/>
        <v>348</v>
      </c>
      <c r="D92">
        <f t="shared" si="22"/>
        <v>0</v>
      </c>
      <c r="E92">
        <v>303</v>
      </c>
      <c r="F92">
        <v>335</v>
      </c>
      <c r="G92">
        <v>436</v>
      </c>
      <c r="H92">
        <f t="shared" si="23"/>
        <v>380</v>
      </c>
      <c r="I92">
        <f t="shared" si="24"/>
        <v>683</v>
      </c>
      <c r="J92">
        <f t="shared" si="25"/>
        <v>436</v>
      </c>
      <c r="K92" t="str">
        <f t="shared" si="13"/>
        <v>trus_porz</v>
      </c>
      <c r="L92">
        <f t="shared" si="14"/>
        <v>0</v>
      </c>
      <c r="M92">
        <f t="shared" si="15"/>
        <v>436</v>
      </c>
      <c r="N92">
        <f t="shared" si="16"/>
        <v>436</v>
      </c>
      <c r="O92">
        <f t="shared" si="17"/>
        <v>380</v>
      </c>
      <c r="P92">
        <f t="shared" si="18"/>
        <v>247</v>
      </c>
      <c r="Q92">
        <f t="shared" si="19"/>
        <v>0</v>
      </c>
    </row>
    <row r="93" spans="1:17" x14ac:dyDescent="0.25">
      <c r="A93" s="1">
        <v>44042</v>
      </c>
      <c r="B93">
        <f t="shared" si="20"/>
        <v>380</v>
      </c>
      <c r="C93">
        <f t="shared" si="21"/>
        <v>247</v>
      </c>
      <c r="D93">
        <f t="shared" si="22"/>
        <v>0</v>
      </c>
      <c r="E93">
        <v>433</v>
      </c>
      <c r="F93">
        <v>425</v>
      </c>
      <c r="G93">
        <v>422</v>
      </c>
      <c r="H93">
        <f t="shared" si="23"/>
        <v>813</v>
      </c>
      <c r="I93">
        <f t="shared" si="24"/>
        <v>672</v>
      </c>
      <c r="J93">
        <f t="shared" si="25"/>
        <v>422</v>
      </c>
      <c r="K93" t="str">
        <f t="shared" si="13"/>
        <v>mal_trus</v>
      </c>
      <c r="L93">
        <f t="shared" si="14"/>
        <v>672</v>
      </c>
      <c r="M93">
        <f t="shared" si="15"/>
        <v>672</v>
      </c>
      <c r="N93">
        <f t="shared" si="16"/>
        <v>0</v>
      </c>
      <c r="O93">
        <f t="shared" si="17"/>
        <v>141</v>
      </c>
      <c r="P93">
        <f t="shared" si="18"/>
        <v>0</v>
      </c>
      <c r="Q93">
        <f t="shared" si="19"/>
        <v>422</v>
      </c>
    </row>
    <row r="94" spans="1:17" x14ac:dyDescent="0.25">
      <c r="A94" s="1">
        <v>44043</v>
      </c>
      <c r="B94">
        <f t="shared" si="20"/>
        <v>141</v>
      </c>
      <c r="C94">
        <f t="shared" si="21"/>
        <v>0</v>
      </c>
      <c r="D94">
        <f t="shared" si="22"/>
        <v>422</v>
      </c>
      <c r="E94">
        <v>350</v>
      </c>
      <c r="F94">
        <v>378</v>
      </c>
      <c r="G94">
        <v>419</v>
      </c>
      <c r="H94">
        <f t="shared" si="23"/>
        <v>491</v>
      </c>
      <c r="I94">
        <f t="shared" si="24"/>
        <v>378</v>
      </c>
      <c r="J94">
        <f t="shared" si="25"/>
        <v>841</v>
      </c>
      <c r="K94" t="str">
        <f t="shared" si="13"/>
        <v>mal_porz</v>
      </c>
      <c r="L94">
        <f t="shared" si="14"/>
        <v>491</v>
      </c>
      <c r="M94">
        <f t="shared" si="15"/>
        <v>0</v>
      </c>
      <c r="N94">
        <f t="shared" si="16"/>
        <v>491</v>
      </c>
      <c r="O94">
        <f t="shared" si="17"/>
        <v>0</v>
      </c>
      <c r="P94">
        <f t="shared" si="18"/>
        <v>378</v>
      </c>
      <c r="Q94">
        <f t="shared" si="19"/>
        <v>350</v>
      </c>
    </row>
    <row r="95" spans="1:17" x14ac:dyDescent="0.25">
      <c r="A95" s="1">
        <v>44044</v>
      </c>
      <c r="B95">
        <f t="shared" si="20"/>
        <v>0</v>
      </c>
      <c r="C95">
        <f t="shared" si="21"/>
        <v>378</v>
      </c>
      <c r="D95">
        <f t="shared" si="22"/>
        <v>350</v>
      </c>
      <c r="E95">
        <v>396</v>
      </c>
      <c r="F95">
        <v>466</v>
      </c>
      <c r="G95">
        <v>434</v>
      </c>
      <c r="H95">
        <f t="shared" si="23"/>
        <v>396</v>
      </c>
      <c r="I95">
        <f t="shared" si="24"/>
        <v>844</v>
      </c>
      <c r="J95">
        <f t="shared" si="25"/>
        <v>784</v>
      </c>
      <c r="K95" t="str">
        <f t="shared" si="13"/>
        <v>trus_porz</v>
      </c>
      <c r="L95">
        <f t="shared" si="14"/>
        <v>0</v>
      </c>
      <c r="M95">
        <f t="shared" si="15"/>
        <v>784</v>
      </c>
      <c r="N95">
        <f t="shared" si="16"/>
        <v>784</v>
      </c>
      <c r="O95">
        <f t="shared" si="17"/>
        <v>396</v>
      </c>
      <c r="P95">
        <f t="shared" si="18"/>
        <v>60</v>
      </c>
      <c r="Q95">
        <f t="shared" si="19"/>
        <v>0</v>
      </c>
    </row>
    <row r="96" spans="1:17" x14ac:dyDescent="0.25">
      <c r="A96" s="1">
        <v>44045</v>
      </c>
      <c r="B96">
        <f t="shared" si="20"/>
        <v>396</v>
      </c>
      <c r="C96">
        <f t="shared" si="21"/>
        <v>60</v>
      </c>
      <c r="D96">
        <f t="shared" si="22"/>
        <v>0</v>
      </c>
      <c r="E96">
        <v>495</v>
      </c>
      <c r="F96">
        <v>410</v>
      </c>
      <c r="G96">
        <v>418</v>
      </c>
      <c r="H96">
        <f t="shared" si="23"/>
        <v>891</v>
      </c>
      <c r="I96">
        <f t="shared" si="24"/>
        <v>470</v>
      </c>
      <c r="J96">
        <f t="shared" si="25"/>
        <v>418</v>
      </c>
      <c r="K96" t="str">
        <f t="shared" si="13"/>
        <v>mal_trus</v>
      </c>
      <c r="L96">
        <f t="shared" si="14"/>
        <v>470</v>
      </c>
      <c r="M96">
        <f t="shared" si="15"/>
        <v>470</v>
      </c>
      <c r="N96">
        <f t="shared" si="16"/>
        <v>0</v>
      </c>
      <c r="O96">
        <f t="shared" si="17"/>
        <v>421</v>
      </c>
      <c r="P96">
        <f t="shared" si="18"/>
        <v>0</v>
      </c>
      <c r="Q96">
        <f t="shared" si="19"/>
        <v>418</v>
      </c>
    </row>
    <row r="97" spans="1:17" x14ac:dyDescent="0.25">
      <c r="A97" s="1">
        <v>44046</v>
      </c>
      <c r="B97">
        <f t="shared" si="20"/>
        <v>421</v>
      </c>
      <c r="C97">
        <f t="shared" si="21"/>
        <v>0</v>
      </c>
      <c r="D97">
        <f t="shared" si="22"/>
        <v>418</v>
      </c>
      <c r="E97">
        <v>420</v>
      </c>
      <c r="F97">
        <v>328</v>
      </c>
      <c r="G97">
        <v>422</v>
      </c>
      <c r="H97">
        <f t="shared" si="23"/>
        <v>841</v>
      </c>
      <c r="I97">
        <f t="shared" si="24"/>
        <v>328</v>
      </c>
      <c r="J97">
        <f t="shared" si="25"/>
        <v>840</v>
      </c>
      <c r="K97" t="str">
        <f t="shared" si="13"/>
        <v>mal_porz</v>
      </c>
      <c r="L97">
        <f t="shared" si="14"/>
        <v>840</v>
      </c>
      <c r="M97">
        <f t="shared" si="15"/>
        <v>0</v>
      </c>
      <c r="N97">
        <f t="shared" si="16"/>
        <v>840</v>
      </c>
      <c r="O97">
        <f t="shared" si="17"/>
        <v>1</v>
      </c>
      <c r="P97">
        <f t="shared" si="18"/>
        <v>328</v>
      </c>
      <c r="Q97">
        <f t="shared" si="19"/>
        <v>0</v>
      </c>
    </row>
    <row r="98" spans="1:17" x14ac:dyDescent="0.25">
      <c r="A98" s="1">
        <v>44047</v>
      </c>
      <c r="B98">
        <f t="shared" si="20"/>
        <v>1</v>
      </c>
      <c r="C98">
        <f t="shared" si="21"/>
        <v>328</v>
      </c>
      <c r="D98">
        <f t="shared" si="22"/>
        <v>0</v>
      </c>
      <c r="E98">
        <v>411</v>
      </c>
      <c r="F98">
        <v>481</v>
      </c>
      <c r="G98">
        <v>445</v>
      </c>
      <c r="H98">
        <f t="shared" si="23"/>
        <v>412</v>
      </c>
      <c r="I98">
        <f t="shared" si="24"/>
        <v>809</v>
      </c>
      <c r="J98">
        <f t="shared" si="25"/>
        <v>445</v>
      </c>
      <c r="K98" t="str">
        <f t="shared" si="13"/>
        <v>trus_porz</v>
      </c>
      <c r="L98">
        <f t="shared" si="14"/>
        <v>0</v>
      </c>
      <c r="M98">
        <f t="shared" si="15"/>
        <v>445</v>
      </c>
      <c r="N98">
        <f t="shared" si="16"/>
        <v>445</v>
      </c>
      <c r="O98">
        <f t="shared" si="17"/>
        <v>412</v>
      </c>
      <c r="P98">
        <f t="shared" si="18"/>
        <v>364</v>
      </c>
      <c r="Q98">
        <f t="shared" si="19"/>
        <v>0</v>
      </c>
    </row>
    <row r="99" spans="1:17" x14ac:dyDescent="0.25">
      <c r="A99" s="1">
        <v>44048</v>
      </c>
      <c r="B99">
        <f t="shared" si="20"/>
        <v>412</v>
      </c>
      <c r="C99">
        <f t="shared" si="21"/>
        <v>364</v>
      </c>
      <c r="D99">
        <f t="shared" si="22"/>
        <v>0</v>
      </c>
      <c r="E99">
        <v>317</v>
      </c>
      <c r="F99">
        <v>434</v>
      </c>
      <c r="G99">
        <v>411</v>
      </c>
      <c r="H99">
        <f t="shared" si="23"/>
        <v>729</v>
      </c>
      <c r="I99">
        <f t="shared" si="24"/>
        <v>798</v>
      </c>
      <c r="J99">
        <f t="shared" si="25"/>
        <v>411</v>
      </c>
      <c r="K99" t="str">
        <f t="shared" si="13"/>
        <v>mal_trus</v>
      </c>
      <c r="L99">
        <f t="shared" si="14"/>
        <v>729</v>
      </c>
      <c r="M99">
        <f t="shared" si="15"/>
        <v>729</v>
      </c>
      <c r="N99">
        <f t="shared" si="16"/>
        <v>0</v>
      </c>
      <c r="O99">
        <f t="shared" si="17"/>
        <v>0</v>
      </c>
      <c r="P99">
        <f t="shared" si="18"/>
        <v>69</v>
      </c>
      <c r="Q99">
        <f t="shared" si="19"/>
        <v>411</v>
      </c>
    </row>
    <row r="100" spans="1:17" x14ac:dyDescent="0.25">
      <c r="A100" s="1">
        <v>44049</v>
      </c>
      <c r="B100">
        <f t="shared" si="20"/>
        <v>0</v>
      </c>
      <c r="C100">
        <f t="shared" si="21"/>
        <v>69</v>
      </c>
      <c r="D100">
        <f t="shared" si="22"/>
        <v>411</v>
      </c>
      <c r="E100">
        <v>342</v>
      </c>
      <c r="F100">
        <v>465</v>
      </c>
      <c r="G100">
        <v>417</v>
      </c>
      <c r="H100">
        <f t="shared" si="23"/>
        <v>342</v>
      </c>
      <c r="I100">
        <f t="shared" si="24"/>
        <v>534</v>
      </c>
      <c r="J100">
        <f t="shared" si="25"/>
        <v>828</v>
      </c>
      <c r="K100" t="str">
        <f t="shared" si="13"/>
        <v>trus_porz</v>
      </c>
      <c r="L100">
        <f t="shared" si="14"/>
        <v>0</v>
      </c>
      <c r="M100">
        <f t="shared" si="15"/>
        <v>534</v>
      </c>
      <c r="N100">
        <f t="shared" si="16"/>
        <v>534</v>
      </c>
      <c r="O100">
        <f t="shared" si="17"/>
        <v>342</v>
      </c>
      <c r="P100">
        <f t="shared" si="18"/>
        <v>0</v>
      </c>
      <c r="Q100">
        <f t="shared" si="19"/>
        <v>294</v>
      </c>
    </row>
    <row r="101" spans="1:17" x14ac:dyDescent="0.25">
      <c r="A101" s="1">
        <v>44050</v>
      </c>
      <c r="B101">
        <f t="shared" si="20"/>
        <v>342</v>
      </c>
      <c r="C101">
        <f t="shared" si="21"/>
        <v>0</v>
      </c>
      <c r="D101">
        <f t="shared" si="22"/>
        <v>294</v>
      </c>
      <c r="E101">
        <v>450</v>
      </c>
      <c r="F101">
        <v>318</v>
      </c>
      <c r="G101">
        <v>490</v>
      </c>
      <c r="H101">
        <f t="shared" si="23"/>
        <v>792</v>
      </c>
      <c r="I101">
        <f t="shared" si="24"/>
        <v>318</v>
      </c>
      <c r="J101">
        <f t="shared" si="25"/>
        <v>784</v>
      </c>
      <c r="K101" t="str">
        <f t="shared" si="13"/>
        <v>mal_porz</v>
      </c>
      <c r="L101">
        <f t="shared" si="14"/>
        <v>784</v>
      </c>
      <c r="M101">
        <f t="shared" si="15"/>
        <v>0</v>
      </c>
      <c r="N101">
        <f t="shared" si="16"/>
        <v>784</v>
      </c>
      <c r="O101">
        <f t="shared" si="17"/>
        <v>8</v>
      </c>
      <c r="P101">
        <f t="shared" si="18"/>
        <v>318</v>
      </c>
      <c r="Q101">
        <f t="shared" si="19"/>
        <v>0</v>
      </c>
    </row>
    <row r="102" spans="1:17" x14ac:dyDescent="0.25">
      <c r="A102" s="1">
        <v>44051</v>
      </c>
      <c r="B102">
        <f t="shared" si="20"/>
        <v>8</v>
      </c>
      <c r="C102">
        <f t="shared" si="21"/>
        <v>318</v>
      </c>
      <c r="D102">
        <f t="shared" si="22"/>
        <v>0</v>
      </c>
      <c r="E102">
        <v>343</v>
      </c>
      <c r="F102">
        <v>329</v>
      </c>
      <c r="G102">
        <v>345</v>
      </c>
      <c r="H102">
        <f t="shared" si="23"/>
        <v>351</v>
      </c>
      <c r="I102">
        <f t="shared" si="24"/>
        <v>647</v>
      </c>
      <c r="J102">
        <f t="shared" si="25"/>
        <v>345</v>
      </c>
      <c r="K102" t="str">
        <f t="shared" si="13"/>
        <v>mal_trus</v>
      </c>
      <c r="L102">
        <f t="shared" si="14"/>
        <v>351</v>
      </c>
      <c r="M102">
        <f t="shared" si="15"/>
        <v>351</v>
      </c>
      <c r="N102">
        <f t="shared" si="16"/>
        <v>0</v>
      </c>
      <c r="O102">
        <f t="shared" si="17"/>
        <v>0</v>
      </c>
      <c r="P102">
        <f t="shared" si="18"/>
        <v>296</v>
      </c>
      <c r="Q102">
        <f t="shared" si="19"/>
        <v>345</v>
      </c>
    </row>
    <row r="103" spans="1:17" x14ac:dyDescent="0.25">
      <c r="A103" s="1">
        <v>44052</v>
      </c>
      <c r="B103">
        <f t="shared" si="20"/>
        <v>0</v>
      </c>
      <c r="C103">
        <f t="shared" si="21"/>
        <v>296</v>
      </c>
      <c r="D103">
        <f t="shared" si="22"/>
        <v>345</v>
      </c>
      <c r="E103">
        <v>287</v>
      </c>
      <c r="F103">
        <v>328</v>
      </c>
      <c r="G103">
        <v>377</v>
      </c>
      <c r="H103">
        <f t="shared" si="23"/>
        <v>287</v>
      </c>
      <c r="I103">
        <f t="shared" si="24"/>
        <v>624</v>
      </c>
      <c r="J103">
        <f t="shared" si="25"/>
        <v>722</v>
      </c>
      <c r="K103" t="str">
        <f t="shared" si="13"/>
        <v>trus_porz</v>
      </c>
      <c r="L103">
        <f t="shared" si="14"/>
        <v>0</v>
      </c>
      <c r="M103">
        <f t="shared" si="15"/>
        <v>624</v>
      </c>
      <c r="N103">
        <f t="shared" si="16"/>
        <v>624</v>
      </c>
      <c r="O103">
        <f t="shared" si="17"/>
        <v>287</v>
      </c>
      <c r="P103">
        <f t="shared" si="18"/>
        <v>0</v>
      </c>
      <c r="Q103">
        <f t="shared" si="19"/>
        <v>98</v>
      </c>
    </row>
    <row r="104" spans="1:17" x14ac:dyDescent="0.25">
      <c r="A104" s="1">
        <v>44053</v>
      </c>
      <c r="B104">
        <f t="shared" si="20"/>
        <v>287</v>
      </c>
      <c r="C104">
        <f t="shared" si="21"/>
        <v>0</v>
      </c>
      <c r="D104">
        <f t="shared" si="22"/>
        <v>98</v>
      </c>
      <c r="E104">
        <v>298</v>
      </c>
      <c r="F104">
        <v>401</v>
      </c>
      <c r="G104">
        <v>416</v>
      </c>
      <c r="H104">
        <f t="shared" si="23"/>
        <v>585</v>
      </c>
      <c r="I104">
        <f t="shared" si="24"/>
        <v>401</v>
      </c>
      <c r="J104">
        <f t="shared" si="25"/>
        <v>514</v>
      </c>
      <c r="K104" t="str">
        <f t="shared" si="13"/>
        <v>mal_porz</v>
      </c>
      <c r="L104">
        <f t="shared" si="14"/>
        <v>514</v>
      </c>
      <c r="M104">
        <f t="shared" si="15"/>
        <v>0</v>
      </c>
      <c r="N104">
        <f t="shared" si="16"/>
        <v>514</v>
      </c>
      <c r="O104">
        <f t="shared" si="17"/>
        <v>71</v>
      </c>
      <c r="P104">
        <f t="shared" si="18"/>
        <v>401</v>
      </c>
      <c r="Q104">
        <f t="shared" si="19"/>
        <v>0</v>
      </c>
    </row>
    <row r="105" spans="1:17" x14ac:dyDescent="0.25">
      <c r="A105" s="1">
        <v>44054</v>
      </c>
      <c r="B105">
        <f t="shared" si="20"/>
        <v>71</v>
      </c>
      <c r="C105">
        <f t="shared" si="21"/>
        <v>401</v>
      </c>
      <c r="D105">
        <f t="shared" si="22"/>
        <v>0</v>
      </c>
      <c r="E105">
        <v>429</v>
      </c>
      <c r="F105">
        <v>348</v>
      </c>
      <c r="G105">
        <v>426</v>
      </c>
      <c r="H105">
        <f t="shared" si="23"/>
        <v>500</v>
      </c>
      <c r="I105">
        <f t="shared" si="24"/>
        <v>749</v>
      </c>
      <c r="J105">
        <f t="shared" si="25"/>
        <v>426</v>
      </c>
      <c r="K105" t="str">
        <f t="shared" si="13"/>
        <v>mal_trus</v>
      </c>
      <c r="L105">
        <f t="shared" si="14"/>
        <v>500</v>
      </c>
      <c r="M105">
        <f t="shared" si="15"/>
        <v>500</v>
      </c>
      <c r="N105">
        <f t="shared" si="16"/>
        <v>0</v>
      </c>
      <c r="O105">
        <f t="shared" si="17"/>
        <v>0</v>
      </c>
      <c r="P105">
        <f t="shared" si="18"/>
        <v>249</v>
      </c>
      <c r="Q105">
        <f t="shared" si="19"/>
        <v>426</v>
      </c>
    </row>
    <row r="106" spans="1:17" x14ac:dyDescent="0.25">
      <c r="A106" s="1">
        <v>44055</v>
      </c>
      <c r="B106">
        <f t="shared" si="20"/>
        <v>0</v>
      </c>
      <c r="C106">
        <f t="shared" si="21"/>
        <v>249</v>
      </c>
      <c r="D106">
        <f t="shared" si="22"/>
        <v>426</v>
      </c>
      <c r="E106">
        <v>417</v>
      </c>
      <c r="F106">
        <v>457</v>
      </c>
      <c r="G106">
        <v>438</v>
      </c>
      <c r="H106">
        <f t="shared" si="23"/>
        <v>417</v>
      </c>
      <c r="I106">
        <f t="shared" si="24"/>
        <v>706</v>
      </c>
      <c r="J106">
        <f t="shared" si="25"/>
        <v>864</v>
      </c>
      <c r="K106" t="str">
        <f t="shared" si="13"/>
        <v>trus_porz</v>
      </c>
      <c r="L106">
        <f t="shared" si="14"/>
        <v>0</v>
      </c>
      <c r="M106">
        <f t="shared" si="15"/>
        <v>706</v>
      </c>
      <c r="N106">
        <f t="shared" si="16"/>
        <v>706</v>
      </c>
      <c r="O106">
        <f t="shared" si="17"/>
        <v>417</v>
      </c>
      <c r="P106">
        <f t="shared" si="18"/>
        <v>0</v>
      </c>
      <c r="Q106">
        <f t="shared" si="19"/>
        <v>158</v>
      </c>
    </row>
    <row r="107" spans="1:17" x14ac:dyDescent="0.25">
      <c r="A107" s="1">
        <v>44056</v>
      </c>
      <c r="B107">
        <f t="shared" si="20"/>
        <v>417</v>
      </c>
      <c r="C107">
        <f t="shared" si="21"/>
        <v>0</v>
      </c>
      <c r="D107">
        <f t="shared" si="22"/>
        <v>158</v>
      </c>
      <c r="E107">
        <v>384</v>
      </c>
      <c r="F107">
        <v>330</v>
      </c>
      <c r="G107">
        <v>292</v>
      </c>
      <c r="H107">
        <f t="shared" si="23"/>
        <v>801</v>
      </c>
      <c r="I107">
        <f t="shared" si="24"/>
        <v>330</v>
      </c>
      <c r="J107">
        <f t="shared" si="25"/>
        <v>450</v>
      </c>
      <c r="K107" t="str">
        <f t="shared" si="13"/>
        <v>mal_porz</v>
      </c>
      <c r="L107">
        <f t="shared" si="14"/>
        <v>450</v>
      </c>
      <c r="M107">
        <f t="shared" si="15"/>
        <v>0</v>
      </c>
      <c r="N107">
        <f t="shared" si="16"/>
        <v>450</v>
      </c>
      <c r="O107">
        <f t="shared" si="17"/>
        <v>351</v>
      </c>
      <c r="P107">
        <f t="shared" si="18"/>
        <v>330</v>
      </c>
      <c r="Q107">
        <f t="shared" si="19"/>
        <v>0</v>
      </c>
    </row>
    <row r="108" spans="1:17" x14ac:dyDescent="0.25">
      <c r="A108" s="1">
        <v>44057</v>
      </c>
      <c r="B108">
        <f t="shared" si="20"/>
        <v>351</v>
      </c>
      <c r="C108">
        <f t="shared" si="21"/>
        <v>330</v>
      </c>
      <c r="D108">
        <f t="shared" si="22"/>
        <v>0</v>
      </c>
      <c r="E108">
        <v>370</v>
      </c>
      <c r="F108">
        <v>388</v>
      </c>
      <c r="G108">
        <v>390</v>
      </c>
      <c r="H108">
        <f t="shared" si="23"/>
        <v>721</v>
      </c>
      <c r="I108">
        <f t="shared" si="24"/>
        <v>718</v>
      </c>
      <c r="J108">
        <f t="shared" si="25"/>
        <v>390</v>
      </c>
      <c r="K108" t="str">
        <f t="shared" si="13"/>
        <v>mal_trus</v>
      </c>
      <c r="L108">
        <f t="shared" si="14"/>
        <v>718</v>
      </c>
      <c r="M108">
        <f t="shared" si="15"/>
        <v>718</v>
      </c>
      <c r="N108">
        <f t="shared" si="16"/>
        <v>0</v>
      </c>
      <c r="O108">
        <f t="shared" si="17"/>
        <v>3</v>
      </c>
      <c r="P108">
        <f t="shared" si="18"/>
        <v>0</v>
      </c>
      <c r="Q108">
        <f t="shared" si="19"/>
        <v>390</v>
      </c>
    </row>
    <row r="109" spans="1:17" x14ac:dyDescent="0.25">
      <c r="A109" s="1">
        <v>44058</v>
      </c>
      <c r="B109">
        <f t="shared" si="20"/>
        <v>3</v>
      </c>
      <c r="C109">
        <f t="shared" si="21"/>
        <v>0</v>
      </c>
      <c r="D109">
        <f t="shared" si="22"/>
        <v>390</v>
      </c>
      <c r="E109">
        <v>436</v>
      </c>
      <c r="F109">
        <v>298</v>
      </c>
      <c r="G109">
        <v>420</v>
      </c>
      <c r="H109">
        <f t="shared" si="23"/>
        <v>439</v>
      </c>
      <c r="I109">
        <f t="shared" si="24"/>
        <v>298</v>
      </c>
      <c r="J109">
        <f t="shared" si="25"/>
        <v>810</v>
      </c>
      <c r="K109" t="str">
        <f t="shared" si="13"/>
        <v>mal_porz</v>
      </c>
      <c r="L109">
        <f t="shared" si="14"/>
        <v>439</v>
      </c>
      <c r="M109">
        <f t="shared" si="15"/>
        <v>0</v>
      </c>
      <c r="N109">
        <f t="shared" si="16"/>
        <v>439</v>
      </c>
      <c r="O109">
        <f t="shared" si="17"/>
        <v>0</v>
      </c>
      <c r="P109">
        <f t="shared" si="18"/>
        <v>298</v>
      </c>
      <c r="Q109">
        <f t="shared" si="19"/>
        <v>371</v>
      </c>
    </row>
    <row r="110" spans="1:17" x14ac:dyDescent="0.25">
      <c r="A110" s="1">
        <v>44059</v>
      </c>
      <c r="B110">
        <f t="shared" si="20"/>
        <v>0</v>
      </c>
      <c r="C110">
        <f t="shared" si="21"/>
        <v>298</v>
      </c>
      <c r="D110">
        <f t="shared" si="22"/>
        <v>371</v>
      </c>
      <c r="E110">
        <v>303</v>
      </c>
      <c r="F110">
        <v>429</v>
      </c>
      <c r="G110">
        <v>407</v>
      </c>
      <c r="H110">
        <f t="shared" si="23"/>
        <v>303</v>
      </c>
      <c r="I110">
        <f t="shared" si="24"/>
        <v>727</v>
      </c>
      <c r="J110">
        <f t="shared" si="25"/>
        <v>778</v>
      </c>
      <c r="K110" t="str">
        <f t="shared" si="13"/>
        <v>trus_porz</v>
      </c>
      <c r="L110">
        <f t="shared" si="14"/>
        <v>0</v>
      </c>
      <c r="M110">
        <f t="shared" si="15"/>
        <v>727</v>
      </c>
      <c r="N110">
        <f t="shared" si="16"/>
        <v>727</v>
      </c>
      <c r="O110">
        <f t="shared" si="17"/>
        <v>303</v>
      </c>
      <c r="P110">
        <f t="shared" si="18"/>
        <v>0</v>
      </c>
      <c r="Q110">
        <f t="shared" si="19"/>
        <v>51</v>
      </c>
    </row>
    <row r="111" spans="1:17" x14ac:dyDescent="0.25">
      <c r="A111" s="1">
        <v>44060</v>
      </c>
      <c r="B111">
        <f t="shared" si="20"/>
        <v>303</v>
      </c>
      <c r="C111">
        <f t="shared" si="21"/>
        <v>0</v>
      </c>
      <c r="D111">
        <f t="shared" si="22"/>
        <v>51</v>
      </c>
      <c r="E111">
        <v>449</v>
      </c>
      <c r="F111">
        <v>444</v>
      </c>
      <c r="G111">
        <v>425</v>
      </c>
      <c r="H111">
        <f t="shared" si="23"/>
        <v>752</v>
      </c>
      <c r="I111">
        <f t="shared" si="24"/>
        <v>444</v>
      </c>
      <c r="J111">
        <f t="shared" si="25"/>
        <v>476</v>
      </c>
      <c r="K111" t="str">
        <f t="shared" si="13"/>
        <v>mal_porz</v>
      </c>
      <c r="L111">
        <f t="shared" si="14"/>
        <v>476</v>
      </c>
      <c r="M111">
        <f t="shared" si="15"/>
        <v>0</v>
      </c>
      <c r="N111">
        <f t="shared" si="16"/>
        <v>476</v>
      </c>
      <c r="O111">
        <f t="shared" si="17"/>
        <v>276</v>
      </c>
      <c r="P111">
        <f t="shared" si="18"/>
        <v>444</v>
      </c>
      <c r="Q111">
        <f t="shared" si="19"/>
        <v>0</v>
      </c>
    </row>
    <row r="112" spans="1:17" x14ac:dyDescent="0.25">
      <c r="A112" s="1">
        <v>44061</v>
      </c>
      <c r="B112">
        <f t="shared" si="20"/>
        <v>276</v>
      </c>
      <c r="C112">
        <f t="shared" si="21"/>
        <v>444</v>
      </c>
      <c r="D112">
        <f t="shared" si="22"/>
        <v>0</v>
      </c>
      <c r="E112">
        <v>300</v>
      </c>
      <c r="F112">
        <v>358</v>
      </c>
      <c r="G112">
        <v>377</v>
      </c>
      <c r="H112">
        <f t="shared" si="23"/>
        <v>576</v>
      </c>
      <c r="I112">
        <f t="shared" si="24"/>
        <v>802</v>
      </c>
      <c r="J112">
        <f t="shared" si="25"/>
        <v>377</v>
      </c>
      <c r="K112" t="str">
        <f t="shared" si="13"/>
        <v>mal_trus</v>
      </c>
      <c r="L112">
        <f t="shared" si="14"/>
        <v>576</v>
      </c>
      <c r="M112">
        <f t="shared" si="15"/>
        <v>576</v>
      </c>
      <c r="N112">
        <f t="shared" si="16"/>
        <v>0</v>
      </c>
      <c r="O112">
        <f t="shared" si="17"/>
        <v>0</v>
      </c>
      <c r="P112">
        <f t="shared" si="18"/>
        <v>226</v>
      </c>
      <c r="Q112">
        <f t="shared" si="19"/>
        <v>377</v>
      </c>
    </row>
    <row r="113" spans="1:17" x14ac:dyDescent="0.25">
      <c r="A113" s="1">
        <v>44062</v>
      </c>
      <c r="B113">
        <f t="shared" si="20"/>
        <v>0</v>
      </c>
      <c r="C113">
        <f t="shared" si="21"/>
        <v>226</v>
      </c>
      <c r="D113">
        <f t="shared" si="22"/>
        <v>377</v>
      </c>
      <c r="E113">
        <v>307</v>
      </c>
      <c r="F113">
        <v>417</v>
      </c>
      <c r="G113">
        <v>405</v>
      </c>
      <c r="H113">
        <f t="shared" si="23"/>
        <v>307</v>
      </c>
      <c r="I113">
        <f t="shared" si="24"/>
        <v>643</v>
      </c>
      <c r="J113">
        <f t="shared" si="25"/>
        <v>782</v>
      </c>
      <c r="K113" t="str">
        <f t="shared" si="13"/>
        <v>trus_porz</v>
      </c>
      <c r="L113">
        <f t="shared" si="14"/>
        <v>0</v>
      </c>
      <c r="M113">
        <f t="shared" si="15"/>
        <v>643</v>
      </c>
      <c r="N113">
        <f t="shared" si="16"/>
        <v>643</v>
      </c>
      <c r="O113">
        <f t="shared" si="17"/>
        <v>307</v>
      </c>
      <c r="P113">
        <f t="shared" si="18"/>
        <v>0</v>
      </c>
      <c r="Q113">
        <f t="shared" si="19"/>
        <v>139</v>
      </c>
    </row>
    <row r="114" spans="1:17" x14ac:dyDescent="0.25">
      <c r="A114" s="1">
        <v>44063</v>
      </c>
      <c r="B114">
        <f t="shared" si="20"/>
        <v>307</v>
      </c>
      <c r="C114">
        <f t="shared" si="21"/>
        <v>0</v>
      </c>
      <c r="D114">
        <f t="shared" si="22"/>
        <v>139</v>
      </c>
      <c r="E114">
        <v>314</v>
      </c>
      <c r="F114">
        <v>340</v>
      </c>
      <c r="G114">
        <v>345</v>
      </c>
      <c r="H114">
        <f t="shared" si="23"/>
        <v>621</v>
      </c>
      <c r="I114">
        <f t="shared" si="24"/>
        <v>340</v>
      </c>
      <c r="J114">
        <f t="shared" si="25"/>
        <v>484</v>
      </c>
      <c r="K114" t="str">
        <f t="shared" si="13"/>
        <v>mal_porz</v>
      </c>
      <c r="L114">
        <f t="shared" si="14"/>
        <v>484</v>
      </c>
      <c r="M114">
        <f t="shared" si="15"/>
        <v>0</v>
      </c>
      <c r="N114">
        <f t="shared" si="16"/>
        <v>484</v>
      </c>
      <c r="O114">
        <f t="shared" si="17"/>
        <v>137</v>
      </c>
      <c r="P114">
        <f t="shared" si="18"/>
        <v>340</v>
      </c>
      <c r="Q114">
        <f t="shared" si="19"/>
        <v>0</v>
      </c>
    </row>
    <row r="115" spans="1:17" x14ac:dyDescent="0.25">
      <c r="A115" s="1">
        <v>44064</v>
      </c>
      <c r="B115">
        <f t="shared" si="20"/>
        <v>137</v>
      </c>
      <c r="C115">
        <f t="shared" si="21"/>
        <v>340</v>
      </c>
      <c r="D115">
        <f t="shared" si="22"/>
        <v>0</v>
      </c>
      <c r="E115">
        <v>379</v>
      </c>
      <c r="F115">
        <v>288</v>
      </c>
      <c r="G115">
        <v>353</v>
      </c>
      <c r="H115">
        <f t="shared" si="23"/>
        <v>516</v>
      </c>
      <c r="I115">
        <f t="shared" si="24"/>
        <v>628</v>
      </c>
      <c r="J115">
        <f t="shared" si="25"/>
        <v>353</v>
      </c>
      <c r="K115" t="str">
        <f t="shared" si="13"/>
        <v>mal_trus</v>
      </c>
      <c r="L115">
        <f t="shared" si="14"/>
        <v>516</v>
      </c>
      <c r="M115">
        <f t="shared" si="15"/>
        <v>516</v>
      </c>
      <c r="N115">
        <f t="shared" si="16"/>
        <v>0</v>
      </c>
      <c r="O115">
        <f t="shared" si="17"/>
        <v>0</v>
      </c>
      <c r="P115">
        <f t="shared" si="18"/>
        <v>112</v>
      </c>
      <c r="Q115">
        <f t="shared" si="19"/>
        <v>353</v>
      </c>
    </row>
    <row r="116" spans="1:17" x14ac:dyDescent="0.25">
      <c r="A116" s="1">
        <v>44065</v>
      </c>
      <c r="B116">
        <f t="shared" si="20"/>
        <v>0</v>
      </c>
      <c r="C116">
        <f t="shared" si="21"/>
        <v>112</v>
      </c>
      <c r="D116">
        <f t="shared" si="22"/>
        <v>353</v>
      </c>
      <c r="E116">
        <v>405</v>
      </c>
      <c r="F116">
        <v>454</v>
      </c>
      <c r="G116">
        <v>342</v>
      </c>
      <c r="H116">
        <f t="shared" si="23"/>
        <v>405</v>
      </c>
      <c r="I116">
        <f t="shared" si="24"/>
        <v>566</v>
      </c>
      <c r="J116">
        <f t="shared" si="25"/>
        <v>695</v>
      </c>
      <c r="K116" t="str">
        <f t="shared" si="13"/>
        <v>trus_porz</v>
      </c>
      <c r="L116">
        <f t="shared" si="14"/>
        <v>0</v>
      </c>
      <c r="M116">
        <f t="shared" si="15"/>
        <v>566</v>
      </c>
      <c r="N116">
        <f t="shared" si="16"/>
        <v>566</v>
      </c>
      <c r="O116">
        <f t="shared" si="17"/>
        <v>405</v>
      </c>
      <c r="P116">
        <f t="shared" si="18"/>
        <v>0</v>
      </c>
      <c r="Q116">
        <f t="shared" si="19"/>
        <v>129</v>
      </c>
    </row>
    <row r="117" spans="1:17" x14ac:dyDescent="0.25">
      <c r="A117" s="1">
        <v>44066</v>
      </c>
      <c r="B117">
        <f t="shared" si="20"/>
        <v>405</v>
      </c>
      <c r="C117">
        <f t="shared" si="21"/>
        <v>0</v>
      </c>
      <c r="D117">
        <f t="shared" si="22"/>
        <v>129</v>
      </c>
      <c r="E117">
        <v>407</v>
      </c>
      <c r="F117">
        <v>300</v>
      </c>
      <c r="G117">
        <v>365</v>
      </c>
      <c r="H117">
        <f t="shared" si="23"/>
        <v>812</v>
      </c>
      <c r="I117">
        <f t="shared" si="24"/>
        <v>300</v>
      </c>
      <c r="J117">
        <f t="shared" si="25"/>
        <v>494</v>
      </c>
      <c r="K117" t="str">
        <f t="shared" si="13"/>
        <v>mal_porz</v>
      </c>
      <c r="L117">
        <f t="shared" si="14"/>
        <v>494</v>
      </c>
      <c r="M117">
        <f t="shared" si="15"/>
        <v>0</v>
      </c>
      <c r="N117">
        <f t="shared" si="16"/>
        <v>494</v>
      </c>
      <c r="O117">
        <f t="shared" si="17"/>
        <v>318</v>
      </c>
      <c r="P117">
        <f t="shared" si="18"/>
        <v>300</v>
      </c>
      <c r="Q117">
        <f t="shared" si="19"/>
        <v>0</v>
      </c>
    </row>
    <row r="118" spans="1:17" x14ac:dyDescent="0.25">
      <c r="A118" s="1">
        <v>44067</v>
      </c>
      <c r="B118">
        <f t="shared" si="20"/>
        <v>318</v>
      </c>
      <c r="C118">
        <f t="shared" si="21"/>
        <v>300</v>
      </c>
      <c r="D118">
        <f t="shared" si="22"/>
        <v>0</v>
      </c>
      <c r="E118">
        <v>432</v>
      </c>
      <c r="F118">
        <v>423</v>
      </c>
      <c r="G118">
        <v>221</v>
      </c>
      <c r="H118">
        <f t="shared" si="23"/>
        <v>750</v>
      </c>
      <c r="I118">
        <f t="shared" si="24"/>
        <v>723</v>
      </c>
      <c r="J118">
        <f t="shared" si="25"/>
        <v>221</v>
      </c>
      <c r="K118" t="str">
        <f t="shared" si="13"/>
        <v>mal_trus</v>
      </c>
      <c r="L118">
        <f t="shared" si="14"/>
        <v>723</v>
      </c>
      <c r="M118">
        <f t="shared" si="15"/>
        <v>723</v>
      </c>
      <c r="N118">
        <f t="shared" si="16"/>
        <v>0</v>
      </c>
      <c r="O118">
        <f t="shared" si="17"/>
        <v>27</v>
      </c>
      <c r="P118">
        <f t="shared" si="18"/>
        <v>0</v>
      </c>
      <c r="Q118">
        <f t="shared" si="19"/>
        <v>221</v>
      </c>
    </row>
    <row r="119" spans="1:17" x14ac:dyDescent="0.25">
      <c r="A119" s="1">
        <v>44068</v>
      </c>
      <c r="B119">
        <f t="shared" si="20"/>
        <v>27</v>
      </c>
      <c r="C119">
        <f t="shared" si="21"/>
        <v>0</v>
      </c>
      <c r="D119">
        <f t="shared" si="22"/>
        <v>221</v>
      </c>
      <c r="E119">
        <v>405</v>
      </c>
      <c r="F119">
        <v>449</v>
      </c>
      <c r="G119">
        <v>231</v>
      </c>
      <c r="H119">
        <f t="shared" si="23"/>
        <v>432</v>
      </c>
      <c r="I119">
        <f t="shared" si="24"/>
        <v>449</v>
      </c>
      <c r="J119">
        <f t="shared" si="25"/>
        <v>452</v>
      </c>
      <c r="K119" t="str">
        <f t="shared" si="13"/>
        <v>trus_porz</v>
      </c>
      <c r="L119">
        <f t="shared" si="14"/>
        <v>0</v>
      </c>
      <c r="M119">
        <f t="shared" si="15"/>
        <v>449</v>
      </c>
      <c r="N119">
        <f t="shared" si="16"/>
        <v>449</v>
      </c>
      <c r="O119">
        <f t="shared" si="17"/>
        <v>432</v>
      </c>
      <c r="P119">
        <f t="shared" si="18"/>
        <v>0</v>
      </c>
      <c r="Q119">
        <f t="shared" si="19"/>
        <v>3</v>
      </c>
    </row>
    <row r="120" spans="1:17" x14ac:dyDescent="0.25">
      <c r="A120" s="1">
        <v>44069</v>
      </c>
      <c r="B120">
        <f t="shared" si="20"/>
        <v>432</v>
      </c>
      <c r="C120">
        <f t="shared" si="21"/>
        <v>0</v>
      </c>
      <c r="D120">
        <f t="shared" si="22"/>
        <v>3</v>
      </c>
      <c r="E120">
        <v>162</v>
      </c>
      <c r="F120">
        <v>294</v>
      </c>
      <c r="G120">
        <v>255</v>
      </c>
      <c r="H120">
        <f t="shared" si="23"/>
        <v>594</v>
      </c>
      <c r="I120">
        <f t="shared" si="24"/>
        <v>294</v>
      </c>
      <c r="J120">
        <f t="shared" si="25"/>
        <v>258</v>
      </c>
      <c r="K120" t="str">
        <f t="shared" si="13"/>
        <v>mal_trus</v>
      </c>
      <c r="L120">
        <f t="shared" si="14"/>
        <v>294</v>
      </c>
      <c r="M120">
        <f t="shared" si="15"/>
        <v>294</v>
      </c>
      <c r="N120">
        <f t="shared" si="16"/>
        <v>0</v>
      </c>
      <c r="O120">
        <f t="shared" si="17"/>
        <v>300</v>
      </c>
      <c r="P120">
        <f t="shared" si="18"/>
        <v>0</v>
      </c>
      <c r="Q120">
        <f t="shared" si="19"/>
        <v>258</v>
      </c>
    </row>
    <row r="121" spans="1:17" x14ac:dyDescent="0.25">
      <c r="A121" s="1">
        <v>44070</v>
      </c>
      <c r="B121">
        <f t="shared" si="20"/>
        <v>300</v>
      </c>
      <c r="C121">
        <f t="shared" si="21"/>
        <v>0</v>
      </c>
      <c r="D121">
        <f t="shared" si="22"/>
        <v>258</v>
      </c>
      <c r="E121">
        <v>297</v>
      </c>
      <c r="F121">
        <v>341</v>
      </c>
      <c r="G121">
        <v>223</v>
      </c>
      <c r="H121">
        <f t="shared" si="23"/>
        <v>597</v>
      </c>
      <c r="I121">
        <f t="shared" si="24"/>
        <v>341</v>
      </c>
      <c r="J121">
        <f t="shared" si="25"/>
        <v>481</v>
      </c>
      <c r="K121" t="str">
        <f t="shared" si="13"/>
        <v>mal_porz</v>
      </c>
      <c r="L121">
        <f t="shared" si="14"/>
        <v>481</v>
      </c>
      <c r="M121">
        <f t="shared" si="15"/>
        <v>0</v>
      </c>
      <c r="N121">
        <f t="shared" si="16"/>
        <v>481</v>
      </c>
      <c r="O121">
        <f t="shared" si="17"/>
        <v>116</v>
      </c>
      <c r="P121">
        <f t="shared" si="18"/>
        <v>341</v>
      </c>
      <c r="Q121">
        <f t="shared" si="19"/>
        <v>0</v>
      </c>
    </row>
    <row r="122" spans="1:17" x14ac:dyDescent="0.25">
      <c r="A122" s="1">
        <v>44071</v>
      </c>
      <c r="B122">
        <f t="shared" si="20"/>
        <v>116</v>
      </c>
      <c r="C122">
        <f t="shared" si="21"/>
        <v>341</v>
      </c>
      <c r="D122">
        <f t="shared" si="22"/>
        <v>0</v>
      </c>
      <c r="E122">
        <v>226</v>
      </c>
      <c r="F122">
        <v>329</v>
      </c>
      <c r="G122">
        <v>261</v>
      </c>
      <c r="H122">
        <f t="shared" si="23"/>
        <v>342</v>
      </c>
      <c r="I122">
        <f t="shared" si="24"/>
        <v>670</v>
      </c>
      <c r="J122">
        <f t="shared" si="25"/>
        <v>261</v>
      </c>
      <c r="K122" t="str">
        <f t="shared" si="13"/>
        <v>mal_trus</v>
      </c>
      <c r="L122">
        <f t="shared" si="14"/>
        <v>342</v>
      </c>
      <c r="M122">
        <f t="shared" si="15"/>
        <v>342</v>
      </c>
      <c r="N122">
        <f t="shared" si="16"/>
        <v>0</v>
      </c>
      <c r="O122">
        <f t="shared" si="17"/>
        <v>0</v>
      </c>
      <c r="P122">
        <f t="shared" si="18"/>
        <v>328</v>
      </c>
      <c r="Q122">
        <f t="shared" si="19"/>
        <v>261</v>
      </c>
    </row>
    <row r="123" spans="1:17" x14ac:dyDescent="0.25">
      <c r="A123" s="1">
        <v>44072</v>
      </c>
      <c r="B123">
        <f t="shared" si="20"/>
        <v>0</v>
      </c>
      <c r="C123">
        <f t="shared" si="21"/>
        <v>328</v>
      </c>
      <c r="D123">
        <f t="shared" si="22"/>
        <v>261</v>
      </c>
      <c r="E123">
        <v>226</v>
      </c>
      <c r="F123">
        <v>256</v>
      </c>
      <c r="G123">
        <v>239</v>
      </c>
      <c r="H123">
        <f t="shared" si="23"/>
        <v>226</v>
      </c>
      <c r="I123">
        <f t="shared" si="24"/>
        <v>584</v>
      </c>
      <c r="J123">
        <f t="shared" si="25"/>
        <v>500</v>
      </c>
      <c r="K123" t="str">
        <f t="shared" si="13"/>
        <v>trus_porz</v>
      </c>
      <c r="L123">
        <f t="shared" si="14"/>
        <v>0</v>
      </c>
      <c r="M123">
        <f t="shared" si="15"/>
        <v>500</v>
      </c>
      <c r="N123">
        <f t="shared" si="16"/>
        <v>500</v>
      </c>
      <c r="O123">
        <f t="shared" si="17"/>
        <v>226</v>
      </c>
      <c r="P123">
        <f t="shared" si="18"/>
        <v>84</v>
      </c>
      <c r="Q123">
        <f t="shared" si="19"/>
        <v>0</v>
      </c>
    </row>
    <row r="124" spans="1:17" x14ac:dyDescent="0.25">
      <c r="A124" s="1">
        <v>44073</v>
      </c>
      <c r="B124">
        <f t="shared" si="20"/>
        <v>226</v>
      </c>
      <c r="C124">
        <f t="shared" si="21"/>
        <v>84</v>
      </c>
      <c r="D124">
        <f t="shared" si="22"/>
        <v>0</v>
      </c>
      <c r="E124">
        <v>287</v>
      </c>
      <c r="F124">
        <v>217</v>
      </c>
      <c r="G124">
        <v>262</v>
      </c>
      <c r="H124">
        <f t="shared" si="23"/>
        <v>513</v>
      </c>
      <c r="I124">
        <f t="shared" si="24"/>
        <v>301</v>
      </c>
      <c r="J124">
        <f t="shared" si="25"/>
        <v>262</v>
      </c>
      <c r="K124" t="str">
        <f t="shared" si="13"/>
        <v>mal_trus</v>
      </c>
      <c r="L124">
        <f t="shared" si="14"/>
        <v>301</v>
      </c>
      <c r="M124">
        <f t="shared" si="15"/>
        <v>301</v>
      </c>
      <c r="N124">
        <f t="shared" si="16"/>
        <v>0</v>
      </c>
      <c r="O124">
        <f t="shared" si="17"/>
        <v>212</v>
      </c>
      <c r="P124">
        <f t="shared" si="18"/>
        <v>0</v>
      </c>
      <c r="Q124">
        <f t="shared" si="19"/>
        <v>262</v>
      </c>
    </row>
    <row r="125" spans="1:17" x14ac:dyDescent="0.25">
      <c r="A125" s="1">
        <v>44074</v>
      </c>
      <c r="B125">
        <f t="shared" si="20"/>
        <v>212</v>
      </c>
      <c r="C125">
        <f t="shared" si="21"/>
        <v>0</v>
      </c>
      <c r="D125">
        <f t="shared" si="22"/>
        <v>262</v>
      </c>
      <c r="E125">
        <v>351</v>
      </c>
      <c r="F125">
        <v>266</v>
      </c>
      <c r="G125">
        <v>226</v>
      </c>
      <c r="H125">
        <f t="shared" si="23"/>
        <v>563</v>
      </c>
      <c r="I125">
        <f t="shared" si="24"/>
        <v>266</v>
      </c>
      <c r="J125">
        <f t="shared" si="25"/>
        <v>488</v>
      </c>
      <c r="K125" t="str">
        <f t="shared" si="13"/>
        <v>mal_porz</v>
      </c>
      <c r="L125">
        <f t="shared" si="14"/>
        <v>488</v>
      </c>
      <c r="M125">
        <f t="shared" si="15"/>
        <v>0</v>
      </c>
      <c r="N125">
        <f t="shared" si="16"/>
        <v>488</v>
      </c>
      <c r="O125">
        <f t="shared" si="17"/>
        <v>75</v>
      </c>
      <c r="P125">
        <f t="shared" si="18"/>
        <v>266</v>
      </c>
      <c r="Q125">
        <f t="shared" si="19"/>
        <v>0</v>
      </c>
    </row>
    <row r="126" spans="1:17" x14ac:dyDescent="0.25">
      <c r="A126" s="1">
        <v>44075</v>
      </c>
      <c r="B126">
        <f t="shared" si="20"/>
        <v>75</v>
      </c>
      <c r="C126">
        <f t="shared" si="21"/>
        <v>266</v>
      </c>
      <c r="D126">
        <f t="shared" si="22"/>
        <v>0</v>
      </c>
      <c r="E126">
        <v>214</v>
      </c>
      <c r="F126">
        <v>260</v>
      </c>
      <c r="G126">
        <v>241</v>
      </c>
      <c r="H126">
        <f t="shared" si="23"/>
        <v>289</v>
      </c>
      <c r="I126">
        <f t="shared" si="24"/>
        <v>526</v>
      </c>
      <c r="J126">
        <f t="shared" si="25"/>
        <v>241</v>
      </c>
      <c r="K126" t="str">
        <f t="shared" si="13"/>
        <v>mal_trus</v>
      </c>
      <c r="L126">
        <f t="shared" si="14"/>
        <v>289</v>
      </c>
      <c r="M126">
        <f t="shared" si="15"/>
        <v>289</v>
      </c>
      <c r="N126">
        <f t="shared" si="16"/>
        <v>0</v>
      </c>
      <c r="O126">
        <f t="shared" si="17"/>
        <v>0</v>
      </c>
      <c r="P126">
        <f t="shared" si="18"/>
        <v>237</v>
      </c>
      <c r="Q126">
        <f t="shared" si="19"/>
        <v>241</v>
      </c>
    </row>
    <row r="127" spans="1:17" x14ac:dyDescent="0.25">
      <c r="A127" s="1">
        <v>44076</v>
      </c>
      <c r="B127">
        <f t="shared" si="20"/>
        <v>0</v>
      </c>
      <c r="C127">
        <f t="shared" si="21"/>
        <v>237</v>
      </c>
      <c r="D127">
        <f t="shared" si="22"/>
        <v>241</v>
      </c>
      <c r="E127">
        <v>282</v>
      </c>
      <c r="F127">
        <v>227</v>
      </c>
      <c r="G127">
        <v>258</v>
      </c>
      <c r="H127">
        <f t="shared" si="23"/>
        <v>282</v>
      </c>
      <c r="I127">
        <f t="shared" si="24"/>
        <v>464</v>
      </c>
      <c r="J127">
        <f t="shared" si="25"/>
        <v>499</v>
      </c>
      <c r="K127" t="str">
        <f t="shared" si="13"/>
        <v>trus_porz</v>
      </c>
      <c r="L127">
        <f t="shared" si="14"/>
        <v>0</v>
      </c>
      <c r="M127">
        <f t="shared" si="15"/>
        <v>464</v>
      </c>
      <c r="N127">
        <f t="shared" si="16"/>
        <v>464</v>
      </c>
      <c r="O127">
        <f t="shared" si="17"/>
        <v>282</v>
      </c>
      <c r="P127">
        <f t="shared" si="18"/>
        <v>0</v>
      </c>
      <c r="Q127">
        <f t="shared" si="19"/>
        <v>35</v>
      </c>
    </row>
    <row r="128" spans="1:17" x14ac:dyDescent="0.25">
      <c r="A128" s="1">
        <v>44077</v>
      </c>
      <c r="B128">
        <f t="shared" si="20"/>
        <v>282</v>
      </c>
      <c r="C128">
        <f t="shared" si="21"/>
        <v>0</v>
      </c>
      <c r="D128">
        <f t="shared" si="22"/>
        <v>35</v>
      </c>
      <c r="E128">
        <v>257</v>
      </c>
      <c r="F128">
        <v>251</v>
      </c>
      <c r="G128">
        <v>252</v>
      </c>
      <c r="H128">
        <f t="shared" si="23"/>
        <v>539</v>
      </c>
      <c r="I128">
        <f t="shared" si="24"/>
        <v>251</v>
      </c>
      <c r="J128">
        <f t="shared" si="25"/>
        <v>287</v>
      </c>
      <c r="K128" t="str">
        <f t="shared" si="13"/>
        <v>mal_porz</v>
      </c>
      <c r="L128">
        <f t="shared" si="14"/>
        <v>287</v>
      </c>
      <c r="M128">
        <f t="shared" si="15"/>
        <v>0</v>
      </c>
      <c r="N128">
        <f t="shared" si="16"/>
        <v>287</v>
      </c>
      <c r="O128">
        <f t="shared" si="17"/>
        <v>252</v>
      </c>
      <c r="P128">
        <f t="shared" si="18"/>
        <v>251</v>
      </c>
      <c r="Q128">
        <f t="shared" si="19"/>
        <v>0</v>
      </c>
    </row>
    <row r="129" spans="1:17" x14ac:dyDescent="0.25">
      <c r="A129" s="1">
        <v>44078</v>
      </c>
      <c r="B129">
        <f t="shared" si="20"/>
        <v>252</v>
      </c>
      <c r="C129">
        <f t="shared" si="21"/>
        <v>251</v>
      </c>
      <c r="D129">
        <f t="shared" si="22"/>
        <v>0</v>
      </c>
      <c r="E129">
        <v>172</v>
      </c>
      <c r="F129">
        <v>171</v>
      </c>
      <c r="G129">
        <v>268</v>
      </c>
      <c r="H129">
        <f t="shared" si="23"/>
        <v>424</v>
      </c>
      <c r="I129">
        <f t="shared" si="24"/>
        <v>422</v>
      </c>
      <c r="J129">
        <f t="shared" si="25"/>
        <v>268</v>
      </c>
      <c r="K129" t="str">
        <f t="shared" si="13"/>
        <v>mal_trus</v>
      </c>
      <c r="L129">
        <f t="shared" si="14"/>
        <v>422</v>
      </c>
      <c r="M129">
        <f t="shared" si="15"/>
        <v>422</v>
      </c>
      <c r="N129">
        <f t="shared" si="16"/>
        <v>0</v>
      </c>
      <c r="O129">
        <f t="shared" si="17"/>
        <v>2</v>
      </c>
      <c r="P129">
        <f t="shared" si="18"/>
        <v>0</v>
      </c>
      <c r="Q129">
        <f t="shared" si="19"/>
        <v>268</v>
      </c>
    </row>
    <row r="130" spans="1:17" x14ac:dyDescent="0.25">
      <c r="A130" s="1">
        <v>44079</v>
      </c>
      <c r="B130">
        <f t="shared" si="20"/>
        <v>2</v>
      </c>
      <c r="C130">
        <f t="shared" si="21"/>
        <v>0</v>
      </c>
      <c r="D130">
        <f t="shared" si="22"/>
        <v>268</v>
      </c>
      <c r="E130">
        <v>197</v>
      </c>
      <c r="F130">
        <v>326</v>
      </c>
      <c r="G130">
        <v>224</v>
      </c>
      <c r="H130">
        <f t="shared" si="23"/>
        <v>199</v>
      </c>
      <c r="I130">
        <f t="shared" si="24"/>
        <v>326</v>
      </c>
      <c r="J130">
        <f t="shared" si="25"/>
        <v>492</v>
      </c>
      <c r="K130" t="str">
        <f t="shared" si="13"/>
        <v>trus_porz</v>
      </c>
      <c r="L130">
        <f t="shared" si="14"/>
        <v>0</v>
      </c>
      <c r="M130">
        <f t="shared" si="15"/>
        <v>326</v>
      </c>
      <c r="N130">
        <f t="shared" si="16"/>
        <v>326</v>
      </c>
      <c r="O130">
        <f t="shared" si="17"/>
        <v>199</v>
      </c>
      <c r="P130">
        <f t="shared" si="18"/>
        <v>0</v>
      </c>
      <c r="Q130">
        <f t="shared" si="19"/>
        <v>166</v>
      </c>
    </row>
    <row r="131" spans="1:17" x14ac:dyDescent="0.25">
      <c r="A131" s="1">
        <v>44080</v>
      </c>
      <c r="B131">
        <f t="shared" si="20"/>
        <v>199</v>
      </c>
      <c r="C131">
        <f t="shared" si="21"/>
        <v>0</v>
      </c>
      <c r="D131">
        <f t="shared" si="22"/>
        <v>166</v>
      </c>
      <c r="E131">
        <v>292</v>
      </c>
      <c r="F131">
        <v>329</v>
      </c>
      <c r="G131">
        <v>255</v>
      </c>
      <c r="H131">
        <f t="shared" si="23"/>
        <v>491</v>
      </c>
      <c r="I131">
        <f t="shared" si="24"/>
        <v>329</v>
      </c>
      <c r="J131">
        <f t="shared" si="25"/>
        <v>421</v>
      </c>
      <c r="K131" t="str">
        <f t="shared" si="13"/>
        <v>mal_porz</v>
      </c>
      <c r="L131">
        <f t="shared" si="14"/>
        <v>421</v>
      </c>
      <c r="M131">
        <f t="shared" si="15"/>
        <v>0</v>
      </c>
      <c r="N131">
        <f t="shared" si="16"/>
        <v>421</v>
      </c>
      <c r="O131">
        <f t="shared" si="17"/>
        <v>70</v>
      </c>
      <c r="P131">
        <f t="shared" si="18"/>
        <v>329</v>
      </c>
      <c r="Q131">
        <f t="shared" si="19"/>
        <v>0</v>
      </c>
    </row>
    <row r="132" spans="1:17" x14ac:dyDescent="0.25">
      <c r="A132" s="1">
        <v>44081</v>
      </c>
      <c r="B132">
        <f t="shared" si="20"/>
        <v>70</v>
      </c>
      <c r="C132">
        <f t="shared" si="21"/>
        <v>329</v>
      </c>
      <c r="D132">
        <f t="shared" si="22"/>
        <v>0</v>
      </c>
      <c r="E132">
        <v>172</v>
      </c>
      <c r="F132">
        <v>216</v>
      </c>
      <c r="G132">
        <v>199</v>
      </c>
      <c r="H132">
        <f t="shared" si="23"/>
        <v>242</v>
      </c>
      <c r="I132">
        <f t="shared" si="24"/>
        <v>545</v>
      </c>
      <c r="J132">
        <f t="shared" si="25"/>
        <v>199</v>
      </c>
      <c r="K132" t="str">
        <f t="shared" ref="K132:K155" si="26">IF(AND(H132&lt;J132,H132&lt;I132), "trus_porz", IF(AND(I132&lt;H132,I132&lt;J132), "mal_porz", IF(AND(J132&lt;I132,J132&lt;H132), "mal_trus", "")))</f>
        <v>mal_trus</v>
      </c>
      <c r="L132">
        <f t="shared" ref="L132:L155" si="27">IF(K132="mal_trus",MIN(H132,I132),IF(K132="mal_porz",MIN(H132,J132),0))</f>
        <v>242</v>
      </c>
      <c r="M132">
        <f t="shared" ref="M132:M155" si="28">IF(K132="trus_porz",MIN(I132,J132), IF(K132="mal_trus", MIN(H132,I132),0))</f>
        <v>242</v>
      </c>
      <c r="N132">
        <f t="shared" ref="N132:N155" si="29">IF(K132="mal_porz",MIN(H132,J132), IF(K132="trus_porz", MIN(I132,J132),0))</f>
        <v>0</v>
      </c>
      <c r="O132">
        <f t="shared" ref="O132:O155" si="30">H132-L132</f>
        <v>0</v>
      </c>
      <c r="P132">
        <f t="shared" ref="P132:P155" si="31">I132-M132</f>
        <v>303</v>
      </c>
      <c r="Q132">
        <f t="shared" ref="Q132:Q155" si="32">J132-N132</f>
        <v>199</v>
      </c>
    </row>
    <row r="133" spans="1:17" x14ac:dyDescent="0.25">
      <c r="A133" s="1">
        <v>44082</v>
      </c>
      <c r="B133">
        <f t="shared" ref="B133:B155" si="33">O132</f>
        <v>0</v>
      </c>
      <c r="C133">
        <f t="shared" ref="C133:C155" si="34">P132</f>
        <v>303</v>
      </c>
      <c r="D133">
        <f t="shared" ref="D133:D155" si="35">Q132</f>
        <v>199</v>
      </c>
      <c r="E133">
        <v>258</v>
      </c>
      <c r="F133">
        <v>291</v>
      </c>
      <c r="G133">
        <v>220</v>
      </c>
      <c r="H133">
        <f t="shared" ref="H133:H155" si="36">B133+E133</f>
        <v>258</v>
      </c>
      <c r="I133">
        <f t="shared" ref="I133:I155" si="37">C133+F133</f>
        <v>594</v>
      </c>
      <c r="J133">
        <f t="shared" ref="J133:J155" si="38">D133+G133</f>
        <v>419</v>
      </c>
      <c r="K133" t="str">
        <f t="shared" si="26"/>
        <v>trus_porz</v>
      </c>
      <c r="L133">
        <f t="shared" si="27"/>
        <v>0</v>
      </c>
      <c r="M133">
        <f t="shared" si="28"/>
        <v>419</v>
      </c>
      <c r="N133">
        <f t="shared" si="29"/>
        <v>419</v>
      </c>
      <c r="O133">
        <f t="shared" si="30"/>
        <v>258</v>
      </c>
      <c r="P133">
        <f t="shared" si="31"/>
        <v>175</v>
      </c>
      <c r="Q133">
        <f t="shared" si="32"/>
        <v>0</v>
      </c>
    </row>
    <row r="134" spans="1:17" x14ac:dyDescent="0.25">
      <c r="A134" s="1">
        <v>44083</v>
      </c>
      <c r="B134">
        <f t="shared" si="33"/>
        <v>258</v>
      </c>
      <c r="C134">
        <f t="shared" si="34"/>
        <v>175</v>
      </c>
      <c r="D134">
        <f t="shared" si="35"/>
        <v>0</v>
      </c>
      <c r="E134">
        <v>276</v>
      </c>
      <c r="F134">
        <v>347</v>
      </c>
      <c r="G134">
        <v>197</v>
      </c>
      <c r="H134">
        <f t="shared" si="36"/>
        <v>534</v>
      </c>
      <c r="I134">
        <f t="shared" si="37"/>
        <v>522</v>
      </c>
      <c r="J134">
        <f t="shared" si="38"/>
        <v>197</v>
      </c>
      <c r="K134" t="str">
        <f t="shared" si="26"/>
        <v>mal_trus</v>
      </c>
      <c r="L134">
        <f t="shared" si="27"/>
        <v>522</v>
      </c>
      <c r="M134">
        <f t="shared" si="28"/>
        <v>522</v>
      </c>
      <c r="N134">
        <f t="shared" si="29"/>
        <v>0</v>
      </c>
      <c r="O134">
        <f t="shared" si="30"/>
        <v>12</v>
      </c>
      <c r="P134">
        <f t="shared" si="31"/>
        <v>0</v>
      </c>
      <c r="Q134">
        <f t="shared" si="32"/>
        <v>197</v>
      </c>
    </row>
    <row r="135" spans="1:17" x14ac:dyDescent="0.25">
      <c r="A135" s="1">
        <v>44084</v>
      </c>
      <c r="B135">
        <f t="shared" si="33"/>
        <v>12</v>
      </c>
      <c r="C135">
        <f t="shared" si="34"/>
        <v>0</v>
      </c>
      <c r="D135">
        <f t="shared" si="35"/>
        <v>197</v>
      </c>
      <c r="E135">
        <v>210</v>
      </c>
      <c r="F135">
        <v>333</v>
      </c>
      <c r="G135">
        <v>218</v>
      </c>
      <c r="H135">
        <f t="shared" si="36"/>
        <v>222</v>
      </c>
      <c r="I135">
        <f t="shared" si="37"/>
        <v>333</v>
      </c>
      <c r="J135">
        <f t="shared" si="38"/>
        <v>415</v>
      </c>
      <c r="K135" t="str">
        <f t="shared" si="26"/>
        <v>trus_porz</v>
      </c>
      <c r="L135">
        <f t="shared" si="27"/>
        <v>0</v>
      </c>
      <c r="M135">
        <f t="shared" si="28"/>
        <v>333</v>
      </c>
      <c r="N135">
        <f t="shared" si="29"/>
        <v>333</v>
      </c>
      <c r="O135">
        <f t="shared" si="30"/>
        <v>222</v>
      </c>
      <c r="P135">
        <f t="shared" si="31"/>
        <v>0</v>
      </c>
      <c r="Q135">
        <f t="shared" si="32"/>
        <v>82</v>
      </c>
    </row>
    <row r="136" spans="1:17" x14ac:dyDescent="0.25">
      <c r="A136" s="1">
        <v>44085</v>
      </c>
      <c r="B136">
        <f t="shared" si="33"/>
        <v>222</v>
      </c>
      <c r="C136">
        <f t="shared" si="34"/>
        <v>0</v>
      </c>
      <c r="D136">
        <f t="shared" si="35"/>
        <v>82</v>
      </c>
      <c r="E136">
        <v>168</v>
      </c>
      <c r="F136">
        <v>211</v>
      </c>
      <c r="G136">
        <v>180</v>
      </c>
      <c r="H136">
        <f t="shared" si="36"/>
        <v>390</v>
      </c>
      <c r="I136">
        <f t="shared" si="37"/>
        <v>211</v>
      </c>
      <c r="J136">
        <f t="shared" si="38"/>
        <v>262</v>
      </c>
      <c r="K136" t="str">
        <f t="shared" si="26"/>
        <v>mal_porz</v>
      </c>
      <c r="L136">
        <f t="shared" si="27"/>
        <v>262</v>
      </c>
      <c r="M136">
        <f t="shared" si="28"/>
        <v>0</v>
      </c>
      <c r="N136">
        <f t="shared" si="29"/>
        <v>262</v>
      </c>
      <c r="O136">
        <f t="shared" si="30"/>
        <v>128</v>
      </c>
      <c r="P136">
        <f t="shared" si="31"/>
        <v>211</v>
      </c>
      <c r="Q136">
        <f t="shared" si="32"/>
        <v>0</v>
      </c>
    </row>
    <row r="137" spans="1:17" x14ac:dyDescent="0.25">
      <c r="A137" s="1">
        <v>44086</v>
      </c>
      <c r="B137">
        <f t="shared" si="33"/>
        <v>128</v>
      </c>
      <c r="C137">
        <f t="shared" si="34"/>
        <v>211</v>
      </c>
      <c r="D137">
        <f t="shared" si="35"/>
        <v>0</v>
      </c>
      <c r="E137">
        <v>196</v>
      </c>
      <c r="F137">
        <v>348</v>
      </c>
      <c r="G137">
        <v>225</v>
      </c>
      <c r="H137">
        <f t="shared" si="36"/>
        <v>324</v>
      </c>
      <c r="I137">
        <f t="shared" si="37"/>
        <v>559</v>
      </c>
      <c r="J137">
        <f t="shared" si="38"/>
        <v>225</v>
      </c>
      <c r="K137" t="str">
        <f t="shared" si="26"/>
        <v>mal_trus</v>
      </c>
      <c r="L137">
        <f t="shared" si="27"/>
        <v>324</v>
      </c>
      <c r="M137">
        <f t="shared" si="28"/>
        <v>324</v>
      </c>
      <c r="N137">
        <f t="shared" si="29"/>
        <v>0</v>
      </c>
      <c r="O137">
        <f t="shared" si="30"/>
        <v>0</v>
      </c>
      <c r="P137">
        <f t="shared" si="31"/>
        <v>235</v>
      </c>
      <c r="Q137">
        <f t="shared" si="32"/>
        <v>225</v>
      </c>
    </row>
    <row r="138" spans="1:17" x14ac:dyDescent="0.25">
      <c r="A138" s="1">
        <v>44087</v>
      </c>
      <c r="B138">
        <f t="shared" si="33"/>
        <v>0</v>
      </c>
      <c r="C138">
        <f t="shared" si="34"/>
        <v>235</v>
      </c>
      <c r="D138">
        <f t="shared" si="35"/>
        <v>225</v>
      </c>
      <c r="E138">
        <v>284</v>
      </c>
      <c r="F138">
        <v>226</v>
      </c>
      <c r="G138">
        <v>197</v>
      </c>
      <c r="H138">
        <f t="shared" si="36"/>
        <v>284</v>
      </c>
      <c r="I138">
        <f t="shared" si="37"/>
        <v>461</v>
      </c>
      <c r="J138">
        <f t="shared" si="38"/>
        <v>422</v>
      </c>
      <c r="K138" t="str">
        <f t="shared" si="26"/>
        <v>trus_porz</v>
      </c>
      <c r="L138">
        <f t="shared" si="27"/>
        <v>0</v>
      </c>
      <c r="M138">
        <f t="shared" si="28"/>
        <v>422</v>
      </c>
      <c r="N138">
        <f t="shared" si="29"/>
        <v>422</v>
      </c>
      <c r="O138">
        <f t="shared" si="30"/>
        <v>284</v>
      </c>
      <c r="P138">
        <f t="shared" si="31"/>
        <v>39</v>
      </c>
      <c r="Q138">
        <f t="shared" si="32"/>
        <v>0</v>
      </c>
    </row>
    <row r="139" spans="1:17" x14ac:dyDescent="0.25">
      <c r="A139" s="1">
        <v>44088</v>
      </c>
      <c r="B139">
        <f t="shared" si="33"/>
        <v>284</v>
      </c>
      <c r="C139">
        <f t="shared" si="34"/>
        <v>39</v>
      </c>
      <c r="D139">
        <f t="shared" si="35"/>
        <v>0</v>
      </c>
      <c r="E139">
        <v>162</v>
      </c>
      <c r="F139">
        <v>345</v>
      </c>
      <c r="G139">
        <v>194</v>
      </c>
      <c r="H139">
        <f t="shared" si="36"/>
        <v>446</v>
      </c>
      <c r="I139">
        <f t="shared" si="37"/>
        <v>384</v>
      </c>
      <c r="J139">
        <f t="shared" si="38"/>
        <v>194</v>
      </c>
      <c r="K139" t="str">
        <f t="shared" si="26"/>
        <v>mal_trus</v>
      </c>
      <c r="L139">
        <f t="shared" si="27"/>
        <v>384</v>
      </c>
      <c r="M139">
        <f t="shared" si="28"/>
        <v>384</v>
      </c>
      <c r="N139">
        <f t="shared" si="29"/>
        <v>0</v>
      </c>
      <c r="O139">
        <f t="shared" si="30"/>
        <v>62</v>
      </c>
      <c r="P139">
        <f t="shared" si="31"/>
        <v>0</v>
      </c>
      <c r="Q139">
        <f t="shared" si="32"/>
        <v>194</v>
      </c>
    </row>
    <row r="140" spans="1:17" x14ac:dyDescent="0.25">
      <c r="A140" s="1">
        <v>44089</v>
      </c>
      <c r="B140">
        <f t="shared" si="33"/>
        <v>62</v>
      </c>
      <c r="C140">
        <f t="shared" si="34"/>
        <v>0</v>
      </c>
      <c r="D140">
        <f t="shared" si="35"/>
        <v>194</v>
      </c>
      <c r="E140">
        <v>212</v>
      </c>
      <c r="F140">
        <v>184</v>
      </c>
      <c r="G140">
        <v>183</v>
      </c>
      <c r="H140">
        <f t="shared" si="36"/>
        <v>274</v>
      </c>
      <c r="I140">
        <f t="shared" si="37"/>
        <v>184</v>
      </c>
      <c r="J140">
        <f t="shared" si="38"/>
        <v>377</v>
      </c>
      <c r="K140" t="str">
        <f t="shared" si="26"/>
        <v>mal_porz</v>
      </c>
      <c r="L140">
        <f t="shared" si="27"/>
        <v>274</v>
      </c>
      <c r="M140">
        <f t="shared" si="28"/>
        <v>0</v>
      </c>
      <c r="N140">
        <f t="shared" si="29"/>
        <v>274</v>
      </c>
      <c r="O140">
        <f t="shared" si="30"/>
        <v>0</v>
      </c>
      <c r="P140">
        <f t="shared" si="31"/>
        <v>184</v>
      </c>
      <c r="Q140">
        <f t="shared" si="32"/>
        <v>103</v>
      </c>
    </row>
    <row r="141" spans="1:17" x14ac:dyDescent="0.25">
      <c r="A141" s="1">
        <v>44090</v>
      </c>
      <c r="B141">
        <f t="shared" si="33"/>
        <v>0</v>
      </c>
      <c r="C141">
        <f t="shared" si="34"/>
        <v>184</v>
      </c>
      <c r="D141">
        <f t="shared" si="35"/>
        <v>103</v>
      </c>
      <c r="E141">
        <v>165</v>
      </c>
      <c r="F141">
        <v>232</v>
      </c>
      <c r="G141">
        <v>202</v>
      </c>
      <c r="H141">
        <f t="shared" si="36"/>
        <v>165</v>
      </c>
      <c r="I141">
        <f t="shared" si="37"/>
        <v>416</v>
      </c>
      <c r="J141">
        <f t="shared" si="38"/>
        <v>305</v>
      </c>
      <c r="K141" t="str">
        <f t="shared" si="26"/>
        <v>trus_porz</v>
      </c>
      <c r="L141">
        <f t="shared" si="27"/>
        <v>0</v>
      </c>
      <c r="M141">
        <f t="shared" si="28"/>
        <v>305</v>
      </c>
      <c r="N141">
        <f t="shared" si="29"/>
        <v>305</v>
      </c>
      <c r="O141">
        <f t="shared" si="30"/>
        <v>165</v>
      </c>
      <c r="P141">
        <f t="shared" si="31"/>
        <v>111</v>
      </c>
      <c r="Q141">
        <f t="shared" si="32"/>
        <v>0</v>
      </c>
    </row>
    <row r="142" spans="1:17" x14ac:dyDescent="0.25">
      <c r="A142" s="1">
        <v>44091</v>
      </c>
      <c r="B142">
        <f t="shared" si="33"/>
        <v>165</v>
      </c>
      <c r="C142">
        <f t="shared" si="34"/>
        <v>111</v>
      </c>
      <c r="D142">
        <f t="shared" si="35"/>
        <v>0</v>
      </c>
      <c r="E142">
        <v>163</v>
      </c>
      <c r="F142">
        <v>314</v>
      </c>
      <c r="G142">
        <v>213</v>
      </c>
      <c r="H142">
        <f t="shared" si="36"/>
        <v>328</v>
      </c>
      <c r="I142">
        <f t="shared" si="37"/>
        <v>425</v>
      </c>
      <c r="J142">
        <f t="shared" si="38"/>
        <v>213</v>
      </c>
      <c r="K142" t="str">
        <f t="shared" si="26"/>
        <v>mal_trus</v>
      </c>
      <c r="L142">
        <f t="shared" si="27"/>
        <v>328</v>
      </c>
      <c r="M142">
        <f t="shared" si="28"/>
        <v>328</v>
      </c>
      <c r="N142">
        <f t="shared" si="29"/>
        <v>0</v>
      </c>
      <c r="O142">
        <f t="shared" si="30"/>
        <v>0</v>
      </c>
      <c r="P142">
        <f t="shared" si="31"/>
        <v>97</v>
      </c>
      <c r="Q142">
        <f t="shared" si="32"/>
        <v>213</v>
      </c>
    </row>
    <row r="143" spans="1:17" x14ac:dyDescent="0.25">
      <c r="A143" s="1">
        <v>44092</v>
      </c>
      <c r="B143">
        <f t="shared" si="33"/>
        <v>0</v>
      </c>
      <c r="C143">
        <f t="shared" si="34"/>
        <v>97</v>
      </c>
      <c r="D143">
        <f t="shared" si="35"/>
        <v>213</v>
      </c>
      <c r="E143">
        <v>200</v>
      </c>
      <c r="F143">
        <v>307</v>
      </c>
      <c r="G143">
        <v>206</v>
      </c>
      <c r="H143">
        <f t="shared" si="36"/>
        <v>200</v>
      </c>
      <c r="I143">
        <f t="shared" si="37"/>
        <v>404</v>
      </c>
      <c r="J143">
        <f t="shared" si="38"/>
        <v>419</v>
      </c>
      <c r="K143" t="str">
        <f t="shared" si="26"/>
        <v>trus_porz</v>
      </c>
      <c r="L143">
        <f t="shared" si="27"/>
        <v>0</v>
      </c>
      <c r="M143">
        <f t="shared" si="28"/>
        <v>404</v>
      </c>
      <c r="N143">
        <f t="shared" si="29"/>
        <v>404</v>
      </c>
      <c r="O143">
        <f t="shared" si="30"/>
        <v>200</v>
      </c>
      <c r="P143">
        <f t="shared" si="31"/>
        <v>0</v>
      </c>
      <c r="Q143">
        <f t="shared" si="32"/>
        <v>15</v>
      </c>
    </row>
    <row r="144" spans="1:17" x14ac:dyDescent="0.25">
      <c r="A144" s="1">
        <v>44093</v>
      </c>
      <c r="B144">
        <f t="shared" si="33"/>
        <v>200</v>
      </c>
      <c r="C144">
        <f t="shared" si="34"/>
        <v>0</v>
      </c>
      <c r="D144">
        <f t="shared" si="35"/>
        <v>15</v>
      </c>
      <c r="E144">
        <v>201</v>
      </c>
      <c r="F144">
        <v>274</v>
      </c>
      <c r="G144">
        <v>210</v>
      </c>
      <c r="H144">
        <f t="shared" si="36"/>
        <v>401</v>
      </c>
      <c r="I144">
        <f t="shared" si="37"/>
        <v>274</v>
      </c>
      <c r="J144">
        <f t="shared" si="38"/>
        <v>225</v>
      </c>
      <c r="K144" t="str">
        <f t="shared" si="26"/>
        <v>mal_trus</v>
      </c>
      <c r="L144">
        <f t="shared" si="27"/>
        <v>274</v>
      </c>
      <c r="M144">
        <f t="shared" si="28"/>
        <v>274</v>
      </c>
      <c r="N144">
        <f t="shared" si="29"/>
        <v>0</v>
      </c>
      <c r="O144">
        <f t="shared" si="30"/>
        <v>127</v>
      </c>
      <c r="P144">
        <f t="shared" si="31"/>
        <v>0</v>
      </c>
      <c r="Q144">
        <f t="shared" si="32"/>
        <v>225</v>
      </c>
    </row>
    <row r="145" spans="1:17" x14ac:dyDescent="0.25">
      <c r="A145" s="1">
        <v>44094</v>
      </c>
      <c r="B145">
        <f t="shared" si="33"/>
        <v>127</v>
      </c>
      <c r="C145">
        <f t="shared" si="34"/>
        <v>0</v>
      </c>
      <c r="D145">
        <f t="shared" si="35"/>
        <v>225</v>
      </c>
      <c r="E145">
        <v>269</v>
      </c>
      <c r="F145">
        <v>278</v>
      </c>
      <c r="G145">
        <v>228</v>
      </c>
      <c r="H145">
        <f t="shared" si="36"/>
        <v>396</v>
      </c>
      <c r="I145">
        <f t="shared" si="37"/>
        <v>278</v>
      </c>
      <c r="J145">
        <f t="shared" si="38"/>
        <v>453</v>
      </c>
      <c r="K145" t="str">
        <f t="shared" si="26"/>
        <v>mal_porz</v>
      </c>
      <c r="L145">
        <f t="shared" si="27"/>
        <v>396</v>
      </c>
      <c r="M145">
        <f t="shared" si="28"/>
        <v>0</v>
      </c>
      <c r="N145">
        <f t="shared" si="29"/>
        <v>396</v>
      </c>
      <c r="O145">
        <f t="shared" si="30"/>
        <v>0</v>
      </c>
      <c r="P145">
        <f t="shared" si="31"/>
        <v>278</v>
      </c>
      <c r="Q145">
        <f t="shared" si="32"/>
        <v>57</v>
      </c>
    </row>
    <row r="146" spans="1:17" x14ac:dyDescent="0.25">
      <c r="A146" s="1">
        <v>44095</v>
      </c>
      <c r="B146">
        <f t="shared" si="33"/>
        <v>0</v>
      </c>
      <c r="C146">
        <f t="shared" si="34"/>
        <v>278</v>
      </c>
      <c r="D146">
        <f t="shared" si="35"/>
        <v>57</v>
      </c>
      <c r="E146">
        <v>188</v>
      </c>
      <c r="F146">
        <v>195</v>
      </c>
      <c r="G146">
        <v>207</v>
      </c>
      <c r="H146">
        <f t="shared" si="36"/>
        <v>188</v>
      </c>
      <c r="I146">
        <f t="shared" si="37"/>
        <v>473</v>
      </c>
      <c r="J146">
        <f t="shared" si="38"/>
        <v>264</v>
      </c>
      <c r="K146" t="str">
        <f t="shared" si="26"/>
        <v>trus_porz</v>
      </c>
      <c r="L146">
        <f t="shared" si="27"/>
        <v>0</v>
      </c>
      <c r="M146">
        <f t="shared" si="28"/>
        <v>264</v>
      </c>
      <c r="N146">
        <f t="shared" si="29"/>
        <v>264</v>
      </c>
      <c r="O146">
        <f t="shared" si="30"/>
        <v>188</v>
      </c>
      <c r="P146">
        <f t="shared" si="31"/>
        <v>209</v>
      </c>
      <c r="Q146">
        <f t="shared" si="32"/>
        <v>0</v>
      </c>
    </row>
    <row r="147" spans="1:17" x14ac:dyDescent="0.25">
      <c r="A147" s="1">
        <v>44096</v>
      </c>
      <c r="B147">
        <f t="shared" si="33"/>
        <v>188</v>
      </c>
      <c r="C147">
        <f t="shared" si="34"/>
        <v>209</v>
      </c>
      <c r="D147">
        <f t="shared" si="35"/>
        <v>0</v>
      </c>
      <c r="E147">
        <v>142</v>
      </c>
      <c r="F147">
        <v>249</v>
      </c>
      <c r="G147">
        <v>202</v>
      </c>
      <c r="H147">
        <f t="shared" si="36"/>
        <v>330</v>
      </c>
      <c r="I147">
        <f t="shared" si="37"/>
        <v>458</v>
      </c>
      <c r="J147">
        <f t="shared" si="38"/>
        <v>202</v>
      </c>
      <c r="K147" t="str">
        <f t="shared" si="26"/>
        <v>mal_trus</v>
      </c>
      <c r="L147">
        <f t="shared" si="27"/>
        <v>330</v>
      </c>
      <c r="M147">
        <f t="shared" si="28"/>
        <v>330</v>
      </c>
      <c r="N147">
        <f t="shared" si="29"/>
        <v>0</v>
      </c>
      <c r="O147">
        <f t="shared" si="30"/>
        <v>0</v>
      </c>
      <c r="P147">
        <f t="shared" si="31"/>
        <v>128</v>
      </c>
      <c r="Q147">
        <f t="shared" si="32"/>
        <v>202</v>
      </c>
    </row>
    <row r="148" spans="1:17" x14ac:dyDescent="0.25">
      <c r="A148" s="1">
        <v>44097</v>
      </c>
      <c r="B148">
        <f t="shared" si="33"/>
        <v>0</v>
      </c>
      <c r="C148">
        <f t="shared" si="34"/>
        <v>128</v>
      </c>
      <c r="D148">
        <f t="shared" si="35"/>
        <v>202</v>
      </c>
      <c r="E148">
        <v>232</v>
      </c>
      <c r="F148">
        <v>116</v>
      </c>
      <c r="G148">
        <v>195</v>
      </c>
      <c r="H148">
        <f t="shared" si="36"/>
        <v>232</v>
      </c>
      <c r="I148">
        <f t="shared" si="37"/>
        <v>244</v>
      </c>
      <c r="J148">
        <f t="shared" si="38"/>
        <v>397</v>
      </c>
      <c r="K148" t="str">
        <f t="shared" si="26"/>
        <v>trus_porz</v>
      </c>
      <c r="L148">
        <f t="shared" si="27"/>
        <v>0</v>
      </c>
      <c r="M148">
        <f t="shared" si="28"/>
        <v>244</v>
      </c>
      <c r="N148">
        <f t="shared" si="29"/>
        <v>244</v>
      </c>
      <c r="O148">
        <f t="shared" si="30"/>
        <v>232</v>
      </c>
      <c r="P148">
        <f t="shared" si="31"/>
        <v>0</v>
      </c>
      <c r="Q148">
        <f t="shared" si="32"/>
        <v>153</v>
      </c>
    </row>
    <row r="149" spans="1:17" x14ac:dyDescent="0.25">
      <c r="A149" s="1">
        <v>44098</v>
      </c>
      <c r="B149">
        <f t="shared" si="33"/>
        <v>232</v>
      </c>
      <c r="C149">
        <f t="shared" si="34"/>
        <v>0</v>
      </c>
      <c r="D149">
        <f t="shared" si="35"/>
        <v>153</v>
      </c>
      <c r="E149">
        <v>296</v>
      </c>
      <c r="F149">
        <v>102</v>
      </c>
      <c r="G149">
        <v>192</v>
      </c>
      <c r="H149">
        <f t="shared" si="36"/>
        <v>528</v>
      </c>
      <c r="I149">
        <f t="shared" si="37"/>
        <v>102</v>
      </c>
      <c r="J149">
        <f t="shared" si="38"/>
        <v>345</v>
      </c>
      <c r="K149" t="str">
        <f t="shared" si="26"/>
        <v>mal_porz</v>
      </c>
      <c r="L149">
        <f t="shared" si="27"/>
        <v>345</v>
      </c>
      <c r="M149">
        <f t="shared" si="28"/>
        <v>0</v>
      </c>
      <c r="N149">
        <f t="shared" si="29"/>
        <v>345</v>
      </c>
      <c r="O149">
        <f t="shared" si="30"/>
        <v>183</v>
      </c>
      <c r="P149">
        <f t="shared" si="31"/>
        <v>102</v>
      </c>
      <c r="Q149">
        <f t="shared" si="32"/>
        <v>0</v>
      </c>
    </row>
    <row r="150" spans="1:17" x14ac:dyDescent="0.25">
      <c r="A150" s="1">
        <v>44099</v>
      </c>
      <c r="B150">
        <f t="shared" si="33"/>
        <v>183</v>
      </c>
      <c r="C150">
        <f t="shared" si="34"/>
        <v>102</v>
      </c>
      <c r="D150">
        <f t="shared" si="35"/>
        <v>0</v>
      </c>
      <c r="E150">
        <v>161</v>
      </c>
      <c r="F150">
        <v>151</v>
      </c>
      <c r="G150">
        <v>216</v>
      </c>
      <c r="H150">
        <f t="shared" si="36"/>
        <v>344</v>
      </c>
      <c r="I150">
        <f t="shared" si="37"/>
        <v>253</v>
      </c>
      <c r="J150">
        <f t="shared" si="38"/>
        <v>216</v>
      </c>
      <c r="K150" t="str">
        <f t="shared" si="26"/>
        <v>mal_trus</v>
      </c>
      <c r="L150">
        <f t="shared" si="27"/>
        <v>253</v>
      </c>
      <c r="M150">
        <f t="shared" si="28"/>
        <v>253</v>
      </c>
      <c r="N150">
        <f t="shared" si="29"/>
        <v>0</v>
      </c>
      <c r="O150">
        <f t="shared" si="30"/>
        <v>91</v>
      </c>
      <c r="P150">
        <f t="shared" si="31"/>
        <v>0</v>
      </c>
      <c r="Q150">
        <f t="shared" si="32"/>
        <v>216</v>
      </c>
    </row>
    <row r="151" spans="1:17" x14ac:dyDescent="0.25">
      <c r="A151" s="1">
        <v>44100</v>
      </c>
      <c r="B151">
        <f t="shared" si="33"/>
        <v>91</v>
      </c>
      <c r="C151">
        <f t="shared" si="34"/>
        <v>0</v>
      </c>
      <c r="D151">
        <f t="shared" si="35"/>
        <v>216</v>
      </c>
      <c r="E151">
        <v>162</v>
      </c>
      <c r="F151">
        <v>261</v>
      </c>
      <c r="G151">
        <v>184</v>
      </c>
      <c r="H151">
        <f t="shared" si="36"/>
        <v>253</v>
      </c>
      <c r="I151">
        <f t="shared" si="37"/>
        <v>261</v>
      </c>
      <c r="J151">
        <f t="shared" si="38"/>
        <v>400</v>
      </c>
      <c r="K151" t="str">
        <f t="shared" si="26"/>
        <v>trus_porz</v>
      </c>
      <c r="L151">
        <f t="shared" si="27"/>
        <v>0</v>
      </c>
      <c r="M151">
        <f t="shared" si="28"/>
        <v>261</v>
      </c>
      <c r="N151">
        <f t="shared" si="29"/>
        <v>261</v>
      </c>
      <c r="O151">
        <f t="shared" si="30"/>
        <v>253</v>
      </c>
      <c r="P151">
        <f t="shared" si="31"/>
        <v>0</v>
      </c>
      <c r="Q151">
        <f t="shared" si="32"/>
        <v>139</v>
      </c>
    </row>
    <row r="152" spans="1:17" x14ac:dyDescent="0.25">
      <c r="A152" s="1">
        <v>44101</v>
      </c>
      <c r="B152">
        <f t="shared" si="33"/>
        <v>253</v>
      </c>
      <c r="C152">
        <f t="shared" si="34"/>
        <v>0</v>
      </c>
      <c r="D152">
        <f t="shared" si="35"/>
        <v>139</v>
      </c>
      <c r="E152">
        <v>216</v>
      </c>
      <c r="F152">
        <v>147</v>
      </c>
      <c r="G152">
        <v>204</v>
      </c>
      <c r="H152">
        <f t="shared" si="36"/>
        <v>469</v>
      </c>
      <c r="I152">
        <f t="shared" si="37"/>
        <v>147</v>
      </c>
      <c r="J152">
        <f t="shared" si="38"/>
        <v>343</v>
      </c>
      <c r="K152" t="str">
        <f t="shared" si="26"/>
        <v>mal_porz</v>
      </c>
      <c r="L152">
        <f t="shared" si="27"/>
        <v>343</v>
      </c>
      <c r="M152">
        <f t="shared" si="28"/>
        <v>0</v>
      </c>
      <c r="N152">
        <f t="shared" si="29"/>
        <v>343</v>
      </c>
      <c r="O152">
        <f t="shared" si="30"/>
        <v>126</v>
      </c>
      <c r="P152">
        <f t="shared" si="31"/>
        <v>147</v>
      </c>
      <c r="Q152">
        <f t="shared" si="32"/>
        <v>0</v>
      </c>
    </row>
    <row r="153" spans="1:17" x14ac:dyDescent="0.25">
      <c r="A153" s="1">
        <v>44102</v>
      </c>
      <c r="B153">
        <f t="shared" si="33"/>
        <v>126</v>
      </c>
      <c r="C153">
        <f t="shared" si="34"/>
        <v>147</v>
      </c>
      <c r="D153">
        <f t="shared" si="35"/>
        <v>0</v>
      </c>
      <c r="E153">
        <v>282</v>
      </c>
      <c r="F153">
        <v>297</v>
      </c>
      <c r="G153">
        <v>195</v>
      </c>
      <c r="H153">
        <f t="shared" si="36"/>
        <v>408</v>
      </c>
      <c r="I153">
        <f t="shared" si="37"/>
        <v>444</v>
      </c>
      <c r="J153">
        <f t="shared" si="38"/>
        <v>195</v>
      </c>
      <c r="K153" t="str">
        <f t="shared" si="26"/>
        <v>mal_trus</v>
      </c>
      <c r="L153">
        <f t="shared" si="27"/>
        <v>408</v>
      </c>
      <c r="M153">
        <f t="shared" si="28"/>
        <v>408</v>
      </c>
      <c r="N153">
        <f t="shared" si="29"/>
        <v>0</v>
      </c>
      <c r="O153">
        <f t="shared" si="30"/>
        <v>0</v>
      </c>
      <c r="P153">
        <f t="shared" si="31"/>
        <v>36</v>
      </c>
      <c r="Q153">
        <f t="shared" si="32"/>
        <v>195</v>
      </c>
    </row>
    <row r="154" spans="1:17" x14ac:dyDescent="0.25">
      <c r="A154" s="1">
        <v>44103</v>
      </c>
      <c r="B154">
        <f t="shared" si="33"/>
        <v>0</v>
      </c>
      <c r="C154">
        <f t="shared" si="34"/>
        <v>36</v>
      </c>
      <c r="D154">
        <f t="shared" si="35"/>
        <v>195</v>
      </c>
      <c r="E154">
        <v>214</v>
      </c>
      <c r="F154">
        <v>198</v>
      </c>
      <c r="G154">
        <v>200</v>
      </c>
      <c r="H154">
        <f t="shared" si="36"/>
        <v>214</v>
      </c>
      <c r="I154">
        <f t="shared" si="37"/>
        <v>234</v>
      </c>
      <c r="J154">
        <f t="shared" si="38"/>
        <v>395</v>
      </c>
      <c r="K154" t="str">
        <f t="shared" si="26"/>
        <v>trus_porz</v>
      </c>
      <c r="L154">
        <f t="shared" si="27"/>
        <v>0</v>
      </c>
      <c r="M154">
        <f t="shared" si="28"/>
        <v>234</v>
      </c>
      <c r="N154">
        <f t="shared" si="29"/>
        <v>234</v>
      </c>
      <c r="O154">
        <f t="shared" si="30"/>
        <v>214</v>
      </c>
      <c r="P154">
        <f t="shared" si="31"/>
        <v>0</v>
      </c>
      <c r="Q154">
        <f t="shared" si="32"/>
        <v>161</v>
      </c>
    </row>
    <row r="155" spans="1:17" x14ac:dyDescent="0.25">
      <c r="A155" s="1">
        <v>44104</v>
      </c>
      <c r="B155">
        <f t="shared" si="33"/>
        <v>214</v>
      </c>
      <c r="C155">
        <f t="shared" si="34"/>
        <v>0</v>
      </c>
      <c r="D155">
        <f t="shared" si="35"/>
        <v>161</v>
      </c>
      <c r="E155">
        <v>289</v>
      </c>
      <c r="F155">
        <v>290</v>
      </c>
      <c r="G155">
        <v>190</v>
      </c>
      <c r="H155">
        <f t="shared" si="36"/>
        <v>503</v>
      </c>
      <c r="I155">
        <f t="shared" si="37"/>
        <v>290</v>
      </c>
      <c r="J155">
        <f t="shared" si="38"/>
        <v>351</v>
      </c>
      <c r="K155" t="str">
        <f t="shared" si="26"/>
        <v>mal_porz</v>
      </c>
      <c r="L155">
        <f t="shared" si="27"/>
        <v>351</v>
      </c>
      <c r="M155">
        <f t="shared" si="28"/>
        <v>0</v>
      </c>
      <c r="N155">
        <f t="shared" si="29"/>
        <v>351</v>
      </c>
      <c r="O155">
        <f t="shared" si="30"/>
        <v>152</v>
      </c>
      <c r="P155">
        <f t="shared" si="31"/>
        <v>290</v>
      </c>
      <c r="Q155">
        <f t="shared" si="32"/>
        <v>0</v>
      </c>
    </row>
  </sheetData>
  <mergeCells count="5">
    <mergeCell ref="E1:G1"/>
    <mergeCell ref="H1:J1"/>
    <mergeCell ref="L1:N1"/>
    <mergeCell ref="O1:Q1"/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F018-D478-41E4-813A-8BCCC05D75BF}">
  <dimension ref="A1:Y155"/>
  <sheetViews>
    <sheetView topLeftCell="J1" workbookViewId="0">
      <selection activeCell="X13" sqref="X13"/>
    </sheetView>
  </sheetViews>
  <sheetFormatPr defaultRowHeight="15" x14ac:dyDescent="0.25"/>
  <cols>
    <col min="1" max="1" width="10.140625" bestFit="1" customWidth="1"/>
    <col min="2" max="4" width="10.140625" customWidth="1"/>
    <col min="5" max="5" width="14.5703125" bestFit="1" customWidth="1"/>
    <col min="6" max="6" width="18.85546875" bestFit="1" customWidth="1"/>
    <col min="7" max="7" width="18.5703125" bestFit="1" customWidth="1"/>
    <col min="8" max="8" width="16.28515625" customWidth="1"/>
    <col min="9" max="9" width="18.85546875" bestFit="1" customWidth="1"/>
    <col min="10" max="10" width="24" customWidth="1"/>
    <col min="11" max="11" width="15.7109375" bestFit="1" customWidth="1"/>
    <col min="24" max="24" width="17.7109375" bestFit="1" customWidth="1"/>
    <col min="25" max="25" width="23" bestFit="1" customWidth="1"/>
  </cols>
  <sheetData>
    <row r="1" spans="1:25" x14ac:dyDescent="0.25">
      <c r="B1" s="8" t="s">
        <v>30</v>
      </c>
      <c r="C1" s="8"/>
      <c r="D1" s="8"/>
      <c r="E1" s="4" t="s">
        <v>19</v>
      </c>
      <c r="F1" s="4"/>
      <c r="G1" s="4"/>
      <c r="H1" s="5" t="s">
        <v>20</v>
      </c>
      <c r="I1" s="5"/>
      <c r="J1" s="5"/>
      <c r="L1" s="6" t="s">
        <v>24</v>
      </c>
      <c r="M1" s="6"/>
      <c r="N1" s="6"/>
      <c r="O1" s="7" t="s">
        <v>29</v>
      </c>
      <c r="P1" s="7"/>
      <c r="Q1" s="7"/>
    </row>
    <row r="2" spans="1:25" x14ac:dyDescent="0.25">
      <c r="A2" t="s">
        <v>0</v>
      </c>
      <c r="B2" t="s">
        <v>26</v>
      </c>
      <c r="C2" t="s">
        <v>27</v>
      </c>
      <c r="D2" t="s">
        <v>28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21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T2" t="s">
        <v>21</v>
      </c>
    </row>
    <row r="3" spans="1:25" x14ac:dyDescent="0.25">
      <c r="A3" s="1">
        <v>43952</v>
      </c>
      <c r="B3">
        <v>0</v>
      </c>
      <c r="C3">
        <v>0</v>
      </c>
      <c r="D3">
        <v>0</v>
      </c>
      <c r="E3">
        <v>211</v>
      </c>
      <c r="F3">
        <v>281</v>
      </c>
      <c r="G3">
        <v>88</v>
      </c>
      <c r="H3">
        <v>211</v>
      </c>
      <c r="I3">
        <v>281</v>
      </c>
      <c r="J3">
        <v>88</v>
      </c>
      <c r="K3" t="str">
        <f>IF(AND(H3&lt;J3,H3&lt;I3), "trus_porz", IF(AND(I3&lt;H3,I3&lt;J3), "mal_porz", IF(AND(J3&lt;I3,J3&lt;H3), "mal_trus", "")))</f>
        <v>mal_trus</v>
      </c>
      <c r="L3">
        <f>IF(K3="mal_trus",MIN(H3,I3),IF(K3="mal_porz",MIN(H3,J3),0))</f>
        <v>211</v>
      </c>
      <c r="M3">
        <f>IF(K3="trus_porz",MIN(I3,J3), IF(K3="mal_trus", MIN(H3,I3),0))</f>
        <v>211</v>
      </c>
      <c r="N3">
        <f>IF(K3="mal_porz",MIN(H3,J3), IF(K3="trus_porz", MIN(I3,J3),0))</f>
        <v>0</v>
      </c>
      <c r="O3">
        <f>H3-L3</f>
        <v>0</v>
      </c>
      <c r="P3">
        <f>I3-M3</f>
        <v>70</v>
      </c>
      <c r="Q3">
        <f>J3-N3</f>
        <v>88</v>
      </c>
      <c r="T3" t="s">
        <v>22</v>
      </c>
    </row>
    <row r="4" spans="1:25" x14ac:dyDescent="0.25">
      <c r="A4" s="1">
        <v>43953</v>
      </c>
      <c r="B4">
        <f>O3</f>
        <v>0</v>
      </c>
      <c r="C4">
        <f>P3</f>
        <v>70</v>
      </c>
      <c r="D4">
        <f>Q3</f>
        <v>88</v>
      </c>
      <c r="E4">
        <v>393</v>
      </c>
      <c r="F4">
        <v>313</v>
      </c>
      <c r="G4">
        <v>83</v>
      </c>
      <c r="H4">
        <f>B4+E4</f>
        <v>393</v>
      </c>
      <c r="I4">
        <f>C4+F4</f>
        <v>383</v>
      </c>
      <c r="J4">
        <f>D4+G4</f>
        <v>171</v>
      </c>
      <c r="K4" t="str">
        <f t="shared" ref="K4:K67" si="0">IF(AND(H4&lt;J4,H4&lt;I4), "trus_porz", IF(AND(I4&lt;H4,I4&lt;J4), "mal_porz", IF(AND(J4&lt;I4,J4&lt;H4), "mal_trus", "")))</f>
        <v>mal_trus</v>
      </c>
      <c r="L4">
        <f t="shared" ref="L4:L67" si="1">IF(K4="mal_trus",MIN(H4,I4),IF(K4="mal_porz",MIN(H4,J4),0))</f>
        <v>383</v>
      </c>
      <c r="M4">
        <f t="shared" ref="M4:M67" si="2">IF(K4="trus_porz",MIN(I4,J4), IF(K4="mal_trus", MIN(H4,I4),0))</f>
        <v>383</v>
      </c>
      <c r="N4">
        <f t="shared" ref="N4:N67" si="3">IF(K4="mal_porz",MIN(H4,J4), IF(K4="trus_porz", MIN(I4,J4),0))</f>
        <v>0</v>
      </c>
      <c r="O4">
        <f t="shared" ref="O4:Q67" si="4">H4-L4</f>
        <v>10</v>
      </c>
      <c r="P4">
        <f t="shared" si="4"/>
        <v>0</v>
      </c>
      <c r="Q4">
        <f t="shared" si="4"/>
        <v>171</v>
      </c>
      <c r="T4" t="s">
        <v>22</v>
      </c>
    </row>
    <row r="5" spans="1:25" x14ac:dyDescent="0.25">
      <c r="A5" s="1">
        <v>43954</v>
      </c>
      <c r="B5">
        <f t="shared" ref="B5:D68" si="5">O4</f>
        <v>10</v>
      </c>
      <c r="C5">
        <f t="shared" si="5"/>
        <v>0</v>
      </c>
      <c r="D5">
        <f t="shared" si="5"/>
        <v>171</v>
      </c>
      <c r="E5">
        <v>389</v>
      </c>
      <c r="F5">
        <v>315</v>
      </c>
      <c r="G5">
        <v>104</v>
      </c>
      <c r="H5">
        <f t="shared" ref="H5:J68" si="6">B5+E5</f>
        <v>399</v>
      </c>
      <c r="I5">
        <f t="shared" si="6"/>
        <v>315</v>
      </c>
      <c r="J5">
        <f t="shared" si="6"/>
        <v>275</v>
      </c>
      <c r="K5" t="str">
        <f t="shared" si="0"/>
        <v>mal_trus</v>
      </c>
      <c r="L5">
        <f t="shared" si="1"/>
        <v>315</v>
      </c>
      <c r="M5">
        <f t="shared" si="2"/>
        <v>315</v>
      </c>
      <c r="N5">
        <f t="shared" si="3"/>
        <v>0</v>
      </c>
      <c r="O5">
        <f t="shared" si="4"/>
        <v>84</v>
      </c>
      <c r="P5">
        <f t="shared" si="4"/>
        <v>0</v>
      </c>
      <c r="Q5">
        <f t="shared" si="4"/>
        <v>275</v>
      </c>
      <c r="T5" t="s">
        <v>22</v>
      </c>
    </row>
    <row r="6" spans="1:25" x14ac:dyDescent="0.25">
      <c r="A6" s="1">
        <v>43955</v>
      </c>
      <c r="B6">
        <f t="shared" si="5"/>
        <v>84</v>
      </c>
      <c r="C6">
        <f t="shared" si="5"/>
        <v>0</v>
      </c>
      <c r="D6">
        <f t="shared" si="5"/>
        <v>275</v>
      </c>
      <c r="E6">
        <v>308</v>
      </c>
      <c r="F6">
        <v>221</v>
      </c>
      <c r="G6">
        <v>119</v>
      </c>
      <c r="H6">
        <f t="shared" si="6"/>
        <v>392</v>
      </c>
      <c r="I6">
        <f t="shared" si="6"/>
        <v>221</v>
      </c>
      <c r="J6">
        <f t="shared" si="6"/>
        <v>394</v>
      </c>
      <c r="K6" t="str">
        <f t="shared" si="0"/>
        <v>mal_porz</v>
      </c>
      <c r="L6">
        <f t="shared" si="1"/>
        <v>392</v>
      </c>
      <c r="M6">
        <f t="shared" si="2"/>
        <v>0</v>
      </c>
      <c r="N6">
        <f t="shared" si="3"/>
        <v>392</v>
      </c>
      <c r="O6">
        <f t="shared" si="4"/>
        <v>0</v>
      </c>
      <c r="P6">
        <f t="shared" si="4"/>
        <v>221</v>
      </c>
      <c r="Q6">
        <f t="shared" si="4"/>
        <v>2</v>
      </c>
      <c r="T6" t="s">
        <v>23</v>
      </c>
    </row>
    <row r="7" spans="1:25" x14ac:dyDescent="0.25">
      <c r="A7" s="1">
        <v>43956</v>
      </c>
      <c r="B7">
        <f t="shared" si="5"/>
        <v>0</v>
      </c>
      <c r="C7">
        <f t="shared" si="5"/>
        <v>221</v>
      </c>
      <c r="D7">
        <f t="shared" si="5"/>
        <v>2</v>
      </c>
      <c r="E7">
        <v>387</v>
      </c>
      <c r="F7">
        <v>275</v>
      </c>
      <c r="G7">
        <v>72</v>
      </c>
      <c r="H7">
        <f t="shared" si="6"/>
        <v>387</v>
      </c>
      <c r="I7">
        <f t="shared" si="6"/>
        <v>496</v>
      </c>
      <c r="J7">
        <f t="shared" si="6"/>
        <v>74</v>
      </c>
      <c r="K7" t="str">
        <f t="shared" si="0"/>
        <v>mal_trus</v>
      </c>
      <c r="L7">
        <f t="shared" si="1"/>
        <v>387</v>
      </c>
      <c r="M7">
        <f t="shared" si="2"/>
        <v>387</v>
      </c>
      <c r="N7">
        <f t="shared" si="3"/>
        <v>0</v>
      </c>
      <c r="O7">
        <f t="shared" si="4"/>
        <v>0</v>
      </c>
      <c r="P7">
        <f t="shared" si="4"/>
        <v>109</v>
      </c>
      <c r="Q7">
        <f t="shared" si="4"/>
        <v>74</v>
      </c>
      <c r="T7" t="s">
        <v>22</v>
      </c>
    </row>
    <row r="8" spans="1:25" x14ac:dyDescent="0.25">
      <c r="A8" s="1">
        <v>43957</v>
      </c>
      <c r="B8">
        <f t="shared" si="5"/>
        <v>0</v>
      </c>
      <c r="C8">
        <f t="shared" si="5"/>
        <v>109</v>
      </c>
      <c r="D8">
        <f t="shared" si="5"/>
        <v>74</v>
      </c>
      <c r="E8">
        <v>294</v>
      </c>
      <c r="F8">
        <v>366</v>
      </c>
      <c r="G8">
        <v>99</v>
      </c>
      <c r="H8">
        <f t="shared" si="6"/>
        <v>294</v>
      </c>
      <c r="I8">
        <f t="shared" si="6"/>
        <v>475</v>
      </c>
      <c r="J8">
        <f t="shared" si="6"/>
        <v>173</v>
      </c>
      <c r="K8" t="str">
        <f t="shared" si="0"/>
        <v>mal_trus</v>
      </c>
      <c r="L8">
        <f t="shared" si="1"/>
        <v>294</v>
      </c>
      <c r="M8">
        <f t="shared" si="2"/>
        <v>294</v>
      </c>
      <c r="N8">
        <f t="shared" si="3"/>
        <v>0</v>
      </c>
      <c r="O8">
        <f t="shared" si="4"/>
        <v>0</v>
      </c>
      <c r="P8">
        <f t="shared" si="4"/>
        <v>181</v>
      </c>
      <c r="Q8">
        <f t="shared" si="4"/>
        <v>173</v>
      </c>
      <c r="T8" t="s">
        <v>22</v>
      </c>
    </row>
    <row r="9" spans="1:25" x14ac:dyDescent="0.25">
      <c r="A9" s="1">
        <v>43958</v>
      </c>
      <c r="B9">
        <f t="shared" si="5"/>
        <v>0</v>
      </c>
      <c r="C9">
        <f t="shared" si="5"/>
        <v>181</v>
      </c>
      <c r="D9">
        <f t="shared" si="5"/>
        <v>173</v>
      </c>
      <c r="E9">
        <v>389</v>
      </c>
      <c r="F9">
        <v>288</v>
      </c>
      <c r="G9">
        <v>87</v>
      </c>
      <c r="H9">
        <f t="shared" si="6"/>
        <v>389</v>
      </c>
      <c r="I9">
        <f t="shared" si="6"/>
        <v>469</v>
      </c>
      <c r="J9">
        <f t="shared" si="6"/>
        <v>260</v>
      </c>
      <c r="K9" t="str">
        <f t="shared" si="0"/>
        <v>mal_trus</v>
      </c>
      <c r="L9">
        <f t="shared" si="1"/>
        <v>389</v>
      </c>
      <c r="M9">
        <f t="shared" si="2"/>
        <v>389</v>
      </c>
      <c r="N9">
        <f t="shared" si="3"/>
        <v>0</v>
      </c>
      <c r="O9">
        <f t="shared" si="4"/>
        <v>0</v>
      </c>
      <c r="P9">
        <f t="shared" si="4"/>
        <v>80</v>
      </c>
      <c r="Q9">
        <f t="shared" si="4"/>
        <v>260</v>
      </c>
      <c r="T9" t="s">
        <v>22</v>
      </c>
    </row>
    <row r="10" spans="1:25" x14ac:dyDescent="0.25">
      <c r="A10" s="1">
        <v>43959</v>
      </c>
      <c r="B10">
        <f t="shared" si="5"/>
        <v>0</v>
      </c>
      <c r="C10">
        <f t="shared" si="5"/>
        <v>80</v>
      </c>
      <c r="D10">
        <f t="shared" si="5"/>
        <v>260</v>
      </c>
      <c r="E10">
        <v>259</v>
      </c>
      <c r="F10">
        <v>361</v>
      </c>
      <c r="G10">
        <v>112</v>
      </c>
      <c r="H10">
        <f t="shared" si="6"/>
        <v>259</v>
      </c>
      <c r="I10">
        <f t="shared" si="6"/>
        <v>441</v>
      </c>
      <c r="J10">
        <f t="shared" si="6"/>
        <v>372</v>
      </c>
      <c r="K10" t="str">
        <f t="shared" si="0"/>
        <v>trus_porz</v>
      </c>
      <c r="L10">
        <f t="shared" si="1"/>
        <v>0</v>
      </c>
      <c r="M10">
        <f t="shared" si="2"/>
        <v>372</v>
      </c>
      <c r="N10">
        <f t="shared" si="3"/>
        <v>372</v>
      </c>
      <c r="O10">
        <f t="shared" si="4"/>
        <v>259</v>
      </c>
      <c r="P10">
        <f t="shared" si="4"/>
        <v>69</v>
      </c>
      <c r="Q10">
        <f t="shared" si="4"/>
        <v>0</v>
      </c>
      <c r="T10" t="s">
        <v>25</v>
      </c>
      <c r="X10" s="2" t="s">
        <v>4</v>
      </c>
      <c r="Y10" t="s">
        <v>31</v>
      </c>
    </row>
    <row r="11" spans="1:25" x14ac:dyDescent="0.25">
      <c r="A11" s="1">
        <v>43960</v>
      </c>
      <c r="B11">
        <f t="shared" si="5"/>
        <v>259</v>
      </c>
      <c r="C11">
        <f t="shared" si="5"/>
        <v>69</v>
      </c>
      <c r="D11">
        <f t="shared" si="5"/>
        <v>0</v>
      </c>
      <c r="E11">
        <v>369</v>
      </c>
      <c r="F11">
        <v>233</v>
      </c>
      <c r="G11">
        <v>110</v>
      </c>
      <c r="H11">
        <f t="shared" si="6"/>
        <v>628</v>
      </c>
      <c r="I11">
        <f t="shared" si="6"/>
        <v>302</v>
      </c>
      <c r="J11">
        <f t="shared" si="6"/>
        <v>110</v>
      </c>
      <c r="K11" t="str">
        <f t="shared" si="0"/>
        <v>mal_trus</v>
      </c>
      <c r="L11">
        <f t="shared" si="1"/>
        <v>302</v>
      </c>
      <c r="M11">
        <f t="shared" si="2"/>
        <v>302</v>
      </c>
      <c r="N11">
        <f t="shared" si="3"/>
        <v>0</v>
      </c>
      <c r="O11">
        <f t="shared" si="4"/>
        <v>326</v>
      </c>
      <c r="P11">
        <f t="shared" si="4"/>
        <v>0</v>
      </c>
      <c r="Q11">
        <f t="shared" si="4"/>
        <v>110</v>
      </c>
      <c r="T11" t="s">
        <v>22</v>
      </c>
      <c r="X11" s="3" t="s">
        <v>23</v>
      </c>
      <c r="Y11">
        <v>41</v>
      </c>
    </row>
    <row r="12" spans="1:25" x14ac:dyDescent="0.25">
      <c r="A12" s="1">
        <v>43961</v>
      </c>
      <c r="B12">
        <f t="shared" si="5"/>
        <v>326</v>
      </c>
      <c r="C12">
        <f t="shared" si="5"/>
        <v>0</v>
      </c>
      <c r="D12">
        <f t="shared" si="5"/>
        <v>110</v>
      </c>
      <c r="E12">
        <v>263</v>
      </c>
      <c r="F12">
        <v>393</v>
      </c>
      <c r="G12">
        <v>75</v>
      </c>
      <c r="H12">
        <f t="shared" si="6"/>
        <v>589</v>
      </c>
      <c r="I12">
        <f t="shared" si="6"/>
        <v>393</v>
      </c>
      <c r="J12">
        <f t="shared" si="6"/>
        <v>185</v>
      </c>
      <c r="K12" t="str">
        <f t="shared" si="0"/>
        <v>mal_trus</v>
      </c>
      <c r="L12">
        <f t="shared" si="1"/>
        <v>393</v>
      </c>
      <c r="M12">
        <f t="shared" si="2"/>
        <v>393</v>
      </c>
      <c r="N12">
        <f t="shared" si="3"/>
        <v>0</v>
      </c>
      <c r="O12">
        <f t="shared" si="4"/>
        <v>196</v>
      </c>
      <c r="P12">
        <f t="shared" si="4"/>
        <v>0</v>
      </c>
      <c r="Q12">
        <f t="shared" si="4"/>
        <v>185</v>
      </c>
      <c r="T12" t="s">
        <v>22</v>
      </c>
      <c r="X12" s="3" t="s">
        <v>22</v>
      </c>
      <c r="Y12">
        <v>72</v>
      </c>
    </row>
    <row r="13" spans="1:25" x14ac:dyDescent="0.25">
      <c r="A13" s="1">
        <v>43962</v>
      </c>
      <c r="B13">
        <f t="shared" si="5"/>
        <v>196</v>
      </c>
      <c r="C13">
        <f t="shared" si="5"/>
        <v>0</v>
      </c>
      <c r="D13">
        <f t="shared" si="5"/>
        <v>185</v>
      </c>
      <c r="E13">
        <v>239</v>
      </c>
      <c r="F13">
        <v>347</v>
      </c>
      <c r="G13">
        <v>94</v>
      </c>
      <c r="H13">
        <f t="shared" si="6"/>
        <v>435</v>
      </c>
      <c r="I13">
        <f t="shared" si="6"/>
        <v>347</v>
      </c>
      <c r="J13">
        <f t="shared" si="6"/>
        <v>279</v>
      </c>
      <c r="K13" t="str">
        <f t="shared" si="0"/>
        <v>mal_trus</v>
      </c>
      <c r="L13">
        <f t="shared" si="1"/>
        <v>347</v>
      </c>
      <c r="M13">
        <f t="shared" si="2"/>
        <v>347</v>
      </c>
      <c r="N13">
        <f t="shared" si="3"/>
        <v>0</v>
      </c>
      <c r="O13">
        <f t="shared" si="4"/>
        <v>88</v>
      </c>
      <c r="P13">
        <f t="shared" si="4"/>
        <v>0</v>
      </c>
      <c r="Q13">
        <f t="shared" si="4"/>
        <v>279</v>
      </c>
      <c r="T13" t="s">
        <v>22</v>
      </c>
      <c r="X13" s="3" t="s">
        <v>25</v>
      </c>
      <c r="Y13">
        <v>40</v>
      </c>
    </row>
    <row r="14" spans="1:25" x14ac:dyDescent="0.25">
      <c r="A14" s="1">
        <v>43963</v>
      </c>
      <c r="B14">
        <f t="shared" si="5"/>
        <v>88</v>
      </c>
      <c r="C14">
        <f t="shared" si="5"/>
        <v>0</v>
      </c>
      <c r="D14">
        <f t="shared" si="5"/>
        <v>279</v>
      </c>
      <c r="E14">
        <v>282</v>
      </c>
      <c r="F14">
        <v>338</v>
      </c>
      <c r="G14">
        <v>86</v>
      </c>
      <c r="H14">
        <f t="shared" si="6"/>
        <v>370</v>
      </c>
      <c r="I14">
        <f t="shared" si="6"/>
        <v>338</v>
      </c>
      <c r="J14">
        <f t="shared" si="6"/>
        <v>365</v>
      </c>
      <c r="K14" t="str">
        <f t="shared" si="0"/>
        <v>mal_porz</v>
      </c>
      <c r="L14">
        <f t="shared" si="1"/>
        <v>365</v>
      </c>
      <c r="M14">
        <f t="shared" si="2"/>
        <v>0</v>
      </c>
      <c r="N14">
        <f t="shared" si="3"/>
        <v>365</v>
      </c>
      <c r="O14">
        <f t="shared" si="4"/>
        <v>5</v>
      </c>
      <c r="P14">
        <f t="shared" si="4"/>
        <v>338</v>
      </c>
      <c r="Q14">
        <f t="shared" si="4"/>
        <v>0</v>
      </c>
      <c r="T14" t="s">
        <v>23</v>
      </c>
      <c r="X14" s="3" t="s">
        <v>5</v>
      </c>
      <c r="Y14">
        <v>153</v>
      </c>
    </row>
    <row r="15" spans="1:25" x14ac:dyDescent="0.25">
      <c r="A15" s="1">
        <v>43964</v>
      </c>
      <c r="B15">
        <f t="shared" si="5"/>
        <v>5</v>
      </c>
      <c r="C15">
        <f t="shared" si="5"/>
        <v>338</v>
      </c>
      <c r="D15">
        <f t="shared" si="5"/>
        <v>0</v>
      </c>
      <c r="E15">
        <v>306</v>
      </c>
      <c r="F15">
        <v>273</v>
      </c>
      <c r="G15">
        <v>75</v>
      </c>
      <c r="H15">
        <f t="shared" si="6"/>
        <v>311</v>
      </c>
      <c r="I15">
        <f t="shared" si="6"/>
        <v>611</v>
      </c>
      <c r="J15">
        <f t="shared" si="6"/>
        <v>75</v>
      </c>
      <c r="K15" t="str">
        <f t="shared" si="0"/>
        <v>mal_trus</v>
      </c>
      <c r="L15">
        <f t="shared" si="1"/>
        <v>311</v>
      </c>
      <c r="M15">
        <f t="shared" si="2"/>
        <v>311</v>
      </c>
      <c r="N15">
        <f t="shared" si="3"/>
        <v>0</v>
      </c>
      <c r="O15">
        <f t="shared" si="4"/>
        <v>0</v>
      </c>
      <c r="P15">
        <f t="shared" si="4"/>
        <v>300</v>
      </c>
      <c r="Q15">
        <f t="shared" si="4"/>
        <v>75</v>
      </c>
      <c r="T15" t="s">
        <v>22</v>
      </c>
    </row>
    <row r="16" spans="1:25" x14ac:dyDescent="0.25">
      <c r="A16" s="1">
        <v>43965</v>
      </c>
      <c r="B16">
        <f t="shared" si="5"/>
        <v>0</v>
      </c>
      <c r="C16">
        <f t="shared" si="5"/>
        <v>300</v>
      </c>
      <c r="D16">
        <f t="shared" si="5"/>
        <v>75</v>
      </c>
      <c r="E16">
        <v>251</v>
      </c>
      <c r="F16">
        <v>325</v>
      </c>
      <c r="G16">
        <v>89</v>
      </c>
      <c r="H16">
        <f t="shared" si="6"/>
        <v>251</v>
      </c>
      <c r="I16">
        <f t="shared" si="6"/>
        <v>625</v>
      </c>
      <c r="J16">
        <f t="shared" si="6"/>
        <v>164</v>
      </c>
      <c r="K16" t="str">
        <f t="shared" si="0"/>
        <v>mal_trus</v>
      </c>
      <c r="L16">
        <f t="shared" si="1"/>
        <v>251</v>
      </c>
      <c r="M16">
        <f t="shared" si="2"/>
        <v>251</v>
      </c>
      <c r="N16">
        <f t="shared" si="3"/>
        <v>0</v>
      </c>
      <c r="O16">
        <f t="shared" si="4"/>
        <v>0</v>
      </c>
      <c r="P16">
        <f t="shared" si="4"/>
        <v>374</v>
      </c>
      <c r="Q16">
        <f t="shared" si="4"/>
        <v>164</v>
      </c>
      <c r="T16" t="s">
        <v>22</v>
      </c>
    </row>
    <row r="17" spans="1:20" x14ac:dyDescent="0.25">
      <c r="A17" s="1">
        <v>43966</v>
      </c>
      <c r="B17">
        <f t="shared" si="5"/>
        <v>0</v>
      </c>
      <c r="C17">
        <f t="shared" si="5"/>
        <v>374</v>
      </c>
      <c r="D17">
        <f t="shared" si="5"/>
        <v>164</v>
      </c>
      <c r="E17">
        <v>224</v>
      </c>
      <c r="F17">
        <v>352</v>
      </c>
      <c r="G17">
        <v>97</v>
      </c>
      <c r="H17">
        <f t="shared" si="6"/>
        <v>224</v>
      </c>
      <c r="I17">
        <f t="shared" si="6"/>
        <v>726</v>
      </c>
      <c r="J17">
        <f t="shared" si="6"/>
        <v>261</v>
      </c>
      <c r="K17" t="str">
        <f t="shared" si="0"/>
        <v>trus_porz</v>
      </c>
      <c r="L17">
        <f t="shared" si="1"/>
        <v>0</v>
      </c>
      <c r="M17">
        <f t="shared" si="2"/>
        <v>261</v>
      </c>
      <c r="N17">
        <f t="shared" si="3"/>
        <v>261</v>
      </c>
      <c r="O17">
        <f t="shared" si="4"/>
        <v>224</v>
      </c>
      <c r="P17">
        <f t="shared" si="4"/>
        <v>465</v>
      </c>
      <c r="Q17">
        <f t="shared" si="4"/>
        <v>0</v>
      </c>
      <c r="T17" t="s">
        <v>25</v>
      </c>
    </row>
    <row r="18" spans="1:20" x14ac:dyDescent="0.25">
      <c r="A18" s="1">
        <v>43967</v>
      </c>
      <c r="B18">
        <f t="shared" si="5"/>
        <v>224</v>
      </c>
      <c r="C18">
        <f t="shared" si="5"/>
        <v>465</v>
      </c>
      <c r="D18">
        <f t="shared" si="5"/>
        <v>0</v>
      </c>
      <c r="E18">
        <v>233</v>
      </c>
      <c r="F18">
        <v>270</v>
      </c>
      <c r="G18">
        <v>94</v>
      </c>
      <c r="H18">
        <f t="shared" si="6"/>
        <v>457</v>
      </c>
      <c r="I18">
        <f t="shared" si="6"/>
        <v>735</v>
      </c>
      <c r="J18">
        <f t="shared" si="6"/>
        <v>94</v>
      </c>
      <c r="K18" t="str">
        <f t="shared" si="0"/>
        <v>mal_trus</v>
      </c>
      <c r="L18">
        <f t="shared" si="1"/>
        <v>457</v>
      </c>
      <c r="M18">
        <f t="shared" si="2"/>
        <v>457</v>
      </c>
      <c r="N18">
        <f t="shared" si="3"/>
        <v>0</v>
      </c>
      <c r="O18">
        <f t="shared" si="4"/>
        <v>0</v>
      </c>
      <c r="P18">
        <f t="shared" si="4"/>
        <v>278</v>
      </c>
      <c r="Q18">
        <f t="shared" si="4"/>
        <v>94</v>
      </c>
      <c r="T18" t="s">
        <v>22</v>
      </c>
    </row>
    <row r="19" spans="1:20" x14ac:dyDescent="0.25">
      <c r="A19" s="1">
        <v>43968</v>
      </c>
      <c r="B19">
        <f t="shared" si="5"/>
        <v>0</v>
      </c>
      <c r="C19">
        <f t="shared" si="5"/>
        <v>278</v>
      </c>
      <c r="D19">
        <f t="shared" si="5"/>
        <v>94</v>
      </c>
      <c r="E19">
        <v>345</v>
      </c>
      <c r="F19">
        <v>275</v>
      </c>
      <c r="G19">
        <v>90</v>
      </c>
      <c r="H19">
        <f t="shared" si="6"/>
        <v>345</v>
      </c>
      <c r="I19">
        <f t="shared" si="6"/>
        <v>553</v>
      </c>
      <c r="J19">
        <f t="shared" si="6"/>
        <v>184</v>
      </c>
      <c r="K19" t="str">
        <f t="shared" si="0"/>
        <v>mal_trus</v>
      </c>
      <c r="L19">
        <f t="shared" si="1"/>
        <v>345</v>
      </c>
      <c r="M19">
        <f t="shared" si="2"/>
        <v>345</v>
      </c>
      <c r="N19">
        <f t="shared" si="3"/>
        <v>0</v>
      </c>
      <c r="O19">
        <f t="shared" si="4"/>
        <v>0</v>
      </c>
      <c r="P19">
        <f t="shared" si="4"/>
        <v>208</v>
      </c>
      <c r="Q19">
        <f t="shared" si="4"/>
        <v>184</v>
      </c>
      <c r="T19" t="s">
        <v>22</v>
      </c>
    </row>
    <row r="20" spans="1:20" x14ac:dyDescent="0.25">
      <c r="A20" s="1">
        <v>43969</v>
      </c>
      <c r="B20">
        <f t="shared" si="5"/>
        <v>0</v>
      </c>
      <c r="C20">
        <f t="shared" si="5"/>
        <v>208</v>
      </c>
      <c r="D20">
        <f t="shared" si="5"/>
        <v>184</v>
      </c>
      <c r="E20">
        <v>232</v>
      </c>
      <c r="F20">
        <v>228</v>
      </c>
      <c r="G20">
        <v>107</v>
      </c>
      <c r="H20">
        <f t="shared" si="6"/>
        <v>232</v>
      </c>
      <c r="I20">
        <f t="shared" si="6"/>
        <v>436</v>
      </c>
      <c r="J20">
        <f t="shared" si="6"/>
        <v>291</v>
      </c>
      <c r="K20" t="str">
        <f t="shared" si="0"/>
        <v>trus_porz</v>
      </c>
      <c r="L20">
        <f t="shared" si="1"/>
        <v>0</v>
      </c>
      <c r="M20">
        <f t="shared" si="2"/>
        <v>291</v>
      </c>
      <c r="N20">
        <f t="shared" si="3"/>
        <v>291</v>
      </c>
      <c r="O20">
        <f t="shared" si="4"/>
        <v>232</v>
      </c>
      <c r="P20">
        <f t="shared" si="4"/>
        <v>145</v>
      </c>
      <c r="Q20">
        <f t="shared" si="4"/>
        <v>0</v>
      </c>
      <c r="T20" t="s">
        <v>25</v>
      </c>
    </row>
    <row r="21" spans="1:20" x14ac:dyDescent="0.25">
      <c r="A21" s="1">
        <v>43970</v>
      </c>
      <c r="B21">
        <f t="shared" si="5"/>
        <v>232</v>
      </c>
      <c r="C21">
        <f t="shared" si="5"/>
        <v>145</v>
      </c>
      <c r="D21">
        <f t="shared" si="5"/>
        <v>0</v>
      </c>
      <c r="E21">
        <v>238</v>
      </c>
      <c r="F21">
        <v>394</v>
      </c>
      <c r="G21">
        <v>105</v>
      </c>
      <c r="H21">
        <f t="shared" si="6"/>
        <v>470</v>
      </c>
      <c r="I21">
        <f t="shared" si="6"/>
        <v>539</v>
      </c>
      <c r="J21">
        <f t="shared" si="6"/>
        <v>105</v>
      </c>
      <c r="K21" t="str">
        <f t="shared" si="0"/>
        <v>mal_trus</v>
      </c>
      <c r="L21">
        <f t="shared" si="1"/>
        <v>470</v>
      </c>
      <c r="M21">
        <f t="shared" si="2"/>
        <v>470</v>
      </c>
      <c r="N21">
        <f t="shared" si="3"/>
        <v>0</v>
      </c>
      <c r="O21">
        <f t="shared" si="4"/>
        <v>0</v>
      </c>
      <c r="P21">
        <f t="shared" si="4"/>
        <v>69</v>
      </c>
      <c r="Q21">
        <f t="shared" si="4"/>
        <v>105</v>
      </c>
      <c r="T21" t="s">
        <v>22</v>
      </c>
    </row>
    <row r="22" spans="1:20" x14ac:dyDescent="0.25">
      <c r="A22" s="1">
        <v>43971</v>
      </c>
      <c r="B22">
        <f t="shared" si="5"/>
        <v>0</v>
      </c>
      <c r="C22">
        <f t="shared" si="5"/>
        <v>69</v>
      </c>
      <c r="D22">
        <f t="shared" si="5"/>
        <v>105</v>
      </c>
      <c r="E22">
        <v>378</v>
      </c>
      <c r="F22">
        <v>311</v>
      </c>
      <c r="G22">
        <v>110</v>
      </c>
      <c r="H22">
        <f t="shared" si="6"/>
        <v>378</v>
      </c>
      <c r="I22">
        <f t="shared" si="6"/>
        <v>380</v>
      </c>
      <c r="J22">
        <f t="shared" si="6"/>
        <v>215</v>
      </c>
      <c r="K22" t="str">
        <f t="shared" si="0"/>
        <v>mal_trus</v>
      </c>
      <c r="L22">
        <f t="shared" si="1"/>
        <v>378</v>
      </c>
      <c r="M22">
        <f t="shared" si="2"/>
        <v>378</v>
      </c>
      <c r="N22">
        <f t="shared" si="3"/>
        <v>0</v>
      </c>
      <c r="O22">
        <f t="shared" si="4"/>
        <v>0</v>
      </c>
      <c r="P22">
        <f t="shared" si="4"/>
        <v>2</v>
      </c>
      <c r="Q22">
        <f t="shared" si="4"/>
        <v>215</v>
      </c>
      <c r="T22" t="s">
        <v>22</v>
      </c>
    </row>
    <row r="23" spans="1:20" x14ac:dyDescent="0.25">
      <c r="A23" s="1">
        <v>43972</v>
      </c>
      <c r="B23">
        <f t="shared" si="5"/>
        <v>0</v>
      </c>
      <c r="C23">
        <f t="shared" si="5"/>
        <v>2</v>
      </c>
      <c r="D23">
        <f t="shared" si="5"/>
        <v>215</v>
      </c>
      <c r="E23">
        <v>281</v>
      </c>
      <c r="F23">
        <v>354</v>
      </c>
      <c r="G23">
        <v>121</v>
      </c>
      <c r="H23">
        <f t="shared" si="6"/>
        <v>281</v>
      </c>
      <c r="I23">
        <f t="shared" si="6"/>
        <v>356</v>
      </c>
      <c r="J23">
        <f t="shared" si="6"/>
        <v>336</v>
      </c>
      <c r="K23" t="str">
        <f t="shared" si="0"/>
        <v>trus_porz</v>
      </c>
      <c r="L23">
        <f t="shared" si="1"/>
        <v>0</v>
      </c>
      <c r="M23">
        <f t="shared" si="2"/>
        <v>336</v>
      </c>
      <c r="N23">
        <f t="shared" si="3"/>
        <v>336</v>
      </c>
      <c r="O23">
        <f t="shared" si="4"/>
        <v>281</v>
      </c>
      <c r="P23">
        <f t="shared" si="4"/>
        <v>20</v>
      </c>
      <c r="Q23">
        <f t="shared" si="4"/>
        <v>0</v>
      </c>
      <c r="T23" t="s">
        <v>25</v>
      </c>
    </row>
    <row r="24" spans="1:20" x14ac:dyDescent="0.25">
      <c r="A24" s="1">
        <v>43973</v>
      </c>
      <c r="B24">
        <f t="shared" si="5"/>
        <v>281</v>
      </c>
      <c r="C24">
        <f t="shared" si="5"/>
        <v>20</v>
      </c>
      <c r="D24">
        <f t="shared" si="5"/>
        <v>0</v>
      </c>
      <c r="E24">
        <v>390</v>
      </c>
      <c r="F24">
        <v>267</v>
      </c>
      <c r="G24">
        <v>124</v>
      </c>
      <c r="H24">
        <f t="shared" si="6"/>
        <v>671</v>
      </c>
      <c r="I24">
        <f t="shared" si="6"/>
        <v>287</v>
      </c>
      <c r="J24">
        <f t="shared" si="6"/>
        <v>124</v>
      </c>
      <c r="K24" t="str">
        <f t="shared" si="0"/>
        <v>mal_trus</v>
      </c>
      <c r="L24">
        <f t="shared" si="1"/>
        <v>287</v>
      </c>
      <c r="M24">
        <f t="shared" si="2"/>
        <v>287</v>
      </c>
      <c r="N24">
        <f t="shared" si="3"/>
        <v>0</v>
      </c>
      <c r="O24">
        <f t="shared" si="4"/>
        <v>384</v>
      </c>
      <c r="P24">
        <f t="shared" si="4"/>
        <v>0</v>
      </c>
      <c r="Q24">
        <f t="shared" si="4"/>
        <v>124</v>
      </c>
      <c r="T24" t="s">
        <v>22</v>
      </c>
    </row>
    <row r="25" spans="1:20" x14ac:dyDescent="0.25">
      <c r="A25" s="1">
        <v>43974</v>
      </c>
      <c r="B25">
        <f t="shared" si="5"/>
        <v>384</v>
      </c>
      <c r="C25">
        <f t="shared" si="5"/>
        <v>0</v>
      </c>
      <c r="D25">
        <f t="shared" si="5"/>
        <v>124</v>
      </c>
      <c r="E25">
        <v>308</v>
      </c>
      <c r="F25">
        <v>337</v>
      </c>
      <c r="G25">
        <v>105</v>
      </c>
      <c r="H25">
        <f t="shared" si="6"/>
        <v>692</v>
      </c>
      <c r="I25">
        <f t="shared" si="6"/>
        <v>337</v>
      </c>
      <c r="J25">
        <f t="shared" si="6"/>
        <v>229</v>
      </c>
      <c r="K25" t="str">
        <f t="shared" si="0"/>
        <v>mal_trus</v>
      </c>
      <c r="L25">
        <f t="shared" si="1"/>
        <v>337</v>
      </c>
      <c r="M25">
        <f t="shared" si="2"/>
        <v>337</v>
      </c>
      <c r="N25">
        <f t="shared" si="3"/>
        <v>0</v>
      </c>
      <c r="O25">
        <f t="shared" si="4"/>
        <v>355</v>
      </c>
      <c r="P25">
        <f t="shared" si="4"/>
        <v>0</v>
      </c>
      <c r="Q25">
        <f t="shared" si="4"/>
        <v>229</v>
      </c>
      <c r="T25" t="s">
        <v>22</v>
      </c>
    </row>
    <row r="26" spans="1:20" x14ac:dyDescent="0.25">
      <c r="A26" s="1">
        <v>43975</v>
      </c>
      <c r="B26">
        <f t="shared" si="5"/>
        <v>355</v>
      </c>
      <c r="C26">
        <f t="shared" si="5"/>
        <v>0</v>
      </c>
      <c r="D26">
        <f t="shared" si="5"/>
        <v>229</v>
      </c>
      <c r="E26">
        <v>391</v>
      </c>
      <c r="F26">
        <v>238</v>
      </c>
      <c r="G26">
        <v>113</v>
      </c>
      <c r="H26">
        <f t="shared" si="6"/>
        <v>746</v>
      </c>
      <c r="I26">
        <f t="shared" si="6"/>
        <v>238</v>
      </c>
      <c r="J26">
        <f t="shared" si="6"/>
        <v>342</v>
      </c>
      <c r="K26" t="str">
        <f t="shared" si="0"/>
        <v>mal_porz</v>
      </c>
      <c r="L26">
        <f t="shared" si="1"/>
        <v>342</v>
      </c>
      <c r="M26">
        <f t="shared" si="2"/>
        <v>0</v>
      </c>
      <c r="N26">
        <f t="shared" si="3"/>
        <v>342</v>
      </c>
      <c r="O26">
        <f t="shared" si="4"/>
        <v>404</v>
      </c>
      <c r="P26">
        <f t="shared" si="4"/>
        <v>238</v>
      </c>
      <c r="Q26">
        <f t="shared" si="4"/>
        <v>0</v>
      </c>
      <c r="T26" t="s">
        <v>23</v>
      </c>
    </row>
    <row r="27" spans="1:20" x14ac:dyDescent="0.25">
      <c r="A27" s="1">
        <v>43976</v>
      </c>
      <c r="B27">
        <f t="shared" si="5"/>
        <v>404</v>
      </c>
      <c r="C27">
        <f t="shared" si="5"/>
        <v>238</v>
      </c>
      <c r="D27">
        <f t="shared" si="5"/>
        <v>0</v>
      </c>
      <c r="E27">
        <v>241</v>
      </c>
      <c r="F27">
        <v>283</v>
      </c>
      <c r="G27">
        <v>140</v>
      </c>
      <c r="H27">
        <f t="shared" si="6"/>
        <v>645</v>
      </c>
      <c r="I27">
        <f t="shared" si="6"/>
        <v>521</v>
      </c>
      <c r="J27">
        <f t="shared" si="6"/>
        <v>140</v>
      </c>
      <c r="K27" t="str">
        <f t="shared" si="0"/>
        <v>mal_trus</v>
      </c>
      <c r="L27">
        <f t="shared" si="1"/>
        <v>521</v>
      </c>
      <c r="M27">
        <f t="shared" si="2"/>
        <v>521</v>
      </c>
      <c r="N27">
        <f t="shared" si="3"/>
        <v>0</v>
      </c>
      <c r="O27">
        <f t="shared" si="4"/>
        <v>124</v>
      </c>
      <c r="P27">
        <f t="shared" si="4"/>
        <v>0</v>
      </c>
      <c r="Q27">
        <f t="shared" si="4"/>
        <v>140</v>
      </c>
      <c r="T27" t="s">
        <v>22</v>
      </c>
    </row>
    <row r="28" spans="1:20" x14ac:dyDescent="0.25">
      <c r="A28" s="1">
        <v>43977</v>
      </c>
      <c r="B28">
        <f t="shared" si="5"/>
        <v>124</v>
      </c>
      <c r="C28">
        <f t="shared" si="5"/>
        <v>0</v>
      </c>
      <c r="D28">
        <f t="shared" si="5"/>
        <v>140</v>
      </c>
      <c r="E28">
        <v>249</v>
      </c>
      <c r="F28">
        <v>275</v>
      </c>
      <c r="G28">
        <v>118</v>
      </c>
      <c r="H28">
        <f t="shared" si="6"/>
        <v>373</v>
      </c>
      <c r="I28">
        <f t="shared" si="6"/>
        <v>275</v>
      </c>
      <c r="J28">
        <f t="shared" si="6"/>
        <v>258</v>
      </c>
      <c r="K28" t="str">
        <f t="shared" si="0"/>
        <v>mal_trus</v>
      </c>
      <c r="L28">
        <f t="shared" si="1"/>
        <v>275</v>
      </c>
      <c r="M28">
        <f t="shared" si="2"/>
        <v>275</v>
      </c>
      <c r="N28">
        <f t="shared" si="3"/>
        <v>0</v>
      </c>
      <c r="O28">
        <f t="shared" si="4"/>
        <v>98</v>
      </c>
      <c r="P28">
        <f t="shared" si="4"/>
        <v>0</v>
      </c>
      <c r="Q28">
        <f t="shared" si="4"/>
        <v>258</v>
      </c>
      <c r="T28" t="s">
        <v>22</v>
      </c>
    </row>
    <row r="29" spans="1:20" x14ac:dyDescent="0.25">
      <c r="A29" s="1">
        <v>43978</v>
      </c>
      <c r="B29">
        <f t="shared" si="5"/>
        <v>98</v>
      </c>
      <c r="C29">
        <f t="shared" si="5"/>
        <v>0</v>
      </c>
      <c r="D29">
        <f t="shared" si="5"/>
        <v>258</v>
      </c>
      <c r="E29">
        <v>298</v>
      </c>
      <c r="F29">
        <v>263</v>
      </c>
      <c r="G29">
        <v>145</v>
      </c>
      <c r="H29">
        <f t="shared" si="6"/>
        <v>396</v>
      </c>
      <c r="I29">
        <f t="shared" si="6"/>
        <v>263</v>
      </c>
      <c r="J29">
        <f t="shared" si="6"/>
        <v>403</v>
      </c>
      <c r="K29" t="str">
        <f t="shared" si="0"/>
        <v>mal_porz</v>
      </c>
      <c r="L29">
        <f t="shared" si="1"/>
        <v>396</v>
      </c>
      <c r="M29">
        <f t="shared" si="2"/>
        <v>0</v>
      </c>
      <c r="N29">
        <f t="shared" si="3"/>
        <v>396</v>
      </c>
      <c r="O29">
        <f t="shared" si="4"/>
        <v>0</v>
      </c>
      <c r="P29">
        <f t="shared" si="4"/>
        <v>263</v>
      </c>
      <c r="Q29">
        <f t="shared" si="4"/>
        <v>7</v>
      </c>
      <c r="T29" t="s">
        <v>23</v>
      </c>
    </row>
    <row r="30" spans="1:20" x14ac:dyDescent="0.25">
      <c r="A30" s="1">
        <v>43979</v>
      </c>
      <c r="B30">
        <f t="shared" si="5"/>
        <v>0</v>
      </c>
      <c r="C30">
        <f t="shared" si="5"/>
        <v>263</v>
      </c>
      <c r="D30">
        <f t="shared" si="5"/>
        <v>7</v>
      </c>
      <c r="E30">
        <v>254</v>
      </c>
      <c r="F30">
        <v>241</v>
      </c>
      <c r="G30">
        <v>149</v>
      </c>
      <c r="H30">
        <f t="shared" si="6"/>
        <v>254</v>
      </c>
      <c r="I30">
        <f t="shared" si="6"/>
        <v>504</v>
      </c>
      <c r="J30">
        <f t="shared" si="6"/>
        <v>156</v>
      </c>
      <c r="K30" t="str">
        <f t="shared" si="0"/>
        <v>mal_trus</v>
      </c>
      <c r="L30">
        <f t="shared" si="1"/>
        <v>254</v>
      </c>
      <c r="M30">
        <f t="shared" si="2"/>
        <v>254</v>
      </c>
      <c r="N30">
        <f t="shared" si="3"/>
        <v>0</v>
      </c>
      <c r="O30">
        <f t="shared" si="4"/>
        <v>0</v>
      </c>
      <c r="P30">
        <f t="shared" si="4"/>
        <v>250</v>
      </c>
      <c r="Q30">
        <f t="shared" si="4"/>
        <v>156</v>
      </c>
      <c r="T30" t="s">
        <v>22</v>
      </c>
    </row>
    <row r="31" spans="1:20" x14ac:dyDescent="0.25">
      <c r="A31" s="1">
        <v>43980</v>
      </c>
      <c r="B31">
        <f t="shared" si="5"/>
        <v>0</v>
      </c>
      <c r="C31">
        <f t="shared" si="5"/>
        <v>250</v>
      </c>
      <c r="D31">
        <f t="shared" si="5"/>
        <v>156</v>
      </c>
      <c r="E31">
        <v>329</v>
      </c>
      <c r="F31">
        <v>323</v>
      </c>
      <c r="G31">
        <v>134</v>
      </c>
      <c r="H31">
        <f t="shared" si="6"/>
        <v>329</v>
      </c>
      <c r="I31">
        <f t="shared" si="6"/>
        <v>573</v>
      </c>
      <c r="J31">
        <f t="shared" si="6"/>
        <v>290</v>
      </c>
      <c r="K31" t="str">
        <f t="shared" si="0"/>
        <v>mal_trus</v>
      </c>
      <c r="L31">
        <f t="shared" si="1"/>
        <v>329</v>
      </c>
      <c r="M31">
        <f t="shared" si="2"/>
        <v>329</v>
      </c>
      <c r="N31">
        <f t="shared" si="3"/>
        <v>0</v>
      </c>
      <c r="O31">
        <f t="shared" si="4"/>
        <v>0</v>
      </c>
      <c r="P31">
        <f t="shared" si="4"/>
        <v>244</v>
      </c>
      <c r="Q31">
        <f t="shared" si="4"/>
        <v>290</v>
      </c>
      <c r="T31" t="s">
        <v>22</v>
      </c>
    </row>
    <row r="32" spans="1:20" x14ac:dyDescent="0.25">
      <c r="A32" s="1">
        <v>43981</v>
      </c>
      <c r="B32">
        <f t="shared" si="5"/>
        <v>0</v>
      </c>
      <c r="C32">
        <f t="shared" si="5"/>
        <v>244</v>
      </c>
      <c r="D32">
        <f t="shared" si="5"/>
        <v>290</v>
      </c>
      <c r="E32">
        <v>213</v>
      </c>
      <c r="F32">
        <v>221</v>
      </c>
      <c r="G32">
        <v>119</v>
      </c>
      <c r="H32">
        <f t="shared" si="6"/>
        <v>213</v>
      </c>
      <c r="I32">
        <f t="shared" si="6"/>
        <v>465</v>
      </c>
      <c r="J32">
        <f t="shared" si="6"/>
        <v>409</v>
      </c>
      <c r="K32" t="str">
        <f t="shared" si="0"/>
        <v>trus_porz</v>
      </c>
      <c r="L32">
        <f t="shared" si="1"/>
        <v>0</v>
      </c>
      <c r="M32">
        <f t="shared" si="2"/>
        <v>409</v>
      </c>
      <c r="N32">
        <f t="shared" si="3"/>
        <v>409</v>
      </c>
      <c r="O32">
        <f t="shared" si="4"/>
        <v>213</v>
      </c>
      <c r="P32">
        <f t="shared" si="4"/>
        <v>56</v>
      </c>
      <c r="Q32">
        <f t="shared" si="4"/>
        <v>0</v>
      </c>
      <c r="T32" t="s">
        <v>25</v>
      </c>
    </row>
    <row r="33" spans="1:20" x14ac:dyDescent="0.25">
      <c r="A33" s="1">
        <v>43982</v>
      </c>
      <c r="B33">
        <f t="shared" si="5"/>
        <v>213</v>
      </c>
      <c r="C33">
        <f t="shared" si="5"/>
        <v>56</v>
      </c>
      <c r="D33">
        <f t="shared" si="5"/>
        <v>0</v>
      </c>
      <c r="E33">
        <v>294</v>
      </c>
      <c r="F33">
        <v>326</v>
      </c>
      <c r="G33">
        <v>145</v>
      </c>
      <c r="H33">
        <f t="shared" si="6"/>
        <v>507</v>
      </c>
      <c r="I33">
        <f t="shared" si="6"/>
        <v>382</v>
      </c>
      <c r="J33">
        <f t="shared" si="6"/>
        <v>145</v>
      </c>
      <c r="K33" t="str">
        <f t="shared" si="0"/>
        <v>mal_trus</v>
      </c>
      <c r="L33">
        <f t="shared" si="1"/>
        <v>382</v>
      </c>
      <c r="M33">
        <f t="shared" si="2"/>
        <v>382</v>
      </c>
      <c r="N33">
        <f t="shared" si="3"/>
        <v>0</v>
      </c>
      <c r="O33">
        <f t="shared" si="4"/>
        <v>125</v>
      </c>
      <c r="P33">
        <f t="shared" si="4"/>
        <v>0</v>
      </c>
      <c r="Q33">
        <f t="shared" si="4"/>
        <v>145</v>
      </c>
      <c r="T33" t="s">
        <v>22</v>
      </c>
    </row>
    <row r="34" spans="1:20" x14ac:dyDescent="0.25">
      <c r="A34" s="1">
        <v>43983</v>
      </c>
      <c r="B34">
        <f t="shared" si="5"/>
        <v>125</v>
      </c>
      <c r="C34">
        <f t="shared" si="5"/>
        <v>0</v>
      </c>
      <c r="D34">
        <f t="shared" si="5"/>
        <v>145</v>
      </c>
      <c r="E34">
        <v>225</v>
      </c>
      <c r="F34">
        <v>206</v>
      </c>
      <c r="G34">
        <v>122</v>
      </c>
      <c r="H34">
        <f t="shared" si="6"/>
        <v>350</v>
      </c>
      <c r="I34">
        <f t="shared" si="6"/>
        <v>206</v>
      </c>
      <c r="J34">
        <f t="shared" si="6"/>
        <v>267</v>
      </c>
      <c r="K34" t="str">
        <f t="shared" si="0"/>
        <v>mal_porz</v>
      </c>
      <c r="L34">
        <f t="shared" si="1"/>
        <v>267</v>
      </c>
      <c r="M34">
        <f t="shared" si="2"/>
        <v>0</v>
      </c>
      <c r="N34">
        <f t="shared" si="3"/>
        <v>267</v>
      </c>
      <c r="O34">
        <f t="shared" si="4"/>
        <v>83</v>
      </c>
      <c r="P34">
        <f t="shared" si="4"/>
        <v>206</v>
      </c>
      <c r="Q34">
        <f t="shared" si="4"/>
        <v>0</v>
      </c>
      <c r="T34" t="s">
        <v>23</v>
      </c>
    </row>
    <row r="35" spans="1:20" x14ac:dyDescent="0.25">
      <c r="A35" s="1">
        <v>43984</v>
      </c>
      <c r="B35">
        <f t="shared" si="5"/>
        <v>83</v>
      </c>
      <c r="C35">
        <f t="shared" si="5"/>
        <v>206</v>
      </c>
      <c r="D35">
        <f t="shared" si="5"/>
        <v>0</v>
      </c>
      <c r="E35">
        <v>264</v>
      </c>
      <c r="F35">
        <v>355</v>
      </c>
      <c r="G35">
        <v>134</v>
      </c>
      <c r="H35">
        <f t="shared" si="6"/>
        <v>347</v>
      </c>
      <c r="I35">
        <f t="shared" si="6"/>
        <v>561</v>
      </c>
      <c r="J35">
        <f t="shared" si="6"/>
        <v>134</v>
      </c>
      <c r="K35" t="str">
        <f t="shared" si="0"/>
        <v>mal_trus</v>
      </c>
      <c r="L35">
        <f t="shared" si="1"/>
        <v>347</v>
      </c>
      <c r="M35">
        <f t="shared" si="2"/>
        <v>347</v>
      </c>
      <c r="N35">
        <f t="shared" si="3"/>
        <v>0</v>
      </c>
      <c r="O35">
        <f t="shared" si="4"/>
        <v>0</v>
      </c>
      <c r="P35">
        <f t="shared" si="4"/>
        <v>214</v>
      </c>
      <c r="Q35">
        <f t="shared" si="4"/>
        <v>134</v>
      </c>
      <c r="T35" t="s">
        <v>22</v>
      </c>
    </row>
    <row r="36" spans="1:20" x14ac:dyDescent="0.25">
      <c r="A36" s="1">
        <v>43985</v>
      </c>
      <c r="B36">
        <f t="shared" si="5"/>
        <v>0</v>
      </c>
      <c r="C36">
        <f t="shared" si="5"/>
        <v>214</v>
      </c>
      <c r="D36">
        <f t="shared" si="5"/>
        <v>134</v>
      </c>
      <c r="E36">
        <v>253</v>
      </c>
      <c r="F36">
        <v>271</v>
      </c>
      <c r="G36">
        <v>142</v>
      </c>
      <c r="H36">
        <f t="shared" si="6"/>
        <v>253</v>
      </c>
      <c r="I36">
        <f t="shared" si="6"/>
        <v>485</v>
      </c>
      <c r="J36">
        <f t="shared" si="6"/>
        <v>276</v>
      </c>
      <c r="K36" t="str">
        <f t="shared" si="0"/>
        <v>trus_porz</v>
      </c>
      <c r="L36">
        <f t="shared" si="1"/>
        <v>0</v>
      </c>
      <c r="M36">
        <f t="shared" si="2"/>
        <v>276</v>
      </c>
      <c r="N36">
        <f t="shared" si="3"/>
        <v>276</v>
      </c>
      <c r="O36">
        <f t="shared" si="4"/>
        <v>253</v>
      </c>
      <c r="P36">
        <f t="shared" si="4"/>
        <v>209</v>
      </c>
      <c r="Q36">
        <f t="shared" si="4"/>
        <v>0</v>
      </c>
      <c r="T36" t="s">
        <v>25</v>
      </c>
    </row>
    <row r="37" spans="1:20" x14ac:dyDescent="0.25">
      <c r="A37" s="1">
        <v>43986</v>
      </c>
      <c r="B37">
        <f t="shared" si="5"/>
        <v>253</v>
      </c>
      <c r="C37">
        <f t="shared" si="5"/>
        <v>209</v>
      </c>
      <c r="D37">
        <f t="shared" si="5"/>
        <v>0</v>
      </c>
      <c r="E37">
        <v>352</v>
      </c>
      <c r="F37">
        <v>207</v>
      </c>
      <c r="G37">
        <v>125</v>
      </c>
      <c r="H37">
        <f t="shared" si="6"/>
        <v>605</v>
      </c>
      <c r="I37">
        <f t="shared" si="6"/>
        <v>416</v>
      </c>
      <c r="J37">
        <f t="shared" si="6"/>
        <v>125</v>
      </c>
      <c r="K37" t="str">
        <f t="shared" si="0"/>
        <v>mal_trus</v>
      </c>
      <c r="L37">
        <f t="shared" si="1"/>
        <v>416</v>
      </c>
      <c r="M37">
        <f t="shared" si="2"/>
        <v>416</v>
      </c>
      <c r="N37">
        <f t="shared" si="3"/>
        <v>0</v>
      </c>
      <c r="O37">
        <f t="shared" si="4"/>
        <v>189</v>
      </c>
      <c r="P37">
        <f t="shared" si="4"/>
        <v>0</v>
      </c>
      <c r="Q37">
        <f t="shared" si="4"/>
        <v>125</v>
      </c>
      <c r="T37" t="s">
        <v>22</v>
      </c>
    </row>
    <row r="38" spans="1:20" x14ac:dyDescent="0.25">
      <c r="A38" s="1">
        <v>43987</v>
      </c>
      <c r="B38">
        <f t="shared" si="5"/>
        <v>189</v>
      </c>
      <c r="C38">
        <f t="shared" si="5"/>
        <v>0</v>
      </c>
      <c r="D38">
        <f t="shared" si="5"/>
        <v>125</v>
      </c>
      <c r="E38">
        <v>269</v>
      </c>
      <c r="F38">
        <v>248</v>
      </c>
      <c r="G38">
        <v>137</v>
      </c>
      <c r="H38">
        <f t="shared" si="6"/>
        <v>458</v>
      </c>
      <c r="I38">
        <f t="shared" si="6"/>
        <v>248</v>
      </c>
      <c r="J38">
        <f t="shared" si="6"/>
        <v>262</v>
      </c>
      <c r="K38" t="str">
        <f t="shared" si="0"/>
        <v>mal_porz</v>
      </c>
      <c r="L38">
        <f t="shared" si="1"/>
        <v>262</v>
      </c>
      <c r="M38">
        <f t="shared" si="2"/>
        <v>0</v>
      </c>
      <c r="N38">
        <f t="shared" si="3"/>
        <v>262</v>
      </c>
      <c r="O38">
        <f t="shared" si="4"/>
        <v>196</v>
      </c>
      <c r="P38">
        <f t="shared" si="4"/>
        <v>248</v>
      </c>
      <c r="Q38">
        <f t="shared" si="4"/>
        <v>0</v>
      </c>
      <c r="T38" t="s">
        <v>23</v>
      </c>
    </row>
    <row r="39" spans="1:20" x14ac:dyDescent="0.25">
      <c r="A39" s="1">
        <v>43988</v>
      </c>
      <c r="B39">
        <f t="shared" si="5"/>
        <v>196</v>
      </c>
      <c r="C39">
        <f t="shared" si="5"/>
        <v>248</v>
      </c>
      <c r="D39">
        <f t="shared" si="5"/>
        <v>0</v>
      </c>
      <c r="E39">
        <v>242</v>
      </c>
      <c r="F39">
        <v>247</v>
      </c>
      <c r="G39">
        <v>125</v>
      </c>
      <c r="H39">
        <f t="shared" si="6"/>
        <v>438</v>
      </c>
      <c r="I39">
        <f t="shared" si="6"/>
        <v>495</v>
      </c>
      <c r="J39">
        <f t="shared" si="6"/>
        <v>125</v>
      </c>
      <c r="K39" t="str">
        <f t="shared" si="0"/>
        <v>mal_trus</v>
      </c>
      <c r="L39">
        <f t="shared" si="1"/>
        <v>438</v>
      </c>
      <c r="M39">
        <f t="shared" si="2"/>
        <v>438</v>
      </c>
      <c r="N39">
        <f t="shared" si="3"/>
        <v>0</v>
      </c>
      <c r="O39">
        <f t="shared" si="4"/>
        <v>0</v>
      </c>
      <c r="P39">
        <f t="shared" si="4"/>
        <v>57</v>
      </c>
      <c r="Q39">
        <f t="shared" si="4"/>
        <v>125</v>
      </c>
      <c r="T39" t="s">
        <v>22</v>
      </c>
    </row>
    <row r="40" spans="1:20" x14ac:dyDescent="0.25">
      <c r="A40" s="1">
        <v>43989</v>
      </c>
      <c r="B40">
        <f t="shared" si="5"/>
        <v>0</v>
      </c>
      <c r="C40">
        <f t="shared" si="5"/>
        <v>57</v>
      </c>
      <c r="D40">
        <f t="shared" si="5"/>
        <v>125</v>
      </c>
      <c r="E40">
        <v>327</v>
      </c>
      <c r="F40">
        <v>262</v>
      </c>
      <c r="G40">
        <v>103</v>
      </c>
      <c r="H40">
        <f t="shared" si="6"/>
        <v>327</v>
      </c>
      <c r="I40">
        <f t="shared" si="6"/>
        <v>319</v>
      </c>
      <c r="J40">
        <f t="shared" si="6"/>
        <v>228</v>
      </c>
      <c r="K40" t="str">
        <f t="shared" si="0"/>
        <v>mal_trus</v>
      </c>
      <c r="L40">
        <f t="shared" si="1"/>
        <v>319</v>
      </c>
      <c r="M40">
        <f t="shared" si="2"/>
        <v>319</v>
      </c>
      <c r="N40">
        <f t="shared" si="3"/>
        <v>0</v>
      </c>
      <c r="O40">
        <f t="shared" si="4"/>
        <v>8</v>
      </c>
      <c r="P40">
        <f t="shared" si="4"/>
        <v>0</v>
      </c>
      <c r="Q40">
        <f t="shared" si="4"/>
        <v>228</v>
      </c>
      <c r="T40" t="s">
        <v>22</v>
      </c>
    </row>
    <row r="41" spans="1:20" x14ac:dyDescent="0.25">
      <c r="A41" s="1">
        <v>43990</v>
      </c>
      <c r="B41">
        <f t="shared" si="5"/>
        <v>8</v>
      </c>
      <c r="C41">
        <f t="shared" si="5"/>
        <v>0</v>
      </c>
      <c r="D41">
        <f t="shared" si="5"/>
        <v>228</v>
      </c>
      <c r="E41">
        <v>316</v>
      </c>
      <c r="F41">
        <v>253</v>
      </c>
      <c r="G41">
        <v>134</v>
      </c>
      <c r="H41">
        <f t="shared" si="6"/>
        <v>324</v>
      </c>
      <c r="I41">
        <f t="shared" si="6"/>
        <v>253</v>
      </c>
      <c r="J41">
        <f t="shared" si="6"/>
        <v>362</v>
      </c>
      <c r="K41" t="str">
        <f t="shared" si="0"/>
        <v>mal_porz</v>
      </c>
      <c r="L41">
        <f t="shared" si="1"/>
        <v>324</v>
      </c>
      <c r="M41">
        <f t="shared" si="2"/>
        <v>0</v>
      </c>
      <c r="N41">
        <f t="shared" si="3"/>
        <v>324</v>
      </c>
      <c r="O41">
        <f t="shared" si="4"/>
        <v>0</v>
      </c>
      <c r="P41">
        <f t="shared" si="4"/>
        <v>253</v>
      </c>
      <c r="Q41">
        <f t="shared" si="4"/>
        <v>38</v>
      </c>
      <c r="T41" t="s">
        <v>23</v>
      </c>
    </row>
    <row r="42" spans="1:20" x14ac:dyDescent="0.25">
      <c r="A42" s="1">
        <v>43991</v>
      </c>
      <c r="B42">
        <f t="shared" si="5"/>
        <v>0</v>
      </c>
      <c r="C42">
        <f t="shared" si="5"/>
        <v>253</v>
      </c>
      <c r="D42">
        <f t="shared" si="5"/>
        <v>38</v>
      </c>
      <c r="E42">
        <v>294</v>
      </c>
      <c r="F42">
        <v>249</v>
      </c>
      <c r="G42">
        <v>137</v>
      </c>
      <c r="H42">
        <f t="shared" si="6"/>
        <v>294</v>
      </c>
      <c r="I42">
        <f t="shared" si="6"/>
        <v>502</v>
      </c>
      <c r="J42">
        <f t="shared" si="6"/>
        <v>175</v>
      </c>
      <c r="K42" t="str">
        <f t="shared" si="0"/>
        <v>mal_trus</v>
      </c>
      <c r="L42">
        <f t="shared" si="1"/>
        <v>294</v>
      </c>
      <c r="M42">
        <f t="shared" si="2"/>
        <v>294</v>
      </c>
      <c r="N42">
        <f t="shared" si="3"/>
        <v>0</v>
      </c>
      <c r="O42">
        <f t="shared" si="4"/>
        <v>0</v>
      </c>
      <c r="P42">
        <f t="shared" si="4"/>
        <v>208</v>
      </c>
      <c r="Q42">
        <f t="shared" si="4"/>
        <v>175</v>
      </c>
      <c r="T42" t="s">
        <v>22</v>
      </c>
    </row>
    <row r="43" spans="1:20" x14ac:dyDescent="0.25">
      <c r="A43" s="1">
        <v>43992</v>
      </c>
      <c r="B43">
        <f t="shared" si="5"/>
        <v>0</v>
      </c>
      <c r="C43">
        <f t="shared" si="5"/>
        <v>208</v>
      </c>
      <c r="D43">
        <f t="shared" si="5"/>
        <v>175</v>
      </c>
      <c r="E43">
        <v>270</v>
      </c>
      <c r="F43">
        <v>206</v>
      </c>
      <c r="G43">
        <v>146</v>
      </c>
      <c r="H43">
        <f t="shared" si="6"/>
        <v>270</v>
      </c>
      <c r="I43">
        <f t="shared" si="6"/>
        <v>414</v>
      </c>
      <c r="J43">
        <f t="shared" si="6"/>
        <v>321</v>
      </c>
      <c r="K43" t="str">
        <f t="shared" si="0"/>
        <v>trus_porz</v>
      </c>
      <c r="L43">
        <f t="shared" si="1"/>
        <v>0</v>
      </c>
      <c r="M43">
        <f t="shared" si="2"/>
        <v>321</v>
      </c>
      <c r="N43">
        <f t="shared" si="3"/>
        <v>321</v>
      </c>
      <c r="O43">
        <f t="shared" si="4"/>
        <v>270</v>
      </c>
      <c r="P43">
        <f t="shared" si="4"/>
        <v>93</v>
      </c>
      <c r="Q43">
        <f t="shared" si="4"/>
        <v>0</v>
      </c>
      <c r="T43" t="s">
        <v>25</v>
      </c>
    </row>
    <row r="44" spans="1:20" x14ac:dyDescent="0.25">
      <c r="A44" s="1">
        <v>43993</v>
      </c>
      <c r="B44">
        <f t="shared" si="5"/>
        <v>270</v>
      </c>
      <c r="C44">
        <f t="shared" si="5"/>
        <v>93</v>
      </c>
      <c r="D44">
        <f t="shared" si="5"/>
        <v>0</v>
      </c>
      <c r="E44">
        <v>349</v>
      </c>
      <c r="F44">
        <v>301</v>
      </c>
      <c r="G44">
        <v>138</v>
      </c>
      <c r="H44">
        <f t="shared" si="6"/>
        <v>619</v>
      </c>
      <c r="I44">
        <f t="shared" si="6"/>
        <v>394</v>
      </c>
      <c r="J44">
        <f t="shared" si="6"/>
        <v>138</v>
      </c>
      <c r="K44" t="str">
        <f t="shared" si="0"/>
        <v>mal_trus</v>
      </c>
      <c r="L44">
        <f t="shared" si="1"/>
        <v>394</v>
      </c>
      <c r="M44">
        <f t="shared" si="2"/>
        <v>394</v>
      </c>
      <c r="N44">
        <f t="shared" si="3"/>
        <v>0</v>
      </c>
      <c r="O44">
        <f t="shared" si="4"/>
        <v>225</v>
      </c>
      <c r="P44">
        <f t="shared" si="4"/>
        <v>0</v>
      </c>
      <c r="Q44">
        <f t="shared" si="4"/>
        <v>138</v>
      </c>
      <c r="T44" t="s">
        <v>22</v>
      </c>
    </row>
    <row r="45" spans="1:20" x14ac:dyDescent="0.25">
      <c r="A45" s="1">
        <v>43994</v>
      </c>
      <c r="B45">
        <f t="shared" si="5"/>
        <v>225</v>
      </c>
      <c r="C45">
        <f t="shared" si="5"/>
        <v>0</v>
      </c>
      <c r="D45">
        <f t="shared" si="5"/>
        <v>138</v>
      </c>
      <c r="E45">
        <v>224</v>
      </c>
      <c r="F45">
        <v>385</v>
      </c>
      <c r="G45">
        <v>138</v>
      </c>
      <c r="H45">
        <f t="shared" si="6"/>
        <v>449</v>
      </c>
      <c r="I45">
        <f t="shared" si="6"/>
        <v>385</v>
      </c>
      <c r="J45">
        <f t="shared" si="6"/>
        <v>276</v>
      </c>
      <c r="K45" t="str">
        <f t="shared" si="0"/>
        <v>mal_trus</v>
      </c>
      <c r="L45">
        <f t="shared" si="1"/>
        <v>385</v>
      </c>
      <c r="M45">
        <f t="shared" si="2"/>
        <v>385</v>
      </c>
      <c r="N45">
        <f t="shared" si="3"/>
        <v>0</v>
      </c>
      <c r="O45">
        <f t="shared" si="4"/>
        <v>64</v>
      </c>
      <c r="P45">
        <f t="shared" si="4"/>
        <v>0</v>
      </c>
      <c r="Q45">
        <f t="shared" si="4"/>
        <v>276</v>
      </c>
      <c r="T45" t="s">
        <v>22</v>
      </c>
    </row>
    <row r="46" spans="1:20" x14ac:dyDescent="0.25">
      <c r="A46" s="1">
        <v>43995</v>
      </c>
      <c r="B46">
        <f t="shared" si="5"/>
        <v>64</v>
      </c>
      <c r="C46">
        <f t="shared" si="5"/>
        <v>0</v>
      </c>
      <c r="D46">
        <f t="shared" si="5"/>
        <v>276</v>
      </c>
      <c r="E46">
        <v>309</v>
      </c>
      <c r="F46">
        <v>204</v>
      </c>
      <c r="G46">
        <v>140</v>
      </c>
      <c r="H46">
        <f t="shared" si="6"/>
        <v>373</v>
      </c>
      <c r="I46">
        <f t="shared" si="6"/>
        <v>204</v>
      </c>
      <c r="J46">
        <f t="shared" si="6"/>
        <v>416</v>
      </c>
      <c r="K46" t="str">
        <f t="shared" si="0"/>
        <v>mal_porz</v>
      </c>
      <c r="L46">
        <f t="shared" si="1"/>
        <v>373</v>
      </c>
      <c r="M46">
        <f t="shared" si="2"/>
        <v>0</v>
      </c>
      <c r="N46">
        <f t="shared" si="3"/>
        <v>373</v>
      </c>
      <c r="O46">
        <f t="shared" si="4"/>
        <v>0</v>
      </c>
      <c r="P46">
        <f t="shared" si="4"/>
        <v>204</v>
      </c>
      <c r="Q46">
        <f t="shared" si="4"/>
        <v>43</v>
      </c>
      <c r="T46" t="s">
        <v>23</v>
      </c>
    </row>
    <row r="47" spans="1:20" x14ac:dyDescent="0.25">
      <c r="A47" s="1">
        <v>43996</v>
      </c>
      <c r="B47">
        <f t="shared" si="5"/>
        <v>0</v>
      </c>
      <c r="C47">
        <f t="shared" si="5"/>
        <v>204</v>
      </c>
      <c r="D47">
        <f t="shared" si="5"/>
        <v>43</v>
      </c>
      <c r="E47">
        <v>246</v>
      </c>
      <c r="F47">
        <v>275</v>
      </c>
      <c r="G47">
        <v>130</v>
      </c>
      <c r="H47">
        <f t="shared" si="6"/>
        <v>246</v>
      </c>
      <c r="I47">
        <f t="shared" si="6"/>
        <v>479</v>
      </c>
      <c r="J47">
        <f t="shared" si="6"/>
        <v>173</v>
      </c>
      <c r="K47" t="str">
        <f t="shared" si="0"/>
        <v>mal_trus</v>
      </c>
      <c r="L47">
        <f t="shared" si="1"/>
        <v>246</v>
      </c>
      <c r="M47">
        <f t="shared" si="2"/>
        <v>246</v>
      </c>
      <c r="N47">
        <f t="shared" si="3"/>
        <v>0</v>
      </c>
      <c r="O47">
        <f t="shared" si="4"/>
        <v>0</v>
      </c>
      <c r="P47">
        <f t="shared" si="4"/>
        <v>233</v>
      </c>
      <c r="Q47">
        <f t="shared" si="4"/>
        <v>173</v>
      </c>
      <c r="T47" t="s">
        <v>22</v>
      </c>
    </row>
    <row r="48" spans="1:20" x14ac:dyDescent="0.25">
      <c r="A48" s="1">
        <v>43997</v>
      </c>
      <c r="B48">
        <f t="shared" si="5"/>
        <v>0</v>
      </c>
      <c r="C48">
        <f t="shared" si="5"/>
        <v>233</v>
      </c>
      <c r="D48">
        <f t="shared" si="5"/>
        <v>173</v>
      </c>
      <c r="E48">
        <v>241</v>
      </c>
      <c r="F48">
        <v>247</v>
      </c>
      <c r="G48">
        <v>166</v>
      </c>
      <c r="H48">
        <f t="shared" si="6"/>
        <v>241</v>
      </c>
      <c r="I48">
        <f t="shared" si="6"/>
        <v>480</v>
      </c>
      <c r="J48">
        <f t="shared" si="6"/>
        <v>339</v>
      </c>
      <c r="K48" t="str">
        <f t="shared" si="0"/>
        <v>trus_porz</v>
      </c>
      <c r="L48">
        <f t="shared" si="1"/>
        <v>0</v>
      </c>
      <c r="M48">
        <f t="shared" si="2"/>
        <v>339</v>
      </c>
      <c r="N48">
        <f t="shared" si="3"/>
        <v>339</v>
      </c>
      <c r="O48">
        <f t="shared" si="4"/>
        <v>241</v>
      </c>
      <c r="P48">
        <f t="shared" si="4"/>
        <v>141</v>
      </c>
      <c r="Q48">
        <f t="shared" si="4"/>
        <v>0</v>
      </c>
      <c r="T48" t="s">
        <v>25</v>
      </c>
    </row>
    <row r="49" spans="1:20" x14ac:dyDescent="0.25">
      <c r="A49" s="1">
        <v>43998</v>
      </c>
      <c r="B49">
        <f t="shared" si="5"/>
        <v>241</v>
      </c>
      <c r="C49">
        <f t="shared" si="5"/>
        <v>141</v>
      </c>
      <c r="D49">
        <f t="shared" si="5"/>
        <v>0</v>
      </c>
      <c r="E49">
        <v>365</v>
      </c>
      <c r="F49">
        <v>256</v>
      </c>
      <c r="G49">
        <v>132</v>
      </c>
      <c r="H49">
        <f t="shared" si="6"/>
        <v>606</v>
      </c>
      <c r="I49">
        <f t="shared" si="6"/>
        <v>397</v>
      </c>
      <c r="J49">
        <f t="shared" si="6"/>
        <v>132</v>
      </c>
      <c r="K49" t="str">
        <f t="shared" si="0"/>
        <v>mal_trus</v>
      </c>
      <c r="L49">
        <f t="shared" si="1"/>
        <v>397</v>
      </c>
      <c r="M49">
        <f t="shared" si="2"/>
        <v>397</v>
      </c>
      <c r="N49">
        <f t="shared" si="3"/>
        <v>0</v>
      </c>
      <c r="O49">
        <f t="shared" si="4"/>
        <v>209</v>
      </c>
      <c r="P49">
        <f t="shared" si="4"/>
        <v>0</v>
      </c>
      <c r="Q49">
        <f t="shared" si="4"/>
        <v>132</v>
      </c>
      <c r="T49" t="s">
        <v>22</v>
      </c>
    </row>
    <row r="50" spans="1:20" x14ac:dyDescent="0.25">
      <c r="A50" s="1">
        <v>43999</v>
      </c>
      <c r="B50">
        <f t="shared" si="5"/>
        <v>209</v>
      </c>
      <c r="C50">
        <f t="shared" si="5"/>
        <v>0</v>
      </c>
      <c r="D50">
        <f t="shared" si="5"/>
        <v>132</v>
      </c>
      <c r="E50">
        <v>225</v>
      </c>
      <c r="F50">
        <v>392</v>
      </c>
      <c r="G50">
        <v>158</v>
      </c>
      <c r="H50">
        <f t="shared" si="6"/>
        <v>434</v>
      </c>
      <c r="I50">
        <f t="shared" si="6"/>
        <v>392</v>
      </c>
      <c r="J50">
        <f t="shared" si="6"/>
        <v>290</v>
      </c>
      <c r="K50" t="str">
        <f t="shared" si="0"/>
        <v>mal_trus</v>
      </c>
      <c r="L50">
        <f t="shared" si="1"/>
        <v>392</v>
      </c>
      <c r="M50">
        <f t="shared" si="2"/>
        <v>392</v>
      </c>
      <c r="N50">
        <f t="shared" si="3"/>
        <v>0</v>
      </c>
      <c r="O50">
        <f t="shared" si="4"/>
        <v>42</v>
      </c>
      <c r="P50">
        <f t="shared" si="4"/>
        <v>0</v>
      </c>
      <c r="Q50">
        <f t="shared" si="4"/>
        <v>290</v>
      </c>
      <c r="T50" t="s">
        <v>22</v>
      </c>
    </row>
    <row r="51" spans="1:20" x14ac:dyDescent="0.25">
      <c r="A51" s="1">
        <v>44000</v>
      </c>
      <c r="B51">
        <f t="shared" si="5"/>
        <v>42</v>
      </c>
      <c r="C51">
        <f t="shared" si="5"/>
        <v>0</v>
      </c>
      <c r="D51">
        <f t="shared" si="5"/>
        <v>290</v>
      </c>
      <c r="E51">
        <v>335</v>
      </c>
      <c r="F51">
        <v>254</v>
      </c>
      <c r="G51">
        <v>173</v>
      </c>
      <c r="H51">
        <f t="shared" si="6"/>
        <v>377</v>
      </c>
      <c r="I51">
        <f t="shared" si="6"/>
        <v>254</v>
      </c>
      <c r="J51">
        <f t="shared" si="6"/>
        <v>463</v>
      </c>
      <c r="K51" t="str">
        <f t="shared" si="0"/>
        <v>mal_porz</v>
      </c>
      <c r="L51">
        <f t="shared" si="1"/>
        <v>377</v>
      </c>
      <c r="M51">
        <f t="shared" si="2"/>
        <v>0</v>
      </c>
      <c r="N51">
        <f t="shared" si="3"/>
        <v>377</v>
      </c>
      <c r="O51">
        <f t="shared" si="4"/>
        <v>0</v>
      </c>
      <c r="P51">
        <f t="shared" si="4"/>
        <v>254</v>
      </c>
      <c r="Q51">
        <f t="shared" si="4"/>
        <v>86</v>
      </c>
      <c r="T51" t="s">
        <v>23</v>
      </c>
    </row>
    <row r="52" spans="1:20" x14ac:dyDescent="0.25">
      <c r="A52" s="1">
        <v>44001</v>
      </c>
      <c r="B52">
        <f t="shared" si="5"/>
        <v>0</v>
      </c>
      <c r="C52">
        <f t="shared" si="5"/>
        <v>254</v>
      </c>
      <c r="D52">
        <f t="shared" si="5"/>
        <v>86</v>
      </c>
      <c r="E52">
        <v>376</v>
      </c>
      <c r="F52">
        <v>258</v>
      </c>
      <c r="G52">
        <v>151</v>
      </c>
      <c r="H52">
        <f t="shared" si="6"/>
        <v>376</v>
      </c>
      <c r="I52">
        <f t="shared" si="6"/>
        <v>512</v>
      </c>
      <c r="J52">
        <f t="shared" si="6"/>
        <v>237</v>
      </c>
      <c r="K52" t="str">
        <f t="shared" si="0"/>
        <v>mal_trus</v>
      </c>
      <c r="L52">
        <f t="shared" si="1"/>
        <v>376</v>
      </c>
      <c r="M52">
        <f t="shared" si="2"/>
        <v>376</v>
      </c>
      <c r="N52">
        <f t="shared" si="3"/>
        <v>0</v>
      </c>
      <c r="O52">
        <f t="shared" si="4"/>
        <v>0</v>
      </c>
      <c r="P52">
        <f t="shared" si="4"/>
        <v>136</v>
      </c>
      <c r="Q52">
        <f t="shared" si="4"/>
        <v>237</v>
      </c>
      <c r="T52" t="s">
        <v>22</v>
      </c>
    </row>
    <row r="53" spans="1:20" x14ac:dyDescent="0.25">
      <c r="A53" s="1">
        <v>44002</v>
      </c>
      <c r="B53">
        <f t="shared" si="5"/>
        <v>0</v>
      </c>
      <c r="C53">
        <f t="shared" si="5"/>
        <v>136</v>
      </c>
      <c r="D53">
        <f t="shared" si="5"/>
        <v>237</v>
      </c>
      <c r="E53">
        <v>310</v>
      </c>
      <c r="F53">
        <v>248</v>
      </c>
      <c r="G53">
        <v>173</v>
      </c>
      <c r="H53">
        <f t="shared" si="6"/>
        <v>310</v>
      </c>
      <c r="I53">
        <f t="shared" si="6"/>
        <v>384</v>
      </c>
      <c r="J53">
        <f t="shared" si="6"/>
        <v>410</v>
      </c>
      <c r="K53" t="str">
        <f t="shared" si="0"/>
        <v>trus_porz</v>
      </c>
      <c r="L53">
        <f t="shared" si="1"/>
        <v>0</v>
      </c>
      <c r="M53">
        <f t="shared" si="2"/>
        <v>384</v>
      </c>
      <c r="N53">
        <f t="shared" si="3"/>
        <v>384</v>
      </c>
      <c r="O53">
        <f t="shared" si="4"/>
        <v>310</v>
      </c>
      <c r="P53">
        <f t="shared" si="4"/>
        <v>0</v>
      </c>
      <c r="Q53">
        <f t="shared" si="4"/>
        <v>26</v>
      </c>
      <c r="T53" t="s">
        <v>25</v>
      </c>
    </row>
    <row r="54" spans="1:20" x14ac:dyDescent="0.25">
      <c r="A54" s="1">
        <v>44003</v>
      </c>
      <c r="B54">
        <f t="shared" si="5"/>
        <v>310</v>
      </c>
      <c r="C54">
        <f t="shared" si="5"/>
        <v>0</v>
      </c>
      <c r="D54">
        <f t="shared" si="5"/>
        <v>26</v>
      </c>
      <c r="E54">
        <v>408</v>
      </c>
      <c r="F54">
        <v>250</v>
      </c>
      <c r="G54">
        <v>242</v>
      </c>
      <c r="H54">
        <f t="shared" si="6"/>
        <v>718</v>
      </c>
      <c r="I54">
        <f t="shared" si="6"/>
        <v>250</v>
      </c>
      <c r="J54">
        <f t="shared" si="6"/>
        <v>268</v>
      </c>
      <c r="K54" t="str">
        <f t="shared" si="0"/>
        <v>mal_porz</v>
      </c>
      <c r="L54">
        <f t="shared" si="1"/>
        <v>268</v>
      </c>
      <c r="M54">
        <f t="shared" si="2"/>
        <v>0</v>
      </c>
      <c r="N54">
        <f t="shared" si="3"/>
        <v>268</v>
      </c>
      <c r="O54">
        <f t="shared" si="4"/>
        <v>450</v>
      </c>
      <c r="P54">
        <f t="shared" si="4"/>
        <v>250</v>
      </c>
      <c r="Q54">
        <f t="shared" si="4"/>
        <v>0</v>
      </c>
      <c r="T54" t="s">
        <v>23</v>
      </c>
    </row>
    <row r="55" spans="1:20" x14ac:dyDescent="0.25">
      <c r="A55" s="1">
        <v>44004</v>
      </c>
      <c r="B55">
        <f t="shared" si="5"/>
        <v>450</v>
      </c>
      <c r="C55">
        <f t="shared" si="5"/>
        <v>250</v>
      </c>
      <c r="D55">
        <f t="shared" si="5"/>
        <v>0</v>
      </c>
      <c r="E55">
        <v>256</v>
      </c>
      <c r="F55">
        <v>393</v>
      </c>
      <c r="G55">
        <v>219</v>
      </c>
      <c r="H55">
        <f t="shared" si="6"/>
        <v>706</v>
      </c>
      <c r="I55">
        <f t="shared" si="6"/>
        <v>643</v>
      </c>
      <c r="J55">
        <f t="shared" si="6"/>
        <v>219</v>
      </c>
      <c r="K55" t="str">
        <f t="shared" si="0"/>
        <v>mal_trus</v>
      </c>
      <c r="L55">
        <f t="shared" si="1"/>
        <v>643</v>
      </c>
      <c r="M55">
        <f t="shared" si="2"/>
        <v>643</v>
      </c>
      <c r="N55">
        <f t="shared" si="3"/>
        <v>0</v>
      </c>
      <c r="O55">
        <f t="shared" si="4"/>
        <v>63</v>
      </c>
      <c r="P55">
        <f t="shared" si="4"/>
        <v>0</v>
      </c>
      <c r="Q55">
        <f t="shared" si="4"/>
        <v>219</v>
      </c>
      <c r="T55" t="s">
        <v>22</v>
      </c>
    </row>
    <row r="56" spans="1:20" x14ac:dyDescent="0.25">
      <c r="A56" s="1">
        <v>44005</v>
      </c>
      <c r="B56">
        <f t="shared" si="5"/>
        <v>63</v>
      </c>
      <c r="C56">
        <f t="shared" si="5"/>
        <v>0</v>
      </c>
      <c r="D56">
        <f t="shared" si="5"/>
        <v>219</v>
      </c>
      <c r="E56">
        <v>322</v>
      </c>
      <c r="F56">
        <v>425</v>
      </c>
      <c r="G56">
        <v>215</v>
      </c>
      <c r="H56">
        <f t="shared" si="6"/>
        <v>385</v>
      </c>
      <c r="I56">
        <f t="shared" si="6"/>
        <v>425</v>
      </c>
      <c r="J56">
        <f t="shared" si="6"/>
        <v>434</v>
      </c>
      <c r="K56" t="str">
        <f t="shared" si="0"/>
        <v>trus_porz</v>
      </c>
      <c r="L56">
        <f t="shared" si="1"/>
        <v>0</v>
      </c>
      <c r="M56">
        <f t="shared" si="2"/>
        <v>425</v>
      </c>
      <c r="N56">
        <f t="shared" si="3"/>
        <v>425</v>
      </c>
      <c r="O56">
        <f t="shared" si="4"/>
        <v>385</v>
      </c>
      <c r="P56">
        <f t="shared" si="4"/>
        <v>0</v>
      </c>
      <c r="Q56">
        <f t="shared" si="4"/>
        <v>9</v>
      </c>
      <c r="T56" t="s">
        <v>25</v>
      </c>
    </row>
    <row r="57" spans="1:20" x14ac:dyDescent="0.25">
      <c r="A57" s="1">
        <v>44006</v>
      </c>
      <c r="B57">
        <f t="shared" si="5"/>
        <v>385</v>
      </c>
      <c r="C57">
        <f t="shared" si="5"/>
        <v>0</v>
      </c>
      <c r="D57">
        <f t="shared" si="5"/>
        <v>9</v>
      </c>
      <c r="E57">
        <v>447</v>
      </c>
      <c r="F57">
        <v>385</v>
      </c>
      <c r="G57">
        <v>212</v>
      </c>
      <c r="H57">
        <f t="shared" si="6"/>
        <v>832</v>
      </c>
      <c r="I57">
        <f t="shared" si="6"/>
        <v>385</v>
      </c>
      <c r="J57">
        <f t="shared" si="6"/>
        <v>221</v>
      </c>
      <c r="K57" t="str">
        <f t="shared" si="0"/>
        <v>mal_trus</v>
      </c>
      <c r="L57">
        <f t="shared" si="1"/>
        <v>385</v>
      </c>
      <c r="M57">
        <f t="shared" si="2"/>
        <v>385</v>
      </c>
      <c r="N57">
        <f t="shared" si="3"/>
        <v>0</v>
      </c>
      <c r="O57">
        <f t="shared" si="4"/>
        <v>447</v>
      </c>
      <c r="P57">
        <f t="shared" si="4"/>
        <v>0</v>
      </c>
      <c r="Q57">
        <f t="shared" si="4"/>
        <v>221</v>
      </c>
      <c r="T57" t="s">
        <v>22</v>
      </c>
    </row>
    <row r="58" spans="1:20" x14ac:dyDescent="0.25">
      <c r="A58" s="1">
        <v>44007</v>
      </c>
      <c r="B58">
        <f t="shared" si="5"/>
        <v>447</v>
      </c>
      <c r="C58">
        <f t="shared" si="5"/>
        <v>0</v>
      </c>
      <c r="D58">
        <f t="shared" si="5"/>
        <v>221</v>
      </c>
      <c r="E58">
        <v>408</v>
      </c>
      <c r="F58">
        <v>260</v>
      </c>
      <c r="G58">
        <v>225</v>
      </c>
      <c r="H58">
        <f t="shared" si="6"/>
        <v>855</v>
      </c>
      <c r="I58">
        <f t="shared" si="6"/>
        <v>260</v>
      </c>
      <c r="J58">
        <f t="shared" si="6"/>
        <v>446</v>
      </c>
      <c r="K58" t="str">
        <f t="shared" si="0"/>
        <v>mal_porz</v>
      </c>
      <c r="L58">
        <f t="shared" si="1"/>
        <v>446</v>
      </c>
      <c r="M58">
        <f t="shared" si="2"/>
        <v>0</v>
      </c>
      <c r="N58">
        <f t="shared" si="3"/>
        <v>446</v>
      </c>
      <c r="O58">
        <f t="shared" si="4"/>
        <v>409</v>
      </c>
      <c r="P58">
        <f t="shared" si="4"/>
        <v>260</v>
      </c>
      <c r="Q58">
        <f t="shared" si="4"/>
        <v>0</v>
      </c>
      <c r="T58" t="s">
        <v>23</v>
      </c>
    </row>
    <row r="59" spans="1:20" x14ac:dyDescent="0.25">
      <c r="A59" s="1">
        <v>44008</v>
      </c>
      <c r="B59">
        <f t="shared" si="5"/>
        <v>409</v>
      </c>
      <c r="C59">
        <f t="shared" si="5"/>
        <v>260</v>
      </c>
      <c r="D59">
        <f t="shared" si="5"/>
        <v>0</v>
      </c>
      <c r="E59">
        <v>283</v>
      </c>
      <c r="F59">
        <v>396</v>
      </c>
      <c r="G59">
        <v>221</v>
      </c>
      <c r="H59">
        <f t="shared" si="6"/>
        <v>692</v>
      </c>
      <c r="I59">
        <f t="shared" si="6"/>
        <v>656</v>
      </c>
      <c r="J59">
        <f t="shared" si="6"/>
        <v>221</v>
      </c>
      <c r="K59" t="str">
        <f t="shared" si="0"/>
        <v>mal_trus</v>
      </c>
      <c r="L59">
        <f t="shared" si="1"/>
        <v>656</v>
      </c>
      <c r="M59">
        <f t="shared" si="2"/>
        <v>656</v>
      </c>
      <c r="N59">
        <f t="shared" si="3"/>
        <v>0</v>
      </c>
      <c r="O59">
        <f t="shared" si="4"/>
        <v>36</v>
      </c>
      <c r="P59">
        <f t="shared" si="4"/>
        <v>0</v>
      </c>
      <c r="Q59">
        <f t="shared" si="4"/>
        <v>221</v>
      </c>
      <c r="T59" t="s">
        <v>22</v>
      </c>
    </row>
    <row r="60" spans="1:20" x14ac:dyDescent="0.25">
      <c r="A60" s="1">
        <v>44009</v>
      </c>
      <c r="B60">
        <f t="shared" si="5"/>
        <v>36</v>
      </c>
      <c r="C60">
        <f t="shared" si="5"/>
        <v>0</v>
      </c>
      <c r="D60">
        <f t="shared" si="5"/>
        <v>221</v>
      </c>
      <c r="E60">
        <v>414</v>
      </c>
      <c r="F60">
        <v>314</v>
      </c>
      <c r="G60">
        <v>220</v>
      </c>
      <c r="H60">
        <f t="shared" si="6"/>
        <v>450</v>
      </c>
      <c r="I60">
        <f t="shared" si="6"/>
        <v>314</v>
      </c>
      <c r="J60">
        <f t="shared" si="6"/>
        <v>441</v>
      </c>
      <c r="K60" t="str">
        <f t="shared" si="0"/>
        <v>mal_porz</v>
      </c>
      <c r="L60">
        <f t="shared" si="1"/>
        <v>441</v>
      </c>
      <c r="M60">
        <f t="shared" si="2"/>
        <v>0</v>
      </c>
      <c r="N60">
        <f t="shared" si="3"/>
        <v>441</v>
      </c>
      <c r="O60">
        <f t="shared" si="4"/>
        <v>9</v>
      </c>
      <c r="P60">
        <f t="shared" si="4"/>
        <v>314</v>
      </c>
      <c r="Q60">
        <f t="shared" si="4"/>
        <v>0</v>
      </c>
      <c r="T60" t="s">
        <v>23</v>
      </c>
    </row>
    <row r="61" spans="1:20" x14ac:dyDescent="0.25">
      <c r="A61" s="1">
        <v>44010</v>
      </c>
      <c r="B61">
        <f t="shared" si="5"/>
        <v>9</v>
      </c>
      <c r="C61">
        <f t="shared" si="5"/>
        <v>314</v>
      </c>
      <c r="D61">
        <f t="shared" si="5"/>
        <v>0</v>
      </c>
      <c r="E61">
        <v>442</v>
      </c>
      <c r="F61">
        <v>449</v>
      </c>
      <c r="G61">
        <v>245</v>
      </c>
      <c r="H61">
        <f t="shared" si="6"/>
        <v>451</v>
      </c>
      <c r="I61">
        <f t="shared" si="6"/>
        <v>763</v>
      </c>
      <c r="J61">
        <f t="shared" si="6"/>
        <v>245</v>
      </c>
      <c r="K61" t="str">
        <f t="shared" si="0"/>
        <v>mal_trus</v>
      </c>
      <c r="L61">
        <f t="shared" si="1"/>
        <v>451</v>
      </c>
      <c r="M61">
        <f t="shared" si="2"/>
        <v>451</v>
      </c>
      <c r="N61">
        <f t="shared" si="3"/>
        <v>0</v>
      </c>
      <c r="O61">
        <f t="shared" si="4"/>
        <v>0</v>
      </c>
      <c r="P61">
        <f t="shared" si="4"/>
        <v>312</v>
      </c>
      <c r="Q61">
        <f t="shared" si="4"/>
        <v>245</v>
      </c>
      <c r="T61" t="s">
        <v>22</v>
      </c>
    </row>
    <row r="62" spans="1:20" x14ac:dyDescent="0.25">
      <c r="A62" s="1">
        <v>44011</v>
      </c>
      <c r="B62">
        <f t="shared" si="5"/>
        <v>0</v>
      </c>
      <c r="C62">
        <f t="shared" si="5"/>
        <v>312</v>
      </c>
      <c r="D62">
        <f t="shared" si="5"/>
        <v>245</v>
      </c>
      <c r="E62">
        <v>269</v>
      </c>
      <c r="F62">
        <v>370</v>
      </c>
      <c r="G62">
        <v>242</v>
      </c>
      <c r="H62">
        <f t="shared" si="6"/>
        <v>269</v>
      </c>
      <c r="I62">
        <f t="shared" si="6"/>
        <v>682</v>
      </c>
      <c r="J62">
        <f t="shared" si="6"/>
        <v>487</v>
      </c>
      <c r="K62" t="str">
        <f t="shared" si="0"/>
        <v>trus_porz</v>
      </c>
      <c r="L62">
        <f t="shared" si="1"/>
        <v>0</v>
      </c>
      <c r="M62">
        <f t="shared" si="2"/>
        <v>487</v>
      </c>
      <c r="N62">
        <f t="shared" si="3"/>
        <v>487</v>
      </c>
      <c r="O62">
        <f t="shared" si="4"/>
        <v>269</v>
      </c>
      <c r="P62">
        <f t="shared" si="4"/>
        <v>195</v>
      </c>
      <c r="Q62">
        <f t="shared" si="4"/>
        <v>0</v>
      </c>
      <c r="T62" t="s">
        <v>25</v>
      </c>
    </row>
    <row r="63" spans="1:20" x14ac:dyDescent="0.25">
      <c r="A63" s="1">
        <v>44012</v>
      </c>
      <c r="B63">
        <f t="shared" si="5"/>
        <v>269</v>
      </c>
      <c r="C63">
        <f t="shared" si="5"/>
        <v>195</v>
      </c>
      <c r="D63">
        <f t="shared" si="5"/>
        <v>0</v>
      </c>
      <c r="E63">
        <v>444</v>
      </c>
      <c r="F63">
        <v>350</v>
      </c>
      <c r="G63">
        <v>236</v>
      </c>
      <c r="H63">
        <f t="shared" si="6"/>
        <v>713</v>
      </c>
      <c r="I63">
        <f t="shared" si="6"/>
        <v>545</v>
      </c>
      <c r="J63">
        <f t="shared" si="6"/>
        <v>236</v>
      </c>
      <c r="K63" t="str">
        <f t="shared" si="0"/>
        <v>mal_trus</v>
      </c>
      <c r="L63">
        <f t="shared" si="1"/>
        <v>545</v>
      </c>
      <c r="M63">
        <f t="shared" si="2"/>
        <v>545</v>
      </c>
      <c r="N63">
        <f t="shared" si="3"/>
        <v>0</v>
      </c>
      <c r="O63">
        <f t="shared" si="4"/>
        <v>168</v>
      </c>
      <c r="P63">
        <f t="shared" si="4"/>
        <v>0</v>
      </c>
      <c r="Q63">
        <f t="shared" si="4"/>
        <v>236</v>
      </c>
      <c r="T63" t="s">
        <v>22</v>
      </c>
    </row>
    <row r="64" spans="1:20" x14ac:dyDescent="0.25">
      <c r="A64" s="1">
        <v>44013</v>
      </c>
      <c r="B64">
        <f t="shared" si="5"/>
        <v>168</v>
      </c>
      <c r="C64">
        <f t="shared" si="5"/>
        <v>0</v>
      </c>
      <c r="D64">
        <f t="shared" si="5"/>
        <v>236</v>
      </c>
      <c r="E64">
        <v>425</v>
      </c>
      <c r="F64">
        <v>342</v>
      </c>
      <c r="G64">
        <v>237</v>
      </c>
      <c r="H64">
        <f t="shared" si="6"/>
        <v>593</v>
      </c>
      <c r="I64">
        <f t="shared" si="6"/>
        <v>342</v>
      </c>
      <c r="J64">
        <f t="shared" si="6"/>
        <v>473</v>
      </c>
      <c r="K64" t="str">
        <f t="shared" si="0"/>
        <v>mal_porz</v>
      </c>
      <c r="L64">
        <f t="shared" si="1"/>
        <v>473</v>
      </c>
      <c r="M64">
        <f t="shared" si="2"/>
        <v>0</v>
      </c>
      <c r="N64">
        <f t="shared" si="3"/>
        <v>473</v>
      </c>
      <c r="O64">
        <f t="shared" si="4"/>
        <v>120</v>
      </c>
      <c r="P64">
        <f t="shared" si="4"/>
        <v>342</v>
      </c>
      <c r="Q64">
        <f t="shared" si="4"/>
        <v>0</v>
      </c>
      <c r="T64" t="s">
        <v>23</v>
      </c>
    </row>
    <row r="65" spans="1:20" x14ac:dyDescent="0.25">
      <c r="A65" s="1">
        <v>44014</v>
      </c>
      <c r="B65">
        <f t="shared" si="5"/>
        <v>120</v>
      </c>
      <c r="C65">
        <f t="shared" si="5"/>
        <v>342</v>
      </c>
      <c r="D65">
        <f t="shared" si="5"/>
        <v>0</v>
      </c>
      <c r="E65">
        <v>377</v>
      </c>
      <c r="F65">
        <v>290</v>
      </c>
      <c r="G65">
        <v>240</v>
      </c>
      <c r="H65">
        <f t="shared" si="6"/>
        <v>497</v>
      </c>
      <c r="I65">
        <f t="shared" si="6"/>
        <v>632</v>
      </c>
      <c r="J65">
        <f t="shared" si="6"/>
        <v>240</v>
      </c>
      <c r="K65" t="str">
        <f t="shared" si="0"/>
        <v>mal_trus</v>
      </c>
      <c r="L65">
        <f t="shared" si="1"/>
        <v>497</v>
      </c>
      <c r="M65">
        <f t="shared" si="2"/>
        <v>497</v>
      </c>
      <c r="N65">
        <f t="shared" si="3"/>
        <v>0</v>
      </c>
      <c r="O65">
        <f t="shared" si="4"/>
        <v>0</v>
      </c>
      <c r="P65">
        <f t="shared" si="4"/>
        <v>135</v>
      </c>
      <c r="Q65">
        <f t="shared" si="4"/>
        <v>240</v>
      </c>
      <c r="T65" t="s">
        <v>22</v>
      </c>
    </row>
    <row r="66" spans="1:20" x14ac:dyDescent="0.25">
      <c r="A66" s="1">
        <v>44015</v>
      </c>
      <c r="B66">
        <f t="shared" si="5"/>
        <v>0</v>
      </c>
      <c r="C66">
        <f t="shared" si="5"/>
        <v>135</v>
      </c>
      <c r="D66">
        <f t="shared" si="5"/>
        <v>240</v>
      </c>
      <c r="E66">
        <v>382</v>
      </c>
      <c r="F66">
        <v>360</v>
      </c>
      <c r="G66">
        <v>203</v>
      </c>
      <c r="H66">
        <f t="shared" si="6"/>
        <v>382</v>
      </c>
      <c r="I66">
        <f t="shared" si="6"/>
        <v>495</v>
      </c>
      <c r="J66">
        <f t="shared" si="6"/>
        <v>443</v>
      </c>
      <c r="K66" t="str">
        <f t="shared" si="0"/>
        <v>trus_porz</v>
      </c>
      <c r="L66">
        <f t="shared" si="1"/>
        <v>0</v>
      </c>
      <c r="M66">
        <f t="shared" si="2"/>
        <v>443</v>
      </c>
      <c r="N66">
        <f t="shared" si="3"/>
        <v>443</v>
      </c>
      <c r="O66">
        <f t="shared" si="4"/>
        <v>382</v>
      </c>
      <c r="P66">
        <f t="shared" si="4"/>
        <v>52</v>
      </c>
      <c r="Q66">
        <f t="shared" si="4"/>
        <v>0</v>
      </c>
      <c r="T66" t="s">
        <v>25</v>
      </c>
    </row>
    <row r="67" spans="1:20" x14ac:dyDescent="0.25">
      <c r="A67" s="1">
        <v>44016</v>
      </c>
      <c r="B67">
        <f t="shared" si="5"/>
        <v>382</v>
      </c>
      <c r="C67">
        <f t="shared" si="5"/>
        <v>52</v>
      </c>
      <c r="D67">
        <f t="shared" si="5"/>
        <v>0</v>
      </c>
      <c r="E67">
        <v>287</v>
      </c>
      <c r="F67">
        <v>428</v>
      </c>
      <c r="G67">
        <v>204</v>
      </c>
      <c r="H67">
        <f t="shared" si="6"/>
        <v>669</v>
      </c>
      <c r="I67">
        <f t="shared" si="6"/>
        <v>480</v>
      </c>
      <c r="J67">
        <f t="shared" si="6"/>
        <v>204</v>
      </c>
      <c r="K67" t="str">
        <f t="shared" si="0"/>
        <v>mal_trus</v>
      </c>
      <c r="L67">
        <f t="shared" si="1"/>
        <v>480</v>
      </c>
      <c r="M67">
        <f t="shared" si="2"/>
        <v>480</v>
      </c>
      <c r="N67">
        <f t="shared" si="3"/>
        <v>0</v>
      </c>
      <c r="O67">
        <f t="shared" si="4"/>
        <v>189</v>
      </c>
      <c r="P67">
        <f t="shared" si="4"/>
        <v>0</v>
      </c>
      <c r="Q67">
        <f t="shared" si="4"/>
        <v>204</v>
      </c>
      <c r="T67" t="s">
        <v>22</v>
      </c>
    </row>
    <row r="68" spans="1:20" x14ac:dyDescent="0.25">
      <c r="A68" s="1">
        <v>44017</v>
      </c>
      <c r="B68">
        <f t="shared" si="5"/>
        <v>189</v>
      </c>
      <c r="C68">
        <f t="shared" si="5"/>
        <v>0</v>
      </c>
      <c r="D68">
        <f t="shared" si="5"/>
        <v>204</v>
      </c>
      <c r="E68">
        <v>429</v>
      </c>
      <c r="F68">
        <v>394</v>
      </c>
      <c r="G68">
        <v>246</v>
      </c>
      <c r="H68">
        <f t="shared" si="6"/>
        <v>618</v>
      </c>
      <c r="I68">
        <f t="shared" si="6"/>
        <v>394</v>
      </c>
      <c r="J68">
        <f t="shared" si="6"/>
        <v>450</v>
      </c>
      <c r="K68" t="str">
        <f t="shared" ref="K68:K131" si="7">IF(AND(H68&lt;J68,H68&lt;I68), "trus_porz", IF(AND(I68&lt;H68,I68&lt;J68), "mal_porz", IF(AND(J68&lt;I68,J68&lt;H68), "mal_trus", "")))</f>
        <v>mal_porz</v>
      </c>
      <c r="L68">
        <f t="shared" ref="L68:L131" si="8">IF(K68="mal_trus",MIN(H68,I68),IF(K68="mal_porz",MIN(H68,J68),0))</f>
        <v>450</v>
      </c>
      <c r="M68">
        <f t="shared" ref="M68:M131" si="9">IF(K68="trus_porz",MIN(I68,J68), IF(K68="mal_trus", MIN(H68,I68),0))</f>
        <v>0</v>
      </c>
      <c r="N68">
        <f t="shared" ref="N68:N131" si="10">IF(K68="mal_porz",MIN(H68,J68), IF(K68="trus_porz", MIN(I68,J68),0))</f>
        <v>450</v>
      </c>
      <c r="O68">
        <f t="shared" ref="O68:Q131" si="11">H68-L68</f>
        <v>168</v>
      </c>
      <c r="P68">
        <f t="shared" si="11"/>
        <v>394</v>
      </c>
      <c r="Q68">
        <f t="shared" si="11"/>
        <v>0</v>
      </c>
      <c r="T68" t="s">
        <v>23</v>
      </c>
    </row>
    <row r="69" spans="1:20" x14ac:dyDescent="0.25">
      <c r="A69" s="1">
        <v>44018</v>
      </c>
      <c r="B69">
        <f t="shared" ref="B69:D132" si="12">O68</f>
        <v>168</v>
      </c>
      <c r="C69">
        <f t="shared" si="12"/>
        <v>394</v>
      </c>
      <c r="D69">
        <f t="shared" si="12"/>
        <v>0</v>
      </c>
      <c r="E69">
        <v>287</v>
      </c>
      <c r="F69">
        <v>356</v>
      </c>
      <c r="G69">
        <v>233</v>
      </c>
      <c r="H69">
        <f t="shared" ref="H69:J132" si="13">B69+E69</f>
        <v>455</v>
      </c>
      <c r="I69">
        <f t="shared" si="13"/>
        <v>750</v>
      </c>
      <c r="J69">
        <f t="shared" si="13"/>
        <v>233</v>
      </c>
      <c r="K69" t="str">
        <f t="shared" si="7"/>
        <v>mal_trus</v>
      </c>
      <c r="L69">
        <f t="shared" si="8"/>
        <v>455</v>
      </c>
      <c r="M69">
        <f t="shared" si="9"/>
        <v>455</v>
      </c>
      <c r="N69">
        <f t="shared" si="10"/>
        <v>0</v>
      </c>
      <c r="O69">
        <f t="shared" si="11"/>
        <v>0</v>
      </c>
      <c r="P69">
        <f t="shared" si="11"/>
        <v>295</v>
      </c>
      <c r="Q69">
        <f t="shared" si="11"/>
        <v>233</v>
      </c>
      <c r="T69" t="s">
        <v>22</v>
      </c>
    </row>
    <row r="70" spans="1:20" x14ac:dyDescent="0.25">
      <c r="A70" s="1">
        <v>44019</v>
      </c>
      <c r="B70">
        <f t="shared" si="12"/>
        <v>0</v>
      </c>
      <c r="C70">
        <f t="shared" si="12"/>
        <v>295</v>
      </c>
      <c r="D70">
        <f t="shared" si="12"/>
        <v>233</v>
      </c>
      <c r="E70">
        <v>421</v>
      </c>
      <c r="F70">
        <v>292</v>
      </c>
      <c r="G70">
        <v>226</v>
      </c>
      <c r="H70">
        <f t="shared" si="13"/>
        <v>421</v>
      </c>
      <c r="I70">
        <f t="shared" si="13"/>
        <v>587</v>
      </c>
      <c r="J70">
        <f t="shared" si="13"/>
        <v>459</v>
      </c>
      <c r="K70" t="str">
        <f t="shared" si="7"/>
        <v>trus_porz</v>
      </c>
      <c r="L70">
        <f t="shared" si="8"/>
        <v>0</v>
      </c>
      <c r="M70">
        <f t="shared" si="9"/>
        <v>459</v>
      </c>
      <c r="N70">
        <f t="shared" si="10"/>
        <v>459</v>
      </c>
      <c r="O70">
        <f t="shared" si="11"/>
        <v>421</v>
      </c>
      <c r="P70">
        <f t="shared" si="11"/>
        <v>128</v>
      </c>
      <c r="Q70">
        <f t="shared" si="11"/>
        <v>0</v>
      </c>
      <c r="T70" t="s">
        <v>25</v>
      </c>
    </row>
    <row r="71" spans="1:20" x14ac:dyDescent="0.25">
      <c r="A71" s="1">
        <v>44020</v>
      </c>
      <c r="B71">
        <f t="shared" si="12"/>
        <v>421</v>
      </c>
      <c r="C71">
        <f t="shared" si="12"/>
        <v>128</v>
      </c>
      <c r="D71">
        <f t="shared" si="12"/>
        <v>0</v>
      </c>
      <c r="E71">
        <v>334</v>
      </c>
      <c r="F71">
        <v>353</v>
      </c>
      <c r="G71">
        <v>282</v>
      </c>
      <c r="H71">
        <f t="shared" si="13"/>
        <v>755</v>
      </c>
      <c r="I71">
        <f t="shared" si="13"/>
        <v>481</v>
      </c>
      <c r="J71">
        <f t="shared" si="13"/>
        <v>282</v>
      </c>
      <c r="K71" t="str">
        <f t="shared" si="7"/>
        <v>mal_trus</v>
      </c>
      <c r="L71">
        <f t="shared" si="8"/>
        <v>481</v>
      </c>
      <c r="M71">
        <f t="shared" si="9"/>
        <v>481</v>
      </c>
      <c r="N71">
        <f t="shared" si="10"/>
        <v>0</v>
      </c>
      <c r="O71">
        <f t="shared" si="11"/>
        <v>274</v>
      </c>
      <c r="P71">
        <f t="shared" si="11"/>
        <v>0</v>
      </c>
      <c r="Q71">
        <f t="shared" si="11"/>
        <v>282</v>
      </c>
      <c r="T71" t="s">
        <v>22</v>
      </c>
    </row>
    <row r="72" spans="1:20" x14ac:dyDescent="0.25">
      <c r="A72" s="1">
        <v>44021</v>
      </c>
      <c r="B72">
        <f t="shared" si="12"/>
        <v>274</v>
      </c>
      <c r="C72">
        <f t="shared" si="12"/>
        <v>0</v>
      </c>
      <c r="D72">
        <f t="shared" si="12"/>
        <v>282</v>
      </c>
      <c r="E72">
        <v>282</v>
      </c>
      <c r="F72">
        <v>329</v>
      </c>
      <c r="G72">
        <v>262</v>
      </c>
      <c r="H72">
        <f t="shared" si="13"/>
        <v>556</v>
      </c>
      <c r="I72">
        <f t="shared" si="13"/>
        <v>329</v>
      </c>
      <c r="J72">
        <f t="shared" si="13"/>
        <v>544</v>
      </c>
      <c r="K72" t="str">
        <f t="shared" si="7"/>
        <v>mal_porz</v>
      </c>
      <c r="L72">
        <f t="shared" si="8"/>
        <v>544</v>
      </c>
      <c r="M72">
        <f t="shared" si="9"/>
        <v>0</v>
      </c>
      <c r="N72">
        <f t="shared" si="10"/>
        <v>544</v>
      </c>
      <c r="O72">
        <f t="shared" si="11"/>
        <v>12</v>
      </c>
      <c r="P72">
        <f t="shared" si="11"/>
        <v>329</v>
      </c>
      <c r="Q72">
        <f t="shared" si="11"/>
        <v>0</v>
      </c>
      <c r="T72" t="s">
        <v>23</v>
      </c>
    </row>
    <row r="73" spans="1:20" x14ac:dyDescent="0.25">
      <c r="A73" s="1">
        <v>44022</v>
      </c>
      <c r="B73">
        <f t="shared" si="12"/>
        <v>12</v>
      </c>
      <c r="C73">
        <f t="shared" si="12"/>
        <v>329</v>
      </c>
      <c r="D73">
        <f t="shared" si="12"/>
        <v>0</v>
      </c>
      <c r="E73">
        <v>356</v>
      </c>
      <c r="F73">
        <v>331</v>
      </c>
      <c r="G73">
        <v>290</v>
      </c>
      <c r="H73">
        <f t="shared" si="13"/>
        <v>368</v>
      </c>
      <c r="I73">
        <f t="shared" si="13"/>
        <v>660</v>
      </c>
      <c r="J73">
        <f t="shared" si="13"/>
        <v>290</v>
      </c>
      <c r="K73" t="str">
        <f t="shared" si="7"/>
        <v>mal_trus</v>
      </c>
      <c r="L73">
        <f t="shared" si="8"/>
        <v>368</v>
      </c>
      <c r="M73">
        <f t="shared" si="9"/>
        <v>368</v>
      </c>
      <c r="N73">
        <f t="shared" si="10"/>
        <v>0</v>
      </c>
      <c r="O73">
        <f t="shared" si="11"/>
        <v>0</v>
      </c>
      <c r="P73">
        <f t="shared" si="11"/>
        <v>292</v>
      </c>
      <c r="Q73">
        <f t="shared" si="11"/>
        <v>290</v>
      </c>
      <c r="T73" t="s">
        <v>22</v>
      </c>
    </row>
    <row r="74" spans="1:20" x14ac:dyDescent="0.25">
      <c r="A74" s="1">
        <v>44023</v>
      </c>
      <c r="B74">
        <f t="shared" si="12"/>
        <v>0</v>
      </c>
      <c r="C74">
        <f t="shared" si="12"/>
        <v>292</v>
      </c>
      <c r="D74">
        <f t="shared" si="12"/>
        <v>290</v>
      </c>
      <c r="E74">
        <v>307</v>
      </c>
      <c r="F74">
        <v>394</v>
      </c>
      <c r="G74">
        <v>256</v>
      </c>
      <c r="H74">
        <f t="shared" si="13"/>
        <v>307</v>
      </c>
      <c r="I74">
        <f t="shared" si="13"/>
        <v>686</v>
      </c>
      <c r="J74">
        <f t="shared" si="13"/>
        <v>546</v>
      </c>
      <c r="K74" t="str">
        <f t="shared" si="7"/>
        <v>trus_porz</v>
      </c>
      <c r="L74">
        <f t="shared" si="8"/>
        <v>0</v>
      </c>
      <c r="M74">
        <f t="shared" si="9"/>
        <v>546</v>
      </c>
      <c r="N74">
        <f t="shared" si="10"/>
        <v>546</v>
      </c>
      <c r="O74">
        <f t="shared" si="11"/>
        <v>307</v>
      </c>
      <c r="P74">
        <f t="shared" si="11"/>
        <v>140</v>
      </c>
      <c r="Q74">
        <f t="shared" si="11"/>
        <v>0</v>
      </c>
      <c r="T74" t="s">
        <v>25</v>
      </c>
    </row>
    <row r="75" spans="1:20" x14ac:dyDescent="0.25">
      <c r="A75" s="1">
        <v>44024</v>
      </c>
      <c r="B75">
        <f t="shared" si="12"/>
        <v>307</v>
      </c>
      <c r="C75">
        <f t="shared" si="12"/>
        <v>140</v>
      </c>
      <c r="D75">
        <f t="shared" si="12"/>
        <v>0</v>
      </c>
      <c r="E75">
        <v>441</v>
      </c>
      <c r="F75">
        <v>271</v>
      </c>
      <c r="G75">
        <v>292</v>
      </c>
      <c r="H75">
        <f t="shared" si="13"/>
        <v>748</v>
      </c>
      <c r="I75">
        <f t="shared" si="13"/>
        <v>411</v>
      </c>
      <c r="J75">
        <f t="shared" si="13"/>
        <v>292</v>
      </c>
      <c r="K75" t="str">
        <f t="shared" si="7"/>
        <v>mal_trus</v>
      </c>
      <c r="L75">
        <f t="shared" si="8"/>
        <v>411</v>
      </c>
      <c r="M75">
        <f t="shared" si="9"/>
        <v>411</v>
      </c>
      <c r="N75">
        <f t="shared" si="10"/>
        <v>0</v>
      </c>
      <c r="O75">
        <f t="shared" si="11"/>
        <v>337</v>
      </c>
      <c r="P75">
        <f t="shared" si="11"/>
        <v>0</v>
      </c>
      <c r="Q75">
        <f t="shared" si="11"/>
        <v>292</v>
      </c>
      <c r="T75" t="s">
        <v>22</v>
      </c>
    </row>
    <row r="76" spans="1:20" x14ac:dyDescent="0.25">
      <c r="A76" s="1">
        <v>44025</v>
      </c>
      <c r="B76">
        <f t="shared" si="12"/>
        <v>337</v>
      </c>
      <c r="C76">
        <f t="shared" si="12"/>
        <v>0</v>
      </c>
      <c r="D76">
        <f t="shared" si="12"/>
        <v>292</v>
      </c>
      <c r="E76">
        <v>407</v>
      </c>
      <c r="F76">
        <v>311</v>
      </c>
      <c r="G76">
        <v>280</v>
      </c>
      <c r="H76">
        <f t="shared" si="13"/>
        <v>744</v>
      </c>
      <c r="I76">
        <f t="shared" si="13"/>
        <v>311</v>
      </c>
      <c r="J76">
        <f t="shared" si="13"/>
        <v>572</v>
      </c>
      <c r="K76" t="str">
        <f t="shared" si="7"/>
        <v>mal_porz</v>
      </c>
      <c r="L76">
        <f t="shared" si="8"/>
        <v>572</v>
      </c>
      <c r="M76">
        <f t="shared" si="9"/>
        <v>0</v>
      </c>
      <c r="N76">
        <f t="shared" si="10"/>
        <v>572</v>
      </c>
      <c r="O76">
        <f t="shared" si="11"/>
        <v>172</v>
      </c>
      <c r="P76">
        <f t="shared" si="11"/>
        <v>311</v>
      </c>
      <c r="Q76">
        <f t="shared" si="11"/>
        <v>0</v>
      </c>
      <c r="T76" t="s">
        <v>23</v>
      </c>
    </row>
    <row r="77" spans="1:20" x14ac:dyDescent="0.25">
      <c r="A77" s="1">
        <v>44026</v>
      </c>
      <c r="B77">
        <f t="shared" si="12"/>
        <v>172</v>
      </c>
      <c r="C77">
        <f t="shared" si="12"/>
        <v>311</v>
      </c>
      <c r="D77">
        <f t="shared" si="12"/>
        <v>0</v>
      </c>
      <c r="E77">
        <v>480</v>
      </c>
      <c r="F77">
        <v>342</v>
      </c>
      <c r="G77">
        <v>292</v>
      </c>
      <c r="H77">
        <f t="shared" si="13"/>
        <v>652</v>
      </c>
      <c r="I77">
        <f t="shared" si="13"/>
        <v>653</v>
      </c>
      <c r="J77">
        <f t="shared" si="13"/>
        <v>292</v>
      </c>
      <c r="K77" t="str">
        <f t="shared" si="7"/>
        <v>mal_trus</v>
      </c>
      <c r="L77">
        <f t="shared" si="8"/>
        <v>652</v>
      </c>
      <c r="M77">
        <f t="shared" si="9"/>
        <v>652</v>
      </c>
      <c r="N77">
        <f t="shared" si="10"/>
        <v>0</v>
      </c>
      <c r="O77">
        <f t="shared" si="11"/>
        <v>0</v>
      </c>
      <c r="P77">
        <f t="shared" si="11"/>
        <v>1</v>
      </c>
      <c r="Q77">
        <f t="shared" si="11"/>
        <v>292</v>
      </c>
      <c r="T77" t="s">
        <v>22</v>
      </c>
    </row>
    <row r="78" spans="1:20" x14ac:dyDescent="0.25">
      <c r="A78" s="1">
        <v>44027</v>
      </c>
      <c r="B78">
        <f t="shared" si="12"/>
        <v>0</v>
      </c>
      <c r="C78">
        <f t="shared" si="12"/>
        <v>1</v>
      </c>
      <c r="D78">
        <f t="shared" si="12"/>
        <v>292</v>
      </c>
      <c r="E78">
        <v>494</v>
      </c>
      <c r="F78">
        <v>310</v>
      </c>
      <c r="G78">
        <v>275</v>
      </c>
      <c r="H78">
        <f t="shared" si="13"/>
        <v>494</v>
      </c>
      <c r="I78">
        <f t="shared" si="13"/>
        <v>311</v>
      </c>
      <c r="J78">
        <f t="shared" si="13"/>
        <v>567</v>
      </c>
      <c r="K78" t="str">
        <f t="shared" si="7"/>
        <v>mal_porz</v>
      </c>
      <c r="L78">
        <f t="shared" si="8"/>
        <v>494</v>
      </c>
      <c r="M78">
        <f t="shared" si="9"/>
        <v>0</v>
      </c>
      <c r="N78">
        <f t="shared" si="10"/>
        <v>494</v>
      </c>
      <c r="O78">
        <f t="shared" si="11"/>
        <v>0</v>
      </c>
      <c r="P78">
        <f t="shared" si="11"/>
        <v>311</v>
      </c>
      <c r="Q78">
        <f t="shared" si="11"/>
        <v>73</v>
      </c>
      <c r="T78" t="s">
        <v>23</v>
      </c>
    </row>
    <row r="79" spans="1:20" x14ac:dyDescent="0.25">
      <c r="A79" s="1">
        <v>44028</v>
      </c>
      <c r="B79">
        <f t="shared" si="12"/>
        <v>0</v>
      </c>
      <c r="C79">
        <f t="shared" si="12"/>
        <v>311</v>
      </c>
      <c r="D79">
        <f t="shared" si="12"/>
        <v>73</v>
      </c>
      <c r="E79">
        <v>493</v>
      </c>
      <c r="F79">
        <v>431</v>
      </c>
      <c r="G79">
        <v>283</v>
      </c>
      <c r="H79">
        <f t="shared" si="13"/>
        <v>493</v>
      </c>
      <c r="I79">
        <f t="shared" si="13"/>
        <v>742</v>
      </c>
      <c r="J79">
        <f t="shared" si="13"/>
        <v>356</v>
      </c>
      <c r="K79" t="str">
        <f t="shared" si="7"/>
        <v>mal_trus</v>
      </c>
      <c r="L79">
        <f t="shared" si="8"/>
        <v>493</v>
      </c>
      <c r="M79">
        <f t="shared" si="9"/>
        <v>493</v>
      </c>
      <c r="N79">
        <f t="shared" si="10"/>
        <v>0</v>
      </c>
      <c r="O79">
        <f t="shared" si="11"/>
        <v>0</v>
      </c>
      <c r="P79">
        <f t="shared" si="11"/>
        <v>249</v>
      </c>
      <c r="Q79">
        <f t="shared" si="11"/>
        <v>356</v>
      </c>
      <c r="T79" t="s">
        <v>22</v>
      </c>
    </row>
    <row r="80" spans="1:20" x14ac:dyDescent="0.25">
      <c r="A80" s="1">
        <v>44029</v>
      </c>
      <c r="B80">
        <f t="shared" si="12"/>
        <v>0</v>
      </c>
      <c r="C80">
        <f t="shared" si="12"/>
        <v>249</v>
      </c>
      <c r="D80">
        <f t="shared" si="12"/>
        <v>356</v>
      </c>
      <c r="E80">
        <v>302</v>
      </c>
      <c r="F80">
        <v>415</v>
      </c>
      <c r="G80">
        <v>297</v>
      </c>
      <c r="H80">
        <f t="shared" si="13"/>
        <v>302</v>
      </c>
      <c r="I80">
        <f t="shared" si="13"/>
        <v>664</v>
      </c>
      <c r="J80">
        <f t="shared" si="13"/>
        <v>653</v>
      </c>
      <c r="K80" t="str">
        <f t="shared" si="7"/>
        <v>trus_porz</v>
      </c>
      <c r="L80">
        <f t="shared" si="8"/>
        <v>0</v>
      </c>
      <c r="M80">
        <f t="shared" si="9"/>
        <v>653</v>
      </c>
      <c r="N80">
        <f t="shared" si="10"/>
        <v>653</v>
      </c>
      <c r="O80">
        <f t="shared" si="11"/>
        <v>302</v>
      </c>
      <c r="P80">
        <f t="shared" si="11"/>
        <v>11</v>
      </c>
      <c r="Q80">
        <f t="shared" si="11"/>
        <v>0</v>
      </c>
      <c r="T80" t="s">
        <v>25</v>
      </c>
    </row>
    <row r="81" spans="1:20" x14ac:dyDescent="0.25">
      <c r="A81" s="1">
        <v>44030</v>
      </c>
      <c r="B81">
        <f t="shared" si="12"/>
        <v>302</v>
      </c>
      <c r="C81">
        <f t="shared" si="12"/>
        <v>11</v>
      </c>
      <c r="D81">
        <f t="shared" si="12"/>
        <v>0</v>
      </c>
      <c r="E81">
        <v>331</v>
      </c>
      <c r="F81">
        <v>353</v>
      </c>
      <c r="G81">
        <v>373</v>
      </c>
      <c r="H81">
        <f t="shared" si="13"/>
        <v>633</v>
      </c>
      <c r="I81">
        <f t="shared" si="13"/>
        <v>364</v>
      </c>
      <c r="J81">
        <f t="shared" si="13"/>
        <v>373</v>
      </c>
      <c r="K81" t="str">
        <f t="shared" si="7"/>
        <v>mal_porz</v>
      </c>
      <c r="L81">
        <f t="shared" si="8"/>
        <v>373</v>
      </c>
      <c r="M81">
        <f t="shared" si="9"/>
        <v>0</v>
      </c>
      <c r="N81">
        <f t="shared" si="10"/>
        <v>373</v>
      </c>
      <c r="O81">
        <f t="shared" si="11"/>
        <v>260</v>
      </c>
      <c r="P81">
        <f t="shared" si="11"/>
        <v>364</v>
      </c>
      <c r="Q81">
        <f t="shared" si="11"/>
        <v>0</v>
      </c>
      <c r="T81" t="s">
        <v>23</v>
      </c>
    </row>
    <row r="82" spans="1:20" x14ac:dyDescent="0.25">
      <c r="A82" s="1">
        <v>44031</v>
      </c>
      <c r="B82">
        <f t="shared" si="12"/>
        <v>260</v>
      </c>
      <c r="C82">
        <f t="shared" si="12"/>
        <v>364</v>
      </c>
      <c r="D82">
        <f t="shared" si="12"/>
        <v>0</v>
      </c>
      <c r="E82">
        <v>486</v>
      </c>
      <c r="F82">
        <v>323</v>
      </c>
      <c r="G82">
        <v>359</v>
      </c>
      <c r="H82">
        <f t="shared" si="13"/>
        <v>746</v>
      </c>
      <c r="I82">
        <f t="shared" si="13"/>
        <v>687</v>
      </c>
      <c r="J82">
        <f t="shared" si="13"/>
        <v>359</v>
      </c>
      <c r="K82" t="str">
        <f t="shared" si="7"/>
        <v>mal_trus</v>
      </c>
      <c r="L82">
        <f t="shared" si="8"/>
        <v>687</v>
      </c>
      <c r="M82">
        <f t="shared" si="9"/>
        <v>687</v>
      </c>
      <c r="N82">
        <f t="shared" si="10"/>
        <v>0</v>
      </c>
      <c r="O82">
        <f t="shared" si="11"/>
        <v>59</v>
      </c>
      <c r="P82">
        <f t="shared" si="11"/>
        <v>0</v>
      </c>
      <c r="Q82">
        <f t="shared" si="11"/>
        <v>359</v>
      </c>
      <c r="T82" t="s">
        <v>22</v>
      </c>
    </row>
    <row r="83" spans="1:20" x14ac:dyDescent="0.25">
      <c r="A83" s="1">
        <v>44032</v>
      </c>
      <c r="B83">
        <f t="shared" si="12"/>
        <v>59</v>
      </c>
      <c r="C83">
        <f t="shared" si="12"/>
        <v>0</v>
      </c>
      <c r="D83">
        <f t="shared" si="12"/>
        <v>359</v>
      </c>
      <c r="E83">
        <v>360</v>
      </c>
      <c r="F83">
        <v>331</v>
      </c>
      <c r="G83">
        <v>445</v>
      </c>
      <c r="H83">
        <f t="shared" si="13"/>
        <v>419</v>
      </c>
      <c r="I83">
        <f t="shared" si="13"/>
        <v>331</v>
      </c>
      <c r="J83">
        <f t="shared" si="13"/>
        <v>804</v>
      </c>
      <c r="K83" t="str">
        <f t="shared" si="7"/>
        <v>mal_porz</v>
      </c>
      <c r="L83">
        <f t="shared" si="8"/>
        <v>419</v>
      </c>
      <c r="M83">
        <f t="shared" si="9"/>
        <v>0</v>
      </c>
      <c r="N83">
        <f t="shared" si="10"/>
        <v>419</v>
      </c>
      <c r="O83">
        <f t="shared" si="11"/>
        <v>0</v>
      </c>
      <c r="P83">
        <f t="shared" si="11"/>
        <v>331</v>
      </c>
      <c r="Q83">
        <f t="shared" si="11"/>
        <v>385</v>
      </c>
      <c r="T83" t="s">
        <v>23</v>
      </c>
    </row>
    <row r="84" spans="1:20" x14ac:dyDescent="0.25">
      <c r="A84" s="1">
        <v>44033</v>
      </c>
      <c r="B84">
        <f t="shared" si="12"/>
        <v>0</v>
      </c>
      <c r="C84">
        <f t="shared" si="12"/>
        <v>331</v>
      </c>
      <c r="D84">
        <f t="shared" si="12"/>
        <v>385</v>
      </c>
      <c r="E84">
        <v>391</v>
      </c>
      <c r="F84">
        <v>455</v>
      </c>
      <c r="G84">
        <v>427</v>
      </c>
      <c r="H84">
        <f t="shared" si="13"/>
        <v>391</v>
      </c>
      <c r="I84">
        <f t="shared" si="13"/>
        <v>786</v>
      </c>
      <c r="J84">
        <f t="shared" si="13"/>
        <v>812</v>
      </c>
      <c r="K84" t="str">
        <f t="shared" si="7"/>
        <v>trus_porz</v>
      </c>
      <c r="L84">
        <f t="shared" si="8"/>
        <v>0</v>
      </c>
      <c r="M84">
        <f t="shared" si="9"/>
        <v>786</v>
      </c>
      <c r="N84">
        <f t="shared" si="10"/>
        <v>786</v>
      </c>
      <c r="O84">
        <f t="shared" si="11"/>
        <v>391</v>
      </c>
      <c r="P84">
        <f t="shared" si="11"/>
        <v>0</v>
      </c>
      <c r="Q84">
        <f t="shared" si="11"/>
        <v>26</v>
      </c>
      <c r="T84" t="s">
        <v>25</v>
      </c>
    </row>
    <row r="85" spans="1:20" x14ac:dyDescent="0.25">
      <c r="A85" s="1">
        <v>44034</v>
      </c>
      <c r="B85">
        <f t="shared" si="12"/>
        <v>391</v>
      </c>
      <c r="C85">
        <f t="shared" si="12"/>
        <v>0</v>
      </c>
      <c r="D85">
        <f t="shared" si="12"/>
        <v>26</v>
      </c>
      <c r="E85">
        <v>327</v>
      </c>
      <c r="F85">
        <v>471</v>
      </c>
      <c r="G85">
        <v>423</v>
      </c>
      <c r="H85">
        <f t="shared" si="13"/>
        <v>718</v>
      </c>
      <c r="I85">
        <f t="shared" si="13"/>
        <v>471</v>
      </c>
      <c r="J85">
        <f t="shared" si="13"/>
        <v>449</v>
      </c>
      <c r="K85" t="str">
        <f t="shared" si="7"/>
        <v>mal_trus</v>
      </c>
      <c r="L85">
        <f t="shared" si="8"/>
        <v>471</v>
      </c>
      <c r="M85">
        <f t="shared" si="9"/>
        <v>471</v>
      </c>
      <c r="N85">
        <f t="shared" si="10"/>
        <v>0</v>
      </c>
      <c r="O85">
        <f t="shared" si="11"/>
        <v>247</v>
      </c>
      <c r="P85">
        <f t="shared" si="11"/>
        <v>0</v>
      </c>
      <c r="Q85">
        <f t="shared" si="11"/>
        <v>449</v>
      </c>
      <c r="T85" t="s">
        <v>22</v>
      </c>
    </row>
    <row r="86" spans="1:20" x14ac:dyDescent="0.25">
      <c r="A86" s="1">
        <v>44035</v>
      </c>
      <c r="B86">
        <f t="shared" si="12"/>
        <v>247</v>
      </c>
      <c r="C86">
        <f t="shared" si="12"/>
        <v>0</v>
      </c>
      <c r="D86">
        <f t="shared" si="12"/>
        <v>449</v>
      </c>
      <c r="E86">
        <v>355</v>
      </c>
      <c r="F86">
        <v>490</v>
      </c>
      <c r="G86">
        <v>449</v>
      </c>
      <c r="H86">
        <f t="shared" si="13"/>
        <v>602</v>
      </c>
      <c r="I86">
        <f t="shared" si="13"/>
        <v>490</v>
      </c>
      <c r="J86">
        <f t="shared" si="13"/>
        <v>898</v>
      </c>
      <c r="K86" t="str">
        <f t="shared" si="7"/>
        <v>mal_porz</v>
      </c>
      <c r="L86">
        <f t="shared" si="8"/>
        <v>602</v>
      </c>
      <c r="M86">
        <f t="shared" si="9"/>
        <v>0</v>
      </c>
      <c r="N86">
        <f t="shared" si="10"/>
        <v>602</v>
      </c>
      <c r="O86">
        <f t="shared" si="11"/>
        <v>0</v>
      </c>
      <c r="P86">
        <f t="shared" si="11"/>
        <v>490</v>
      </c>
      <c r="Q86">
        <f t="shared" si="11"/>
        <v>296</v>
      </c>
      <c r="T86" t="s">
        <v>23</v>
      </c>
    </row>
    <row r="87" spans="1:20" x14ac:dyDescent="0.25">
      <c r="A87" s="1">
        <v>44036</v>
      </c>
      <c r="B87">
        <f t="shared" si="12"/>
        <v>0</v>
      </c>
      <c r="C87">
        <f t="shared" si="12"/>
        <v>490</v>
      </c>
      <c r="D87">
        <f t="shared" si="12"/>
        <v>296</v>
      </c>
      <c r="E87">
        <v>360</v>
      </c>
      <c r="F87">
        <v>339</v>
      </c>
      <c r="G87">
        <v>470</v>
      </c>
      <c r="H87">
        <f t="shared" si="13"/>
        <v>360</v>
      </c>
      <c r="I87">
        <f t="shared" si="13"/>
        <v>829</v>
      </c>
      <c r="J87">
        <f t="shared" si="13"/>
        <v>766</v>
      </c>
      <c r="K87" t="str">
        <f t="shared" si="7"/>
        <v>trus_porz</v>
      </c>
      <c r="L87">
        <f t="shared" si="8"/>
        <v>0</v>
      </c>
      <c r="M87">
        <f t="shared" si="9"/>
        <v>766</v>
      </c>
      <c r="N87">
        <f t="shared" si="10"/>
        <v>766</v>
      </c>
      <c r="O87">
        <f t="shared" si="11"/>
        <v>360</v>
      </c>
      <c r="P87">
        <f t="shared" si="11"/>
        <v>63</v>
      </c>
      <c r="Q87">
        <f t="shared" si="11"/>
        <v>0</v>
      </c>
      <c r="T87" t="s">
        <v>25</v>
      </c>
    </row>
    <row r="88" spans="1:20" x14ac:dyDescent="0.25">
      <c r="A88" s="1">
        <v>44037</v>
      </c>
      <c r="B88">
        <f t="shared" si="12"/>
        <v>360</v>
      </c>
      <c r="C88">
        <f t="shared" si="12"/>
        <v>63</v>
      </c>
      <c r="D88">
        <f t="shared" si="12"/>
        <v>0</v>
      </c>
      <c r="E88">
        <v>303</v>
      </c>
      <c r="F88">
        <v>404</v>
      </c>
      <c r="G88">
        <v>434</v>
      </c>
      <c r="H88">
        <f t="shared" si="13"/>
        <v>663</v>
      </c>
      <c r="I88">
        <f t="shared" si="13"/>
        <v>467</v>
      </c>
      <c r="J88">
        <f t="shared" si="13"/>
        <v>434</v>
      </c>
      <c r="K88" t="str">
        <f t="shared" si="7"/>
        <v>mal_trus</v>
      </c>
      <c r="L88">
        <f t="shared" si="8"/>
        <v>467</v>
      </c>
      <c r="M88">
        <f t="shared" si="9"/>
        <v>467</v>
      </c>
      <c r="N88">
        <f t="shared" si="10"/>
        <v>0</v>
      </c>
      <c r="O88">
        <f t="shared" si="11"/>
        <v>196</v>
      </c>
      <c r="P88">
        <f t="shared" si="11"/>
        <v>0</v>
      </c>
      <c r="Q88">
        <f t="shared" si="11"/>
        <v>434</v>
      </c>
      <c r="T88" t="s">
        <v>22</v>
      </c>
    </row>
    <row r="89" spans="1:20" x14ac:dyDescent="0.25">
      <c r="A89" s="1">
        <v>44038</v>
      </c>
      <c r="B89">
        <f t="shared" si="12"/>
        <v>196</v>
      </c>
      <c r="C89">
        <f t="shared" si="12"/>
        <v>0</v>
      </c>
      <c r="D89">
        <f t="shared" si="12"/>
        <v>434</v>
      </c>
      <c r="E89">
        <v>310</v>
      </c>
      <c r="F89">
        <v>332</v>
      </c>
      <c r="G89">
        <v>536</v>
      </c>
      <c r="H89">
        <f t="shared" si="13"/>
        <v>506</v>
      </c>
      <c r="I89">
        <f t="shared" si="13"/>
        <v>332</v>
      </c>
      <c r="J89">
        <f t="shared" si="13"/>
        <v>970</v>
      </c>
      <c r="K89" t="str">
        <f t="shared" si="7"/>
        <v>mal_porz</v>
      </c>
      <c r="L89">
        <f t="shared" si="8"/>
        <v>506</v>
      </c>
      <c r="M89">
        <f t="shared" si="9"/>
        <v>0</v>
      </c>
      <c r="N89">
        <f t="shared" si="10"/>
        <v>506</v>
      </c>
      <c r="O89">
        <f t="shared" si="11"/>
        <v>0</v>
      </c>
      <c r="P89">
        <f t="shared" si="11"/>
        <v>332</v>
      </c>
      <c r="Q89">
        <f t="shared" si="11"/>
        <v>464</v>
      </c>
      <c r="T89" t="s">
        <v>23</v>
      </c>
    </row>
    <row r="90" spans="1:20" x14ac:dyDescent="0.25">
      <c r="A90" s="1">
        <v>44039</v>
      </c>
      <c r="B90">
        <f t="shared" si="12"/>
        <v>0</v>
      </c>
      <c r="C90">
        <f t="shared" si="12"/>
        <v>332</v>
      </c>
      <c r="D90">
        <f t="shared" si="12"/>
        <v>464</v>
      </c>
      <c r="E90">
        <v>435</v>
      </c>
      <c r="F90">
        <v>406</v>
      </c>
      <c r="G90">
        <v>421</v>
      </c>
      <c r="H90">
        <f t="shared" si="13"/>
        <v>435</v>
      </c>
      <c r="I90">
        <f t="shared" si="13"/>
        <v>738</v>
      </c>
      <c r="J90">
        <f t="shared" si="13"/>
        <v>885</v>
      </c>
      <c r="K90" t="str">
        <f t="shared" si="7"/>
        <v>trus_porz</v>
      </c>
      <c r="L90">
        <f t="shared" si="8"/>
        <v>0</v>
      </c>
      <c r="M90">
        <f t="shared" si="9"/>
        <v>738</v>
      </c>
      <c r="N90">
        <f t="shared" si="10"/>
        <v>738</v>
      </c>
      <c r="O90">
        <f t="shared" si="11"/>
        <v>435</v>
      </c>
      <c r="P90">
        <f t="shared" si="11"/>
        <v>0</v>
      </c>
      <c r="Q90">
        <f t="shared" si="11"/>
        <v>147</v>
      </c>
      <c r="T90" t="s">
        <v>25</v>
      </c>
    </row>
    <row r="91" spans="1:20" x14ac:dyDescent="0.25">
      <c r="A91" s="1">
        <v>44040</v>
      </c>
      <c r="B91">
        <f t="shared" si="12"/>
        <v>435</v>
      </c>
      <c r="C91">
        <f t="shared" si="12"/>
        <v>0</v>
      </c>
      <c r="D91">
        <f t="shared" si="12"/>
        <v>147</v>
      </c>
      <c r="E91">
        <v>344</v>
      </c>
      <c r="F91">
        <v>348</v>
      </c>
      <c r="G91">
        <v>555</v>
      </c>
      <c r="H91">
        <f t="shared" si="13"/>
        <v>779</v>
      </c>
      <c r="I91">
        <f t="shared" si="13"/>
        <v>348</v>
      </c>
      <c r="J91">
        <f t="shared" si="13"/>
        <v>702</v>
      </c>
      <c r="K91" t="str">
        <f t="shared" si="7"/>
        <v>mal_porz</v>
      </c>
      <c r="L91">
        <f t="shared" si="8"/>
        <v>702</v>
      </c>
      <c r="M91">
        <f t="shared" si="9"/>
        <v>0</v>
      </c>
      <c r="N91">
        <f t="shared" si="10"/>
        <v>702</v>
      </c>
      <c r="O91">
        <f t="shared" si="11"/>
        <v>77</v>
      </c>
      <c r="P91">
        <f t="shared" si="11"/>
        <v>348</v>
      </c>
      <c r="Q91">
        <f t="shared" si="11"/>
        <v>0</v>
      </c>
      <c r="T91" t="s">
        <v>23</v>
      </c>
    </row>
    <row r="92" spans="1:20" x14ac:dyDescent="0.25">
      <c r="A92" s="1">
        <v>44041</v>
      </c>
      <c r="B92">
        <f t="shared" si="12"/>
        <v>77</v>
      </c>
      <c r="C92">
        <f t="shared" si="12"/>
        <v>348</v>
      </c>
      <c r="D92">
        <f t="shared" si="12"/>
        <v>0</v>
      </c>
      <c r="E92">
        <v>303</v>
      </c>
      <c r="F92">
        <v>335</v>
      </c>
      <c r="G92">
        <v>436</v>
      </c>
      <c r="H92">
        <f t="shared" si="13"/>
        <v>380</v>
      </c>
      <c r="I92">
        <f t="shared" si="13"/>
        <v>683</v>
      </c>
      <c r="J92">
        <f t="shared" si="13"/>
        <v>436</v>
      </c>
      <c r="K92" t="str">
        <f t="shared" si="7"/>
        <v>trus_porz</v>
      </c>
      <c r="L92">
        <f t="shared" si="8"/>
        <v>0</v>
      </c>
      <c r="M92">
        <f t="shared" si="9"/>
        <v>436</v>
      </c>
      <c r="N92">
        <f t="shared" si="10"/>
        <v>436</v>
      </c>
      <c r="O92">
        <f t="shared" si="11"/>
        <v>380</v>
      </c>
      <c r="P92">
        <f t="shared" si="11"/>
        <v>247</v>
      </c>
      <c r="Q92">
        <f t="shared" si="11"/>
        <v>0</v>
      </c>
      <c r="T92" t="s">
        <v>25</v>
      </c>
    </row>
    <row r="93" spans="1:20" x14ac:dyDescent="0.25">
      <c r="A93" s="1">
        <v>44042</v>
      </c>
      <c r="B93">
        <f t="shared" si="12"/>
        <v>380</v>
      </c>
      <c r="C93">
        <f t="shared" si="12"/>
        <v>247</v>
      </c>
      <c r="D93">
        <f t="shared" si="12"/>
        <v>0</v>
      </c>
      <c r="E93">
        <v>433</v>
      </c>
      <c r="F93">
        <v>425</v>
      </c>
      <c r="G93">
        <v>422</v>
      </c>
      <c r="H93">
        <f t="shared" si="13"/>
        <v>813</v>
      </c>
      <c r="I93">
        <f t="shared" si="13"/>
        <v>672</v>
      </c>
      <c r="J93">
        <f t="shared" si="13"/>
        <v>422</v>
      </c>
      <c r="K93" t="str">
        <f t="shared" si="7"/>
        <v>mal_trus</v>
      </c>
      <c r="L93">
        <f t="shared" si="8"/>
        <v>672</v>
      </c>
      <c r="M93">
        <f t="shared" si="9"/>
        <v>672</v>
      </c>
      <c r="N93">
        <f t="shared" si="10"/>
        <v>0</v>
      </c>
      <c r="O93">
        <f t="shared" si="11"/>
        <v>141</v>
      </c>
      <c r="P93">
        <f t="shared" si="11"/>
        <v>0</v>
      </c>
      <c r="Q93">
        <f t="shared" si="11"/>
        <v>422</v>
      </c>
      <c r="T93" t="s">
        <v>22</v>
      </c>
    </row>
    <row r="94" spans="1:20" x14ac:dyDescent="0.25">
      <c r="A94" s="1">
        <v>44043</v>
      </c>
      <c r="B94">
        <f t="shared" si="12"/>
        <v>141</v>
      </c>
      <c r="C94">
        <f t="shared" si="12"/>
        <v>0</v>
      </c>
      <c r="D94">
        <f t="shared" si="12"/>
        <v>422</v>
      </c>
      <c r="E94">
        <v>350</v>
      </c>
      <c r="F94">
        <v>378</v>
      </c>
      <c r="G94">
        <v>419</v>
      </c>
      <c r="H94">
        <f t="shared" si="13"/>
        <v>491</v>
      </c>
      <c r="I94">
        <f t="shared" si="13"/>
        <v>378</v>
      </c>
      <c r="J94">
        <f t="shared" si="13"/>
        <v>841</v>
      </c>
      <c r="K94" t="str">
        <f t="shared" si="7"/>
        <v>mal_porz</v>
      </c>
      <c r="L94">
        <f t="shared" si="8"/>
        <v>491</v>
      </c>
      <c r="M94">
        <f t="shared" si="9"/>
        <v>0</v>
      </c>
      <c r="N94">
        <f t="shared" si="10"/>
        <v>491</v>
      </c>
      <c r="O94">
        <f t="shared" si="11"/>
        <v>0</v>
      </c>
      <c r="P94">
        <f t="shared" si="11"/>
        <v>378</v>
      </c>
      <c r="Q94">
        <f t="shared" si="11"/>
        <v>350</v>
      </c>
      <c r="T94" t="s">
        <v>23</v>
      </c>
    </row>
    <row r="95" spans="1:20" x14ac:dyDescent="0.25">
      <c r="A95" s="1">
        <v>44044</v>
      </c>
      <c r="B95">
        <f t="shared" si="12"/>
        <v>0</v>
      </c>
      <c r="C95">
        <f t="shared" si="12"/>
        <v>378</v>
      </c>
      <c r="D95">
        <f t="shared" si="12"/>
        <v>350</v>
      </c>
      <c r="E95">
        <v>396</v>
      </c>
      <c r="F95">
        <v>466</v>
      </c>
      <c r="G95">
        <v>434</v>
      </c>
      <c r="H95">
        <f t="shared" si="13"/>
        <v>396</v>
      </c>
      <c r="I95">
        <f t="shared" si="13"/>
        <v>844</v>
      </c>
      <c r="J95">
        <f t="shared" si="13"/>
        <v>784</v>
      </c>
      <c r="K95" t="str">
        <f t="shared" si="7"/>
        <v>trus_porz</v>
      </c>
      <c r="L95">
        <f t="shared" si="8"/>
        <v>0</v>
      </c>
      <c r="M95">
        <f t="shared" si="9"/>
        <v>784</v>
      </c>
      <c r="N95">
        <f t="shared" si="10"/>
        <v>784</v>
      </c>
      <c r="O95">
        <f t="shared" si="11"/>
        <v>396</v>
      </c>
      <c r="P95">
        <f t="shared" si="11"/>
        <v>60</v>
      </c>
      <c r="Q95">
        <f t="shared" si="11"/>
        <v>0</v>
      </c>
      <c r="T95" t="s">
        <v>25</v>
      </c>
    </row>
    <row r="96" spans="1:20" x14ac:dyDescent="0.25">
      <c r="A96" s="1">
        <v>44045</v>
      </c>
      <c r="B96">
        <f t="shared" si="12"/>
        <v>396</v>
      </c>
      <c r="C96">
        <f t="shared" si="12"/>
        <v>60</v>
      </c>
      <c r="D96">
        <f t="shared" si="12"/>
        <v>0</v>
      </c>
      <c r="E96">
        <v>495</v>
      </c>
      <c r="F96">
        <v>410</v>
      </c>
      <c r="G96">
        <v>418</v>
      </c>
      <c r="H96">
        <f t="shared" si="13"/>
        <v>891</v>
      </c>
      <c r="I96">
        <f t="shared" si="13"/>
        <v>470</v>
      </c>
      <c r="J96">
        <f t="shared" si="13"/>
        <v>418</v>
      </c>
      <c r="K96" t="str">
        <f t="shared" si="7"/>
        <v>mal_trus</v>
      </c>
      <c r="L96">
        <f t="shared" si="8"/>
        <v>470</v>
      </c>
      <c r="M96">
        <f t="shared" si="9"/>
        <v>470</v>
      </c>
      <c r="N96">
        <f t="shared" si="10"/>
        <v>0</v>
      </c>
      <c r="O96">
        <f t="shared" si="11"/>
        <v>421</v>
      </c>
      <c r="P96">
        <f t="shared" si="11"/>
        <v>0</v>
      </c>
      <c r="Q96">
        <f t="shared" si="11"/>
        <v>418</v>
      </c>
      <c r="T96" t="s">
        <v>22</v>
      </c>
    </row>
    <row r="97" spans="1:20" x14ac:dyDescent="0.25">
      <c r="A97" s="1">
        <v>44046</v>
      </c>
      <c r="B97">
        <f t="shared" si="12"/>
        <v>421</v>
      </c>
      <c r="C97">
        <f t="shared" si="12"/>
        <v>0</v>
      </c>
      <c r="D97">
        <f t="shared" si="12"/>
        <v>418</v>
      </c>
      <c r="E97">
        <v>420</v>
      </c>
      <c r="F97">
        <v>328</v>
      </c>
      <c r="G97">
        <v>422</v>
      </c>
      <c r="H97">
        <f t="shared" si="13"/>
        <v>841</v>
      </c>
      <c r="I97">
        <f t="shared" si="13"/>
        <v>328</v>
      </c>
      <c r="J97">
        <f t="shared" si="13"/>
        <v>840</v>
      </c>
      <c r="K97" t="str">
        <f t="shared" si="7"/>
        <v>mal_porz</v>
      </c>
      <c r="L97">
        <f t="shared" si="8"/>
        <v>840</v>
      </c>
      <c r="M97">
        <f t="shared" si="9"/>
        <v>0</v>
      </c>
      <c r="N97">
        <f t="shared" si="10"/>
        <v>840</v>
      </c>
      <c r="O97">
        <f t="shared" si="11"/>
        <v>1</v>
      </c>
      <c r="P97">
        <f t="shared" si="11"/>
        <v>328</v>
      </c>
      <c r="Q97">
        <f t="shared" si="11"/>
        <v>0</v>
      </c>
      <c r="T97" t="s">
        <v>23</v>
      </c>
    </row>
    <row r="98" spans="1:20" x14ac:dyDescent="0.25">
      <c r="A98" s="1">
        <v>44047</v>
      </c>
      <c r="B98">
        <f t="shared" si="12"/>
        <v>1</v>
      </c>
      <c r="C98">
        <f t="shared" si="12"/>
        <v>328</v>
      </c>
      <c r="D98">
        <f t="shared" si="12"/>
        <v>0</v>
      </c>
      <c r="E98">
        <v>411</v>
      </c>
      <c r="F98">
        <v>481</v>
      </c>
      <c r="G98">
        <v>445</v>
      </c>
      <c r="H98">
        <f t="shared" si="13"/>
        <v>412</v>
      </c>
      <c r="I98">
        <f t="shared" si="13"/>
        <v>809</v>
      </c>
      <c r="J98">
        <f t="shared" si="13"/>
        <v>445</v>
      </c>
      <c r="K98" t="str">
        <f t="shared" si="7"/>
        <v>trus_porz</v>
      </c>
      <c r="L98">
        <f t="shared" si="8"/>
        <v>0</v>
      </c>
      <c r="M98">
        <f t="shared" si="9"/>
        <v>445</v>
      </c>
      <c r="N98">
        <f t="shared" si="10"/>
        <v>445</v>
      </c>
      <c r="O98">
        <f t="shared" si="11"/>
        <v>412</v>
      </c>
      <c r="P98">
        <f t="shared" si="11"/>
        <v>364</v>
      </c>
      <c r="Q98">
        <f t="shared" si="11"/>
        <v>0</v>
      </c>
      <c r="T98" t="s">
        <v>25</v>
      </c>
    </row>
    <row r="99" spans="1:20" x14ac:dyDescent="0.25">
      <c r="A99" s="1">
        <v>44048</v>
      </c>
      <c r="B99">
        <f t="shared" si="12"/>
        <v>412</v>
      </c>
      <c r="C99">
        <f t="shared" si="12"/>
        <v>364</v>
      </c>
      <c r="D99">
        <f t="shared" si="12"/>
        <v>0</v>
      </c>
      <c r="E99">
        <v>317</v>
      </c>
      <c r="F99">
        <v>434</v>
      </c>
      <c r="G99">
        <v>411</v>
      </c>
      <c r="H99">
        <f t="shared" si="13"/>
        <v>729</v>
      </c>
      <c r="I99">
        <f t="shared" si="13"/>
        <v>798</v>
      </c>
      <c r="J99">
        <f t="shared" si="13"/>
        <v>411</v>
      </c>
      <c r="K99" t="str">
        <f t="shared" si="7"/>
        <v>mal_trus</v>
      </c>
      <c r="L99">
        <f t="shared" si="8"/>
        <v>729</v>
      </c>
      <c r="M99">
        <f t="shared" si="9"/>
        <v>729</v>
      </c>
      <c r="N99">
        <f t="shared" si="10"/>
        <v>0</v>
      </c>
      <c r="O99">
        <f t="shared" si="11"/>
        <v>0</v>
      </c>
      <c r="P99">
        <f t="shared" si="11"/>
        <v>69</v>
      </c>
      <c r="Q99">
        <f t="shared" si="11"/>
        <v>411</v>
      </c>
      <c r="T99" t="s">
        <v>22</v>
      </c>
    </row>
    <row r="100" spans="1:20" x14ac:dyDescent="0.25">
      <c r="A100" s="1">
        <v>44049</v>
      </c>
      <c r="B100">
        <f t="shared" si="12"/>
        <v>0</v>
      </c>
      <c r="C100">
        <f t="shared" si="12"/>
        <v>69</v>
      </c>
      <c r="D100">
        <f t="shared" si="12"/>
        <v>411</v>
      </c>
      <c r="E100">
        <v>342</v>
      </c>
      <c r="F100">
        <v>465</v>
      </c>
      <c r="G100">
        <v>417</v>
      </c>
      <c r="H100">
        <f t="shared" si="13"/>
        <v>342</v>
      </c>
      <c r="I100">
        <f t="shared" si="13"/>
        <v>534</v>
      </c>
      <c r="J100">
        <f t="shared" si="13"/>
        <v>828</v>
      </c>
      <c r="K100" t="str">
        <f t="shared" si="7"/>
        <v>trus_porz</v>
      </c>
      <c r="L100">
        <f t="shared" si="8"/>
        <v>0</v>
      </c>
      <c r="M100">
        <f t="shared" si="9"/>
        <v>534</v>
      </c>
      <c r="N100">
        <f t="shared" si="10"/>
        <v>534</v>
      </c>
      <c r="O100">
        <f t="shared" si="11"/>
        <v>342</v>
      </c>
      <c r="P100">
        <f t="shared" si="11"/>
        <v>0</v>
      </c>
      <c r="Q100">
        <f t="shared" si="11"/>
        <v>294</v>
      </c>
      <c r="T100" t="s">
        <v>25</v>
      </c>
    </row>
    <row r="101" spans="1:20" x14ac:dyDescent="0.25">
      <c r="A101" s="1">
        <v>44050</v>
      </c>
      <c r="B101">
        <f t="shared" si="12"/>
        <v>342</v>
      </c>
      <c r="C101">
        <f t="shared" si="12"/>
        <v>0</v>
      </c>
      <c r="D101">
        <f t="shared" si="12"/>
        <v>294</v>
      </c>
      <c r="E101">
        <v>450</v>
      </c>
      <c r="F101">
        <v>318</v>
      </c>
      <c r="G101">
        <v>490</v>
      </c>
      <c r="H101">
        <f t="shared" si="13"/>
        <v>792</v>
      </c>
      <c r="I101">
        <f t="shared" si="13"/>
        <v>318</v>
      </c>
      <c r="J101">
        <f t="shared" si="13"/>
        <v>784</v>
      </c>
      <c r="K101" t="str">
        <f t="shared" si="7"/>
        <v>mal_porz</v>
      </c>
      <c r="L101">
        <f t="shared" si="8"/>
        <v>784</v>
      </c>
      <c r="M101">
        <f t="shared" si="9"/>
        <v>0</v>
      </c>
      <c r="N101">
        <f t="shared" si="10"/>
        <v>784</v>
      </c>
      <c r="O101">
        <f t="shared" si="11"/>
        <v>8</v>
      </c>
      <c r="P101">
        <f t="shared" si="11"/>
        <v>318</v>
      </c>
      <c r="Q101">
        <f t="shared" si="11"/>
        <v>0</v>
      </c>
      <c r="T101" t="s">
        <v>23</v>
      </c>
    </row>
    <row r="102" spans="1:20" x14ac:dyDescent="0.25">
      <c r="A102" s="1">
        <v>44051</v>
      </c>
      <c r="B102">
        <f t="shared" si="12"/>
        <v>8</v>
      </c>
      <c r="C102">
        <f t="shared" si="12"/>
        <v>318</v>
      </c>
      <c r="D102">
        <f t="shared" si="12"/>
        <v>0</v>
      </c>
      <c r="E102">
        <v>343</v>
      </c>
      <c r="F102">
        <v>329</v>
      </c>
      <c r="G102">
        <v>345</v>
      </c>
      <c r="H102">
        <f t="shared" si="13"/>
        <v>351</v>
      </c>
      <c r="I102">
        <f t="shared" si="13"/>
        <v>647</v>
      </c>
      <c r="J102">
        <f t="shared" si="13"/>
        <v>345</v>
      </c>
      <c r="K102" t="str">
        <f t="shared" si="7"/>
        <v>mal_trus</v>
      </c>
      <c r="L102">
        <f t="shared" si="8"/>
        <v>351</v>
      </c>
      <c r="M102">
        <f t="shared" si="9"/>
        <v>351</v>
      </c>
      <c r="N102">
        <f t="shared" si="10"/>
        <v>0</v>
      </c>
      <c r="O102">
        <f t="shared" si="11"/>
        <v>0</v>
      </c>
      <c r="P102">
        <f t="shared" si="11"/>
        <v>296</v>
      </c>
      <c r="Q102">
        <f t="shared" si="11"/>
        <v>345</v>
      </c>
      <c r="T102" t="s">
        <v>22</v>
      </c>
    </row>
    <row r="103" spans="1:20" x14ac:dyDescent="0.25">
      <c r="A103" s="1">
        <v>44052</v>
      </c>
      <c r="B103">
        <f t="shared" si="12"/>
        <v>0</v>
      </c>
      <c r="C103">
        <f t="shared" si="12"/>
        <v>296</v>
      </c>
      <c r="D103">
        <f t="shared" si="12"/>
        <v>345</v>
      </c>
      <c r="E103">
        <v>287</v>
      </c>
      <c r="F103">
        <v>328</v>
      </c>
      <c r="G103">
        <v>377</v>
      </c>
      <c r="H103">
        <f t="shared" si="13"/>
        <v>287</v>
      </c>
      <c r="I103">
        <f t="shared" si="13"/>
        <v>624</v>
      </c>
      <c r="J103">
        <f t="shared" si="13"/>
        <v>722</v>
      </c>
      <c r="K103" t="str">
        <f t="shared" si="7"/>
        <v>trus_porz</v>
      </c>
      <c r="L103">
        <f t="shared" si="8"/>
        <v>0</v>
      </c>
      <c r="M103">
        <f t="shared" si="9"/>
        <v>624</v>
      </c>
      <c r="N103">
        <f t="shared" si="10"/>
        <v>624</v>
      </c>
      <c r="O103">
        <f t="shared" si="11"/>
        <v>287</v>
      </c>
      <c r="P103">
        <f t="shared" si="11"/>
        <v>0</v>
      </c>
      <c r="Q103">
        <f t="shared" si="11"/>
        <v>98</v>
      </c>
      <c r="T103" t="s">
        <v>25</v>
      </c>
    </row>
    <row r="104" spans="1:20" x14ac:dyDescent="0.25">
      <c r="A104" s="1">
        <v>44053</v>
      </c>
      <c r="B104">
        <f t="shared" si="12"/>
        <v>287</v>
      </c>
      <c r="C104">
        <f t="shared" si="12"/>
        <v>0</v>
      </c>
      <c r="D104">
        <f t="shared" si="12"/>
        <v>98</v>
      </c>
      <c r="E104">
        <v>298</v>
      </c>
      <c r="F104">
        <v>401</v>
      </c>
      <c r="G104">
        <v>416</v>
      </c>
      <c r="H104">
        <f t="shared" si="13"/>
        <v>585</v>
      </c>
      <c r="I104">
        <f t="shared" si="13"/>
        <v>401</v>
      </c>
      <c r="J104">
        <f t="shared" si="13"/>
        <v>514</v>
      </c>
      <c r="K104" t="str">
        <f t="shared" si="7"/>
        <v>mal_porz</v>
      </c>
      <c r="L104">
        <f t="shared" si="8"/>
        <v>514</v>
      </c>
      <c r="M104">
        <f t="shared" si="9"/>
        <v>0</v>
      </c>
      <c r="N104">
        <f t="shared" si="10"/>
        <v>514</v>
      </c>
      <c r="O104">
        <f t="shared" si="11"/>
        <v>71</v>
      </c>
      <c r="P104">
        <f t="shared" si="11"/>
        <v>401</v>
      </c>
      <c r="Q104">
        <f t="shared" si="11"/>
        <v>0</v>
      </c>
      <c r="T104" t="s">
        <v>23</v>
      </c>
    </row>
    <row r="105" spans="1:20" x14ac:dyDescent="0.25">
      <c r="A105" s="1">
        <v>44054</v>
      </c>
      <c r="B105">
        <f t="shared" si="12"/>
        <v>71</v>
      </c>
      <c r="C105">
        <f t="shared" si="12"/>
        <v>401</v>
      </c>
      <c r="D105">
        <f t="shared" si="12"/>
        <v>0</v>
      </c>
      <c r="E105">
        <v>429</v>
      </c>
      <c r="F105">
        <v>348</v>
      </c>
      <c r="G105">
        <v>426</v>
      </c>
      <c r="H105">
        <f t="shared" si="13"/>
        <v>500</v>
      </c>
      <c r="I105">
        <f t="shared" si="13"/>
        <v>749</v>
      </c>
      <c r="J105">
        <f t="shared" si="13"/>
        <v>426</v>
      </c>
      <c r="K105" t="str">
        <f t="shared" si="7"/>
        <v>mal_trus</v>
      </c>
      <c r="L105">
        <f t="shared" si="8"/>
        <v>500</v>
      </c>
      <c r="M105">
        <f t="shared" si="9"/>
        <v>500</v>
      </c>
      <c r="N105">
        <f t="shared" si="10"/>
        <v>0</v>
      </c>
      <c r="O105">
        <f t="shared" si="11"/>
        <v>0</v>
      </c>
      <c r="P105">
        <f t="shared" si="11"/>
        <v>249</v>
      </c>
      <c r="Q105">
        <f t="shared" si="11"/>
        <v>426</v>
      </c>
      <c r="T105" t="s">
        <v>22</v>
      </c>
    </row>
    <row r="106" spans="1:20" x14ac:dyDescent="0.25">
      <c r="A106" s="1">
        <v>44055</v>
      </c>
      <c r="B106">
        <f t="shared" si="12"/>
        <v>0</v>
      </c>
      <c r="C106">
        <f t="shared" si="12"/>
        <v>249</v>
      </c>
      <c r="D106">
        <f t="shared" si="12"/>
        <v>426</v>
      </c>
      <c r="E106">
        <v>417</v>
      </c>
      <c r="F106">
        <v>457</v>
      </c>
      <c r="G106">
        <v>438</v>
      </c>
      <c r="H106">
        <f t="shared" si="13"/>
        <v>417</v>
      </c>
      <c r="I106">
        <f t="shared" si="13"/>
        <v>706</v>
      </c>
      <c r="J106">
        <f t="shared" si="13"/>
        <v>864</v>
      </c>
      <c r="K106" t="str">
        <f t="shared" si="7"/>
        <v>trus_porz</v>
      </c>
      <c r="L106">
        <f t="shared" si="8"/>
        <v>0</v>
      </c>
      <c r="M106">
        <f t="shared" si="9"/>
        <v>706</v>
      </c>
      <c r="N106">
        <f t="shared" si="10"/>
        <v>706</v>
      </c>
      <c r="O106">
        <f t="shared" si="11"/>
        <v>417</v>
      </c>
      <c r="P106">
        <f t="shared" si="11"/>
        <v>0</v>
      </c>
      <c r="Q106">
        <f t="shared" si="11"/>
        <v>158</v>
      </c>
      <c r="T106" t="s">
        <v>25</v>
      </c>
    </row>
    <row r="107" spans="1:20" x14ac:dyDescent="0.25">
      <c r="A107" s="1">
        <v>44056</v>
      </c>
      <c r="B107">
        <f t="shared" si="12"/>
        <v>417</v>
      </c>
      <c r="C107">
        <f t="shared" si="12"/>
        <v>0</v>
      </c>
      <c r="D107">
        <f t="shared" si="12"/>
        <v>158</v>
      </c>
      <c r="E107">
        <v>384</v>
      </c>
      <c r="F107">
        <v>330</v>
      </c>
      <c r="G107">
        <v>292</v>
      </c>
      <c r="H107">
        <f t="shared" si="13"/>
        <v>801</v>
      </c>
      <c r="I107">
        <f t="shared" si="13"/>
        <v>330</v>
      </c>
      <c r="J107">
        <f t="shared" si="13"/>
        <v>450</v>
      </c>
      <c r="K107" t="str">
        <f t="shared" si="7"/>
        <v>mal_porz</v>
      </c>
      <c r="L107">
        <f t="shared" si="8"/>
        <v>450</v>
      </c>
      <c r="M107">
        <f t="shared" si="9"/>
        <v>0</v>
      </c>
      <c r="N107">
        <f t="shared" si="10"/>
        <v>450</v>
      </c>
      <c r="O107">
        <f t="shared" si="11"/>
        <v>351</v>
      </c>
      <c r="P107">
        <f t="shared" si="11"/>
        <v>330</v>
      </c>
      <c r="Q107">
        <f t="shared" si="11"/>
        <v>0</v>
      </c>
      <c r="T107" t="s">
        <v>23</v>
      </c>
    </row>
    <row r="108" spans="1:20" x14ac:dyDescent="0.25">
      <c r="A108" s="1">
        <v>44057</v>
      </c>
      <c r="B108">
        <f t="shared" si="12"/>
        <v>351</v>
      </c>
      <c r="C108">
        <f t="shared" si="12"/>
        <v>330</v>
      </c>
      <c r="D108">
        <f t="shared" si="12"/>
        <v>0</v>
      </c>
      <c r="E108">
        <v>370</v>
      </c>
      <c r="F108">
        <v>388</v>
      </c>
      <c r="G108">
        <v>390</v>
      </c>
      <c r="H108">
        <f t="shared" si="13"/>
        <v>721</v>
      </c>
      <c r="I108">
        <f t="shared" si="13"/>
        <v>718</v>
      </c>
      <c r="J108">
        <f t="shared" si="13"/>
        <v>390</v>
      </c>
      <c r="K108" t="str">
        <f t="shared" si="7"/>
        <v>mal_trus</v>
      </c>
      <c r="L108">
        <f t="shared" si="8"/>
        <v>718</v>
      </c>
      <c r="M108">
        <f t="shared" si="9"/>
        <v>718</v>
      </c>
      <c r="N108">
        <f t="shared" si="10"/>
        <v>0</v>
      </c>
      <c r="O108">
        <f t="shared" si="11"/>
        <v>3</v>
      </c>
      <c r="P108">
        <f t="shared" si="11"/>
        <v>0</v>
      </c>
      <c r="Q108">
        <f t="shared" si="11"/>
        <v>390</v>
      </c>
      <c r="T108" t="s">
        <v>22</v>
      </c>
    </row>
    <row r="109" spans="1:20" x14ac:dyDescent="0.25">
      <c r="A109" s="1">
        <v>44058</v>
      </c>
      <c r="B109">
        <f t="shared" si="12"/>
        <v>3</v>
      </c>
      <c r="C109">
        <f t="shared" si="12"/>
        <v>0</v>
      </c>
      <c r="D109">
        <f t="shared" si="12"/>
        <v>390</v>
      </c>
      <c r="E109">
        <v>436</v>
      </c>
      <c r="F109">
        <v>298</v>
      </c>
      <c r="G109">
        <v>420</v>
      </c>
      <c r="H109">
        <f t="shared" si="13"/>
        <v>439</v>
      </c>
      <c r="I109">
        <f t="shared" si="13"/>
        <v>298</v>
      </c>
      <c r="J109">
        <f t="shared" si="13"/>
        <v>810</v>
      </c>
      <c r="K109" t="str">
        <f t="shared" si="7"/>
        <v>mal_porz</v>
      </c>
      <c r="L109">
        <f t="shared" si="8"/>
        <v>439</v>
      </c>
      <c r="M109">
        <f t="shared" si="9"/>
        <v>0</v>
      </c>
      <c r="N109">
        <f t="shared" si="10"/>
        <v>439</v>
      </c>
      <c r="O109">
        <f t="shared" si="11"/>
        <v>0</v>
      </c>
      <c r="P109">
        <f t="shared" si="11"/>
        <v>298</v>
      </c>
      <c r="Q109">
        <f t="shared" si="11"/>
        <v>371</v>
      </c>
      <c r="T109" t="s">
        <v>23</v>
      </c>
    </row>
    <row r="110" spans="1:20" x14ac:dyDescent="0.25">
      <c r="A110" s="1">
        <v>44059</v>
      </c>
      <c r="B110">
        <f t="shared" si="12"/>
        <v>0</v>
      </c>
      <c r="C110">
        <f t="shared" si="12"/>
        <v>298</v>
      </c>
      <c r="D110">
        <f t="shared" si="12"/>
        <v>371</v>
      </c>
      <c r="E110">
        <v>303</v>
      </c>
      <c r="F110">
        <v>429</v>
      </c>
      <c r="G110">
        <v>407</v>
      </c>
      <c r="H110">
        <f t="shared" si="13"/>
        <v>303</v>
      </c>
      <c r="I110">
        <f t="shared" si="13"/>
        <v>727</v>
      </c>
      <c r="J110">
        <f t="shared" si="13"/>
        <v>778</v>
      </c>
      <c r="K110" t="str">
        <f t="shared" si="7"/>
        <v>trus_porz</v>
      </c>
      <c r="L110">
        <f t="shared" si="8"/>
        <v>0</v>
      </c>
      <c r="M110">
        <f t="shared" si="9"/>
        <v>727</v>
      </c>
      <c r="N110">
        <f t="shared" si="10"/>
        <v>727</v>
      </c>
      <c r="O110">
        <f t="shared" si="11"/>
        <v>303</v>
      </c>
      <c r="P110">
        <f t="shared" si="11"/>
        <v>0</v>
      </c>
      <c r="Q110">
        <f t="shared" si="11"/>
        <v>51</v>
      </c>
      <c r="T110" t="s">
        <v>25</v>
      </c>
    </row>
    <row r="111" spans="1:20" x14ac:dyDescent="0.25">
      <c r="A111" s="1">
        <v>44060</v>
      </c>
      <c r="B111">
        <f t="shared" si="12"/>
        <v>303</v>
      </c>
      <c r="C111">
        <f t="shared" si="12"/>
        <v>0</v>
      </c>
      <c r="D111">
        <f t="shared" si="12"/>
        <v>51</v>
      </c>
      <c r="E111">
        <v>449</v>
      </c>
      <c r="F111">
        <v>444</v>
      </c>
      <c r="G111">
        <v>425</v>
      </c>
      <c r="H111">
        <f t="shared" si="13"/>
        <v>752</v>
      </c>
      <c r="I111">
        <f t="shared" si="13"/>
        <v>444</v>
      </c>
      <c r="J111">
        <f t="shared" si="13"/>
        <v>476</v>
      </c>
      <c r="K111" t="str">
        <f t="shared" si="7"/>
        <v>mal_porz</v>
      </c>
      <c r="L111">
        <f t="shared" si="8"/>
        <v>476</v>
      </c>
      <c r="M111">
        <f t="shared" si="9"/>
        <v>0</v>
      </c>
      <c r="N111">
        <f t="shared" si="10"/>
        <v>476</v>
      </c>
      <c r="O111">
        <f t="shared" si="11"/>
        <v>276</v>
      </c>
      <c r="P111">
        <f t="shared" si="11"/>
        <v>444</v>
      </c>
      <c r="Q111">
        <f t="shared" si="11"/>
        <v>0</v>
      </c>
      <c r="T111" t="s">
        <v>23</v>
      </c>
    </row>
    <row r="112" spans="1:20" x14ac:dyDescent="0.25">
      <c r="A112" s="1">
        <v>44061</v>
      </c>
      <c r="B112">
        <f t="shared" si="12"/>
        <v>276</v>
      </c>
      <c r="C112">
        <f t="shared" si="12"/>
        <v>444</v>
      </c>
      <c r="D112">
        <f t="shared" si="12"/>
        <v>0</v>
      </c>
      <c r="E112">
        <v>300</v>
      </c>
      <c r="F112">
        <v>358</v>
      </c>
      <c r="G112">
        <v>377</v>
      </c>
      <c r="H112">
        <f t="shared" si="13"/>
        <v>576</v>
      </c>
      <c r="I112">
        <f t="shared" si="13"/>
        <v>802</v>
      </c>
      <c r="J112">
        <f t="shared" si="13"/>
        <v>377</v>
      </c>
      <c r="K112" t="str">
        <f t="shared" si="7"/>
        <v>mal_trus</v>
      </c>
      <c r="L112">
        <f t="shared" si="8"/>
        <v>576</v>
      </c>
      <c r="M112">
        <f t="shared" si="9"/>
        <v>576</v>
      </c>
      <c r="N112">
        <f t="shared" si="10"/>
        <v>0</v>
      </c>
      <c r="O112">
        <f t="shared" si="11"/>
        <v>0</v>
      </c>
      <c r="P112">
        <f t="shared" si="11"/>
        <v>226</v>
      </c>
      <c r="Q112">
        <f t="shared" si="11"/>
        <v>377</v>
      </c>
      <c r="T112" t="s">
        <v>22</v>
      </c>
    </row>
    <row r="113" spans="1:20" x14ac:dyDescent="0.25">
      <c r="A113" s="1">
        <v>44062</v>
      </c>
      <c r="B113">
        <f t="shared" si="12"/>
        <v>0</v>
      </c>
      <c r="C113">
        <f t="shared" si="12"/>
        <v>226</v>
      </c>
      <c r="D113">
        <f t="shared" si="12"/>
        <v>377</v>
      </c>
      <c r="E113">
        <v>307</v>
      </c>
      <c r="F113">
        <v>417</v>
      </c>
      <c r="G113">
        <v>405</v>
      </c>
      <c r="H113">
        <f t="shared" si="13"/>
        <v>307</v>
      </c>
      <c r="I113">
        <f t="shared" si="13"/>
        <v>643</v>
      </c>
      <c r="J113">
        <f t="shared" si="13"/>
        <v>782</v>
      </c>
      <c r="K113" t="str">
        <f t="shared" si="7"/>
        <v>trus_porz</v>
      </c>
      <c r="L113">
        <f t="shared" si="8"/>
        <v>0</v>
      </c>
      <c r="M113">
        <f t="shared" si="9"/>
        <v>643</v>
      </c>
      <c r="N113">
        <f t="shared" si="10"/>
        <v>643</v>
      </c>
      <c r="O113">
        <f t="shared" si="11"/>
        <v>307</v>
      </c>
      <c r="P113">
        <f t="shared" si="11"/>
        <v>0</v>
      </c>
      <c r="Q113">
        <f t="shared" si="11"/>
        <v>139</v>
      </c>
      <c r="T113" t="s">
        <v>25</v>
      </c>
    </row>
    <row r="114" spans="1:20" x14ac:dyDescent="0.25">
      <c r="A114" s="1">
        <v>44063</v>
      </c>
      <c r="B114">
        <f t="shared" si="12"/>
        <v>307</v>
      </c>
      <c r="C114">
        <f t="shared" si="12"/>
        <v>0</v>
      </c>
      <c r="D114">
        <f t="shared" si="12"/>
        <v>139</v>
      </c>
      <c r="E114">
        <v>314</v>
      </c>
      <c r="F114">
        <v>340</v>
      </c>
      <c r="G114">
        <v>345</v>
      </c>
      <c r="H114">
        <f t="shared" si="13"/>
        <v>621</v>
      </c>
      <c r="I114">
        <f t="shared" si="13"/>
        <v>340</v>
      </c>
      <c r="J114">
        <f t="shared" si="13"/>
        <v>484</v>
      </c>
      <c r="K114" t="str">
        <f t="shared" si="7"/>
        <v>mal_porz</v>
      </c>
      <c r="L114">
        <f t="shared" si="8"/>
        <v>484</v>
      </c>
      <c r="M114">
        <f t="shared" si="9"/>
        <v>0</v>
      </c>
      <c r="N114">
        <f t="shared" si="10"/>
        <v>484</v>
      </c>
      <c r="O114">
        <f t="shared" si="11"/>
        <v>137</v>
      </c>
      <c r="P114">
        <f t="shared" si="11"/>
        <v>340</v>
      </c>
      <c r="Q114">
        <f t="shared" si="11"/>
        <v>0</v>
      </c>
      <c r="T114" t="s">
        <v>23</v>
      </c>
    </row>
    <row r="115" spans="1:20" x14ac:dyDescent="0.25">
      <c r="A115" s="1">
        <v>44064</v>
      </c>
      <c r="B115">
        <f t="shared" si="12"/>
        <v>137</v>
      </c>
      <c r="C115">
        <f t="shared" si="12"/>
        <v>340</v>
      </c>
      <c r="D115">
        <f t="shared" si="12"/>
        <v>0</v>
      </c>
      <c r="E115">
        <v>379</v>
      </c>
      <c r="F115">
        <v>288</v>
      </c>
      <c r="G115">
        <v>353</v>
      </c>
      <c r="H115">
        <f t="shared" si="13"/>
        <v>516</v>
      </c>
      <c r="I115">
        <f t="shared" si="13"/>
        <v>628</v>
      </c>
      <c r="J115">
        <f t="shared" si="13"/>
        <v>353</v>
      </c>
      <c r="K115" t="str">
        <f t="shared" si="7"/>
        <v>mal_trus</v>
      </c>
      <c r="L115">
        <f t="shared" si="8"/>
        <v>516</v>
      </c>
      <c r="M115">
        <f t="shared" si="9"/>
        <v>516</v>
      </c>
      <c r="N115">
        <f t="shared" si="10"/>
        <v>0</v>
      </c>
      <c r="O115">
        <f t="shared" si="11"/>
        <v>0</v>
      </c>
      <c r="P115">
        <f t="shared" si="11"/>
        <v>112</v>
      </c>
      <c r="Q115">
        <f t="shared" si="11"/>
        <v>353</v>
      </c>
      <c r="T115" t="s">
        <v>22</v>
      </c>
    </row>
    <row r="116" spans="1:20" x14ac:dyDescent="0.25">
      <c r="A116" s="1">
        <v>44065</v>
      </c>
      <c r="B116">
        <f t="shared" si="12"/>
        <v>0</v>
      </c>
      <c r="C116">
        <f t="shared" si="12"/>
        <v>112</v>
      </c>
      <c r="D116">
        <f t="shared" si="12"/>
        <v>353</v>
      </c>
      <c r="E116">
        <v>405</v>
      </c>
      <c r="F116">
        <v>454</v>
      </c>
      <c r="G116">
        <v>342</v>
      </c>
      <c r="H116">
        <f t="shared" si="13"/>
        <v>405</v>
      </c>
      <c r="I116">
        <f t="shared" si="13"/>
        <v>566</v>
      </c>
      <c r="J116">
        <f t="shared" si="13"/>
        <v>695</v>
      </c>
      <c r="K116" t="str">
        <f t="shared" si="7"/>
        <v>trus_porz</v>
      </c>
      <c r="L116">
        <f t="shared" si="8"/>
        <v>0</v>
      </c>
      <c r="M116">
        <f t="shared" si="9"/>
        <v>566</v>
      </c>
      <c r="N116">
        <f t="shared" si="10"/>
        <v>566</v>
      </c>
      <c r="O116">
        <f t="shared" si="11"/>
        <v>405</v>
      </c>
      <c r="P116">
        <f t="shared" si="11"/>
        <v>0</v>
      </c>
      <c r="Q116">
        <f t="shared" si="11"/>
        <v>129</v>
      </c>
      <c r="T116" t="s">
        <v>25</v>
      </c>
    </row>
    <row r="117" spans="1:20" x14ac:dyDescent="0.25">
      <c r="A117" s="1">
        <v>44066</v>
      </c>
      <c r="B117">
        <f t="shared" si="12"/>
        <v>405</v>
      </c>
      <c r="C117">
        <f t="shared" si="12"/>
        <v>0</v>
      </c>
      <c r="D117">
        <f t="shared" si="12"/>
        <v>129</v>
      </c>
      <c r="E117">
        <v>407</v>
      </c>
      <c r="F117">
        <v>300</v>
      </c>
      <c r="G117">
        <v>365</v>
      </c>
      <c r="H117">
        <f t="shared" si="13"/>
        <v>812</v>
      </c>
      <c r="I117">
        <f t="shared" si="13"/>
        <v>300</v>
      </c>
      <c r="J117">
        <f t="shared" si="13"/>
        <v>494</v>
      </c>
      <c r="K117" t="str">
        <f t="shared" si="7"/>
        <v>mal_porz</v>
      </c>
      <c r="L117">
        <f t="shared" si="8"/>
        <v>494</v>
      </c>
      <c r="M117">
        <f t="shared" si="9"/>
        <v>0</v>
      </c>
      <c r="N117">
        <f t="shared" si="10"/>
        <v>494</v>
      </c>
      <c r="O117">
        <f t="shared" si="11"/>
        <v>318</v>
      </c>
      <c r="P117">
        <f t="shared" si="11"/>
        <v>300</v>
      </c>
      <c r="Q117">
        <f t="shared" si="11"/>
        <v>0</v>
      </c>
      <c r="T117" t="s">
        <v>23</v>
      </c>
    </row>
    <row r="118" spans="1:20" x14ac:dyDescent="0.25">
      <c r="A118" s="1">
        <v>44067</v>
      </c>
      <c r="B118">
        <f t="shared" si="12"/>
        <v>318</v>
      </c>
      <c r="C118">
        <f t="shared" si="12"/>
        <v>300</v>
      </c>
      <c r="D118">
        <f t="shared" si="12"/>
        <v>0</v>
      </c>
      <c r="E118">
        <v>432</v>
      </c>
      <c r="F118">
        <v>423</v>
      </c>
      <c r="G118">
        <v>221</v>
      </c>
      <c r="H118">
        <f t="shared" si="13"/>
        <v>750</v>
      </c>
      <c r="I118">
        <f t="shared" si="13"/>
        <v>723</v>
      </c>
      <c r="J118">
        <f t="shared" si="13"/>
        <v>221</v>
      </c>
      <c r="K118" t="str">
        <f t="shared" si="7"/>
        <v>mal_trus</v>
      </c>
      <c r="L118">
        <f t="shared" si="8"/>
        <v>723</v>
      </c>
      <c r="M118">
        <f t="shared" si="9"/>
        <v>723</v>
      </c>
      <c r="N118">
        <f t="shared" si="10"/>
        <v>0</v>
      </c>
      <c r="O118">
        <f t="shared" si="11"/>
        <v>27</v>
      </c>
      <c r="P118">
        <f t="shared" si="11"/>
        <v>0</v>
      </c>
      <c r="Q118">
        <f t="shared" si="11"/>
        <v>221</v>
      </c>
      <c r="T118" t="s">
        <v>22</v>
      </c>
    </row>
    <row r="119" spans="1:20" x14ac:dyDescent="0.25">
      <c r="A119" s="1">
        <v>44068</v>
      </c>
      <c r="B119">
        <f t="shared" si="12"/>
        <v>27</v>
      </c>
      <c r="C119">
        <f t="shared" si="12"/>
        <v>0</v>
      </c>
      <c r="D119">
        <f t="shared" si="12"/>
        <v>221</v>
      </c>
      <c r="E119">
        <v>405</v>
      </c>
      <c r="F119">
        <v>449</v>
      </c>
      <c r="G119">
        <v>231</v>
      </c>
      <c r="H119">
        <f t="shared" si="13"/>
        <v>432</v>
      </c>
      <c r="I119">
        <f t="shared" si="13"/>
        <v>449</v>
      </c>
      <c r="J119">
        <f t="shared" si="13"/>
        <v>452</v>
      </c>
      <c r="K119" t="str">
        <f t="shared" si="7"/>
        <v>trus_porz</v>
      </c>
      <c r="L119">
        <f t="shared" si="8"/>
        <v>0</v>
      </c>
      <c r="M119">
        <f t="shared" si="9"/>
        <v>449</v>
      </c>
      <c r="N119">
        <f t="shared" si="10"/>
        <v>449</v>
      </c>
      <c r="O119">
        <f t="shared" si="11"/>
        <v>432</v>
      </c>
      <c r="P119">
        <f t="shared" si="11"/>
        <v>0</v>
      </c>
      <c r="Q119">
        <f t="shared" si="11"/>
        <v>3</v>
      </c>
      <c r="T119" t="s">
        <v>25</v>
      </c>
    </row>
    <row r="120" spans="1:20" x14ac:dyDescent="0.25">
      <c r="A120" s="1">
        <v>44069</v>
      </c>
      <c r="B120">
        <f t="shared" si="12"/>
        <v>432</v>
      </c>
      <c r="C120">
        <f t="shared" si="12"/>
        <v>0</v>
      </c>
      <c r="D120">
        <f t="shared" si="12"/>
        <v>3</v>
      </c>
      <c r="E120">
        <v>162</v>
      </c>
      <c r="F120">
        <v>294</v>
      </c>
      <c r="G120">
        <v>255</v>
      </c>
      <c r="H120">
        <f t="shared" si="13"/>
        <v>594</v>
      </c>
      <c r="I120">
        <f t="shared" si="13"/>
        <v>294</v>
      </c>
      <c r="J120">
        <f t="shared" si="13"/>
        <v>258</v>
      </c>
      <c r="K120" t="str">
        <f t="shared" si="7"/>
        <v>mal_trus</v>
      </c>
      <c r="L120">
        <f t="shared" si="8"/>
        <v>294</v>
      </c>
      <c r="M120">
        <f t="shared" si="9"/>
        <v>294</v>
      </c>
      <c r="N120">
        <f t="shared" si="10"/>
        <v>0</v>
      </c>
      <c r="O120">
        <f t="shared" si="11"/>
        <v>300</v>
      </c>
      <c r="P120">
        <f t="shared" si="11"/>
        <v>0</v>
      </c>
      <c r="Q120">
        <f t="shared" si="11"/>
        <v>258</v>
      </c>
      <c r="T120" t="s">
        <v>22</v>
      </c>
    </row>
    <row r="121" spans="1:20" x14ac:dyDescent="0.25">
      <c r="A121" s="1">
        <v>44070</v>
      </c>
      <c r="B121">
        <f t="shared" si="12"/>
        <v>300</v>
      </c>
      <c r="C121">
        <f t="shared" si="12"/>
        <v>0</v>
      </c>
      <c r="D121">
        <f t="shared" si="12"/>
        <v>258</v>
      </c>
      <c r="E121">
        <v>297</v>
      </c>
      <c r="F121">
        <v>341</v>
      </c>
      <c r="G121">
        <v>223</v>
      </c>
      <c r="H121">
        <f t="shared" si="13"/>
        <v>597</v>
      </c>
      <c r="I121">
        <f t="shared" si="13"/>
        <v>341</v>
      </c>
      <c r="J121">
        <f t="shared" si="13"/>
        <v>481</v>
      </c>
      <c r="K121" t="str">
        <f t="shared" si="7"/>
        <v>mal_porz</v>
      </c>
      <c r="L121">
        <f t="shared" si="8"/>
        <v>481</v>
      </c>
      <c r="M121">
        <f t="shared" si="9"/>
        <v>0</v>
      </c>
      <c r="N121">
        <f t="shared" si="10"/>
        <v>481</v>
      </c>
      <c r="O121">
        <f t="shared" si="11"/>
        <v>116</v>
      </c>
      <c r="P121">
        <f t="shared" si="11"/>
        <v>341</v>
      </c>
      <c r="Q121">
        <f t="shared" si="11"/>
        <v>0</v>
      </c>
      <c r="T121" t="s">
        <v>23</v>
      </c>
    </row>
    <row r="122" spans="1:20" x14ac:dyDescent="0.25">
      <c r="A122" s="1">
        <v>44071</v>
      </c>
      <c r="B122">
        <f t="shared" si="12"/>
        <v>116</v>
      </c>
      <c r="C122">
        <f t="shared" si="12"/>
        <v>341</v>
      </c>
      <c r="D122">
        <f t="shared" si="12"/>
        <v>0</v>
      </c>
      <c r="E122">
        <v>226</v>
      </c>
      <c r="F122">
        <v>329</v>
      </c>
      <c r="G122">
        <v>261</v>
      </c>
      <c r="H122">
        <f t="shared" si="13"/>
        <v>342</v>
      </c>
      <c r="I122">
        <f t="shared" si="13"/>
        <v>670</v>
      </c>
      <c r="J122">
        <f t="shared" si="13"/>
        <v>261</v>
      </c>
      <c r="K122" t="str">
        <f t="shared" si="7"/>
        <v>mal_trus</v>
      </c>
      <c r="L122">
        <f t="shared" si="8"/>
        <v>342</v>
      </c>
      <c r="M122">
        <f t="shared" si="9"/>
        <v>342</v>
      </c>
      <c r="N122">
        <f t="shared" si="10"/>
        <v>0</v>
      </c>
      <c r="O122">
        <f t="shared" si="11"/>
        <v>0</v>
      </c>
      <c r="P122">
        <f t="shared" si="11"/>
        <v>328</v>
      </c>
      <c r="Q122">
        <f t="shared" si="11"/>
        <v>261</v>
      </c>
      <c r="T122" t="s">
        <v>22</v>
      </c>
    </row>
    <row r="123" spans="1:20" x14ac:dyDescent="0.25">
      <c r="A123" s="1">
        <v>44072</v>
      </c>
      <c r="B123">
        <f t="shared" si="12"/>
        <v>0</v>
      </c>
      <c r="C123">
        <f t="shared" si="12"/>
        <v>328</v>
      </c>
      <c r="D123">
        <f t="shared" si="12"/>
        <v>261</v>
      </c>
      <c r="E123">
        <v>226</v>
      </c>
      <c r="F123">
        <v>256</v>
      </c>
      <c r="G123">
        <v>239</v>
      </c>
      <c r="H123">
        <f t="shared" si="13"/>
        <v>226</v>
      </c>
      <c r="I123">
        <f t="shared" si="13"/>
        <v>584</v>
      </c>
      <c r="J123">
        <f t="shared" si="13"/>
        <v>500</v>
      </c>
      <c r="K123" t="str">
        <f t="shared" si="7"/>
        <v>trus_porz</v>
      </c>
      <c r="L123">
        <f t="shared" si="8"/>
        <v>0</v>
      </c>
      <c r="M123">
        <f t="shared" si="9"/>
        <v>500</v>
      </c>
      <c r="N123">
        <f t="shared" si="10"/>
        <v>500</v>
      </c>
      <c r="O123">
        <f t="shared" si="11"/>
        <v>226</v>
      </c>
      <c r="P123">
        <f t="shared" si="11"/>
        <v>84</v>
      </c>
      <c r="Q123">
        <f t="shared" si="11"/>
        <v>0</v>
      </c>
      <c r="T123" t="s">
        <v>25</v>
      </c>
    </row>
    <row r="124" spans="1:20" x14ac:dyDescent="0.25">
      <c r="A124" s="1">
        <v>44073</v>
      </c>
      <c r="B124">
        <f t="shared" si="12"/>
        <v>226</v>
      </c>
      <c r="C124">
        <f t="shared" si="12"/>
        <v>84</v>
      </c>
      <c r="D124">
        <f t="shared" si="12"/>
        <v>0</v>
      </c>
      <c r="E124">
        <v>287</v>
      </c>
      <c r="F124">
        <v>217</v>
      </c>
      <c r="G124">
        <v>262</v>
      </c>
      <c r="H124">
        <f t="shared" si="13"/>
        <v>513</v>
      </c>
      <c r="I124">
        <f t="shared" si="13"/>
        <v>301</v>
      </c>
      <c r="J124">
        <f t="shared" si="13"/>
        <v>262</v>
      </c>
      <c r="K124" t="str">
        <f t="shared" si="7"/>
        <v>mal_trus</v>
      </c>
      <c r="L124">
        <f t="shared" si="8"/>
        <v>301</v>
      </c>
      <c r="M124">
        <f t="shared" si="9"/>
        <v>301</v>
      </c>
      <c r="N124">
        <f t="shared" si="10"/>
        <v>0</v>
      </c>
      <c r="O124">
        <f t="shared" si="11"/>
        <v>212</v>
      </c>
      <c r="P124">
        <f t="shared" si="11"/>
        <v>0</v>
      </c>
      <c r="Q124">
        <f t="shared" si="11"/>
        <v>262</v>
      </c>
      <c r="T124" t="s">
        <v>22</v>
      </c>
    </row>
    <row r="125" spans="1:20" x14ac:dyDescent="0.25">
      <c r="A125" s="1">
        <v>44074</v>
      </c>
      <c r="B125">
        <f t="shared" si="12"/>
        <v>212</v>
      </c>
      <c r="C125">
        <f t="shared" si="12"/>
        <v>0</v>
      </c>
      <c r="D125">
        <f t="shared" si="12"/>
        <v>262</v>
      </c>
      <c r="E125">
        <v>351</v>
      </c>
      <c r="F125">
        <v>266</v>
      </c>
      <c r="G125">
        <v>226</v>
      </c>
      <c r="H125">
        <f t="shared" si="13"/>
        <v>563</v>
      </c>
      <c r="I125">
        <f t="shared" si="13"/>
        <v>266</v>
      </c>
      <c r="J125">
        <f t="shared" si="13"/>
        <v>488</v>
      </c>
      <c r="K125" t="str">
        <f t="shared" si="7"/>
        <v>mal_porz</v>
      </c>
      <c r="L125">
        <f t="shared" si="8"/>
        <v>488</v>
      </c>
      <c r="M125">
        <f t="shared" si="9"/>
        <v>0</v>
      </c>
      <c r="N125">
        <f t="shared" si="10"/>
        <v>488</v>
      </c>
      <c r="O125">
        <f t="shared" si="11"/>
        <v>75</v>
      </c>
      <c r="P125">
        <f t="shared" si="11"/>
        <v>266</v>
      </c>
      <c r="Q125">
        <f t="shared" si="11"/>
        <v>0</v>
      </c>
      <c r="T125" t="s">
        <v>23</v>
      </c>
    </row>
    <row r="126" spans="1:20" x14ac:dyDescent="0.25">
      <c r="A126" s="1">
        <v>44075</v>
      </c>
      <c r="B126">
        <f t="shared" si="12"/>
        <v>75</v>
      </c>
      <c r="C126">
        <f t="shared" si="12"/>
        <v>266</v>
      </c>
      <c r="D126">
        <f t="shared" si="12"/>
        <v>0</v>
      </c>
      <c r="E126">
        <v>214</v>
      </c>
      <c r="F126">
        <v>260</v>
      </c>
      <c r="G126">
        <v>241</v>
      </c>
      <c r="H126">
        <f t="shared" si="13"/>
        <v>289</v>
      </c>
      <c r="I126">
        <f t="shared" si="13"/>
        <v>526</v>
      </c>
      <c r="J126">
        <f t="shared" si="13"/>
        <v>241</v>
      </c>
      <c r="K126" t="str">
        <f t="shared" si="7"/>
        <v>mal_trus</v>
      </c>
      <c r="L126">
        <f t="shared" si="8"/>
        <v>289</v>
      </c>
      <c r="M126">
        <f t="shared" si="9"/>
        <v>289</v>
      </c>
      <c r="N126">
        <f t="shared" si="10"/>
        <v>0</v>
      </c>
      <c r="O126">
        <f t="shared" si="11"/>
        <v>0</v>
      </c>
      <c r="P126">
        <f t="shared" si="11"/>
        <v>237</v>
      </c>
      <c r="Q126">
        <f t="shared" si="11"/>
        <v>241</v>
      </c>
      <c r="T126" t="s">
        <v>22</v>
      </c>
    </row>
    <row r="127" spans="1:20" x14ac:dyDescent="0.25">
      <c r="A127" s="1">
        <v>44076</v>
      </c>
      <c r="B127">
        <f t="shared" si="12"/>
        <v>0</v>
      </c>
      <c r="C127">
        <f t="shared" si="12"/>
        <v>237</v>
      </c>
      <c r="D127">
        <f t="shared" si="12"/>
        <v>241</v>
      </c>
      <c r="E127">
        <v>282</v>
      </c>
      <c r="F127">
        <v>227</v>
      </c>
      <c r="G127">
        <v>258</v>
      </c>
      <c r="H127">
        <f t="shared" si="13"/>
        <v>282</v>
      </c>
      <c r="I127">
        <f t="shared" si="13"/>
        <v>464</v>
      </c>
      <c r="J127">
        <f t="shared" si="13"/>
        <v>499</v>
      </c>
      <c r="K127" t="str">
        <f t="shared" si="7"/>
        <v>trus_porz</v>
      </c>
      <c r="L127">
        <f t="shared" si="8"/>
        <v>0</v>
      </c>
      <c r="M127">
        <f t="shared" si="9"/>
        <v>464</v>
      </c>
      <c r="N127">
        <f t="shared" si="10"/>
        <v>464</v>
      </c>
      <c r="O127">
        <f t="shared" si="11"/>
        <v>282</v>
      </c>
      <c r="P127">
        <f t="shared" si="11"/>
        <v>0</v>
      </c>
      <c r="Q127">
        <f t="shared" si="11"/>
        <v>35</v>
      </c>
      <c r="T127" t="s">
        <v>25</v>
      </c>
    </row>
    <row r="128" spans="1:20" x14ac:dyDescent="0.25">
      <c r="A128" s="1">
        <v>44077</v>
      </c>
      <c r="B128">
        <f t="shared" si="12"/>
        <v>282</v>
      </c>
      <c r="C128">
        <f t="shared" si="12"/>
        <v>0</v>
      </c>
      <c r="D128">
        <f t="shared" si="12"/>
        <v>35</v>
      </c>
      <c r="E128">
        <v>257</v>
      </c>
      <c r="F128">
        <v>251</v>
      </c>
      <c r="G128">
        <v>252</v>
      </c>
      <c r="H128">
        <f t="shared" si="13"/>
        <v>539</v>
      </c>
      <c r="I128">
        <f t="shared" si="13"/>
        <v>251</v>
      </c>
      <c r="J128">
        <f t="shared" si="13"/>
        <v>287</v>
      </c>
      <c r="K128" t="str">
        <f t="shared" si="7"/>
        <v>mal_porz</v>
      </c>
      <c r="L128">
        <f t="shared" si="8"/>
        <v>287</v>
      </c>
      <c r="M128">
        <f t="shared" si="9"/>
        <v>0</v>
      </c>
      <c r="N128">
        <f t="shared" si="10"/>
        <v>287</v>
      </c>
      <c r="O128">
        <f t="shared" si="11"/>
        <v>252</v>
      </c>
      <c r="P128">
        <f t="shared" si="11"/>
        <v>251</v>
      </c>
      <c r="Q128">
        <f t="shared" si="11"/>
        <v>0</v>
      </c>
      <c r="T128" t="s">
        <v>23</v>
      </c>
    </row>
    <row r="129" spans="1:20" x14ac:dyDescent="0.25">
      <c r="A129" s="1">
        <v>44078</v>
      </c>
      <c r="B129">
        <f t="shared" si="12"/>
        <v>252</v>
      </c>
      <c r="C129">
        <f t="shared" si="12"/>
        <v>251</v>
      </c>
      <c r="D129">
        <f t="shared" si="12"/>
        <v>0</v>
      </c>
      <c r="E129">
        <v>172</v>
      </c>
      <c r="F129">
        <v>171</v>
      </c>
      <c r="G129">
        <v>268</v>
      </c>
      <c r="H129">
        <f t="shared" si="13"/>
        <v>424</v>
      </c>
      <c r="I129">
        <f t="shared" si="13"/>
        <v>422</v>
      </c>
      <c r="J129">
        <f t="shared" si="13"/>
        <v>268</v>
      </c>
      <c r="K129" t="str">
        <f t="shared" si="7"/>
        <v>mal_trus</v>
      </c>
      <c r="L129">
        <f t="shared" si="8"/>
        <v>422</v>
      </c>
      <c r="M129">
        <f t="shared" si="9"/>
        <v>422</v>
      </c>
      <c r="N129">
        <f t="shared" si="10"/>
        <v>0</v>
      </c>
      <c r="O129">
        <f t="shared" si="11"/>
        <v>2</v>
      </c>
      <c r="P129">
        <f t="shared" si="11"/>
        <v>0</v>
      </c>
      <c r="Q129">
        <f t="shared" si="11"/>
        <v>268</v>
      </c>
      <c r="T129" t="s">
        <v>22</v>
      </c>
    </row>
    <row r="130" spans="1:20" x14ac:dyDescent="0.25">
      <c r="A130" s="1">
        <v>44079</v>
      </c>
      <c r="B130">
        <f t="shared" si="12"/>
        <v>2</v>
      </c>
      <c r="C130">
        <f t="shared" si="12"/>
        <v>0</v>
      </c>
      <c r="D130">
        <f t="shared" si="12"/>
        <v>268</v>
      </c>
      <c r="E130">
        <v>197</v>
      </c>
      <c r="F130">
        <v>326</v>
      </c>
      <c r="G130">
        <v>224</v>
      </c>
      <c r="H130">
        <f t="shared" si="13"/>
        <v>199</v>
      </c>
      <c r="I130">
        <f t="shared" si="13"/>
        <v>326</v>
      </c>
      <c r="J130">
        <f t="shared" si="13"/>
        <v>492</v>
      </c>
      <c r="K130" t="str">
        <f t="shared" si="7"/>
        <v>trus_porz</v>
      </c>
      <c r="L130">
        <f t="shared" si="8"/>
        <v>0</v>
      </c>
      <c r="M130">
        <f t="shared" si="9"/>
        <v>326</v>
      </c>
      <c r="N130">
        <f t="shared" si="10"/>
        <v>326</v>
      </c>
      <c r="O130">
        <f t="shared" si="11"/>
        <v>199</v>
      </c>
      <c r="P130">
        <f t="shared" si="11"/>
        <v>0</v>
      </c>
      <c r="Q130">
        <f t="shared" si="11"/>
        <v>166</v>
      </c>
      <c r="T130" t="s">
        <v>25</v>
      </c>
    </row>
    <row r="131" spans="1:20" x14ac:dyDescent="0.25">
      <c r="A131" s="1">
        <v>44080</v>
      </c>
      <c r="B131">
        <f t="shared" si="12"/>
        <v>199</v>
      </c>
      <c r="C131">
        <f t="shared" si="12"/>
        <v>0</v>
      </c>
      <c r="D131">
        <f t="shared" si="12"/>
        <v>166</v>
      </c>
      <c r="E131">
        <v>292</v>
      </c>
      <c r="F131">
        <v>329</v>
      </c>
      <c r="G131">
        <v>255</v>
      </c>
      <c r="H131">
        <f t="shared" si="13"/>
        <v>491</v>
      </c>
      <c r="I131">
        <f t="shared" si="13"/>
        <v>329</v>
      </c>
      <c r="J131">
        <f t="shared" si="13"/>
        <v>421</v>
      </c>
      <c r="K131" t="str">
        <f t="shared" si="7"/>
        <v>mal_porz</v>
      </c>
      <c r="L131">
        <f t="shared" si="8"/>
        <v>421</v>
      </c>
      <c r="M131">
        <f t="shared" si="9"/>
        <v>0</v>
      </c>
      <c r="N131">
        <f t="shared" si="10"/>
        <v>421</v>
      </c>
      <c r="O131">
        <f t="shared" si="11"/>
        <v>70</v>
      </c>
      <c r="P131">
        <f t="shared" si="11"/>
        <v>329</v>
      </c>
      <c r="Q131">
        <f t="shared" si="11"/>
        <v>0</v>
      </c>
      <c r="T131" t="s">
        <v>23</v>
      </c>
    </row>
    <row r="132" spans="1:20" x14ac:dyDescent="0.25">
      <c r="A132" s="1">
        <v>44081</v>
      </c>
      <c r="B132">
        <f t="shared" si="12"/>
        <v>70</v>
      </c>
      <c r="C132">
        <f t="shared" si="12"/>
        <v>329</v>
      </c>
      <c r="D132">
        <f t="shared" si="12"/>
        <v>0</v>
      </c>
      <c r="E132">
        <v>172</v>
      </c>
      <c r="F132">
        <v>216</v>
      </c>
      <c r="G132">
        <v>199</v>
      </c>
      <c r="H132">
        <f t="shared" si="13"/>
        <v>242</v>
      </c>
      <c r="I132">
        <f t="shared" si="13"/>
        <v>545</v>
      </c>
      <c r="J132">
        <f t="shared" si="13"/>
        <v>199</v>
      </c>
      <c r="K132" t="str">
        <f t="shared" ref="K132:K155" si="14">IF(AND(H132&lt;J132,H132&lt;I132), "trus_porz", IF(AND(I132&lt;H132,I132&lt;J132), "mal_porz", IF(AND(J132&lt;I132,J132&lt;H132), "mal_trus", "")))</f>
        <v>mal_trus</v>
      </c>
      <c r="L132">
        <f t="shared" ref="L132:L155" si="15">IF(K132="mal_trus",MIN(H132,I132),IF(K132="mal_porz",MIN(H132,J132),0))</f>
        <v>242</v>
      </c>
      <c r="M132">
        <f t="shared" ref="M132:M155" si="16">IF(K132="trus_porz",MIN(I132,J132), IF(K132="mal_trus", MIN(H132,I132),0))</f>
        <v>242</v>
      </c>
      <c r="N132">
        <f t="shared" ref="N132:N155" si="17">IF(K132="mal_porz",MIN(H132,J132), IF(K132="trus_porz", MIN(I132,J132),0))</f>
        <v>0</v>
      </c>
      <c r="O132">
        <f t="shared" ref="O132:Q155" si="18">H132-L132</f>
        <v>0</v>
      </c>
      <c r="P132">
        <f t="shared" si="18"/>
        <v>303</v>
      </c>
      <c r="Q132">
        <f t="shared" si="18"/>
        <v>199</v>
      </c>
      <c r="T132" t="s">
        <v>22</v>
      </c>
    </row>
    <row r="133" spans="1:20" x14ac:dyDescent="0.25">
      <c r="A133" s="1">
        <v>44082</v>
      </c>
      <c r="B133">
        <f t="shared" ref="B133:D155" si="19">O132</f>
        <v>0</v>
      </c>
      <c r="C133">
        <f t="shared" si="19"/>
        <v>303</v>
      </c>
      <c r="D133">
        <f t="shared" si="19"/>
        <v>199</v>
      </c>
      <c r="E133">
        <v>258</v>
      </c>
      <c r="F133">
        <v>291</v>
      </c>
      <c r="G133">
        <v>220</v>
      </c>
      <c r="H133">
        <f t="shared" ref="H133:J155" si="20">B133+E133</f>
        <v>258</v>
      </c>
      <c r="I133">
        <f t="shared" si="20"/>
        <v>594</v>
      </c>
      <c r="J133">
        <f t="shared" si="20"/>
        <v>419</v>
      </c>
      <c r="K133" t="str">
        <f t="shared" si="14"/>
        <v>trus_porz</v>
      </c>
      <c r="L133">
        <f t="shared" si="15"/>
        <v>0</v>
      </c>
      <c r="M133">
        <f t="shared" si="16"/>
        <v>419</v>
      </c>
      <c r="N133">
        <f t="shared" si="17"/>
        <v>419</v>
      </c>
      <c r="O133">
        <f t="shared" si="18"/>
        <v>258</v>
      </c>
      <c r="P133">
        <f t="shared" si="18"/>
        <v>175</v>
      </c>
      <c r="Q133">
        <f t="shared" si="18"/>
        <v>0</v>
      </c>
      <c r="T133" t="s">
        <v>25</v>
      </c>
    </row>
    <row r="134" spans="1:20" x14ac:dyDescent="0.25">
      <c r="A134" s="1">
        <v>44083</v>
      </c>
      <c r="B134">
        <f t="shared" si="19"/>
        <v>258</v>
      </c>
      <c r="C134">
        <f t="shared" si="19"/>
        <v>175</v>
      </c>
      <c r="D134">
        <f t="shared" si="19"/>
        <v>0</v>
      </c>
      <c r="E134">
        <v>276</v>
      </c>
      <c r="F134">
        <v>347</v>
      </c>
      <c r="G134">
        <v>197</v>
      </c>
      <c r="H134">
        <f t="shared" si="20"/>
        <v>534</v>
      </c>
      <c r="I134">
        <f t="shared" si="20"/>
        <v>522</v>
      </c>
      <c r="J134">
        <f t="shared" si="20"/>
        <v>197</v>
      </c>
      <c r="K134" t="str">
        <f t="shared" si="14"/>
        <v>mal_trus</v>
      </c>
      <c r="L134">
        <f t="shared" si="15"/>
        <v>522</v>
      </c>
      <c r="M134">
        <f t="shared" si="16"/>
        <v>522</v>
      </c>
      <c r="N134">
        <f t="shared" si="17"/>
        <v>0</v>
      </c>
      <c r="O134">
        <f t="shared" si="18"/>
        <v>12</v>
      </c>
      <c r="P134">
        <f t="shared" si="18"/>
        <v>0</v>
      </c>
      <c r="Q134">
        <f t="shared" si="18"/>
        <v>197</v>
      </c>
      <c r="T134" t="s">
        <v>22</v>
      </c>
    </row>
    <row r="135" spans="1:20" x14ac:dyDescent="0.25">
      <c r="A135" s="1">
        <v>44084</v>
      </c>
      <c r="B135">
        <f t="shared" si="19"/>
        <v>12</v>
      </c>
      <c r="C135">
        <f t="shared" si="19"/>
        <v>0</v>
      </c>
      <c r="D135">
        <f t="shared" si="19"/>
        <v>197</v>
      </c>
      <c r="E135">
        <v>210</v>
      </c>
      <c r="F135">
        <v>333</v>
      </c>
      <c r="G135">
        <v>218</v>
      </c>
      <c r="H135">
        <f t="shared" si="20"/>
        <v>222</v>
      </c>
      <c r="I135">
        <f t="shared" si="20"/>
        <v>333</v>
      </c>
      <c r="J135">
        <f t="shared" si="20"/>
        <v>415</v>
      </c>
      <c r="K135" t="str">
        <f t="shared" si="14"/>
        <v>trus_porz</v>
      </c>
      <c r="L135">
        <f t="shared" si="15"/>
        <v>0</v>
      </c>
      <c r="M135">
        <f t="shared" si="16"/>
        <v>333</v>
      </c>
      <c r="N135">
        <f t="shared" si="17"/>
        <v>333</v>
      </c>
      <c r="O135">
        <f t="shared" si="18"/>
        <v>222</v>
      </c>
      <c r="P135">
        <f t="shared" si="18"/>
        <v>0</v>
      </c>
      <c r="Q135">
        <f t="shared" si="18"/>
        <v>82</v>
      </c>
      <c r="T135" t="s">
        <v>25</v>
      </c>
    </row>
    <row r="136" spans="1:20" x14ac:dyDescent="0.25">
      <c r="A136" s="1">
        <v>44085</v>
      </c>
      <c r="B136">
        <f t="shared" si="19"/>
        <v>222</v>
      </c>
      <c r="C136">
        <f t="shared" si="19"/>
        <v>0</v>
      </c>
      <c r="D136">
        <f t="shared" si="19"/>
        <v>82</v>
      </c>
      <c r="E136">
        <v>168</v>
      </c>
      <c r="F136">
        <v>211</v>
      </c>
      <c r="G136">
        <v>180</v>
      </c>
      <c r="H136">
        <f t="shared" si="20"/>
        <v>390</v>
      </c>
      <c r="I136">
        <f t="shared" si="20"/>
        <v>211</v>
      </c>
      <c r="J136">
        <f t="shared" si="20"/>
        <v>262</v>
      </c>
      <c r="K136" t="str">
        <f t="shared" si="14"/>
        <v>mal_porz</v>
      </c>
      <c r="L136">
        <f t="shared" si="15"/>
        <v>262</v>
      </c>
      <c r="M136">
        <f t="shared" si="16"/>
        <v>0</v>
      </c>
      <c r="N136">
        <f t="shared" si="17"/>
        <v>262</v>
      </c>
      <c r="O136">
        <f t="shared" si="18"/>
        <v>128</v>
      </c>
      <c r="P136">
        <f t="shared" si="18"/>
        <v>211</v>
      </c>
      <c r="Q136">
        <f t="shared" si="18"/>
        <v>0</v>
      </c>
      <c r="T136" t="s">
        <v>23</v>
      </c>
    </row>
    <row r="137" spans="1:20" x14ac:dyDescent="0.25">
      <c r="A137" s="1">
        <v>44086</v>
      </c>
      <c r="B137">
        <f t="shared" si="19"/>
        <v>128</v>
      </c>
      <c r="C137">
        <f t="shared" si="19"/>
        <v>211</v>
      </c>
      <c r="D137">
        <f t="shared" si="19"/>
        <v>0</v>
      </c>
      <c r="E137">
        <v>196</v>
      </c>
      <c r="F137">
        <v>348</v>
      </c>
      <c r="G137">
        <v>225</v>
      </c>
      <c r="H137">
        <f t="shared" si="20"/>
        <v>324</v>
      </c>
      <c r="I137">
        <f t="shared" si="20"/>
        <v>559</v>
      </c>
      <c r="J137">
        <f t="shared" si="20"/>
        <v>225</v>
      </c>
      <c r="K137" t="str">
        <f t="shared" si="14"/>
        <v>mal_trus</v>
      </c>
      <c r="L137">
        <f t="shared" si="15"/>
        <v>324</v>
      </c>
      <c r="M137">
        <f t="shared" si="16"/>
        <v>324</v>
      </c>
      <c r="N137">
        <f t="shared" si="17"/>
        <v>0</v>
      </c>
      <c r="O137">
        <f t="shared" si="18"/>
        <v>0</v>
      </c>
      <c r="P137">
        <f t="shared" si="18"/>
        <v>235</v>
      </c>
      <c r="Q137">
        <f t="shared" si="18"/>
        <v>225</v>
      </c>
      <c r="T137" t="s">
        <v>22</v>
      </c>
    </row>
    <row r="138" spans="1:20" x14ac:dyDescent="0.25">
      <c r="A138" s="1">
        <v>44087</v>
      </c>
      <c r="B138">
        <f t="shared" si="19"/>
        <v>0</v>
      </c>
      <c r="C138">
        <f t="shared" si="19"/>
        <v>235</v>
      </c>
      <c r="D138">
        <f t="shared" si="19"/>
        <v>225</v>
      </c>
      <c r="E138">
        <v>284</v>
      </c>
      <c r="F138">
        <v>226</v>
      </c>
      <c r="G138">
        <v>197</v>
      </c>
      <c r="H138">
        <f t="shared" si="20"/>
        <v>284</v>
      </c>
      <c r="I138">
        <f t="shared" si="20"/>
        <v>461</v>
      </c>
      <c r="J138">
        <f t="shared" si="20"/>
        <v>422</v>
      </c>
      <c r="K138" t="str">
        <f t="shared" si="14"/>
        <v>trus_porz</v>
      </c>
      <c r="L138">
        <f t="shared" si="15"/>
        <v>0</v>
      </c>
      <c r="M138">
        <f t="shared" si="16"/>
        <v>422</v>
      </c>
      <c r="N138">
        <f t="shared" si="17"/>
        <v>422</v>
      </c>
      <c r="O138">
        <f t="shared" si="18"/>
        <v>284</v>
      </c>
      <c r="P138">
        <f t="shared" si="18"/>
        <v>39</v>
      </c>
      <c r="Q138">
        <f t="shared" si="18"/>
        <v>0</v>
      </c>
      <c r="T138" t="s">
        <v>25</v>
      </c>
    </row>
    <row r="139" spans="1:20" x14ac:dyDescent="0.25">
      <c r="A139" s="1">
        <v>44088</v>
      </c>
      <c r="B139">
        <f t="shared" si="19"/>
        <v>284</v>
      </c>
      <c r="C139">
        <f t="shared" si="19"/>
        <v>39</v>
      </c>
      <c r="D139">
        <f t="shared" si="19"/>
        <v>0</v>
      </c>
      <c r="E139">
        <v>162</v>
      </c>
      <c r="F139">
        <v>345</v>
      </c>
      <c r="G139">
        <v>194</v>
      </c>
      <c r="H139">
        <f t="shared" si="20"/>
        <v>446</v>
      </c>
      <c r="I139">
        <f t="shared" si="20"/>
        <v>384</v>
      </c>
      <c r="J139">
        <f t="shared" si="20"/>
        <v>194</v>
      </c>
      <c r="K139" t="str">
        <f t="shared" si="14"/>
        <v>mal_trus</v>
      </c>
      <c r="L139">
        <f t="shared" si="15"/>
        <v>384</v>
      </c>
      <c r="M139">
        <f t="shared" si="16"/>
        <v>384</v>
      </c>
      <c r="N139">
        <f t="shared" si="17"/>
        <v>0</v>
      </c>
      <c r="O139">
        <f t="shared" si="18"/>
        <v>62</v>
      </c>
      <c r="P139">
        <f t="shared" si="18"/>
        <v>0</v>
      </c>
      <c r="Q139">
        <f t="shared" si="18"/>
        <v>194</v>
      </c>
      <c r="T139" t="s">
        <v>22</v>
      </c>
    </row>
    <row r="140" spans="1:20" x14ac:dyDescent="0.25">
      <c r="A140" s="1">
        <v>44089</v>
      </c>
      <c r="B140">
        <f t="shared" si="19"/>
        <v>62</v>
      </c>
      <c r="C140">
        <f t="shared" si="19"/>
        <v>0</v>
      </c>
      <c r="D140">
        <f t="shared" si="19"/>
        <v>194</v>
      </c>
      <c r="E140">
        <v>212</v>
      </c>
      <c r="F140">
        <v>184</v>
      </c>
      <c r="G140">
        <v>183</v>
      </c>
      <c r="H140">
        <f t="shared" si="20"/>
        <v>274</v>
      </c>
      <c r="I140">
        <f t="shared" si="20"/>
        <v>184</v>
      </c>
      <c r="J140">
        <f t="shared" si="20"/>
        <v>377</v>
      </c>
      <c r="K140" t="str">
        <f t="shared" si="14"/>
        <v>mal_porz</v>
      </c>
      <c r="L140">
        <f t="shared" si="15"/>
        <v>274</v>
      </c>
      <c r="M140">
        <f t="shared" si="16"/>
        <v>0</v>
      </c>
      <c r="N140">
        <f t="shared" si="17"/>
        <v>274</v>
      </c>
      <c r="O140">
        <f t="shared" si="18"/>
        <v>0</v>
      </c>
      <c r="P140">
        <f t="shared" si="18"/>
        <v>184</v>
      </c>
      <c r="Q140">
        <f t="shared" si="18"/>
        <v>103</v>
      </c>
      <c r="T140" t="s">
        <v>23</v>
      </c>
    </row>
    <row r="141" spans="1:20" x14ac:dyDescent="0.25">
      <c r="A141" s="1">
        <v>44090</v>
      </c>
      <c r="B141">
        <f t="shared" si="19"/>
        <v>0</v>
      </c>
      <c r="C141">
        <f t="shared" si="19"/>
        <v>184</v>
      </c>
      <c r="D141">
        <f t="shared" si="19"/>
        <v>103</v>
      </c>
      <c r="E141">
        <v>165</v>
      </c>
      <c r="F141">
        <v>232</v>
      </c>
      <c r="G141">
        <v>202</v>
      </c>
      <c r="H141">
        <f t="shared" si="20"/>
        <v>165</v>
      </c>
      <c r="I141">
        <f t="shared" si="20"/>
        <v>416</v>
      </c>
      <c r="J141">
        <f t="shared" si="20"/>
        <v>305</v>
      </c>
      <c r="K141" t="str">
        <f t="shared" si="14"/>
        <v>trus_porz</v>
      </c>
      <c r="L141">
        <f t="shared" si="15"/>
        <v>0</v>
      </c>
      <c r="M141">
        <f t="shared" si="16"/>
        <v>305</v>
      </c>
      <c r="N141">
        <f t="shared" si="17"/>
        <v>305</v>
      </c>
      <c r="O141">
        <f t="shared" si="18"/>
        <v>165</v>
      </c>
      <c r="P141">
        <f t="shared" si="18"/>
        <v>111</v>
      </c>
      <c r="Q141">
        <f t="shared" si="18"/>
        <v>0</v>
      </c>
      <c r="T141" t="s">
        <v>25</v>
      </c>
    </row>
    <row r="142" spans="1:20" x14ac:dyDescent="0.25">
      <c r="A142" s="1">
        <v>44091</v>
      </c>
      <c r="B142">
        <f t="shared" si="19"/>
        <v>165</v>
      </c>
      <c r="C142">
        <f t="shared" si="19"/>
        <v>111</v>
      </c>
      <c r="D142">
        <f t="shared" si="19"/>
        <v>0</v>
      </c>
      <c r="E142">
        <v>163</v>
      </c>
      <c r="F142">
        <v>314</v>
      </c>
      <c r="G142">
        <v>213</v>
      </c>
      <c r="H142">
        <f t="shared" si="20"/>
        <v>328</v>
      </c>
      <c r="I142">
        <f t="shared" si="20"/>
        <v>425</v>
      </c>
      <c r="J142">
        <f t="shared" si="20"/>
        <v>213</v>
      </c>
      <c r="K142" t="str">
        <f t="shared" si="14"/>
        <v>mal_trus</v>
      </c>
      <c r="L142">
        <f t="shared" si="15"/>
        <v>328</v>
      </c>
      <c r="M142">
        <f t="shared" si="16"/>
        <v>328</v>
      </c>
      <c r="N142">
        <f t="shared" si="17"/>
        <v>0</v>
      </c>
      <c r="O142">
        <f t="shared" si="18"/>
        <v>0</v>
      </c>
      <c r="P142">
        <f t="shared" si="18"/>
        <v>97</v>
      </c>
      <c r="Q142">
        <f t="shared" si="18"/>
        <v>213</v>
      </c>
      <c r="T142" t="s">
        <v>22</v>
      </c>
    </row>
    <row r="143" spans="1:20" x14ac:dyDescent="0.25">
      <c r="A143" s="1">
        <v>44092</v>
      </c>
      <c r="B143">
        <f t="shared" si="19"/>
        <v>0</v>
      </c>
      <c r="C143">
        <f t="shared" si="19"/>
        <v>97</v>
      </c>
      <c r="D143">
        <f t="shared" si="19"/>
        <v>213</v>
      </c>
      <c r="E143">
        <v>200</v>
      </c>
      <c r="F143">
        <v>307</v>
      </c>
      <c r="G143">
        <v>206</v>
      </c>
      <c r="H143">
        <f t="shared" si="20"/>
        <v>200</v>
      </c>
      <c r="I143">
        <f t="shared" si="20"/>
        <v>404</v>
      </c>
      <c r="J143">
        <f t="shared" si="20"/>
        <v>419</v>
      </c>
      <c r="K143" t="str">
        <f t="shared" si="14"/>
        <v>trus_porz</v>
      </c>
      <c r="L143">
        <f t="shared" si="15"/>
        <v>0</v>
      </c>
      <c r="M143">
        <f t="shared" si="16"/>
        <v>404</v>
      </c>
      <c r="N143">
        <f t="shared" si="17"/>
        <v>404</v>
      </c>
      <c r="O143">
        <f t="shared" si="18"/>
        <v>200</v>
      </c>
      <c r="P143">
        <f t="shared" si="18"/>
        <v>0</v>
      </c>
      <c r="Q143">
        <f t="shared" si="18"/>
        <v>15</v>
      </c>
      <c r="T143" t="s">
        <v>25</v>
      </c>
    </row>
    <row r="144" spans="1:20" x14ac:dyDescent="0.25">
      <c r="A144" s="1">
        <v>44093</v>
      </c>
      <c r="B144">
        <f t="shared" si="19"/>
        <v>200</v>
      </c>
      <c r="C144">
        <f t="shared" si="19"/>
        <v>0</v>
      </c>
      <c r="D144">
        <f t="shared" si="19"/>
        <v>15</v>
      </c>
      <c r="E144">
        <v>201</v>
      </c>
      <c r="F144">
        <v>274</v>
      </c>
      <c r="G144">
        <v>210</v>
      </c>
      <c r="H144">
        <f t="shared" si="20"/>
        <v>401</v>
      </c>
      <c r="I144">
        <f t="shared" si="20"/>
        <v>274</v>
      </c>
      <c r="J144">
        <f t="shared" si="20"/>
        <v>225</v>
      </c>
      <c r="K144" t="str">
        <f t="shared" si="14"/>
        <v>mal_trus</v>
      </c>
      <c r="L144">
        <f t="shared" si="15"/>
        <v>274</v>
      </c>
      <c r="M144">
        <f t="shared" si="16"/>
        <v>274</v>
      </c>
      <c r="N144">
        <f t="shared" si="17"/>
        <v>0</v>
      </c>
      <c r="O144">
        <f t="shared" si="18"/>
        <v>127</v>
      </c>
      <c r="P144">
        <f t="shared" si="18"/>
        <v>0</v>
      </c>
      <c r="Q144">
        <f t="shared" si="18"/>
        <v>225</v>
      </c>
      <c r="T144" t="s">
        <v>22</v>
      </c>
    </row>
    <row r="145" spans="1:20" x14ac:dyDescent="0.25">
      <c r="A145" s="1">
        <v>44094</v>
      </c>
      <c r="B145">
        <f t="shared" si="19"/>
        <v>127</v>
      </c>
      <c r="C145">
        <f t="shared" si="19"/>
        <v>0</v>
      </c>
      <c r="D145">
        <f t="shared" si="19"/>
        <v>225</v>
      </c>
      <c r="E145">
        <v>269</v>
      </c>
      <c r="F145">
        <v>278</v>
      </c>
      <c r="G145">
        <v>228</v>
      </c>
      <c r="H145">
        <f t="shared" si="20"/>
        <v>396</v>
      </c>
      <c r="I145">
        <f t="shared" si="20"/>
        <v>278</v>
      </c>
      <c r="J145">
        <f t="shared" si="20"/>
        <v>453</v>
      </c>
      <c r="K145" t="str">
        <f t="shared" si="14"/>
        <v>mal_porz</v>
      </c>
      <c r="L145">
        <f t="shared" si="15"/>
        <v>396</v>
      </c>
      <c r="M145">
        <f t="shared" si="16"/>
        <v>0</v>
      </c>
      <c r="N145">
        <f t="shared" si="17"/>
        <v>396</v>
      </c>
      <c r="O145">
        <f t="shared" si="18"/>
        <v>0</v>
      </c>
      <c r="P145">
        <f t="shared" si="18"/>
        <v>278</v>
      </c>
      <c r="Q145">
        <f t="shared" si="18"/>
        <v>57</v>
      </c>
      <c r="T145" t="s">
        <v>23</v>
      </c>
    </row>
    <row r="146" spans="1:20" x14ac:dyDescent="0.25">
      <c r="A146" s="1">
        <v>44095</v>
      </c>
      <c r="B146">
        <f t="shared" si="19"/>
        <v>0</v>
      </c>
      <c r="C146">
        <f t="shared" si="19"/>
        <v>278</v>
      </c>
      <c r="D146">
        <f t="shared" si="19"/>
        <v>57</v>
      </c>
      <c r="E146">
        <v>188</v>
      </c>
      <c r="F146">
        <v>195</v>
      </c>
      <c r="G146">
        <v>207</v>
      </c>
      <c r="H146">
        <f t="shared" si="20"/>
        <v>188</v>
      </c>
      <c r="I146">
        <f t="shared" si="20"/>
        <v>473</v>
      </c>
      <c r="J146">
        <f t="shared" si="20"/>
        <v>264</v>
      </c>
      <c r="K146" t="str">
        <f t="shared" si="14"/>
        <v>trus_porz</v>
      </c>
      <c r="L146">
        <f t="shared" si="15"/>
        <v>0</v>
      </c>
      <c r="M146">
        <f t="shared" si="16"/>
        <v>264</v>
      </c>
      <c r="N146">
        <f t="shared" si="17"/>
        <v>264</v>
      </c>
      <c r="O146">
        <f t="shared" si="18"/>
        <v>188</v>
      </c>
      <c r="P146">
        <f t="shared" si="18"/>
        <v>209</v>
      </c>
      <c r="Q146">
        <f t="shared" si="18"/>
        <v>0</v>
      </c>
      <c r="T146" t="s">
        <v>25</v>
      </c>
    </row>
    <row r="147" spans="1:20" x14ac:dyDescent="0.25">
      <c r="A147" s="1">
        <v>44096</v>
      </c>
      <c r="B147">
        <f t="shared" si="19"/>
        <v>188</v>
      </c>
      <c r="C147">
        <f t="shared" si="19"/>
        <v>209</v>
      </c>
      <c r="D147">
        <f t="shared" si="19"/>
        <v>0</v>
      </c>
      <c r="E147">
        <v>142</v>
      </c>
      <c r="F147">
        <v>249</v>
      </c>
      <c r="G147">
        <v>202</v>
      </c>
      <c r="H147">
        <f t="shared" si="20"/>
        <v>330</v>
      </c>
      <c r="I147">
        <f t="shared" si="20"/>
        <v>458</v>
      </c>
      <c r="J147">
        <f t="shared" si="20"/>
        <v>202</v>
      </c>
      <c r="K147" t="str">
        <f t="shared" si="14"/>
        <v>mal_trus</v>
      </c>
      <c r="L147">
        <f t="shared" si="15"/>
        <v>330</v>
      </c>
      <c r="M147">
        <f t="shared" si="16"/>
        <v>330</v>
      </c>
      <c r="N147">
        <f t="shared" si="17"/>
        <v>0</v>
      </c>
      <c r="O147">
        <f t="shared" si="18"/>
        <v>0</v>
      </c>
      <c r="P147">
        <f t="shared" si="18"/>
        <v>128</v>
      </c>
      <c r="Q147">
        <f t="shared" si="18"/>
        <v>202</v>
      </c>
      <c r="T147" t="s">
        <v>22</v>
      </c>
    </row>
    <row r="148" spans="1:20" x14ac:dyDescent="0.25">
      <c r="A148" s="1">
        <v>44097</v>
      </c>
      <c r="B148">
        <f t="shared" si="19"/>
        <v>0</v>
      </c>
      <c r="C148">
        <f t="shared" si="19"/>
        <v>128</v>
      </c>
      <c r="D148">
        <f t="shared" si="19"/>
        <v>202</v>
      </c>
      <c r="E148">
        <v>232</v>
      </c>
      <c r="F148">
        <v>116</v>
      </c>
      <c r="G148">
        <v>195</v>
      </c>
      <c r="H148">
        <f t="shared" si="20"/>
        <v>232</v>
      </c>
      <c r="I148">
        <f t="shared" si="20"/>
        <v>244</v>
      </c>
      <c r="J148">
        <f t="shared" si="20"/>
        <v>397</v>
      </c>
      <c r="K148" t="str">
        <f t="shared" si="14"/>
        <v>trus_porz</v>
      </c>
      <c r="L148">
        <f t="shared" si="15"/>
        <v>0</v>
      </c>
      <c r="M148">
        <f t="shared" si="16"/>
        <v>244</v>
      </c>
      <c r="N148">
        <f t="shared" si="17"/>
        <v>244</v>
      </c>
      <c r="O148">
        <f t="shared" si="18"/>
        <v>232</v>
      </c>
      <c r="P148">
        <f t="shared" si="18"/>
        <v>0</v>
      </c>
      <c r="Q148">
        <f t="shared" si="18"/>
        <v>153</v>
      </c>
      <c r="T148" t="s">
        <v>25</v>
      </c>
    </row>
    <row r="149" spans="1:20" x14ac:dyDescent="0.25">
      <c r="A149" s="1">
        <v>44098</v>
      </c>
      <c r="B149">
        <f t="shared" si="19"/>
        <v>232</v>
      </c>
      <c r="C149">
        <f t="shared" si="19"/>
        <v>0</v>
      </c>
      <c r="D149">
        <f t="shared" si="19"/>
        <v>153</v>
      </c>
      <c r="E149">
        <v>296</v>
      </c>
      <c r="F149">
        <v>102</v>
      </c>
      <c r="G149">
        <v>192</v>
      </c>
      <c r="H149">
        <f t="shared" si="20"/>
        <v>528</v>
      </c>
      <c r="I149">
        <f t="shared" si="20"/>
        <v>102</v>
      </c>
      <c r="J149">
        <f t="shared" si="20"/>
        <v>345</v>
      </c>
      <c r="K149" t="str">
        <f t="shared" si="14"/>
        <v>mal_porz</v>
      </c>
      <c r="L149">
        <f t="shared" si="15"/>
        <v>345</v>
      </c>
      <c r="M149">
        <f t="shared" si="16"/>
        <v>0</v>
      </c>
      <c r="N149">
        <f t="shared" si="17"/>
        <v>345</v>
      </c>
      <c r="O149">
        <f t="shared" si="18"/>
        <v>183</v>
      </c>
      <c r="P149">
        <f t="shared" si="18"/>
        <v>102</v>
      </c>
      <c r="Q149">
        <f t="shared" si="18"/>
        <v>0</v>
      </c>
      <c r="T149" t="s">
        <v>23</v>
      </c>
    </row>
    <row r="150" spans="1:20" x14ac:dyDescent="0.25">
      <c r="A150" s="1">
        <v>44099</v>
      </c>
      <c r="B150">
        <f t="shared" si="19"/>
        <v>183</v>
      </c>
      <c r="C150">
        <f t="shared" si="19"/>
        <v>102</v>
      </c>
      <c r="D150">
        <f t="shared" si="19"/>
        <v>0</v>
      </c>
      <c r="E150">
        <v>161</v>
      </c>
      <c r="F150">
        <v>151</v>
      </c>
      <c r="G150">
        <v>216</v>
      </c>
      <c r="H150">
        <f t="shared" si="20"/>
        <v>344</v>
      </c>
      <c r="I150">
        <f t="shared" si="20"/>
        <v>253</v>
      </c>
      <c r="J150">
        <f t="shared" si="20"/>
        <v>216</v>
      </c>
      <c r="K150" t="str">
        <f t="shared" si="14"/>
        <v>mal_trus</v>
      </c>
      <c r="L150">
        <f t="shared" si="15"/>
        <v>253</v>
      </c>
      <c r="M150">
        <f t="shared" si="16"/>
        <v>253</v>
      </c>
      <c r="N150">
        <f t="shared" si="17"/>
        <v>0</v>
      </c>
      <c r="O150">
        <f t="shared" si="18"/>
        <v>91</v>
      </c>
      <c r="P150">
        <f t="shared" si="18"/>
        <v>0</v>
      </c>
      <c r="Q150">
        <f t="shared" si="18"/>
        <v>216</v>
      </c>
      <c r="T150" t="s">
        <v>22</v>
      </c>
    </row>
    <row r="151" spans="1:20" x14ac:dyDescent="0.25">
      <c r="A151" s="1">
        <v>44100</v>
      </c>
      <c r="B151">
        <f t="shared" si="19"/>
        <v>91</v>
      </c>
      <c r="C151">
        <f t="shared" si="19"/>
        <v>0</v>
      </c>
      <c r="D151">
        <f t="shared" si="19"/>
        <v>216</v>
      </c>
      <c r="E151">
        <v>162</v>
      </c>
      <c r="F151">
        <v>261</v>
      </c>
      <c r="G151">
        <v>184</v>
      </c>
      <c r="H151">
        <f t="shared" si="20"/>
        <v>253</v>
      </c>
      <c r="I151">
        <f t="shared" si="20"/>
        <v>261</v>
      </c>
      <c r="J151">
        <f t="shared" si="20"/>
        <v>400</v>
      </c>
      <c r="K151" t="str">
        <f t="shared" si="14"/>
        <v>trus_porz</v>
      </c>
      <c r="L151">
        <f t="shared" si="15"/>
        <v>0</v>
      </c>
      <c r="M151">
        <f t="shared" si="16"/>
        <v>261</v>
      </c>
      <c r="N151">
        <f t="shared" si="17"/>
        <v>261</v>
      </c>
      <c r="O151">
        <f t="shared" si="18"/>
        <v>253</v>
      </c>
      <c r="P151">
        <f t="shared" si="18"/>
        <v>0</v>
      </c>
      <c r="Q151">
        <f t="shared" si="18"/>
        <v>139</v>
      </c>
      <c r="T151" t="s">
        <v>25</v>
      </c>
    </row>
    <row r="152" spans="1:20" x14ac:dyDescent="0.25">
      <c r="A152" s="1">
        <v>44101</v>
      </c>
      <c r="B152">
        <f t="shared" si="19"/>
        <v>253</v>
      </c>
      <c r="C152">
        <f t="shared" si="19"/>
        <v>0</v>
      </c>
      <c r="D152">
        <f t="shared" si="19"/>
        <v>139</v>
      </c>
      <c r="E152">
        <v>216</v>
      </c>
      <c r="F152">
        <v>147</v>
      </c>
      <c r="G152">
        <v>204</v>
      </c>
      <c r="H152">
        <f t="shared" si="20"/>
        <v>469</v>
      </c>
      <c r="I152">
        <f t="shared" si="20"/>
        <v>147</v>
      </c>
      <c r="J152">
        <f t="shared" si="20"/>
        <v>343</v>
      </c>
      <c r="K152" t="str">
        <f t="shared" si="14"/>
        <v>mal_porz</v>
      </c>
      <c r="L152">
        <f t="shared" si="15"/>
        <v>343</v>
      </c>
      <c r="M152">
        <f t="shared" si="16"/>
        <v>0</v>
      </c>
      <c r="N152">
        <f t="shared" si="17"/>
        <v>343</v>
      </c>
      <c r="O152">
        <f t="shared" si="18"/>
        <v>126</v>
      </c>
      <c r="P152">
        <f t="shared" si="18"/>
        <v>147</v>
      </c>
      <c r="Q152">
        <f t="shared" si="18"/>
        <v>0</v>
      </c>
      <c r="T152" t="s">
        <v>23</v>
      </c>
    </row>
    <row r="153" spans="1:20" x14ac:dyDescent="0.25">
      <c r="A153" s="1">
        <v>44102</v>
      </c>
      <c r="B153">
        <f t="shared" si="19"/>
        <v>126</v>
      </c>
      <c r="C153">
        <f t="shared" si="19"/>
        <v>147</v>
      </c>
      <c r="D153">
        <f t="shared" si="19"/>
        <v>0</v>
      </c>
      <c r="E153">
        <v>282</v>
      </c>
      <c r="F153">
        <v>297</v>
      </c>
      <c r="G153">
        <v>195</v>
      </c>
      <c r="H153">
        <f t="shared" si="20"/>
        <v>408</v>
      </c>
      <c r="I153">
        <f t="shared" si="20"/>
        <v>444</v>
      </c>
      <c r="J153">
        <f t="shared" si="20"/>
        <v>195</v>
      </c>
      <c r="K153" t="str">
        <f t="shared" si="14"/>
        <v>mal_trus</v>
      </c>
      <c r="L153">
        <f t="shared" si="15"/>
        <v>408</v>
      </c>
      <c r="M153">
        <f t="shared" si="16"/>
        <v>408</v>
      </c>
      <c r="N153">
        <f t="shared" si="17"/>
        <v>0</v>
      </c>
      <c r="O153">
        <f t="shared" si="18"/>
        <v>0</v>
      </c>
      <c r="P153">
        <f t="shared" si="18"/>
        <v>36</v>
      </c>
      <c r="Q153">
        <f t="shared" si="18"/>
        <v>195</v>
      </c>
      <c r="T153" t="s">
        <v>22</v>
      </c>
    </row>
    <row r="154" spans="1:20" x14ac:dyDescent="0.25">
      <c r="A154" s="1">
        <v>44103</v>
      </c>
      <c r="B154">
        <f t="shared" si="19"/>
        <v>0</v>
      </c>
      <c r="C154">
        <f t="shared" si="19"/>
        <v>36</v>
      </c>
      <c r="D154">
        <f t="shared" si="19"/>
        <v>195</v>
      </c>
      <c r="E154">
        <v>214</v>
      </c>
      <c r="F154">
        <v>198</v>
      </c>
      <c r="G154">
        <v>200</v>
      </c>
      <c r="H154">
        <f t="shared" si="20"/>
        <v>214</v>
      </c>
      <c r="I154">
        <f t="shared" si="20"/>
        <v>234</v>
      </c>
      <c r="J154">
        <f t="shared" si="20"/>
        <v>395</v>
      </c>
      <c r="K154" t="str">
        <f t="shared" si="14"/>
        <v>trus_porz</v>
      </c>
      <c r="L154">
        <f t="shared" si="15"/>
        <v>0</v>
      </c>
      <c r="M154">
        <f t="shared" si="16"/>
        <v>234</v>
      </c>
      <c r="N154">
        <f t="shared" si="17"/>
        <v>234</v>
      </c>
      <c r="O154">
        <f t="shared" si="18"/>
        <v>214</v>
      </c>
      <c r="P154">
        <f t="shared" si="18"/>
        <v>0</v>
      </c>
      <c r="Q154">
        <f t="shared" si="18"/>
        <v>161</v>
      </c>
      <c r="T154" t="s">
        <v>25</v>
      </c>
    </row>
    <row r="155" spans="1:20" x14ac:dyDescent="0.25">
      <c r="A155" s="1">
        <v>44104</v>
      </c>
      <c r="B155">
        <f t="shared" si="19"/>
        <v>214</v>
      </c>
      <c r="C155">
        <f t="shared" si="19"/>
        <v>0</v>
      </c>
      <c r="D155">
        <f t="shared" si="19"/>
        <v>161</v>
      </c>
      <c r="E155">
        <v>289</v>
      </c>
      <c r="F155">
        <v>290</v>
      </c>
      <c r="G155">
        <v>190</v>
      </c>
      <c r="H155">
        <f t="shared" si="20"/>
        <v>503</v>
      </c>
      <c r="I155">
        <f t="shared" si="20"/>
        <v>290</v>
      </c>
      <c r="J155">
        <f t="shared" si="20"/>
        <v>351</v>
      </c>
      <c r="K155" t="str">
        <f t="shared" si="14"/>
        <v>mal_porz</v>
      </c>
      <c r="L155">
        <f t="shared" si="15"/>
        <v>351</v>
      </c>
      <c r="M155">
        <f t="shared" si="16"/>
        <v>0</v>
      </c>
      <c r="N155">
        <f t="shared" si="17"/>
        <v>351</v>
      </c>
      <c r="O155">
        <f t="shared" si="18"/>
        <v>152</v>
      </c>
      <c r="P155">
        <f t="shared" si="18"/>
        <v>290</v>
      </c>
      <c r="Q155">
        <f t="shared" si="18"/>
        <v>0</v>
      </c>
      <c r="T155" t="s">
        <v>23</v>
      </c>
    </row>
  </sheetData>
  <mergeCells count="5">
    <mergeCell ref="B1:D1"/>
    <mergeCell ref="E1:G1"/>
    <mergeCell ref="H1:J1"/>
    <mergeCell ref="L1:N1"/>
    <mergeCell ref="O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2F77-CD73-4F45-8303-1F1B37F8C1B5}">
  <dimension ref="A1:AH156"/>
  <sheetViews>
    <sheetView tabSelected="1" topLeftCell="J1" workbookViewId="0">
      <selection activeCell="AD4" sqref="AD4"/>
    </sheetView>
  </sheetViews>
  <sheetFormatPr defaultRowHeight="15" x14ac:dyDescent="0.25"/>
  <cols>
    <col min="1" max="1" width="10.140625" bestFit="1" customWidth="1"/>
    <col min="2" max="4" width="10.140625" customWidth="1"/>
    <col min="5" max="5" width="14.5703125" bestFit="1" customWidth="1"/>
    <col min="6" max="6" width="18.85546875" bestFit="1" customWidth="1"/>
    <col min="7" max="7" width="18.5703125" bestFit="1" customWidth="1"/>
    <col min="8" max="8" width="16.28515625" customWidth="1"/>
    <col min="9" max="9" width="18.85546875" bestFit="1" customWidth="1"/>
    <col min="10" max="10" width="24" customWidth="1"/>
    <col min="11" max="11" width="15.7109375" bestFit="1" customWidth="1"/>
    <col min="21" max="21" width="15.7109375" bestFit="1" customWidth="1"/>
    <col min="27" max="27" width="15.7109375" bestFit="1" customWidth="1"/>
    <col min="33" max="33" width="17.7109375" bestFit="1" customWidth="1"/>
    <col min="34" max="34" width="9.5703125" bestFit="1" customWidth="1"/>
  </cols>
  <sheetData>
    <row r="1" spans="1:34" x14ac:dyDescent="0.25">
      <c r="B1" s="8" t="s">
        <v>30</v>
      </c>
      <c r="C1" s="8"/>
      <c r="D1" s="8"/>
      <c r="E1" s="4" t="s">
        <v>19</v>
      </c>
      <c r="F1" s="4"/>
      <c r="G1" s="4"/>
      <c r="H1" s="5" t="s">
        <v>20</v>
      </c>
      <c r="I1" s="5"/>
      <c r="J1" s="5"/>
      <c r="L1" s="6" t="s">
        <v>24</v>
      </c>
      <c r="M1" s="6"/>
      <c r="N1" s="6"/>
      <c r="O1" s="7" t="s">
        <v>29</v>
      </c>
      <c r="P1" s="7"/>
      <c r="Q1" s="7"/>
    </row>
    <row r="2" spans="1:34" x14ac:dyDescent="0.25">
      <c r="A2" t="s">
        <v>0</v>
      </c>
      <c r="B2" t="s">
        <v>26</v>
      </c>
      <c r="C2" t="s">
        <v>27</v>
      </c>
      <c r="D2" t="s">
        <v>28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21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AC2" t="s">
        <v>34</v>
      </c>
    </row>
    <row r="3" spans="1:34" x14ac:dyDescent="0.25">
      <c r="A3" s="1">
        <v>43952</v>
      </c>
      <c r="B3">
        <v>0</v>
      </c>
      <c r="C3">
        <v>0</v>
      </c>
      <c r="D3">
        <v>0</v>
      </c>
      <c r="E3">
        <v>211</v>
      </c>
      <c r="F3">
        <v>281</v>
      </c>
      <c r="G3">
        <v>88</v>
      </c>
      <c r="H3">
        <v>211</v>
      </c>
      <c r="I3">
        <v>281</v>
      </c>
      <c r="J3">
        <v>88</v>
      </c>
      <c r="K3" t="str">
        <f>IF(AND(H3&lt;J3,H3&lt;I3), "trus_porz", IF(AND(I3&lt;H3,I3&lt;J3), "mal_porz", IF(AND(J3&lt;I3,J3&lt;H3), "mal_trus", "")))</f>
        <v>mal_trus</v>
      </c>
      <c r="L3">
        <f>IF(K3="mal_trus",MIN(H3,I3),IF(K3="mal_porz",MIN(H3,J3),0))</f>
        <v>211</v>
      </c>
      <c r="M3">
        <f>IF(K3="trus_porz",MIN(I3,J3), IF(K3="mal_trus", MIN(H3,I3),0))</f>
        <v>211</v>
      </c>
      <c r="N3">
        <f>IF(K3="mal_porz",MIN(H3,J3), IF(K3="trus_porz", MIN(I3,J3),0))</f>
        <v>0</v>
      </c>
      <c r="O3">
        <f>H3-L3</f>
        <v>0</v>
      </c>
      <c r="P3">
        <f>I3-M3</f>
        <v>70</v>
      </c>
      <c r="Q3">
        <f>J3-N3</f>
        <v>88</v>
      </c>
      <c r="U3" t="s">
        <v>21</v>
      </c>
      <c r="V3" t="s">
        <v>26</v>
      </c>
      <c r="W3" t="s">
        <v>27</v>
      </c>
      <c r="X3" t="s">
        <v>28</v>
      </c>
      <c r="AA3" t="s">
        <v>21</v>
      </c>
      <c r="AB3" t="s">
        <v>32</v>
      </c>
      <c r="AC3" t="s">
        <v>22</v>
      </c>
      <c r="AD3" t="s">
        <v>23</v>
      </c>
      <c r="AE3" t="s">
        <v>25</v>
      </c>
    </row>
    <row r="4" spans="1:34" x14ac:dyDescent="0.25">
      <c r="A4" s="1">
        <v>43953</v>
      </c>
      <c r="B4">
        <f>O3</f>
        <v>0</v>
      </c>
      <c r="C4">
        <f>P3</f>
        <v>70</v>
      </c>
      <c r="D4">
        <f>Q3</f>
        <v>88</v>
      </c>
      <c r="E4">
        <v>393</v>
      </c>
      <c r="F4">
        <v>313</v>
      </c>
      <c r="G4">
        <v>83</v>
      </c>
      <c r="H4">
        <f>B4+E4</f>
        <v>393</v>
      </c>
      <c r="I4">
        <f>C4+F4</f>
        <v>383</v>
      </c>
      <c r="J4">
        <f>D4+G4</f>
        <v>171</v>
      </c>
      <c r="K4" t="str">
        <f t="shared" ref="K4:K67" si="0">IF(AND(H4&lt;J4,H4&lt;I4), "trus_porz", IF(AND(I4&lt;H4,I4&lt;J4), "mal_porz", IF(AND(J4&lt;I4,J4&lt;H4), "mal_trus", "")))</f>
        <v>mal_trus</v>
      </c>
      <c r="L4">
        <f t="shared" ref="L4:L67" si="1">IF(K4="mal_trus",MIN(H4,I4),IF(K4="mal_porz",MIN(H4,J4),0))</f>
        <v>383</v>
      </c>
      <c r="M4">
        <f t="shared" ref="M4:M67" si="2">IF(K4="trus_porz",MIN(I4,J4), IF(K4="mal_trus", MIN(H4,I4),0))</f>
        <v>383</v>
      </c>
      <c r="N4">
        <f t="shared" ref="N4:N67" si="3">IF(K4="mal_porz",MIN(H4,J4), IF(K4="trus_porz", MIN(I4,J4),0))</f>
        <v>0</v>
      </c>
      <c r="O4">
        <f t="shared" ref="O4:Q67" si="4">H4-L4</f>
        <v>10</v>
      </c>
      <c r="P4">
        <f t="shared" si="4"/>
        <v>0</v>
      </c>
      <c r="Q4">
        <f t="shared" si="4"/>
        <v>171</v>
      </c>
      <c r="U4" t="s">
        <v>22</v>
      </c>
      <c r="V4">
        <v>211</v>
      </c>
      <c r="W4">
        <v>211</v>
      </c>
      <c r="X4">
        <v>0</v>
      </c>
      <c r="Y4">
        <f>MAX(V4:X4)</f>
        <v>211</v>
      </c>
      <c r="AA4" t="s">
        <v>22</v>
      </c>
      <c r="AB4">
        <v>211</v>
      </c>
      <c r="AC4">
        <f>IF(AA4=$AC$3,AB4,0)</f>
        <v>211</v>
      </c>
    </row>
    <row r="5" spans="1:34" x14ac:dyDescent="0.25">
      <c r="A5" s="1">
        <v>43954</v>
      </c>
      <c r="B5">
        <f t="shared" ref="B5:D68" si="5">O4</f>
        <v>10</v>
      </c>
      <c r="C5">
        <f t="shared" si="5"/>
        <v>0</v>
      </c>
      <c r="D5">
        <f t="shared" si="5"/>
        <v>171</v>
      </c>
      <c r="E5">
        <v>389</v>
      </c>
      <c r="F5">
        <v>315</v>
      </c>
      <c r="G5">
        <v>104</v>
      </c>
      <c r="H5">
        <f t="shared" ref="H5:J68" si="6">B5+E5</f>
        <v>399</v>
      </c>
      <c r="I5">
        <f t="shared" si="6"/>
        <v>315</v>
      </c>
      <c r="J5">
        <f t="shared" si="6"/>
        <v>275</v>
      </c>
      <c r="K5" t="str">
        <f t="shared" si="0"/>
        <v>mal_trus</v>
      </c>
      <c r="L5">
        <f t="shared" si="1"/>
        <v>315</v>
      </c>
      <c r="M5">
        <f t="shared" si="2"/>
        <v>315</v>
      </c>
      <c r="N5">
        <f t="shared" si="3"/>
        <v>0</v>
      </c>
      <c r="O5">
        <f t="shared" si="4"/>
        <v>84</v>
      </c>
      <c r="P5">
        <f t="shared" si="4"/>
        <v>0</v>
      </c>
      <c r="Q5">
        <f t="shared" si="4"/>
        <v>275</v>
      </c>
      <c r="U5" t="s">
        <v>22</v>
      </c>
      <c r="V5">
        <v>383</v>
      </c>
      <c r="W5">
        <v>383</v>
      </c>
      <c r="X5">
        <v>0</v>
      </c>
      <c r="Y5">
        <f t="shared" ref="Y5:Y68" si="7">MAX(V5:X5)</f>
        <v>383</v>
      </c>
      <c r="AA5" t="s">
        <v>22</v>
      </c>
      <c r="AB5">
        <v>383</v>
      </c>
      <c r="AC5">
        <f t="shared" ref="AC5:AC68" si="8">IF(AA5=$AC$3,AB5,0)</f>
        <v>383</v>
      </c>
    </row>
    <row r="6" spans="1:34" x14ac:dyDescent="0.25">
      <c r="A6" s="1">
        <v>43955</v>
      </c>
      <c r="B6">
        <f t="shared" si="5"/>
        <v>84</v>
      </c>
      <c r="C6">
        <f t="shared" si="5"/>
        <v>0</v>
      </c>
      <c r="D6">
        <f t="shared" si="5"/>
        <v>275</v>
      </c>
      <c r="E6">
        <v>308</v>
      </c>
      <c r="F6">
        <v>221</v>
      </c>
      <c r="G6">
        <v>119</v>
      </c>
      <c r="H6">
        <f t="shared" si="6"/>
        <v>392</v>
      </c>
      <c r="I6">
        <f t="shared" si="6"/>
        <v>221</v>
      </c>
      <c r="J6">
        <f t="shared" si="6"/>
        <v>394</v>
      </c>
      <c r="K6" t="str">
        <f t="shared" si="0"/>
        <v>mal_porz</v>
      </c>
      <c r="L6">
        <f t="shared" si="1"/>
        <v>392</v>
      </c>
      <c r="M6">
        <f t="shared" si="2"/>
        <v>0</v>
      </c>
      <c r="N6">
        <f t="shared" si="3"/>
        <v>392</v>
      </c>
      <c r="O6">
        <f t="shared" si="4"/>
        <v>0</v>
      </c>
      <c r="P6">
        <f t="shared" si="4"/>
        <v>221</v>
      </c>
      <c r="Q6">
        <f t="shared" si="4"/>
        <v>2</v>
      </c>
      <c r="U6" t="s">
        <v>22</v>
      </c>
      <c r="V6">
        <v>315</v>
      </c>
      <c r="W6">
        <v>315</v>
      </c>
      <c r="X6">
        <v>0</v>
      </c>
      <c r="Y6">
        <f t="shared" si="7"/>
        <v>315</v>
      </c>
      <c r="AA6" t="s">
        <v>22</v>
      </c>
      <c r="AB6">
        <v>315</v>
      </c>
      <c r="AC6">
        <f t="shared" si="8"/>
        <v>315</v>
      </c>
    </row>
    <row r="7" spans="1:34" x14ac:dyDescent="0.25">
      <c r="A7" s="1">
        <v>43956</v>
      </c>
      <c r="B7">
        <f t="shared" si="5"/>
        <v>0</v>
      </c>
      <c r="C7">
        <f t="shared" si="5"/>
        <v>221</v>
      </c>
      <c r="D7">
        <f t="shared" si="5"/>
        <v>2</v>
      </c>
      <c r="E7">
        <v>387</v>
      </c>
      <c r="F7">
        <v>275</v>
      </c>
      <c r="G7">
        <v>72</v>
      </c>
      <c r="H7">
        <f t="shared" si="6"/>
        <v>387</v>
      </c>
      <c r="I7">
        <f t="shared" si="6"/>
        <v>496</v>
      </c>
      <c r="J7">
        <f t="shared" si="6"/>
        <v>74</v>
      </c>
      <c r="K7" t="str">
        <f t="shared" si="0"/>
        <v>mal_trus</v>
      </c>
      <c r="L7">
        <f t="shared" si="1"/>
        <v>387</v>
      </c>
      <c r="M7">
        <f t="shared" si="2"/>
        <v>387</v>
      </c>
      <c r="N7">
        <f t="shared" si="3"/>
        <v>0</v>
      </c>
      <c r="O7">
        <f t="shared" si="4"/>
        <v>0</v>
      </c>
      <c r="P7">
        <f t="shared" si="4"/>
        <v>109</v>
      </c>
      <c r="Q7">
        <f t="shared" si="4"/>
        <v>74</v>
      </c>
      <c r="U7" t="s">
        <v>23</v>
      </c>
      <c r="V7">
        <v>392</v>
      </c>
      <c r="W7">
        <v>0</v>
      </c>
      <c r="X7">
        <v>392</v>
      </c>
      <c r="Y7">
        <f t="shared" si="7"/>
        <v>392</v>
      </c>
      <c r="AA7" t="s">
        <v>23</v>
      </c>
      <c r="AB7">
        <v>392</v>
      </c>
      <c r="AC7">
        <f t="shared" si="8"/>
        <v>0</v>
      </c>
      <c r="AG7" s="2" t="s">
        <v>4</v>
      </c>
      <c r="AH7" t="s">
        <v>33</v>
      </c>
    </row>
    <row r="8" spans="1:34" x14ac:dyDescent="0.25">
      <c r="A8" s="1">
        <v>43957</v>
      </c>
      <c r="B8">
        <f t="shared" si="5"/>
        <v>0</v>
      </c>
      <c r="C8">
        <f t="shared" si="5"/>
        <v>109</v>
      </c>
      <c r="D8">
        <f t="shared" si="5"/>
        <v>74</v>
      </c>
      <c r="E8">
        <v>294</v>
      </c>
      <c r="F8">
        <v>366</v>
      </c>
      <c r="G8">
        <v>99</v>
      </c>
      <c r="H8">
        <f t="shared" si="6"/>
        <v>294</v>
      </c>
      <c r="I8">
        <f t="shared" si="6"/>
        <v>475</v>
      </c>
      <c r="J8">
        <f t="shared" si="6"/>
        <v>173</v>
      </c>
      <c r="K8" t="str">
        <f t="shared" si="0"/>
        <v>mal_trus</v>
      </c>
      <c r="L8">
        <f t="shared" si="1"/>
        <v>294</v>
      </c>
      <c r="M8">
        <f t="shared" si="2"/>
        <v>294</v>
      </c>
      <c r="N8">
        <f t="shared" si="3"/>
        <v>0</v>
      </c>
      <c r="O8">
        <f t="shared" si="4"/>
        <v>0</v>
      </c>
      <c r="P8">
        <f t="shared" si="4"/>
        <v>181</v>
      </c>
      <c r="Q8">
        <f t="shared" si="4"/>
        <v>173</v>
      </c>
      <c r="U8" t="s">
        <v>22</v>
      </c>
      <c r="V8">
        <v>387</v>
      </c>
      <c r="W8">
        <v>387</v>
      </c>
      <c r="X8">
        <v>0</v>
      </c>
      <c r="Y8">
        <f t="shared" si="7"/>
        <v>387</v>
      </c>
      <c r="AA8" t="s">
        <v>22</v>
      </c>
      <c r="AB8">
        <v>387</v>
      </c>
      <c r="AC8">
        <f t="shared" si="8"/>
        <v>387</v>
      </c>
      <c r="AG8" s="3" t="s">
        <v>23</v>
      </c>
      <c r="AH8">
        <v>18008</v>
      </c>
    </row>
    <row r="9" spans="1:34" x14ac:dyDescent="0.25">
      <c r="A9" s="1">
        <v>43958</v>
      </c>
      <c r="B9">
        <f t="shared" si="5"/>
        <v>0</v>
      </c>
      <c r="C9">
        <f t="shared" si="5"/>
        <v>181</v>
      </c>
      <c r="D9">
        <f t="shared" si="5"/>
        <v>173</v>
      </c>
      <c r="E9">
        <v>389</v>
      </c>
      <c r="F9">
        <v>288</v>
      </c>
      <c r="G9">
        <v>87</v>
      </c>
      <c r="H9">
        <f t="shared" si="6"/>
        <v>389</v>
      </c>
      <c r="I9">
        <f t="shared" si="6"/>
        <v>469</v>
      </c>
      <c r="J9">
        <f t="shared" si="6"/>
        <v>260</v>
      </c>
      <c r="K9" t="str">
        <f t="shared" si="0"/>
        <v>mal_trus</v>
      </c>
      <c r="L9">
        <f t="shared" si="1"/>
        <v>389</v>
      </c>
      <c r="M9">
        <f t="shared" si="2"/>
        <v>389</v>
      </c>
      <c r="N9">
        <f t="shared" si="3"/>
        <v>0</v>
      </c>
      <c r="O9">
        <f t="shared" si="4"/>
        <v>0</v>
      </c>
      <c r="P9">
        <f t="shared" si="4"/>
        <v>80</v>
      </c>
      <c r="Q9">
        <f t="shared" si="4"/>
        <v>260</v>
      </c>
      <c r="U9" t="s">
        <v>22</v>
      </c>
      <c r="V9">
        <v>294</v>
      </c>
      <c r="W9">
        <v>294</v>
      </c>
      <c r="X9">
        <v>0</v>
      </c>
      <c r="Y9">
        <f t="shared" si="7"/>
        <v>294</v>
      </c>
      <c r="AA9" t="s">
        <v>22</v>
      </c>
      <c r="AB9">
        <v>294</v>
      </c>
      <c r="AC9">
        <f t="shared" si="8"/>
        <v>294</v>
      </c>
      <c r="AG9" s="3" t="s">
        <v>22</v>
      </c>
      <c r="AH9">
        <v>29732</v>
      </c>
    </row>
    <row r="10" spans="1:34" x14ac:dyDescent="0.25">
      <c r="A10" s="1">
        <v>43959</v>
      </c>
      <c r="B10">
        <f t="shared" si="5"/>
        <v>0</v>
      </c>
      <c r="C10">
        <f t="shared" si="5"/>
        <v>80</v>
      </c>
      <c r="D10">
        <f t="shared" si="5"/>
        <v>260</v>
      </c>
      <c r="E10">
        <v>259</v>
      </c>
      <c r="F10">
        <v>361</v>
      </c>
      <c r="G10">
        <v>112</v>
      </c>
      <c r="H10">
        <f t="shared" si="6"/>
        <v>259</v>
      </c>
      <c r="I10">
        <f t="shared" si="6"/>
        <v>441</v>
      </c>
      <c r="J10">
        <f t="shared" si="6"/>
        <v>372</v>
      </c>
      <c r="K10" t="str">
        <f t="shared" si="0"/>
        <v>trus_porz</v>
      </c>
      <c r="L10">
        <f t="shared" si="1"/>
        <v>0</v>
      </c>
      <c r="M10">
        <f t="shared" si="2"/>
        <v>372</v>
      </c>
      <c r="N10">
        <f t="shared" si="3"/>
        <v>372</v>
      </c>
      <c r="O10">
        <f t="shared" si="4"/>
        <v>259</v>
      </c>
      <c r="P10">
        <f t="shared" si="4"/>
        <v>69</v>
      </c>
      <c r="Q10">
        <f t="shared" si="4"/>
        <v>0</v>
      </c>
      <c r="U10" t="s">
        <v>22</v>
      </c>
      <c r="V10">
        <v>389</v>
      </c>
      <c r="W10">
        <v>389</v>
      </c>
      <c r="X10">
        <v>0</v>
      </c>
      <c r="Y10">
        <f t="shared" si="7"/>
        <v>389</v>
      </c>
      <c r="AA10" t="s">
        <v>22</v>
      </c>
      <c r="AB10">
        <v>389</v>
      </c>
      <c r="AC10">
        <f t="shared" si="8"/>
        <v>389</v>
      </c>
      <c r="AG10" s="3" t="s">
        <v>25</v>
      </c>
      <c r="AH10">
        <v>18382</v>
      </c>
    </row>
    <row r="11" spans="1:34" x14ac:dyDescent="0.25">
      <c r="A11" s="1">
        <v>43960</v>
      </c>
      <c r="B11">
        <f t="shared" si="5"/>
        <v>259</v>
      </c>
      <c r="C11">
        <f t="shared" si="5"/>
        <v>69</v>
      </c>
      <c r="D11">
        <f t="shared" si="5"/>
        <v>0</v>
      </c>
      <c r="E11">
        <v>369</v>
      </c>
      <c r="F11">
        <v>233</v>
      </c>
      <c r="G11">
        <v>110</v>
      </c>
      <c r="H11">
        <f t="shared" si="6"/>
        <v>628</v>
      </c>
      <c r="I11">
        <f t="shared" si="6"/>
        <v>302</v>
      </c>
      <c r="J11">
        <f t="shared" si="6"/>
        <v>110</v>
      </c>
      <c r="K11" t="str">
        <f t="shared" si="0"/>
        <v>mal_trus</v>
      </c>
      <c r="L11">
        <f t="shared" si="1"/>
        <v>302</v>
      </c>
      <c r="M11">
        <f t="shared" si="2"/>
        <v>302</v>
      </c>
      <c r="N11">
        <f t="shared" si="3"/>
        <v>0</v>
      </c>
      <c r="O11">
        <f t="shared" si="4"/>
        <v>326</v>
      </c>
      <c r="P11">
        <f t="shared" si="4"/>
        <v>0</v>
      </c>
      <c r="Q11">
        <f t="shared" si="4"/>
        <v>110</v>
      </c>
      <c r="U11" t="s">
        <v>25</v>
      </c>
      <c r="V11">
        <v>0</v>
      </c>
      <c r="W11">
        <v>372</v>
      </c>
      <c r="X11">
        <v>372</v>
      </c>
      <c r="Y11">
        <f t="shared" si="7"/>
        <v>372</v>
      </c>
      <c r="AA11" t="s">
        <v>25</v>
      </c>
      <c r="AB11">
        <v>372</v>
      </c>
      <c r="AC11">
        <f t="shared" si="8"/>
        <v>0</v>
      </c>
      <c r="AG11" s="3" t="s">
        <v>5</v>
      </c>
      <c r="AH11">
        <v>66122</v>
      </c>
    </row>
    <row r="12" spans="1:34" x14ac:dyDescent="0.25">
      <c r="A12" s="1">
        <v>43961</v>
      </c>
      <c r="B12">
        <f t="shared" si="5"/>
        <v>326</v>
      </c>
      <c r="C12">
        <f t="shared" si="5"/>
        <v>0</v>
      </c>
      <c r="D12">
        <f t="shared" si="5"/>
        <v>110</v>
      </c>
      <c r="E12">
        <v>263</v>
      </c>
      <c r="F12">
        <v>393</v>
      </c>
      <c r="G12">
        <v>75</v>
      </c>
      <c r="H12">
        <f t="shared" si="6"/>
        <v>589</v>
      </c>
      <c r="I12">
        <f t="shared" si="6"/>
        <v>393</v>
      </c>
      <c r="J12">
        <f t="shared" si="6"/>
        <v>185</v>
      </c>
      <c r="K12" t="str">
        <f t="shared" si="0"/>
        <v>mal_trus</v>
      </c>
      <c r="L12">
        <f t="shared" si="1"/>
        <v>393</v>
      </c>
      <c r="M12">
        <f t="shared" si="2"/>
        <v>393</v>
      </c>
      <c r="N12">
        <f t="shared" si="3"/>
        <v>0</v>
      </c>
      <c r="O12">
        <f t="shared" si="4"/>
        <v>196</v>
      </c>
      <c r="P12">
        <f t="shared" si="4"/>
        <v>0</v>
      </c>
      <c r="Q12">
        <f t="shared" si="4"/>
        <v>185</v>
      </c>
      <c r="U12" t="s">
        <v>22</v>
      </c>
      <c r="V12">
        <v>302</v>
      </c>
      <c r="W12">
        <v>302</v>
      </c>
      <c r="X12">
        <v>0</v>
      </c>
      <c r="Y12">
        <f t="shared" si="7"/>
        <v>302</v>
      </c>
      <c r="AA12" t="s">
        <v>22</v>
      </c>
      <c r="AB12">
        <v>302</v>
      </c>
      <c r="AC12">
        <f t="shared" si="8"/>
        <v>302</v>
      </c>
    </row>
    <row r="13" spans="1:34" x14ac:dyDescent="0.25">
      <c r="A13" s="1">
        <v>43962</v>
      </c>
      <c r="B13">
        <f t="shared" si="5"/>
        <v>196</v>
      </c>
      <c r="C13">
        <f t="shared" si="5"/>
        <v>0</v>
      </c>
      <c r="D13">
        <f t="shared" si="5"/>
        <v>185</v>
      </c>
      <c r="E13">
        <v>239</v>
      </c>
      <c r="F13">
        <v>347</v>
      </c>
      <c r="G13">
        <v>94</v>
      </c>
      <c r="H13">
        <f t="shared" si="6"/>
        <v>435</v>
      </c>
      <c r="I13">
        <f t="shared" si="6"/>
        <v>347</v>
      </c>
      <c r="J13">
        <f t="shared" si="6"/>
        <v>279</v>
      </c>
      <c r="K13" t="str">
        <f t="shared" si="0"/>
        <v>mal_trus</v>
      </c>
      <c r="L13">
        <f t="shared" si="1"/>
        <v>347</v>
      </c>
      <c r="M13">
        <f t="shared" si="2"/>
        <v>347</v>
      </c>
      <c r="N13">
        <f t="shared" si="3"/>
        <v>0</v>
      </c>
      <c r="O13">
        <f t="shared" si="4"/>
        <v>88</v>
      </c>
      <c r="P13">
        <f t="shared" si="4"/>
        <v>0</v>
      </c>
      <c r="Q13">
        <f t="shared" si="4"/>
        <v>279</v>
      </c>
      <c r="U13" t="s">
        <v>22</v>
      </c>
      <c r="V13">
        <v>393</v>
      </c>
      <c r="W13">
        <v>393</v>
      </c>
      <c r="X13">
        <v>0</v>
      </c>
      <c r="Y13">
        <f t="shared" si="7"/>
        <v>393</v>
      </c>
      <c r="AA13" t="s">
        <v>22</v>
      </c>
      <c r="AB13">
        <v>393</v>
      </c>
      <c r="AC13">
        <f t="shared" si="8"/>
        <v>393</v>
      </c>
    </row>
    <row r="14" spans="1:34" x14ac:dyDescent="0.25">
      <c r="A14" s="1">
        <v>43963</v>
      </c>
      <c r="B14">
        <f t="shared" si="5"/>
        <v>88</v>
      </c>
      <c r="C14">
        <f t="shared" si="5"/>
        <v>0</v>
      </c>
      <c r="D14">
        <f t="shared" si="5"/>
        <v>279</v>
      </c>
      <c r="E14">
        <v>282</v>
      </c>
      <c r="F14">
        <v>338</v>
      </c>
      <c r="G14">
        <v>86</v>
      </c>
      <c r="H14">
        <f t="shared" si="6"/>
        <v>370</v>
      </c>
      <c r="I14">
        <f t="shared" si="6"/>
        <v>338</v>
      </c>
      <c r="J14">
        <f t="shared" si="6"/>
        <v>365</v>
      </c>
      <c r="K14" t="str">
        <f t="shared" si="0"/>
        <v>mal_porz</v>
      </c>
      <c r="L14">
        <f t="shared" si="1"/>
        <v>365</v>
      </c>
      <c r="M14">
        <f t="shared" si="2"/>
        <v>0</v>
      </c>
      <c r="N14">
        <f t="shared" si="3"/>
        <v>365</v>
      </c>
      <c r="O14">
        <f t="shared" si="4"/>
        <v>5</v>
      </c>
      <c r="P14">
        <f t="shared" si="4"/>
        <v>338</v>
      </c>
      <c r="Q14">
        <f t="shared" si="4"/>
        <v>0</v>
      </c>
      <c r="U14" t="s">
        <v>22</v>
      </c>
      <c r="V14">
        <v>347</v>
      </c>
      <c r="W14">
        <v>347</v>
      </c>
      <c r="X14">
        <v>0</v>
      </c>
      <c r="Y14">
        <f t="shared" si="7"/>
        <v>347</v>
      </c>
      <c r="AA14" t="s">
        <v>22</v>
      </c>
      <c r="AB14">
        <v>347</v>
      </c>
      <c r="AC14">
        <f t="shared" si="8"/>
        <v>347</v>
      </c>
    </row>
    <row r="15" spans="1:34" x14ac:dyDescent="0.25">
      <c r="A15" s="1">
        <v>43964</v>
      </c>
      <c r="B15">
        <f t="shared" si="5"/>
        <v>5</v>
      </c>
      <c r="C15">
        <f t="shared" si="5"/>
        <v>338</v>
      </c>
      <c r="D15">
        <f t="shared" si="5"/>
        <v>0</v>
      </c>
      <c r="E15">
        <v>306</v>
      </c>
      <c r="F15">
        <v>273</v>
      </c>
      <c r="G15">
        <v>75</v>
      </c>
      <c r="H15">
        <f t="shared" si="6"/>
        <v>311</v>
      </c>
      <c r="I15">
        <f t="shared" si="6"/>
        <v>611</v>
      </c>
      <c r="J15">
        <f t="shared" si="6"/>
        <v>75</v>
      </c>
      <c r="K15" t="str">
        <f t="shared" si="0"/>
        <v>mal_trus</v>
      </c>
      <c r="L15">
        <f t="shared" si="1"/>
        <v>311</v>
      </c>
      <c r="M15">
        <f t="shared" si="2"/>
        <v>311</v>
      </c>
      <c r="N15">
        <f t="shared" si="3"/>
        <v>0</v>
      </c>
      <c r="O15">
        <f t="shared" si="4"/>
        <v>0</v>
      </c>
      <c r="P15">
        <f t="shared" si="4"/>
        <v>300</v>
      </c>
      <c r="Q15">
        <f t="shared" si="4"/>
        <v>75</v>
      </c>
      <c r="U15" t="s">
        <v>23</v>
      </c>
      <c r="V15">
        <v>365</v>
      </c>
      <c r="W15">
        <v>0</v>
      </c>
      <c r="X15">
        <v>365</v>
      </c>
      <c r="Y15">
        <f t="shared" si="7"/>
        <v>365</v>
      </c>
      <c r="AA15" t="s">
        <v>23</v>
      </c>
      <c r="AB15">
        <v>365</v>
      </c>
      <c r="AC15">
        <f t="shared" si="8"/>
        <v>0</v>
      </c>
    </row>
    <row r="16" spans="1:34" x14ac:dyDescent="0.25">
      <c r="A16" s="1">
        <v>43965</v>
      </c>
      <c r="B16">
        <f t="shared" si="5"/>
        <v>0</v>
      </c>
      <c r="C16">
        <f t="shared" si="5"/>
        <v>300</v>
      </c>
      <c r="D16">
        <f t="shared" si="5"/>
        <v>75</v>
      </c>
      <c r="E16">
        <v>251</v>
      </c>
      <c r="F16">
        <v>325</v>
      </c>
      <c r="G16">
        <v>89</v>
      </c>
      <c r="H16">
        <f t="shared" si="6"/>
        <v>251</v>
      </c>
      <c r="I16">
        <f t="shared" si="6"/>
        <v>625</v>
      </c>
      <c r="J16">
        <f t="shared" si="6"/>
        <v>164</v>
      </c>
      <c r="K16" t="str">
        <f t="shared" si="0"/>
        <v>mal_trus</v>
      </c>
      <c r="L16">
        <f t="shared" si="1"/>
        <v>251</v>
      </c>
      <c r="M16">
        <f t="shared" si="2"/>
        <v>251</v>
      </c>
      <c r="N16">
        <f t="shared" si="3"/>
        <v>0</v>
      </c>
      <c r="O16">
        <f t="shared" si="4"/>
        <v>0</v>
      </c>
      <c r="P16">
        <f t="shared" si="4"/>
        <v>374</v>
      </c>
      <c r="Q16">
        <f t="shared" si="4"/>
        <v>164</v>
      </c>
      <c r="U16" t="s">
        <v>22</v>
      </c>
      <c r="V16">
        <v>311</v>
      </c>
      <c r="W16">
        <v>311</v>
      </c>
      <c r="X16">
        <v>0</v>
      </c>
      <c r="Y16">
        <f t="shared" si="7"/>
        <v>311</v>
      </c>
      <c r="AA16" t="s">
        <v>22</v>
      </c>
      <c r="AB16">
        <v>311</v>
      </c>
      <c r="AC16">
        <f t="shared" si="8"/>
        <v>311</v>
      </c>
    </row>
    <row r="17" spans="1:29" x14ac:dyDescent="0.25">
      <c r="A17" s="1">
        <v>43966</v>
      </c>
      <c r="B17">
        <f t="shared" si="5"/>
        <v>0</v>
      </c>
      <c r="C17">
        <f t="shared" si="5"/>
        <v>374</v>
      </c>
      <c r="D17">
        <f t="shared" si="5"/>
        <v>164</v>
      </c>
      <c r="E17">
        <v>224</v>
      </c>
      <c r="F17">
        <v>352</v>
      </c>
      <c r="G17">
        <v>97</v>
      </c>
      <c r="H17">
        <f t="shared" si="6"/>
        <v>224</v>
      </c>
      <c r="I17">
        <f t="shared" si="6"/>
        <v>726</v>
      </c>
      <c r="J17">
        <f t="shared" si="6"/>
        <v>261</v>
      </c>
      <c r="K17" t="str">
        <f t="shared" si="0"/>
        <v>trus_porz</v>
      </c>
      <c r="L17">
        <f t="shared" si="1"/>
        <v>0</v>
      </c>
      <c r="M17">
        <f t="shared" si="2"/>
        <v>261</v>
      </c>
      <c r="N17">
        <f t="shared" si="3"/>
        <v>261</v>
      </c>
      <c r="O17">
        <f t="shared" si="4"/>
        <v>224</v>
      </c>
      <c r="P17">
        <f t="shared" si="4"/>
        <v>465</v>
      </c>
      <c r="Q17">
        <f t="shared" si="4"/>
        <v>0</v>
      </c>
      <c r="U17" t="s">
        <v>22</v>
      </c>
      <c r="V17">
        <v>251</v>
      </c>
      <c r="W17">
        <v>251</v>
      </c>
      <c r="X17">
        <v>0</v>
      </c>
      <c r="Y17">
        <f t="shared" si="7"/>
        <v>251</v>
      </c>
      <c r="AA17" t="s">
        <v>22</v>
      </c>
      <c r="AB17">
        <v>251</v>
      </c>
      <c r="AC17">
        <f t="shared" si="8"/>
        <v>251</v>
      </c>
    </row>
    <row r="18" spans="1:29" x14ac:dyDescent="0.25">
      <c r="A18" s="1">
        <v>43967</v>
      </c>
      <c r="B18">
        <f t="shared" si="5"/>
        <v>224</v>
      </c>
      <c r="C18">
        <f t="shared" si="5"/>
        <v>465</v>
      </c>
      <c r="D18">
        <f t="shared" si="5"/>
        <v>0</v>
      </c>
      <c r="E18">
        <v>233</v>
      </c>
      <c r="F18">
        <v>270</v>
      </c>
      <c r="G18">
        <v>94</v>
      </c>
      <c r="H18">
        <f t="shared" si="6"/>
        <v>457</v>
      </c>
      <c r="I18">
        <f t="shared" si="6"/>
        <v>735</v>
      </c>
      <c r="J18">
        <f t="shared" si="6"/>
        <v>94</v>
      </c>
      <c r="K18" t="str">
        <f t="shared" si="0"/>
        <v>mal_trus</v>
      </c>
      <c r="L18">
        <f t="shared" si="1"/>
        <v>457</v>
      </c>
      <c r="M18">
        <f t="shared" si="2"/>
        <v>457</v>
      </c>
      <c r="N18">
        <f t="shared" si="3"/>
        <v>0</v>
      </c>
      <c r="O18">
        <f t="shared" si="4"/>
        <v>0</v>
      </c>
      <c r="P18">
        <f t="shared" si="4"/>
        <v>278</v>
      </c>
      <c r="Q18">
        <f t="shared" si="4"/>
        <v>94</v>
      </c>
      <c r="U18" t="s">
        <v>25</v>
      </c>
      <c r="V18">
        <v>0</v>
      </c>
      <c r="W18">
        <v>261</v>
      </c>
      <c r="X18">
        <v>261</v>
      </c>
      <c r="Y18">
        <f t="shared" si="7"/>
        <v>261</v>
      </c>
      <c r="AA18" t="s">
        <v>25</v>
      </c>
      <c r="AB18">
        <v>261</v>
      </c>
      <c r="AC18">
        <f t="shared" si="8"/>
        <v>0</v>
      </c>
    </row>
    <row r="19" spans="1:29" x14ac:dyDescent="0.25">
      <c r="A19" s="1">
        <v>43968</v>
      </c>
      <c r="B19">
        <f t="shared" si="5"/>
        <v>0</v>
      </c>
      <c r="C19">
        <f t="shared" si="5"/>
        <v>278</v>
      </c>
      <c r="D19">
        <f t="shared" si="5"/>
        <v>94</v>
      </c>
      <c r="E19">
        <v>345</v>
      </c>
      <c r="F19">
        <v>275</v>
      </c>
      <c r="G19">
        <v>90</v>
      </c>
      <c r="H19">
        <f t="shared" si="6"/>
        <v>345</v>
      </c>
      <c r="I19">
        <f t="shared" si="6"/>
        <v>553</v>
      </c>
      <c r="J19">
        <f t="shared" si="6"/>
        <v>184</v>
      </c>
      <c r="K19" t="str">
        <f t="shared" si="0"/>
        <v>mal_trus</v>
      </c>
      <c r="L19">
        <f t="shared" si="1"/>
        <v>345</v>
      </c>
      <c r="M19">
        <f t="shared" si="2"/>
        <v>345</v>
      </c>
      <c r="N19">
        <f t="shared" si="3"/>
        <v>0</v>
      </c>
      <c r="O19">
        <f t="shared" si="4"/>
        <v>0</v>
      </c>
      <c r="P19">
        <f t="shared" si="4"/>
        <v>208</v>
      </c>
      <c r="Q19">
        <f t="shared" si="4"/>
        <v>184</v>
      </c>
      <c r="U19" t="s">
        <v>22</v>
      </c>
      <c r="V19">
        <v>457</v>
      </c>
      <c r="W19">
        <v>457</v>
      </c>
      <c r="X19">
        <v>0</v>
      </c>
      <c r="Y19">
        <f t="shared" si="7"/>
        <v>457</v>
      </c>
      <c r="AA19" t="s">
        <v>22</v>
      </c>
      <c r="AB19">
        <v>457</v>
      </c>
      <c r="AC19">
        <f t="shared" si="8"/>
        <v>457</v>
      </c>
    </row>
    <row r="20" spans="1:29" x14ac:dyDescent="0.25">
      <c r="A20" s="1">
        <v>43969</v>
      </c>
      <c r="B20">
        <f t="shared" si="5"/>
        <v>0</v>
      </c>
      <c r="C20">
        <f t="shared" si="5"/>
        <v>208</v>
      </c>
      <c r="D20">
        <f t="shared" si="5"/>
        <v>184</v>
      </c>
      <c r="E20">
        <v>232</v>
      </c>
      <c r="F20">
        <v>228</v>
      </c>
      <c r="G20">
        <v>107</v>
      </c>
      <c r="H20">
        <f t="shared" si="6"/>
        <v>232</v>
      </c>
      <c r="I20">
        <f t="shared" si="6"/>
        <v>436</v>
      </c>
      <c r="J20">
        <f t="shared" si="6"/>
        <v>291</v>
      </c>
      <c r="K20" t="str">
        <f t="shared" si="0"/>
        <v>trus_porz</v>
      </c>
      <c r="L20">
        <f t="shared" si="1"/>
        <v>0</v>
      </c>
      <c r="M20">
        <f t="shared" si="2"/>
        <v>291</v>
      </c>
      <c r="N20">
        <f t="shared" si="3"/>
        <v>291</v>
      </c>
      <c r="O20">
        <f t="shared" si="4"/>
        <v>232</v>
      </c>
      <c r="P20">
        <f t="shared" si="4"/>
        <v>145</v>
      </c>
      <c r="Q20">
        <f t="shared" si="4"/>
        <v>0</v>
      </c>
      <c r="U20" t="s">
        <v>22</v>
      </c>
      <c r="V20">
        <v>345</v>
      </c>
      <c r="W20">
        <v>345</v>
      </c>
      <c r="X20">
        <v>0</v>
      </c>
      <c r="Y20">
        <f t="shared" si="7"/>
        <v>345</v>
      </c>
      <c r="AA20" t="s">
        <v>22</v>
      </c>
      <c r="AB20">
        <v>345</v>
      </c>
      <c r="AC20">
        <f t="shared" si="8"/>
        <v>345</v>
      </c>
    </row>
    <row r="21" spans="1:29" x14ac:dyDescent="0.25">
      <c r="A21" s="1">
        <v>43970</v>
      </c>
      <c r="B21">
        <f t="shared" si="5"/>
        <v>232</v>
      </c>
      <c r="C21">
        <f t="shared" si="5"/>
        <v>145</v>
      </c>
      <c r="D21">
        <f t="shared" si="5"/>
        <v>0</v>
      </c>
      <c r="E21">
        <v>238</v>
      </c>
      <c r="F21">
        <v>394</v>
      </c>
      <c r="G21">
        <v>105</v>
      </c>
      <c r="H21">
        <f t="shared" si="6"/>
        <v>470</v>
      </c>
      <c r="I21">
        <f t="shared" si="6"/>
        <v>539</v>
      </c>
      <c r="J21">
        <f t="shared" si="6"/>
        <v>105</v>
      </c>
      <c r="K21" t="str">
        <f t="shared" si="0"/>
        <v>mal_trus</v>
      </c>
      <c r="L21">
        <f t="shared" si="1"/>
        <v>470</v>
      </c>
      <c r="M21">
        <f t="shared" si="2"/>
        <v>470</v>
      </c>
      <c r="N21">
        <f t="shared" si="3"/>
        <v>0</v>
      </c>
      <c r="O21">
        <f t="shared" si="4"/>
        <v>0</v>
      </c>
      <c r="P21">
        <f t="shared" si="4"/>
        <v>69</v>
      </c>
      <c r="Q21">
        <f t="shared" si="4"/>
        <v>105</v>
      </c>
      <c r="U21" t="s">
        <v>25</v>
      </c>
      <c r="V21">
        <v>0</v>
      </c>
      <c r="W21">
        <v>291</v>
      </c>
      <c r="X21">
        <v>291</v>
      </c>
      <c r="Y21">
        <f t="shared" si="7"/>
        <v>291</v>
      </c>
      <c r="AA21" t="s">
        <v>25</v>
      </c>
      <c r="AB21">
        <v>291</v>
      </c>
      <c r="AC21">
        <f t="shared" si="8"/>
        <v>0</v>
      </c>
    </row>
    <row r="22" spans="1:29" x14ac:dyDescent="0.25">
      <c r="A22" s="1">
        <v>43971</v>
      </c>
      <c r="B22">
        <f t="shared" si="5"/>
        <v>0</v>
      </c>
      <c r="C22">
        <f t="shared" si="5"/>
        <v>69</v>
      </c>
      <c r="D22">
        <f t="shared" si="5"/>
        <v>105</v>
      </c>
      <c r="E22">
        <v>378</v>
      </c>
      <c r="F22">
        <v>311</v>
      </c>
      <c r="G22">
        <v>110</v>
      </c>
      <c r="H22">
        <f t="shared" si="6"/>
        <v>378</v>
      </c>
      <c r="I22">
        <f t="shared" si="6"/>
        <v>380</v>
      </c>
      <c r="J22">
        <f t="shared" si="6"/>
        <v>215</v>
      </c>
      <c r="K22" t="str">
        <f t="shared" si="0"/>
        <v>mal_trus</v>
      </c>
      <c r="L22">
        <f t="shared" si="1"/>
        <v>378</v>
      </c>
      <c r="M22">
        <f t="shared" si="2"/>
        <v>378</v>
      </c>
      <c r="N22">
        <f t="shared" si="3"/>
        <v>0</v>
      </c>
      <c r="O22">
        <f t="shared" si="4"/>
        <v>0</v>
      </c>
      <c r="P22">
        <f t="shared" si="4"/>
        <v>2</v>
      </c>
      <c r="Q22">
        <f t="shared" si="4"/>
        <v>215</v>
      </c>
      <c r="U22" t="s">
        <v>22</v>
      </c>
      <c r="V22">
        <v>470</v>
      </c>
      <c r="W22">
        <v>470</v>
      </c>
      <c r="X22">
        <v>0</v>
      </c>
      <c r="Y22">
        <f t="shared" si="7"/>
        <v>470</v>
      </c>
      <c r="AA22" t="s">
        <v>22</v>
      </c>
      <c r="AB22">
        <v>470</v>
      </c>
      <c r="AC22">
        <f t="shared" si="8"/>
        <v>470</v>
      </c>
    </row>
    <row r="23" spans="1:29" x14ac:dyDescent="0.25">
      <c r="A23" s="1">
        <v>43972</v>
      </c>
      <c r="B23">
        <f t="shared" si="5"/>
        <v>0</v>
      </c>
      <c r="C23">
        <f t="shared" si="5"/>
        <v>2</v>
      </c>
      <c r="D23">
        <f t="shared" si="5"/>
        <v>215</v>
      </c>
      <c r="E23">
        <v>281</v>
      </c>
      <c r="F23">
        <v>354</v>
      </c>
      <c r="G23">
        <v>121</v>
      </c>
      <c r="H23">
        <f t="shared" si="6"/>
        <v>281</v>
      </c>
      <c r="I23">
        <f t="shared" si="6"/>
        <v>356</v>
      </c>
      <c r="J23">
        <f t="shared" si="6"/>
        <v>336</v>
      </c>
      <c r="K23" t="str">
        <f t="shared" si="0"/>
        <v>trus_porz</v>
      </c>
      <c r="L23">
        <f t="shared" si="1"/>
        <v>0</v>
      </c>
      <c r="M23">
        <f t="shared" si="2"/>
        <v>336</v>
      </c>
      <c r="N23">
        <f t="shared" si="3"/>
        <v>336</v>
      </c>
      <c r="O23">
        <f t="shared" si="4"/>
        <v>281</v>
      </c>
      <c r="P23">
        <f t="shared" si="4"/>
        <v>20</v>
      </c>
      <c r="Q23">
        <f t="shared" si="4"/>
        <v>0</v>
      </c>
      <c r="U23" t="s">
        <v>22</v>
      </c>
      <c r="V23">
        <v>378</v>
      </c>
      <c r="W23">
        <v>378</v>
      </c>
      <c r="X23">
        <v>0</v>
      </c>
      <c r="Y23">
        <f t="shared" si="7"/>
        <v>378</v>
      </c>
      <c r="AA23" t="s">
        <v>22</v>
      </c>
      <c r="AB23">
        <v>378</v>
      </c>
      <c r="AC23">
        <f t="shared" si="8"/>
        <v>378</v>
      </c>
    </row>
    <row r="24" spans="1:29" x14ac:dyDescent="0.25">
      <c r="A24" s="1">
        <v>43973</v>
      </c>
      <c r="B24">
        <f t="shared" si="5"/>
        <v>281</v>
      </c>
      <c r="C24">
        <f t="shared" si="5"/>
        <v>20</v>
      </c>
      <c r="D24">
        <f t="shared" si="5"/>
        <v>0</v>
      </c>
      <c r="E24">
        <v>390</v>
      </c>
      <c r="F24">
        <v>267</v>
      </c>
      <c r="G24">
        <v>124</v>
      </c>
      <c r="H24">
        <f t="shared" si="6"/>
        <v>671</v>
      </c>
      <c r="I24">
        <f t="shared" si="6"/>
        <v>287</v>
      </c>
      <c r="J24">
        <f t="shared" si="6"/>
        <v>124</v>
      </c>
      <c r="K24" t="str">
        <f t="shared" si="0"/>
        <v>mal_trus</v>
      </c>
      <c r="L24">
        <f t="shared" si="1"/>
        <v>287</v>
      </c>
      <c r="M24">
        <f t="shared" si="2"/>
        <v>287</v>
      </c>
      <c r="N24">
        <f t="shared" si="3"/>
        <v>0</v>
      </c>
      <c r="O24">
        <f t="shared" si="4"/>
        <v>384</v>
      </c>
      <c r="P24">
        <f t="shared" si="4"/>
        <v>0</v>
      </c>
      <c r="Q24">
        <f t="shared" si="4"/>
        <v>124</v>
      </c>
      <c r="U24" t="s">
        <v>25</v>
      </c>
      <c r="V24">
        <v>0</v>
      </c>
      <c r="W24">
        <v>336</v>
      </c>
      <c r="X24">
        <v>336</v>
      </c>
      <c r="Y24">
        <f t="shared" si="7"/>
        <v>336</v>
      </c>
      <c r="AA24" t="s">
        <v>25</v>
      </c>
      <c r="AB24">
        <v>336</v>
      </c>
      <c r="AC24">
        <f t="shared" si="8"/>
        <v>0</v>
      </c>
    </row>
    <row r="25" spans="1:29" x14ac:dyDescent="0.25">
      <c r="A25" s="1">
        <v>43974</v>
      </c>
      <c r="B25">
        <f t="shared" si="5"/>
        <v>384</v>
      </c>
      <c r="C25">
        <f t="shared" si="5"/>
        <v>0</v>
      </c>
      <c r="D25">
        <f t="shared" si="5"/>
        <v>124</v>
      </c>
      <c r="E25">
        <v>308</v>
      </c>
      <c r="F25">
        <v>337</v>
      </c>
      <c r="G25">
        <v>105</v>
      </c>
      <c r="H25">
        <f t="shared" si="6"/>
        <v>692</v>
      </c>
      <c r="I25">
        <f t="shared" si="6"/>
        <v>337</v>
      </c>
      <c r="J25">
        <f t="shared" si="6"/>
        <v>229</v>
      </c>
      <c r="K25" t="str">
        <f t="shared" si="0"/>
        <v>mal_trus</v>
      </c>
      <c r="L25">
        <f t="shared" si="1"/>
        <v>337</v>
      </c>
      <c r="M25">
        <f t="shared" si="2"/>
        <v>337</v>
      </c>
      <c r="N25">
        <f t="shared" si="3"/>
        <v>0</v>
      </c>
      <c r="O25">
        <f t="shared" si="4"/>
        <v>355</v>
      </c>
      <c r="P25">
        <f t="shared" si="4"/>
        <v>0</v>
      </c>
      <c r="Q25">
        <f t="shared" si="4"/>
        <v>229</v>
      </c>
      <c r="U25" t="s">
        <v>22</v>
      </c>
      <c r="V25">
        <v>287</v>
      </c>
      <c r="W25">
        <v>287</v>
      </c>
      <c r="X25">
        <v>0</v>
      </c>
      <c r="Y25">
        <f t="shared" si="7"/>
        <v>287</v>
      </c>
      <c r="AA25" t="s">
        <v>22</v>
      </c>
      <c r="AB25">
        <v>287</v>
      </c>
      <c r="AC25">
        <f t="shared" si="8"/>
        <v>287</v>
      </c>
    </row>
    <row r="26" spans="1:29" x14ac:dyDescent="0.25">
      <c r="A26" s="1">
        <v>43975</v>
      </c>
      <c r="B26">
        <f t="shared" si="5"/>
        <v>355</v>
      </c>
      <c r="C26">
        <f t="shared" si="5"/>
        <v>0</v>
      </c>
      <c r="D26">
        <f t="shared" si="5"/>
        <v>229</v>
      </c>
      <c r="E26">
        <v>391</v>
      </c>
      <c r="F26">
        <v>238</v>
      </c>
      <c r="G26">
        <v>113</v>
      </c>
      <c r="H26">
        <f t="shared" si="6"/>
        <v>746</v>
      </c>
      <c r="I26">
        <f t="shared" si="6"/>
        <v>238</v>
      </c>
      <c r="J26">
        <f t="shared" si="6"/>
        <v>342</v>
      </c>
      <c r="K26" t="str">
        <f t="shared" si="0"/>
        <v>mal_porz</v>
      </c>
      <c r="L26">
        <f t="shared" si="1"/>
        <v>342</v>
      </c>
      <c r="M26">
        <f t="shared" si="2"/>
        <v>0</v>
      </c>
      <c r="N26">
        <f t="shared" si="3"/>
        <v>342</v>
      </c>
      <c r="O26">
        <f t="shared" si="4"/>
        <v>404</v>
      </c>
      <c r="P26">
        <f t="shared" si="4"/>
        <v>238</v>
      </c>
      <c r="Q26">
        <f t="shared" si="4"/>
        <v>0</v>
      </c>
      <c r="U26" t="s">
        <v>22</v>
      </c>
      <c r="V26">
        <v>337</v>
      </c>
      <c r="W26">
        <v>337</v>
      </c>
      <c r="X26">
        <v>0</v>
      </c>
      <c r="Y26">
        <f t="shared" si="7"/>
        <v>337</v>
      </c>
      <c r="AA26" t="s">
        <v>22</v>
      </c>
      <c r="AB26">
        <v>337</v>
      </c>
      <c r="AC26">
        <f t="shared" si="8"/>
        <v>337</v>
      </c>
    </row>
    <row r="27" spans="1:29" x14ac:dyDescent="0.25">
      <c r="A27" s="1">
        <v>43976</v>
      </c>
      <c r="B27">
        <f t="shared" si="5"/>
        <v>404</v>
      </c>
      <c r="C27">
        <f t="shared" si="5"/>
        <v>238</v>
      </c>
      <c r="D27">
        <f t="shared" si="5"/>
        <v>0</v>
      </c>
      <c r="E27">
        <v>241</v>
      </c>
      <c r="F27">
        <v>283</v>
      </c>
      <c r="G27">
        <v>140</v>
      </c>
      <c r="H27">
        <f t="shared" si="6"/>
        <v>645</v>
      </c>
      <c r="I27">
        <f t="shared" si="6"/>
        <v>521</v>
      </c>
      <c r="J27">
        <f t="shared" si="6"/>
        <v>140</v>
      </c>
      <c r="K27" t="str">
        <f t="shared" si="0"/>
        <v>mal_trus</v>
      </c>
      <c r="L27">
        <f t="shared" si="1"/>
        <v>521</v>
      </c>
      <c r="M27">
        <f t="shared" si="2"/>
        <v>521</v>
      </c>
      <c r="N27">
        <f t="shared" si="3"/>
        <v>0</v>
      </c>
      <c r="O27">
        <f t="shared" si="4"/>
        <v>124</v>
      </c>
      <c r="P27">
        <f t="shared" si="4"/>
        <v>0</v>
      </c>
      <c r="Q27">
        <f t="shared" si="4"/>
        <v>140</v>
      </c>
      <c r="U27" t="s">
        <v>23</v>
      </c>
      <c r="V27">
        <v>342</v>
      </c>
      <c r="W27">
        <v>0</v>
      </c>
      <c r="X27">
        <v>342</v>
      </c>
      <c r="Y27">
        <f t="shared" si="7"/>
        <v>342</v>
      </c>
      <c r="AA27" t="s">
        <v>23</v>
      </c>
      <c r="AB27">
        <v>342</v>
      </c>
      <c r="AC27">
        <f t="shared" si="8"/>
        <v>0</v>
      </c>
    </row>
    <row r="28" spans="1:29" x14ac:dyDescent="0.25">
      <c r="A28" s="1">
        <v>43977</v>
      </c>
      <c r="B28">
        <f t="shared" si="5"/>
        <v>124</v>
      </c>
      <c r="C28">
        <f t="shared" si="5"/>
        <v>0</v>
      </c>
      <c r="D28">
        <f t="shared" si="5"/>
        <v>140</v>
      </c>
      <c r="E28">
        <v>249</v>
      </c>
      <c r="F28">
        <v>275</v>
      </c>
      <c r="G28">
        <v>118</v>
      </c>
      <c r="H28">
        <f t="shared" si="6"/>
        <v>373</v>
      </c>
      <c r="I28">
        <f t="shared" si="6"/>
        <v>275</v>
      </c>
      <c r="J28">
        <f t="shared" si="6"/>
        <v>258</v>
      </c>
      <c r="K28" t="str">
        <f t="shared" si="0"/>
        <v>mal_trus</v>
      </c>
      <c r="L28">
        <f t="shared" si="1"/>
        <v>275</v>
      </c>
      <c r="M28">
        <f t="shared" si="2"/>
        <v>275</v>
      </c>
      <c r="N28">
        <f t="shared" si="3"/>
        <v>0</v>
      </c>
      <c r="O28">
        <f t="shared" si="4"/>
        <v>98</v>
      </c>
      <c r="P28">
        <f t="shared" si="4"/>
        <v>0</v>
      </c>
      <c r="Q28">
        <f t="shared" si="4"/>
        <v>258</v>
      </c>
      <c r="U28" t="s">
        <v>22</v>
      </c>
      <c r="V28">
        <v>521</v>
      </c>
      <c r="W28">
        <v>521</v>
      </c>
      <c r="X28">
        <v>0</v>
      </c>
      <c r="Y28">
        <f t="shared" si="7"/>
        <v>521</v>
      </c>
      <c r="AA28" t="s">
        <v>22</v>
      </c>
      <c r="AB28">
        <v>521</v>
      </c>
      <c r="AC28">
        <f t="shared" si="8"/>
        <v>521</v>
      </c>
    </row>
    <row r="29" spans="1:29" x14ac:dyDescent="0.25">
      <c r="A29" s="1">
        <v>43978</v>
      </c>
      <c r="B29">
        <f t="shared" si="5"/>
        <v>98</v>
      </c>
      <c r="C29">
        <f t="shared" si="5"/>
        <v>0</v>
      </c>
      <c r="D29">
        <f t="shared" si="5"/>
        <v>258</v>
      </c>
      <c r="E29">
        <v>298</v>
      </c>
      <c r="F29">
        <v>263</v>
      </c>
      <c r="G29">
        <v>145</v>
      </c>
      <c r="H29">
        <f t="shared" si="6"/>
        <v>396</v>
      </c>
      <c r="I29">
        <f t="shared" si="6"/>
        <v>263</v>
      </c>
      <c r="J29">
        <f t="shared" si="6"/>
        <v>403</v>
      </c>
      <c r="K29" t="str">
        <f t="shared" si="0"/>
        <v>mal_porz</v>
      </c>
      <c r="L29">
        <f t="shared" si="1"/>
        <v>396</v>
      </c>
      <c r="M29">
        <f t="shared" si="2"/>
        <v>0</v>
      </c>
      <c r="N29">
        <f t="shared" si="3"/>
        <v>396</v>
      </c>
      <c r="O29">
        <f t="shared" si="4"/>
        <v>0</v>
      </c>
      <c r="P29">
        <f t="shared" si="4"/>
        <v>263</v>
      </c>
      <c r="Q29">
        <f t="shared" si="4"/>
        <v>7</v>
      </c>
      <c r="U29" t="s">
        <v>22</v>
      </c>
      <c r="V29">
        <v>275</v>
      </c>
      <c r="W29">
        <v>275</v>
      </c>
      <c r="X29">
        <v>0</v>
      </c>
      <c r="Y29">
        <f t="shared" si="7"/>
        <v>275</v>
      </c>
      <c r="AA29" t="s">
        <v>22</v>
      </c>
      <c r="AB29">
        <v>275</v>
      </c>
      <c r="AC29">
        <f t="shared" si="8"/>
        <v>275</v>
      </c>
    </row>
    <row r="30" spans="1:29" x14ac:dyDescent="0.25">
      <c r="A30" s="1">
        <v>43979</v>
      </c>
      <c r="B30">
        <f t="shared" si="5"/>
        <v>0</v>
      </c>
      <c r="C30">
        <f t="shared" si="5"/>
        <v>263</v>
      </c>
      <c r="D30">
        <f t="shared" si="5"/>
        <v>7</v>
      </c>
      <c r="E30">
        <v>254</v>
      </c>
      <c r="F30">
        <v>241</v>
      </c>
      <c r="G30">
        <v>149</v>
      </c>
      <c r="H30">
        <f t="shared" si="6"/>
        <v>254</v>
      </c>
      <c r="I30">
        <f t="shared" si="6"/>
        <v>504</v>
      </c>
      <c r="J30">
        <f t="shared" si="6"/>
        <v>156</v>
      </c>
      <c r="K30" t="str">
        <f t="shared" si="0"/>
        <v>mal_trus</v>
      </c>
      <c r="L30">
        <f t="shared" si="1"/>
        <v>254</v>
      </c>
      <c r="M30">
        <f t="shared" si="2"/>
        <v>254</v>
      </c>
      <c r="N30">
        <f t="shared" si="3"/>
        <v>0</v>
      </c>
      <c r="O30">
        <f t="shared" si="4"/>
        <v>0</v>
      </c>
      <c r="P30">
        <f t="shared" si="4"/>
        <v>250</v>
      </c>
      <c r="Q30">
        <f t="shared" si="4"/>
        <v>156</v>
      </c>
      <c r="U30" t="s">
        <v>23</v>
      </c>
      <c r="V30">
        <v>396</v>
      </c>
      <c r="W30">
        <v>0</v>
      </c>
      <c r="X30">
        <v>396</v>
      </c>
      <c r="Y30">
        <f t="shared" si="7"/>
        <v>396</v>
      </c>
      <c r="AA30" t="s">
        <v>23</v>
      </c>
      <c r="AB30">
        <v>396</v>
      </c>
      <c r="AC30">
        <f t="shared" si="8"/>
        <v>0</v>
      </c>
    </row>
    <row r="31" spans="1:29" x14ac:dyDescent="0.25">
      <c r="A31" s="1">
        <v>43980</v>
      </c>
      <c r="B31">
        <f t="shared" si="5"/>
        <v>0</v>
      </c>
      <c r="C31">
        <f t="shared" si="5"/>
        <v>250</v>
      </c>
      <c r="D31">
        <f t="shared" si="5"/>
        <v>156</v>
      </c>
      <c r="E31">
        <v>329</v>
      </c>
      <c r="F31">
        <v>323</v>
      </c>
      <c r="G31">
        <v>134</v>
      </c>
      <c r="H31">
        <f t="shared" si="6"/>
        <v>329</v>
      </c>
      <c r="I31">
        <f t="shared" si="6"/>
        <v>573</v>
      </c>
      <c r="J31">
        <f t="shared" si="6"/>
        <v>290</v>
      </c>
      <c r="K31" t="str">
        <f t="shared" si="0"/>
        <v>mal_trus</v>
      </c>
      <c r="L31">
        <f t="shared" si="1"/>
        <v>329</v>
      </c>
      <c r="M31">
        <f t="shared" si="2"/>
        <v>329</v>
      </c>
      <c r="N31">
        <f t="shared" si="3"/>
        <v>0</v>
      </c>
      <c r="O31">
        <f t="shared" si="4"/>
        <v>0</v>
      </c>
      <c r="P31">
        <f t="shared" si="4"/>
        <v>244</v>
      </c>
      <c r="Q31">
        <f t="shared" si="4"/>
        <v>290</v>
      </c>
      <c r="U31" t="s">
        <v>22</v>
      </c>
      <c r="V31">
        <v>254</v>
      </c>
      <c r="W31">
        <v>254</v>
      </c>
      <c r="X31">
        <v>0</v>
      </c>
      <c r="Y31">
        <f t="shared" si="7"/>
        <v>254</v>
      </c>
      <c r="AA31" t="s">
        <v>22</v>
      </c>
      <c r="AB31">
        <v>254</v>
      </c>
      <c r="AC31">
        <f t="shared" si="8"/>
        <v>254</v>
      </c>
    </row>
    <row r="32" spans="1:29" x14ac:dyDescent="0.25">
      <c r="A32" s="1">
        <v>43981</v>
      </c>
      <c r="B32">
        <f t="shared" si="5"/>
        <v>0</v>
      </c>
      <c r="C32">
        <f t="shared" si="5"/>
        <v>244</v>
      </c>
      <c r="D32">
        <f t="shared" si="5"/>
        <v>290</v>
      </c>
      <c r="E32">
        <v>213</v>
      </c>
      <c r="F32">
        <v>221</v>
      </c>
      <c r="G32">
        <v>119</v>
      </c>
      <c r="H32">
        <f t="shared" si="6"/>
        <v>213</v>
      </c>
      <c r="I32">
        <f t="shared" si="6"/>
        <v>465</v>
      </c>
      <c r="J32">
        <f t="shared" si="6"/>
        <v>409</v>
      </c>
      <c r="K32" t="str">
        <f t="shared" si="0"/>
        <v>trus_porz</v>
      </c>
      <c r="L32">
        <f t="shared" si="1"/>
        <v>0</v>
      </c>
      <c r="M32">
        <f t="shared" si="2"/>
        <v>409</v>
      </c>
      <c r="N32">
        <f t="shared" si="3"/>
        <v>409</v>
      </c>
      <c r="O32">
        <f t="shared" si="4"/>
        <v>213</v>
      </c>
      <c r="P32">
        <f t="shared" si="4"/>
        <v>56</v>
      </c>
      <c r="Q32">
        <f t="shared" si="4"/>
        <v>0</v>
      </c>
      <c r="U32" t="s">
        <v>22</v>
      </c>
      <c r="V32">
        <v>329</v>
      </c>
      <c r="W32">
        <v>329</v>
      </c>
      <c r="X32">
        <v>0</v>
      </c>
      <c r="Y32">
        <f t="shared" si="7"/>
        <v>329</v>
      </c>
      <c r="AA32" t="s">
        <v>22</v>
      </c>
      <c r="AB32">
        <v>329</v>
      </c>
      <c r="AC32">
        <f t="shared" si="8"/>
        <v>329</v>
      </c>
    </row>
    <row r="33" spans="1:29" x14ac:dyDescent="0.25">
      <c r="A33" s="1">
        <v>43982</v>
      </c>
      <c r="B33">
        <f t="shared" si="5"/>
        <v>213</v>
      </c>
      <c r="C33">
        <f t="shared" si="5"/>
        <v>56</v>
      </c>
      <c r="D33">
        <f t="shared" si="5"/>
        <v>0</v>
      </c>
      <c r="E33">
        <v>294</v>
      </c>
      <c r="F33">
        <v>326</v>
      </c>
      <c r="G33">
        <v>145</v>
      </c>
      <c r="H33">
        <f t="shared" si="6"/>
        <v>507</v>
      </c>
      <c r="I33">
        <f t="shared" si="6"/>
        <v>382</v>
      </c>
      <c r="J33">
        <f t="shared" si="6"/>
        <v>145</v>
      </c>
      <c r="K33" t="str">
        <f t="shared" si="0"/>
        <v>mal_trus</v>
      </c>
      <c r="L33">
        <f t="shared" si="1"/>
        <v>382</v>
      </c>
      <c r="M33">
        <f t="shared" si="2"/>
        <v>382</v>
      </c>
      <c r="N33">
        <f t="shared" si="3"/>
        <v>0</v>
      </c>
      <c r="O33">
        <f t="shared" si="4"/>
        <v>125</v>
      </c>
      <c r="P33">
        <f t="shared" si="4"/>
        <v>0</v>
      </c>
      <c r="Q33">
        <f t="shared" si="4"/>
        <v>145</v>
      </c>
      <c r="U33" t="s">
        <v>25</v>
      </c>
      <c r="V33">
        <v>0</v>
      </c>
      <c r="W33">
        <v>409</v>
      </c>
      <c r="X33">
        <v>409</v>
      </c>
      <c r="Y33">
        <f t="shared" si="7"/>
        <v>409</v>
      </c>
      <c r="AA33" t="s">
        <v>25</v>
      </c>
      <c r="AB33">
        <v>409</v>
      </c>
      <c r="AC33">
        <f t="shared" si="8"/>
        <v>0</v>
      </c>
    </row>
    <row r="34" spans="1:29" x14ac:dyDescent="0.25">
      <c r="A34" s="1">
        <v>43983</v>
      </c>
      <c r="B34">
        <f t="shared" si="5"/>
        <v>125</v>
      </c>
      <c r="C34">
        <f t="shared" si="5"/>
        <v>0</v>
      </c>
      <c r="D34">
        <f t="shared" si="5"/>
        <v>145</v>
      </c>
      <c r="E34">
        <v>225</v>
      </c>
      <c r="F34">
        <v>206</v>
      </c>
      <c r="G34">
        <v>122</v>
      </c>
      <c r="H34">
        <f t="shared" si="6"/>
        <v>350</v>
      </c>
      <c r="I34">
        <f t="shared" si="6"/>
        <v>206</v>
      </c>
      <c r="J34">
        <f t="shared" si="6"/>
        <v>267</v>
      </c>
      <c r="K34" t="str">
        <f t="shared" si="0"/>
        <v>mal_porz</v>
      </c>
      <c r="L34">
        <f t="shared" si="1"/>
        <v>267</v>
      </c>
      <c r="M34">
        <f t="shared" si="2"/>
        <v>0</v>
      </c>
      <c r="N34">
        <f t="shared" si="3"/>
        <v>267</v>
      </c>
      <c r="O34">
        <f t="shared" si="4"/>
        <v>83</v>
      </c>
      <c r="P34">
        <f t="shared" si="4"/>
        <v>206</v>
      </c>
      <c r="Q34">
        <f t="shared" si="4"/>
        <v>0</v>
      </c>
      <c r="U34" t="s">
        <v>22</v>
      </c>
      <c r="V34">
        <v>382</v>
      </c>
      <c r="W34">
        <v>382</v>
      </c>
      <c r="X34">
        <v>0</v>
      </c>
      <c r="Y34">
        <f t="shared" si="7"/>
        <v>382</v>
      </c>
      <c r="AA34" t="s">
        <v>22</v>
      </c>
      <c r="AB34">
        <v>382</v>
      </c>
      <c r="AC34">
        <f t="shared" si="8"/>
        <v>382</v>
      </c>
    </row>
    <row r="35" spans="1:29" x14ac:dyDescent="0.25">
      <c r="A35" s="1">
        <v>43984</v>
      </c>
      <c r="B35">
        <f t="shared" si="5"/>
        <v>83</v>
      </c>
      <c r="C35">
        <f t="shared" si="5"/>
        <v>206</v>
      </c>
      <c r="D35">
        <f t="shared" si="5"/>
        <v>0</v>
      </c>
      <c r="E35">
        <v>264</v>
      </c>
      <c r="F35">
        <v>355</v>
      </c>
      <c r="G35">
        <v>134</v>
      </c>
      <c r="H35">
        <f t="shared" si="6"/>
        <v>347</v>
      </c>
      <c r="I35">
        <f t="shared" si="6"/>
        <v>561</v>
      </c>
      <c r="J35">
        <f t="shared" si="6"/>
        <v>134</v>
      </c>
      <c r="K35" t="str">
        <f t="shared" si="0"/>
        <v>mal_trus</v>
      </c>
      <c r="L35">
        <f t="shared" si="1"/>
        <v>347</v>
      </c>
      <c r="M35">
        <f t="shared" si="2"/>
        <v>347</v>
      </c>
      <c r="N35">
        <f t="shared" si="3"/>
        <v>0</v>
      </c>
      <c r="O35">
        <f t="shared" si="4"/>
        <v>0</v>
      </c>
      <c r="P35">
        <f t="shared" si="4"/>
        <v>214</v>
      </c>
      <c r="Q35">
        <f t="shared" si="4"/>
        <v>134</v>
      </c>
      <c r="U35" t="s">
        <v>23</v>
      </c>
      <c r="V35">
        <v>267</v>
      </c>
      <c r="W35">
        <v>0</v>
      </c>
      <c r="X35">
        <v>267</v>
      </c>
      <c r="Y35">
        <f t="shared" si="7"/>
        <v>267</v>
      </c>
      <c r="AA35" t="s">
        <v>23</v>
      </c>
      <c r="AB35">
        <v>267</v>
      </c>
      <c r="AC35">
        <f t="shared" si="8"/>
        <v>0</v>
      </c>
    </row>
    <row r="36" spans="1:29" x14ac:dyDescent="0.25">
      <c r="A36" s="1">
        <v>43985</v>
      </c>
      <c r="B36">
        <f t="shared" si="5"/>
        <v>0</v>
      </c>
      <c r="C36">
        <f t="shared" si="5"/>
        <v>214</v>
      </c>
      <c r="D36">
        <f t="shared" si="5"/>
        <v>134</v>
      </c>
      <c r="E36">
        <v>253</v>
      </c>
      <c r="F36">
        <v>271</v>
      </c>
      <c r="G36">
        <v>142</v>
      </c>
      <c r="H36">
        <f t="shared" si="6"/>
        <v>253</v>
      </c>
      <c r="I36">
        <f t="shared" si="6"/>
        <v>485</v>
      </c>
      <c r="J36">
        <f t="shared" si="6"/>
        <v>276</v>
      </c>
      <c r="K36" t="str">
        <f t="shared" si="0"/>
        <v>trus_porz</v>
      </c>
      <c r="L36">
        <f t="shared" si="1"/>
        <v>0</v>
      </c>
      <c r="M36">
        <f t="shared" si="2"/>
        <v>276</v>
      </c>
      <c r="N36">
        <f t="shared" si="3"/>
        <v>276</v>
      </c>
      <c r="O36">
        <f t="shared" si="4"/>
        <v>253</v>
      </c>
      <c r="P36">
        <f t="shared" si="4"/>
        <v>209</v>
      </c>
      <c r="Q36">
        <f t="shared" si="4"/>
        <v>0</v>
      </c>
      <c r="U36" t="s">
        <v>22</v>
      </c>
      <c r="V36">
        <v>347</v>
      </c>
      <c r="W36">
        <v>347</v>
      </c>
      <c r="X36">
        <v>0</v>
      </c>
      <c r="Y36">
        <f t="shared" si="7"/>
        <v>347</v>
      </c>
      <c r="AA36" t="s">
        <v>22</v>
      </c>
      <c r="AB36">
        <v>347</v>
      </c>
      <c r="AC36">
        <f t="shared" si="8"/>
        <v>347</v>
      </c>
    </row>
    <row r="37" spans="1:29" x14ac:dyDescent="0.25">
      <c r="A37" s="1">
        <v>43986</v>
      </c>
      <c r="B37">
        <f t="shared" si="5"/>
        <v>253</v>
      </c>
      <c r="C37">
        <f t="shared" si="5"/>
        <v>209</v>
      </c>
      <c r="D37">
        <f t="shared" si="5"/>
        <v>0</v>
      </c>
      <c r="E37">
        <v>352</v>
      </c>
      <c r="F37">
        <v>207</v>
      </c>
      <c r="G37">
        <v>125</v>
      </c>
      <c r="H37">
        <f t="shared" si="6"/>
        <v>605</v>
      </c>
      <c r="I37">
        <f t="shared" si="6"/>
        <v>416</v>
      </c>
      <c r="J37">
        <f t="shared" si="6"/>
        <v>125</v>
      </c>
      <c r="K37" t="str">
        <f t="shared" si="0"/>
        <v>mal_trus</v>
      </c>
      <c r="L37">
        <f t="shared" si="1"/>
        <v>416</v>
      </c>
      <c r="M37">
        <f t="shared" si="2"/>
        <v>416</v>
      </c>
      <c r="N37">
        <f t="shared" si="3"/>
        <v>0</v>
      </c>
      <c r="O37">
        <f t="shared" si="4"/>
        <v>189</v>
      </c>
      <c r="P37">
        <f t="shared" si="4"/>
        <v>0</v>
      </c>
      <c r="Q37">
        <f t="shared" si="4"/>
        <v>125</v>
      </c>
      <c r="U37" t="s">
        <v>25</v>
      </c>
      <c r="V37">
        <v>0</v>
      </c>
      <c r="W37">
        <v>276</v>
      </c>
      <c r="X37">
        <v>276</v>
      </c>
      <c r="Y37">
        <f t="shared" si="7"/>
        <v>276</v>
      </c>
      <c r="AA37" t="s">
        <v>25</v>
      </c>
      <c r="AB37">
        <v>276</v>
      </c>
      <c r="AC37">
        <f t="shared" si="8"/>
        <v>0</v>
      </c>
    </row>
    <row r="38" spans="1:29" x14ac:dyDescent="0.25">
      <c r="A38" s="1">
        <v>43987</v>
      </c>
      <c r="B38">
        <f t="shared" si="5"/>
        <v>189</v>
      </c>
      <c r="C38">
        <f t="shared" si="5"/>
        <v>0</v>
      </c>
      <c r="D38">
        <f t="shared" si="5"/>
        <v>125</v>
      </c>
      <c r="E38">
        <v>269</v>
      </c>
      <c r="F38">
        <v>248</v>
      </c>
      <c r="G38">
        <v>137</v>
      </c>
      <c r="H38">
        <f t="shared" si="6"/>
        <v>458</v>
      </c>
      <c r="I38">
        <f t="shared" si="6"/>
        <v>248</v>
      </c>
      <c r="J38">
        <f t="shared" si="6"/>
        <v>262</v>
      </c>
      <c r="K38" t="str">
        <f t="shared" si="0"/>
        <v>mal_porz</v>
      </c>
      <c r="L38">
        <f t="shared" si="1"/>
        <v>262</v>
      </c>
      <c r="M38">
        <f t="shared" si="2"/>
        <v>0</v>
      </c>
      <c r="N38">
        <f t="shared" si="3"/>
        <v>262</v>
      </c>
      <c r="O38">
        <f t="shared" si="4"/>
        <v>196</v>
      </c>
      <c r="P38">
        <f t="shared" si="4"/>
        <v>248</v>
      </c>
      <c r="Q38">
        <f t="shared" si="4"/>
        <v>0</v>
      </c>
      <c r="U38" t="s">
        <v>22</v>
      </c>
      <c r="V38">
        <v>416</v>
      </c>
      <c r="W38">
        <v>416</v>
      </c>
      <c r="X38">
        <v>0</v>
      </c>
      <c r="Y38">
        <f t="shared" si="7"/>
        <v>416</v>
      </c>
      <c r="AA38" t="s">
        <v>22</v>
      </c>
      <c r="AB38">
        <v>416</v>
      </c>
      <c r="AC38">
        <f t="shared" si="8"/>
        <v>416</v>
      </c>
    </row>
    <row r="39" spans="1:29" x14ac:dyDescent="0.25">
      <c r="A39" s="1">
        <v>43988</v>
      </c>
      <c r="B39">
        <f t="shared" si="5"/>
        <v>196</v>
      </c>
      <c r="C39">
        <f t="shared" si="5"/>
        <v>248</v>
      </c>
      <c r="D39">
        <f t="shared" si="5"/>
        <v>0</v>
      </c>
      <c r="E39">
        <v>242</v>
      </c>
      <c r="F39">
        <v>247</v>
      </c>
      <c r="G39">
        <v>125</v>
      </c>
      <c r="H39">
        <f t="shared" si="6"/>
        <v>438</v>
      </c>
      <c r="I39">
        <f t="shared" si="6"/>
        <v>495</v>
      </c>
      <c r="J39">
        <f t="shared" si="6"/>
        <v>125</v>
      </c>
      <c r="K39" t="str">
        <f t="shared" si="0"/>
        <v>mal_trus</v>
      </c>
      <c r="L39">
        <f t="shared" si="1"/>
        <v>438</v>
      </c>
      <c r="M39">
        <f t="shared" si="2"/>
        <v>438</v>
      </c>
      <c r="N39">
        <f t="shared" si="3"/>
        <v>0</v>
      </c>
      <c r="O39">
        <f t="shared" si="4"/>
        <v>0</v>
      </c>
      <c r="P39">
        <f t="shared" si="4"/>
        <v>57</v>
      </c>
      <c r="Q39">
        <f t="shared" si="4"/>
        <v>125</v>
      </c>
      <c r="U39" t="s">
        <v>23</v>
      </c>
      <c r="V39">
        <v>262</v>
      </c>
      <c r="W39">
        <v>0</v>
      </c>
      <c r="X39">
        <v>262</v>
      </c>
      <c r="Y39">
        <f t="shared" si="7"/>
        <v>262</v>
      </c>
      <c r="AA39" t="s">
        <v>23</v>
      </c>
      <c r="AB39">
        <v>262</v>
      </c>
      <c r="AC39">
        <f t="shared" si="8"/>
        <v>0</v>
      </c>
    </row>
    <row r="40" spans="1:29" x14ac:dyDescent="0.25">
      <c r="A40" s="1">
        <v>43989</v>
      </c>
      <c r="B40">
        <f t="shared" si="5"/>
        <v>0</v>
      </c>
      <c r="C40">
        <f t="shared" si="5"/>
        <v>57</v>
      </c>
      <c r="D40">
        <f t="shared" si="5"/>
        <v>125</v>
      </c>
      <c r="E40">
        <v>327</v>
      </c>
      <c r="F40">
        <v>262</v>
      </c>
      <c r="G40">
        <v>103</v>
      </c>
      <c r="H40">
        <f t="shared" si="6"/>
        <v>327</v>
      </c>
      <c r="I40">
        <f t="shared" si="6"/>
        <v>319</v>
      </c>
      <c r="J40">
        <f t="shared" si="6"/>
        <v>228</v>
      </c>
      <c r="K40" t="str">
        <f t="shared" si="0"/>
        <v>mal_trus</v>
      </c>
      <c r="L40">
        <f t="shared" si="1"/>
        <v>319</v>
      </c>
      <c r="M40">
        <f t="shared" si="2"/>
        <v>319</v>
      </c>
      <c r="N40">
        <f t="shared" si="3"/>
        <v>0</v>
      </c>
      <c r="O40">
        <f t="shared" si="4"/>
        <v>8</v>
      </c>
      <c r="P40">
        <f t="shared" si="4"/>
        <v>0</v>
      </c>
      <c r="Q40">
        <f t="shared" si="4"/>
        <v>228</v>
      </c>
      <c r="U40" t="s">
        <v>22</v>
      </c>
      <c r="V40">
        <v>438</v>
      </c>
      <c r="W40">
        <v>438</v>
      </c>
      <c r="X40">
        <v>0</v>
      </c>
      <c r="Y40">
        <f t="shared" si="7"/>
        <v>438</v>
      </c>
      <c r="AA40" t="s">
        <v>22</v>
      </c>
      <c r="AB40">
        <v>438</v>
      </c>
      <c r="AC40">
        <f t="shared" si="8"/>
        <v>438</v>
      </c>
    </row>
    <row r="41" spans="1:29" x14ac:dyDescent="0.25">
      <c r="A41" s="1">
        <v>43990</v>
      </c>
      <c r="B41">
        <f t="shared" si="5"/>
        <v>8</v>
      </c>
      <c r="C41">
        <f t="shared" si="5"/>
        <v>0</v>
      </c>
      <c r="D41">
        <f t="shared" si="5"/>
        <v>228</v>
      </c>
      <c r="E41">
        <v>316</v>
      </c>
      <c r="F41">
        <v>253</v>
      </c>
      <c r="G41">
        <v>134</v>
      </c>
      <c r="H41">
        <f t="shared" si="6"/>
        <v>324</v>
      </c>
      <c r="I41">
        <f t="shared" si="6"/>
        <v>253</v>
      </c>
      <c r="J41">
        <f t="shared" si="6"/>
        <v>362</v>
      </c>
      <c r="K41" t="str">
        <f t="shared" si="0"/>
        <v>mal_porz</v>
      </c>
      <c r="L41">
        <f t="shared" si="1"/>
        <v>324</v>
      </c>
      <c r="M41">
        <f t="shared" si="2"/>
        <v>0</v>
      </c>
      <c r="N41">
        <f t="shared" si="3"/>
        <v>324</v>
      </c>
      <c r="O41">
        <f t="shared" si="4"/>
        <v>0</v>
      </c>
      <c r="P41">
        <f t="shared" si="4"/>
        <v>253</v>
      </c>
      <c r="Q41">
        <f t="shared" si="4"/>
        <v>38</v>
      </c>
      <c r="U41" t="s">
        <v>22</v>
      </c>
      <c r="V41">
        <v>319</v>
      </c>
      <c r="W41">
        <v>319</v>
      </c>
      <c r="X41">
        <v>0</v>
      </c>
      <c r="Y41">
        <f t="shared" si="7"/>
        <v>319</v>
      </c>
      <c r="AA41" t="s">
        <v>22</v>
      </c>
      <c r="AB41">
        <v>319</v>
      </c>
      <c r="AC41">
        <f t="shared" si="8"/>
        <v>319</v>
      </c>
    </row>
    <row r="42" spans="1:29" x14ac:dyDescent="0.25">
      <c r="A42" s="1">
        <v>43991</v>
      </c>
      <c r="B42">
        <f t="shared" si="5"/>
        <v>0</v>
      </c>
      <c r="C42">
        <f t="shared" si="5"/>
        <v>253</v>
      </c>
      <c r="D42">
        <f t="shared" si="5"/>
        <v>38</v>
      </c>
      <c r="E42">
        <v>294</v>
      </c>
      <c r="F42">
        <v>249</v>
      </c>
      <c r="G42">
        <v>137</v>
      </c>
      <c r="H42">
        <f t="shared" si="6"/>
        <v>294</v>
      </c>
      <c r="I42">
        <f t="shared" si="6"/>
        <v>502</v>
      </c>
      <c r="J42">
        <f t="shared" si="6"/>
        <v>175</v>
      </c>
      <c r="K42" t="str">
        <f t="shared" si="0"/>
        <v>mal_trus</v>
      </c>
      <c r="L42">
        <f t="shared" si="1"/>
        <v>294</v>
      </c>
      <c r="M42">
        <f t="shared" si="2"/>
        <v>294</v>
      </c>
      <c r="N42">
        <f t="shared" si="3"/>
        <v>0</v>
      </c>
      <c r="O42">
        <f t="shared" si="4"/>
        <v>0</v>
      </c>
      <c r="P42">
        <f t="shared" si="4"/>
        <v>208</v>
      </c>
      <c r="Q42">
        <f t="shared" si="4"/>
        <v>175</v>
      </c>
      <c r="U42" t="s">
        <v>23</v>
      </c>
      <c r="V42">
        <v>324</v>
      </c>
      <c r="W42">
        <v>0</v>
      </c>
      <c r="X42">
        <v>324</v>
      </c>
      <c r="Y42">
        <f t="shared" si="7"/>
        <v>324</v>
      </c>
      <c r="AA42" t="s">
        <v>23</v>
      </c>
      <c r="AB42">
        <v>324</v>
      </c>
      <c r="AC42">
        <f t="shared" si="8"/>
        <v>0</v>
      </c>
    </row>
    <row r="43" spans="1:29" x14ac:dyDescent="0.25">
      <c r="A43" s="1">
        <v>43992</v>
      </c>
      <c r="B43">
        <f t="shared" si="5"/>
        <v>0</v>
      </c>
      <c r="C43">
        <f t="shared" si="5"/>
        <v>208</v>
      </c>
      <c r="D43">
        <f t="shared" si="5"/>
        <v>175</v>
      </c>
      <c r="E43">
        <v>270</v>
      </c>
      <c r="F43">
        <v>206</v>
      </c>
      <c r="G43">
        <v>146</v>
      </c>
      <c r="H43">
        <f t="shared" si="6"/>
        <v>270</v>
      </c>
      <c r="I43">
        <f t="shared" si="6"/>
        <v>414</v>
      </c>
      <c r="J43">
        <f t="shared" si="6"/>
        <v>321</v>
      </c>
      <c r="K43" t="str">
        <f t="shared" si="0"/>
        <v>trus_porz</v>
      </c>
      <c r="L43">
        <f t="shared" si="1"/>
        <v>0</v>
      </c>
      <c r="M43">
        <f t="shared" si="2"/>
        <v>321</v>
      </c>
      <c r="N43">
        <f t="shared" si="3"/>
        <v>321</v>
      </c>
      <c r="O43">
        <f t="shared" si="4"/>
        <v>270</v>
      </c>
      <c r="P43">
        <f t="shared" si="4"/>
        <v>93</v>
      </c>
      <c r="Q43">
        <f t="shared" si="4"/>
        <v>0</v>
      </c>
      <c r="U43" t="s">
        <v>22</v>
      </c>
      <c r="V43">
        <v>294</v>
      </c>
      <c r="W43">
        <v>294</v>
      </c>
      <c r="X43">
        <v>0</v>
      </c>
      <c r="Y43">
        <f t="shared" si="7"/>
        <v>294</v>
      </c>
      <c r="AA43" t="s">
        <v>22</v>
      </c>
      <c r="AB43">
        <v>294</v>
      </c>
      <c r="AC43">
        <f t="shared" si="8"/>
        <v>294</v>
      </c>
    </row>
    <row r="44" spans="1:29" x14ac:dyDescent="0.25">
      <c r="A44" s="1">
        <v>43993</v>
      </c>
      <c r="B44">
        <f t="shared" si="5"/>
        <v>270</v>
      </c>
      <c r="C44">
        <f t="shared" si="5"/>
        <v>93</v>
      </c>
      <c r="D44">
        <f t="shared" si="5"/>
        <v>0</v>
      </c>
      <c r="E44">
        <v>349</v>
      </c>
      <c r="F44">
        <v>301</v>
      </c>
      <c r="G44">
        <v>138</v>
      </c>
      <c r="H44">
        <f t="shared" si="6"/>
        <v>619</v>
      </c>
      <c r="I44">
        <f t="shared" si="6"/>
        <v>394</v>
      </c>
      <c r="J44">
        <f t="shared" si="6"/>
        <v>138</v>
      </c>
      <c r="K44" t="str">
        <f t="shared" si="0"/>
        <v>mal_trus</v>
      </c>
      <c r="L44">
        <f t="shared" si="1"/>
        <v>394</v>
      </c>
      <c r="M44">
        <f t="shared" si="2"/>
        <v>394</v>
      </c>
      <c r="N44">
        <f t="shared" si="3"/>
        <v>0</v>
      </c>
      <c r="O44">
        <f t="shared" si="4"/>
        <v>225</v>
      </c>
      <c r="P44">
        <f t="shared" si="4"/>
        <v>0</v>
      </c>
      <c r="Q44">
        <f t="shared" si="4"/>
        <v>138</v>
      </c>
      <c r="U44" t="s">
        <v>25</v>
      </c>
      <c r="V44">
        <v>0</v>
      </c>
      <c r="W44">
        <v>321</v>
      </c>
      <c r="X44">
        <v>321</v>
      </c>
      <c r="Y44">
        <f t="shared" si="7"/>
        <v>321</v>
      </c>
      <c r="AA44" t="s">
        <v>25</v>
      </c>
      <c r="AB44">
        <v>321</v>
      </c>
      <c r="AC44">
        <f t="shared" si="8"/>
        <v>0</v>
      </c>
    </row>
    <row r="45" spans="1:29" x14ac:dyDescent="0.25">
      <c r="A45" s="1">
        <v>43994</v>
      </c>
      <c r="B45">
        <f t="shared" si="5"/>
        <v>225</v>
      </c>
      <c r="C45">
        <f t="shared" si="5"/>
        <v>0</v>
      </c>
      <c r="D45">
        <f t="shared" si="5"/>
        <v>138</v>
      </c>
      <c r="E45">
        <v>224</v>
      </c>
      <c r="F45">
        <v>385</v>
      </c>
      <c r="G45">
        <v>138</v>
      </c>
      <c r="H45">
        <f t="shared" si="6"/>
        <v>449</v>
      </c>
      <c r="I45">
        <f t="shared" si="6"/>
        <v>385</v>
      </c>
      <c r="J45">
        <f t="shared" si="6"/>
        <v>276</v>
      </c>
      <c r="K45" t="str">
        <f t="shared" si="0"/>
        <v>mal_trus</v>
      </c>
      <c r="L45">
        <f t="shared" si="1"/>
        <v>385</v>
      </c>
      <c r="M45">
        <f t="shared" si="2"/>
        <v>385</v>
      </c>
      <c r="N45">
        <f t="shared" si="3"/>
        <v>0</v>
      </c>
      <c r="O45">
        <f t="shared" si="4"/>
        <v>64</v>
      </c>
      <c r="P45">
        <f t="shared" si="4"/>
        <v>0</v>
      </c>
      <c r="Q45">
        <f t="shared" si="4"/>
        <v>276</v>
      </c>
      <c r="U45" t="s">
        <v>22</v>
      </c>
      <c r="V45">
        <v>394</v>
      </c>
      <c r="W45">
        <v>394</v>
      </c>
      <c r="X45">
        <v>0</v>
      </c>
      <c r="Y45">
        <f t="shared" si="7"/>
        <v>394</v>
      </c>
      <c r="AA45" t="s">
        <v>22</v>
      </c>
      <c r="AB45">
        <v>394</v>
      </c>
      <c r="AC45">
        <f t="shared" si="8"/>
        <v>394</v>
      </c>
    </row>
    <row r="46" spans="1:29" x14ac:dyDescent="0.25">
      <c r="A46" s="1">
        <v>43995</v>
      </c>
      <c r="B46">
        <f t="shared" si="5"/>
        <v>64</v>
      </c>
      <c r="C46">
        <f t="shared" si="5"/>
        <v>0</v>
      </c>
      <c r="D46">
        <f t="shared" si="5"/>
        <v>276</v>
      </c>
      <c r="E46">
        <v>309</v>
      </c>
      <c r="F46">
        <v>204</v>
      </c>
      <c r="G46">
        <v>140</v>
      </c>
      <c r="H46">
        <f t="shared" si="6"/>
        <v>373</v>
      </c>
      <c r="I46">
        <f t="shared" si="6"/>
        <v>204</v>
      </c>
      <c r="J46">
        <f t="shared" si="6"/>
        <v>416</v>
      </c>
      <c r="K46" t="str">
        <f t="shared" si="0"/>
        <v>mal_porz</v>
      </c>
      <c r="L46">
        <f t="shared" si="1"/>
        <v>373</v>
      </c>
      <c r="M46">
        <f t="shared" si="2"/>
        <v>0</v>
      </c>
      <c r="N46">
        <f t="shared" si="3"/>
        <v>373</v>
      </c>
      <c r="O46">
        <f t="shared" si="4"/>
        <v>0</v>
      </c>
      <c r="P46">
        <f t="shared" si="4"/>
        <v>204</v>
      </c>
      <c r="Q46">
        <f t="shared" si="4"/>
        <v>43</v>
      </c>
      <c r="U46" t="s">
        <v>22</v>
      </c>
      <c r="V46">
        <v>385</v>
      </c>
      <c r="W46">
        <v>385</v>
      </c>
      <c r="X46">
        <v>0</v>
      </c>
      <c r="Y46">
        <f t="shared" si="7"/>
        <v>385</v>
      </c>
      <c r="AA46" t="s">
        <v>22</v>
      </c>
      <c r="AB46">
        <v>385</v>
      </c>
      <c r="AC46">
        <f t="shared" si="8"/>
        <v>385</v>
      </c>
    </row>
    <row r="47" spans="1:29" x14ac:dyDescent="0.25">
      <c r="A47" s="1">
        <v>43996</v>
      </c>
      <c r="B47">
        <f t="shared" si="5"/>
        <v>0</v>
      </c>
      <c r="C47">
        <f t="shared" si="5"/>
        <v>204</v>
      </c>
      <c r="D47">
        <f t="shared" si="5"/>
        <v>43</v>
      </c>
      <c r="E47">
        <v>246</v>
      </c>
      <c r="F47">
        <v>275</v>
      </c>
      <c r="G47">
        <v>130</v>
      </c>
      <c r="H47">
        <f t="shared" si="6"/>
        <v>246</v>
      </c>
      <c r="I47">
        <f t="shared" si="6"/>
        <v>479</v>
      </c>
      <c r="J47">
        <f t="shared" si="6"/>
        <v>173</v>
      </c>
      <c r="K47" t="str">
        <f t="shared" si="0"/>
        <v>mal_trus</v>
      </c>
      <c r="L47">
        <f t="shared" si="1"/>
        <v>246</v>
      </c>
      <c r="M47">
        <f t="shared" si="2"/>
        <v>246</v>
      </c>
      <c r="N47">
        <f t="shared" si="3"/>
        <v>0</v>
      </c>
      <c r="O47">
        <f t="shared" si="4"/>
        <v>0</v>
      </c>
      <c r="P47">
        <f t="shared" si="4"/>
        <v>233</v>
      </c>
      <c r="Q47">
        <f t="shared" si="4"/>
        <v>173</v>
      </c>
      <c r="U47" t="s">
        <v>23</v>
      </c>
      <c r="V47">
        <v>373</v>
      </c>
      <c r="W47">
        <v>0</v>
      </c>
      <c r="X47">
        <v>373</v>
      </c>
      <c r="Y47">
        <f t="shared" si="7"/>
        <v>373</v>
      </c>
      <c r="AA47" t="s">
        <v>23</v>
      </c>
      <c r="AB47">
        <v>373</v>
      </c>
      <c r="AC47">
        <f t="shared" si="8"/>
        <v>0</v>
      </c>
    </row>
    <row r="48" spans="1:29" x14ac:dyDescent="0.25">
      <c r="A48" s="1">
        <v>43997</v>
      </c>
      <c r="B48">
        <f t="shared" si="5"/>
        <v>0</v>
      </c>
      <c r="C48">
        <f t="shared" si="5"/>
        <v>233</v>
      </c>
      <c r="D48">
        <f t="shared" si="5"/>
        <v>173</v>
      </c>
      <c r="E48">
        <v>241</v>
      </c>
      <c r="F48">
        <v>247</v>
      </c>
      <c r="G48">
        <v>166</v>
      </c>
      <c r="H48">
        <f t="shared" si="6"/>
        <v>241</v>
      </c>
      <c r="I48">
        <f t="shared" si="6"/>
        <v>480</v>
      </c>
      <c r="J48">
        <f t="shared" si="6"/>
        <v>339</v>
      </c>
      <c r="K48" t="str">
        <f t="shared" si="0"/>
        <v>trus_porz</v>
      </c>
      <c r="L48">
        <f t="shared" si="1"/>
        <v>0</v>
      </c>
      <c r="M48">
        <f t="shared" si="2"/>
        <v>339</v>
      </c>
      <c r="N48">
        <f t="shared" si="3"/>
        <v>339</v>
      </c>
      <c r="O48">
        <f t="shared" si="4"/>
        <v>241</v>
      </c>
      <c r="P48">
        <f t="shared" si="4"/>
        <v>141</v>
      </c>
      <c r="Q48">
        <f t="shared" si="4"/>
        <v>0</v>
      </c>
      <c r="U48" t="s">
        <v>22</v>
      </c>
      <c r="V48">
        <v>246</v>
      </c>
      <c r="W48">
        <v>246</v>
      </c>
      <c r="X48">
        <v>0</v>
      </c>
      <c r="Y48">
        <f t="shared" si="7"/>
        <v>246</v>
      </c>
      <c r="AA48" t="s">
        <v>22</v>
      </c>
      <c r="AB48">
        <v>246</v>
      </c>
      <c r="AC48">
        <f t="shared" si="8"/>
        <v>246</v>
      </c>
    </row>
    <row r="49" spans="1:29" x14ac:dyDescent="0.25">
      <c r="A49" s="1">
        <v>43998</v>
      </c>
      <c r="B49">
        <f t="shared" si="5"/>
        <v>241</v>
      </c>
      <c r="C49">
        <f t="shared" si="5"/>
        <v>141</v>
      </c>
      <c r="D49">
        <f t="shared" si="5"/>
        <v>0</v>
      </c>
      <c r="E49">
        <v>365</v>
      </c>
      <c r="F49">
        <v>256</v>
      </c>
      <c r="G49">
        <v>132</v>
      </c>
      <c r="H49">
        <f t="shared" si="6"/>
        <v>606</v>
      </c>
      <c r="I49">
        <f t="shared" si="6"/>
        <v>397</v>
      </c>
      <c r="J49">
        <f t="shared" si="6"/>
        <v>132</v>
      </c>
      <c r="K49" t="str">
        <f t="shared" si="0"/>
        <v>mal_trus</v>
      </c>
      <c r="L49">
        <f t="shared" si="1"/>
        <v>397</v>
      </c>
      <c r="M49">
        <f t="shared" si="2"/>
        <v>397</v>
      </c>
      <c r="N49">
        <f t="shared" si="3"/>
        <v>0</v>
      </c>
      <c r="O49">
        <f t="shared" si="4"/>
        <v>209</v>
      </c>
      <c r="P49">
        <f t="shared" si="4"/>
        <v>0</v>
      </c>
      <c r="Q49">
        <f t="shared" si="4"/>
        <v>132</v>
      </c>
      <c r="U49" t="s">
        <v>25</v>
      </c>
      <c r="V49">
        <v>0</v>
      </c>
      <c r="W49">
        <v>339</v>
      </c>
      <c r="X49">
        <v>339</v>
      </c>
      <c r="Y49">
        <f t="shared" si="7"/>
        <v>339</v>
      </c>
      <c r="AA49" t="s">
        <v>25</v>
      </c>
      <c r="AB49">
        <v>339</v>
      </c>
      <c r="AC49">
        <f t="shared" si="8"/>
        <v>0</v>
      </c>
    </row>
    <row r="50" spans="1:29" x14ac:dyDescent="0.25">
      <c r="A50" s="1">
        <v>43999</v>
      </c>
      <c r="B50">
        <f t="shared" si="5"/>
        <v>209</v>
      </c>
      <c r="C50">
        <f t="shared" si="5"/>
        <v>0</v>
      </c>
      <c r="D50">
        <f t="shared" si="5"/>
        <v>132</v>
      </c>
      <c r="E50">
        <v>225</v>
      </c>
      <c r="F50">
        <v>392</v>
      </c>
      <c r="G50">
        <v>158</v>
      </c>
      <c r="H50">
        <f t="shared" si="6"/>
        <v>434</v>
      </c>
      <c r="I50">
        <f t="shared" si="6"/>
        <v>392</v>
      </c>
      <c r="J50">
        <f t="shared" si="6"/>
        <v>290</v>
      </c>
      <c r="K50" t="str">
        <f t="shared" si="0"/>
        <v>mal_trus</v>
      </c>
      <c r="L50">
        <f t="shared" si="1"/>
        <v>392</v>
      </c>
      <c r="M50">
        <f t="shared" si="2"/>
        <v>392</v>
      </c>
      <c r="N50">
        <f t="shared" si="3"/>
        <v>0</v>
      </c>
      <c r="O50">
        <f t="shared" si="4"/>
        <v>42</v>
      </c>
      <c r="P50">
        <f t="shared" si="4"/>
        <v>0</v>
      </c>
      <c r="Q50">
        <f t="shared" si="4"/>
        <v>290</v>
      </c>
      <c r="U50" t="s">
        <v>22</v>
      </c>
      <c r="V50">
        <v>397</v>
      </c>
      <c r="W50">
        <v>397</v>
      </c>
      <c r="X50">
        <v>0</v>
      </c>
      <c r="Y50">
        <f t="shared" si="7"/>
        <v>397</v>
      </c>
      <c r="AA50" t="s">
        <v>22</v>
      </c>
      <c r="AB50">
        <v>397</v>
      </c>
      <c r="AC50">
        <f t="shared" si="8"/>
        <v>397</v>
      </c>
    </row>
    <row r="51" spans="1:29" x14ac:dyDescent="0.25">
      <c r="A51" s="1">
        <v>44000</v>
      </c>
      <c r="B51">
        <f t="shared" si="5"/>
        <v>42</v>
      </c>
      <c r="C51">
        <f t="shared" si="5"/>
        <v>0</v>
      </c>
      <c r="D51">
        <f t="shared" si="5"/>
        <v>290</v>
      </c>
      <c r="E51">
        <v>335</v>
      </c>
      <c r="F51">
        <v>254</v>
      </c>
      <c r="G51">
        <v>173</v>
      </c>
      <c r="H51">
        <f t="shared" si="6"/>
        <v>377</v>
      </c>
      <c r="I51">
        <f t="shared" si="6"/>
        <v>254</v>
      </c>
      <c r="J51">
        <f t="shared" si="6"/>
        <v>463</v>
      </c>
      <c r="K51" t="str">
        <f t="shared" si="0"/>
        <v>mal_porz</v>
      </c>
      <c r="L51">
        <f t="shared" si="1"/>
        <v>377</v>
      </c>
      <c r="M51">
        <f t="shared" si="2"/>
        <v>0</v>
      </c>
      <c r="N51">
        <f t="shared" si="3"/>
        <v>377</v>
      </c>
      <c r="O51">
        <f t="shared" si="4"/>
        <v>0</v>
      </c>
      <c r="P51">
        <f t="shared" si="4"/>
        <v>254</v>
      </c>
      <c r="Q51">
        <f t="shared" si="4"/>
        <v>86</v>
      </c>
      <c r="U51" t="s">
        <v>22</v>
      </c>
      <c r="V51">
        <v>392</v>
      </c>
      <c r="W51">
        <v>392</v>
      </c>
      <c r="X51">
        <v>0</v>
      </c>
      <c r="Y51">
        <f t="shared" si="7"/>
        <v>392</v>
      </c>
      <c r="AA51" t="s">
        <v>22</v>
      </c>
      <c r="AB51">
        <v>392</v>
      </c>
      <c r="AC51">
        <f t="shared" si="8"/>
        <v>392</v>
      </c>
    </row>
    <row r="52" spans="1:29" x14ac:dyDescent="0.25">
      <c r="A52" s="1">
        <v>44001</v>
      </c>
      <c r="B52">
        <f t="shared" si="5"/>
        <v>0</v>
      </c>
      <c r="C52">
        <f t="shared" si="5"/>
        <v>254</v>
      </c>
      <c r="D52">
        <f t="shared" si="5"/>
        <v>86</v>
      </c>
      <c r="E52">
        <v>376</v>
      </c>
      <c r="F52">
        <v>258</v>
      </c>
      <c r="G52">
        <v>151</v>
      </c>
      <c r="H52">
        <f t="shared" si="6"/>
        <v>376</v>
      </c>
      <c r="I52">
        <f t="shared" si="6"/>
        <v>512</v>
      </c>
      <c r="J52">
        <f t="shared" si="6"/>
        <v>237</v>
      </c>
      <c r="K52" t="str">
        <f t="shared" si="0"/>
        <v>mal_trus</v>
      </c>
      <c r="L52">
        <f t="shared" si="1"/>
        <v>376</v>
      </c>
      <c r="M52">
        <f t="shared" si="2"/>
        <v>376</v>
      </c>
      <c r="N52">
        <f t="shared" si="3"/>
        <v>0</v>
      </c>
      <c r="O52">
        <f t="shared" si="4"/>
        <v>0</v>
      </c>
      <c r="P52">
        <f t="shared" si="4"/>
        <v>136</v>
      </c>
      <c r="Q52">
        <f t="shared" si="4"/>
        <v>237</v>
      </c>
      <c r="U52" t="s">
        <v>23</v>
      </c>
      <c r="V52">
        <v>377</v>
      </c>
      <c r="W52">
        <v>0</v>
      </c>
      <c r="X52">
        <v>377</v>
      </c>
      <c r="Y52">
        <f t="shared" si="7"/>
        <v>377</v>
      </c>
      <c r="AA52" t="s">
        <v>23</v>
      </c>
      <c r="AB52">
        <v>377</v>
      </c>
      <c r="AC52">
        <f t="shared" si="8"/>
        <v>0</v>
      </c>
    </row>
    <row r="53" spans="1:29" x14ac:dyDescent="0.25">
      <c r="A53" s="1">
        <v>44002</v>
      </c>
      <c r="B53">
        <f t="shared" si="5"/>
        <v>0</v>
      </c>
      <c r="C53">
        <f t="shared" si="5"/>
        <v>136</v>
      </c>
      <c r="D53">
        <f t="shared" si="5"/>
        <v>237</v>
      </c>
      <c r="E53">
        <v>310</v>
      </c>
      <c r="F53">
        <v>248</v>
      </c>
      <c r="G53">
        <v>173</v>
      </c>
      <c r="H53">
        <f t="shared" si="6"/>
        <v>310</v>
      </c>
      <c r="I53">
        <f t="shared" si="6"/>
        <v>384</v>
      </c>
      <c r="J53">
        <f t="shared" si="6"/>
        <v>410</v>
      </c>
      <c r="K53" t="str">
        <f t="shared" si="0"/>
        <v>trus_porz</v>
      </c>
      <c r="L53">
        <f t="shared" si="1"/>
        <v>0</v>
      </c>
      <c r="M53">
        <f t="shared" si="2"/>
        <v>384</v>
      </c>
      <c r="N53">
        <f t="shared" si="3"/>
        <v>384</v>
      </c>
      <c r="O53">
        <f t="shared" si="4"/>
        <v>310</v>
      </c>
      <c r="P53">
        <f t="shared" si="4"/>
        <v>0</v>
      </c>
      <c r="Q53">
        <f t="shared" si="4"/>
        <v>26</v>
      </c>
      <c r="U53" t="s">
        <v>22</v>
      </c>
      <c r="V53">
        <v>376</v>
      </c>
      <c r="W53">
        <v>376</v>
      </c>
      <c r="X53">
        <v>0</v>
      </c>
      <c r="Y53">
        <f t="shared" si="7"/>
        <v>376</v>
      </c>
      <c r="AA53" t="s">
        <v>22</v>
      </c>
      <c r="AB53">
        <v>376</v>
      </c>
      <c r="AC53">
        <f t="shared" si="8"/>
        <v>376</v>
      </c>
    </row>
    <row r="54" spans="1:29" x14ac:dyDescent="0.25">
      <c r="A54" s="1">
        <v>44003</v>
      </c>
      <c r="B54">
        <f t="shared" si="5"/>
        <v>310</v>
      </c>
      <c r="C54">
        <f t="shared" si="5"/>
        <v>0</v>
      </c>
      <c r="D54">
        <f t="shared" si="5"/>
        <v>26</v>
      </c>
      <c r="E54">
        <v>408</v>
      </c>
      <c r="F54">
        <v>250</v>
      </c>
      <c r="G54">
        <v>242</v>
      </c>
      <c r="H54">
        <f t="shared" si="6"/>
        <v>718</v>
      </c>
      <c r="I54">
        <f t="shared" si="6"/>
        <v>250</v>
      </c>
      <c r="J54">
        <f t="shared" si="6"/>
        <v>268</v>
      </c>
      <c r="K54" t="str">
        <f t="shared" si="0"/>
        <v>mal_porz</v>
      </c>
      <c r="L54">
        <f t="shared" si="1"/>
        <v>268</v>
      </c>
      <c r="M54">
        <f t="shared" si="2"/>
        <v>0</v>
      </c>
      <c r="N54">
        <f t="shared" si="3"/>
        <v>268</v>
      </c>
      <c r="O54">
        <f t="shared" si="4"/>
        <v>450</v>
      </c>
      <c r="P54">
        <f t="shared" si="4"/>
        <v>250</v>
      </c>
      <c r="Q54">
        <f t="shared" si="4"/>
        <v>0</v>
      </c>
      <c r="U54" t="s">
        <v>25</v>
      </c>
      <c r="V54">
        <v>0</v>
      </c>
      <c r="W54">
        <v>384</v>
      </c>
      <c r="X54">
        <v>384</v>
      </c>
      <c r="Y54">
        <f t="shared" si="7"/>
        <v>384</v>
      </c>
      <c r="AA54" t="s">
        <v>25</v>
      </c>
      <c r="AB54">
        <v>384</v>
      </c>
      <c r="AC54">
        <f t="shared" si="8"/>
        <v>0</v>
      </c>
    </row>
    <row r="55" spans="1:29" x14ac:dyDescent="0.25">
      <c r="A55" s="1">
        <v>44004</v>
      </c>
      <c r="B55">
        <f t="shared" si="5"/>
        <v>450</v>
      </c>
      <c r="C55">
        <f t="shared" si="5"/>
        <v>250</v>
      </c>
      <c r="D55">
        <f t="shared" si="5"/>
        <v>0</v>
      </c>
      <c r="E55">
        <v>256</v>
      </c>
      <c r="F55">
        <v>393</v>
      </c>
      <c r="G55">
        <v>219</v>
      </c>
      <c r="H55">
        <f t="shared" si="6"/>
        <v>706</v>
      </c>
      <c r="I55">
        <f t="shared" si="6"/>
        <v>643</v>
      </c>
      <c r="J55">
        <f t="shared" si="6"/>
        <v>219</v>
      </c>
      <c r="K55" t="str">
        <f t="shared" si="0"/>
        <v>mal_trus</v>
      </c>
      <c r="L55">
        <f t="shared" si="1"/>
        <v>643</v>
      </c>
      <c r="M55">
        <f t="shared" si="2"/>
        <v>643</v>
      </c>
      <c r="N55">
        <f t="shared" si="3"/>
        <v>0</v>
      </c>
      <c r="O55">
        <f t="shared" si="4"/>
        <v>63</v>
      </c>
      <c r="P55">
        <f t="shared" si="4"/>
        <v>0</v>
      </c>
      <c r="Q55">
        <f t="shared" si="4"/>
        <v>219</v>
      </c>
      <c r="U55" t="s">
        <v>23</v>
      </c>
      <c r="V55">
        <v>268</v>
      </c>
      <c r="W55">
        <v>0</v>
      </c>
      <c r="X55">
        <v>268</v>
      </c>
      <c r="Y55">
        <f t="shared" si="7"/>
        <v>268</v>
      </c>
      <c r="AA55" t="s">
        <v>23</v>
      </c>
      <c r="AB55">
        <v>268</v>
      </c>
      <c r="AC55">
        <f t="shared" si="8"/>
        <v>0</v>
      </c>
    </row>
    <row r="56" spans="1:29" x14ac:dyDescent="0.25">
      <c r="A56" s="1">
        <v>44005</v>
      </c>
      <c r="B56">
        <f t="shared" si="5"/>
        <v>63</v>
      </c>
      <c r="C56">
        <f t="shared" si="5"/>
        <v>0</v>
      </c>
      <c r="D56">
        <f t="shared" si="5"/>
        <v>219</v>
      </c>
      <c r="E56">
        <v>322</v>
      </c>
      <c r="F56">
        <v>425</v>
      </c>
      <c r="G56">
        <v>215</v>
      </c>
      <c r="H56">
        <f t="shared" si="6"/>
        <v>385</v>
      </c>
      <c r="I56">
        <f t="shared" si="6"/>
        <v>425</v>
      </c>
      <c r="J56">
        <f t="shared" si="6"/>
        <v>434</v>
      </c>
      <c r="K56" t="str">
        <f t="shared" si="0"/>
        <v>trus_porz</v>
      </c>
      <c r="L56">
        <f t="shared" si="1"/>
        <v>0</v>
      </c>
      <c r="M56">
        <f t="shared" si="2"/>
        <v>425</v>
      </c>
      <c r="N56">
        <f t="shared" si="3"/>
        <v>425</v>
      </c>
      <c r="O56">
        <f t="shared" si="4"/>
        <v>385</v>
      </c>
      <c r="P56">
        <f t="shared" si="4"/>
        <v>0</v>
      </c>
      <c r="Q56">
        <f t="shared" si="4"/>
        <v>9</v>
      </c>
      <c r="U56" t="s">
        <v>22</v>
      </c>
      <c r="V56">
        <v>643</v>
      </c>
      <c r="W56">
        <v>643</v>
      </c>
      <c r="X56">
        <v>0</v>
      </c>
      <c r="Y56">
        <f t="shared" si="7"/>
        <v>643</v>
      </c>
      <c r="AA56" t="s">
        <v>22</v>
      </c>
      <c r="AB56">
        <v>643</v>
      </c>
      <c r="AC56">
        <f t="shared" si="8"/>
        <v>643</v>
      </c>
    </row>
    <row r="57" spans="1:29" x14ac:dyDescent="0.25">
      <c r="A57" s="1">
        <v>44006</v>
      </c>
      <c r="B57">
        <f t="shared" si="5"/>
        <v>385</v>
      </c>
      <c r="C57">
        <f t="shared" si="5"/>
        <v>0</v>
      </c>
      <c r="D57">
        <f t="shared" si="5"/>
        <v>9</v>
      </c>
      <c r="E57">
        <v>447</v>
      </c>
      <c r="F57">
        <v>385</v>
      </c>
      <c r="G57">
        <v>212</v>
      </c>
      <c r="H57">
        <f t="shared" si="6"/>
        <v>832</v>
      </c>
      <c r="I57">
        <f t="shared" si="6"/>
        <v>385</v>
      </c>
      <c r="J57">
        <f t="shared" si="6"/>
        <v>221</v>
      </c>
      <c r="K57" t="str">
        <f t="shared" si="0"/>
        <v>mal_trus</v>
      </c>
      <c r="L57">
        <f t="shared" si="1"/>
        <v>385</v>
      </c>
      <c r="M57">
        <f t="shared" si="2"/>
        <v>385</v>
      </c>
      <c r="N57">
        <f t="shared" si="3"/>
        <v>0</v>
      </c>
      <c r="O57">
        <f t="shared" si="4"/>
        <v>447</v>
      </c>
      <c r="P57">
        <f t="shared" si="4"/>
        <v>0</v>
      </c>
      <c r="Q57">
        <f t="shared" si="4"/>
        <v>221</v>
      </c>
      <c r="U57" t="s">
        <v>25</v>
      </c>
      <c r="V57">
        <v>0</v>
      </c>
      <c r="W57">
        <v>425</v>
      </c>
      <c r="X57">
        <v>425</v>
      </c>
      <c r="Y57">
        <f t="shared" si="7"/>
        <v>425</v>
      </c>
      <c r="AA57" t="s">
        <v>25</v>
      </c>
      <c r="AB57">
        <v>425</v>
      </c>
      <c r="AC57">
        <f t="shared" si="8"/>
        <v>0</v>
      </c>
    </row>
    <row r="58" spans="1:29" x14ac:dyDescent="0.25">
      <c r="A58" s="1">
        <v>44007</v>
      </c>
      <c r="B58">
        <f t="shared" si="5"/>
        <v>447</v>
      </c>
      <c r="C58">
        <f t="shared" si="5"/>
        <v>0</v>
      </c>
      <c r="D58">
        <f t="shared" si="5"/>
        <v>221</v>
      </c>
      <c r="E58">
        <v>408</v>
      </c>
      <c r="F58">
        <v>260</v>
      </c>
      <c r="G58">
        <v>225</v>
      </c>
      <c r="H58">
        <f t="shared" si="6"/>
        <v>855</v>
      </c>
      <c r="I58">
        <f t="shared" si="6"/>
        <v>260</v>
      </c>
      <c r="J58">
        <f t="shared" si="6"/>
        <v>446</v>
      </c>
      <c r="K58" t="str">
        <f t="shared" si="0"/>
        <v>mal_porz</v>
      </c>
      <c r="L58">
        <f t="shared" si="1"/>
        <v>446</v>
      </c>
      <c r="M58">
        <f t="shared" si="2"/>
        <v>0</v>
      </c>
      <c r="N58">
        <f t="shared" si="3"/>
        <v>446</v>
      </c>
      <c r="O58">
        <f t="shared" si="4"/>
        <v>409</v>
      </c>
      <c r="P58">
        <f t="shared" si="4"/>
        <v>260</v>
      </c>
      <c r="Q58">
        <f t="shared" si="4"/>
        <v>0</v>
      </c>
      <c r="U58" t="s">
        <v>22</v>
      </c>
      <c r="V58">
        <v>385</v>
      </c>
      <c r="W58">
        <v>385</v>
      </c>
      <c r="X58">
        <v>0</v>
      </c>
      <c r="Y58">
        <f t="shared" si="7"/>
        <v>385</v>
      </c>
      <c r="AA58" t="s">
        <v>22</v>
      </c>
      <c r="AB58">
        <v>385</v>
      </c>
      <c r="AC58">
        <f t="shared" si="8"/>
        <v>385</v>
      </c>
    </row>
    <row r="59" spans="1:29" x14ac:dyDescent="0.25">
      <c r="A59" s="1">
        <v>44008</v>
      </c>
      <c r="B59">
        <f t="shared" si="5"/>
        <v>409</v>
      </c>
      <c r="C59">
        <f t="shared" si="5"/>
        <v>260</v>
      </c>
      <c r="D59">
        <f t="shared" si="5"/>
        <v>0</v>
      </c>
      <c r="E59">
        <v>283</v>
      </c>
      <c r="F59">
        <v>396</v>
      </c>
      <c r="G59">
        <v>221</v>
      </c>
      <c r="H59">
        <f t="shared" si="6"/>
        <v>692</v>
      </c>
      <c r="I59">
        <f t="shared" si="6"/>
        <v>656</v>
      </c>
      <c r="J59">
        <f t="shared" si="6"/>
        <v>221</v>
      </c>
      <c r="K59" t="str">
        <f t="shared" si="0"/>
        <v>mal_trus</v>
      </c>
      <c r="L59">
        <f t="shared" si="1"/>
        <v>656</v>
      </c>
      <c r="M59">
        <f t="shared" si="2"/>
        <v>656</v>
      </c>
      <c r="N59">
        <f t="shared" si="3"/>
        <v>0</v>
      </c>
      <c r="O59">
        <f t="shared" si="4"/>
        <v>36</v>
      </c>
      <c r="P59">
        <f t="shared" si="4"/>
        <v>0</v>
      </c>
      <c r="Q59">
        <f t="shared" si="4"/>
        <v>221</v>
      </c>
      <c r="U59" t="s">
        <v>23</v>
      </c>
      <c r="V59">
        <v>446</v>
      </c>
      <c r="W59">
        <v>0</v>
      </c>
      <c r="X59">
        <v>446</v>
      </c>
      <c r="Y59">
        <f t="shared" si="7"/>
        <v>446</v>
      </c>
      <c r="AA59" t="s">
        <v>23</v>
      </c>
      <c r="AB59">
        <v>446</v>
      </c>
      <c r="AC59">
        <f t="shared" si="8"/>
        <v>0</v>
      </c>
    </row>
    <row r="60" spans="1:29" x14ac:dyDescent="0.25">
      <c r="A60" s="1">
        <v>44009</v>
      </c>
      <c r="B60">
        <f t="shared" si="5"/>
        <v>36</v>
      </c>
      <c r="C60">
        <f t="shared" si="5"/>
        <v>0</v>
      </c>
      <c r="D60">
        <f t="shared" si="5"/>
        <v>221</v>
      </c>
      <c r="E60">
        <v>414</v>
      </c>
      <c r="F60">
        <v>314</v>
      </c>
      <c r="G60">
        <v>220</v>
      </c>
      <c r="H60">
        <f t="shared" si="6"/>
        <v>450</v>
      </c>
      <c r="I60">
        <f t="shared" si="6"/>
        <v>314</v>
      </c>
      <c r="J60">
        <f t="shared" si="6"/>
        <v>441</v>
      </c>
      <c r="K60" t="str">
        <f t="shared" si="0"/>
        <v>mal_porz</v>
      </c>
      <c r="L60">
        <f t="shared" si="1"/>
        <v>441</v>
      </c>
      <c r="M60">
        <f t="shared" si="2"/>
        <v>0</v>
      </c>
      <c r="N60">
        <f t="shared" si="3"/>
        <v>441</v>
      </c>
      <c r="O60">
        <f t="shared" si="4"/>
        <v>9</v>
      </c>
      <c r="P60">
        <f t="shared" si="4"/>
        <v>314</v>
      </c>
      <c r="Q60">
        <f t="shared" si="4"/>
        <v>0</v>
      </c>
      <c r="U60" t="s">
        <v>22</v>
      </c>
      <c r="V60">
        <v>656</v>
      </c>
      <c r="W60">
        <v>656</v>
      </c>
      <c r="X60">
        <v>0</v>
      </c>
      <c r="Y60">
        <f t="shared" si="7"/>
        <v>656</v>
      </c>
      <c r="AA60" t="s">
        <v>22</v>
      </c>
      <c r="AB60">
        <v>656</v>
      </c>
      <c r="AC60">
        <f t="shared" si="8"/>
        <v>656</v>
      </c>
    </row>
    <row r="61" spans="1:29" x14ac:dyDescent="0.25">
      <c r="A61" s="1">
        <v>44010</v>
      </c>
      <c r="B61">
        <f t="shared" si="5"/>
        <v>9</v>
      </c>
      <c r="C61">
        <f t="shared" si="5"/>
        <v>314</v>
      </c>
      <c r="D61">
        <f t="shared" si="5"/>
        <v>0</v>
      </c>
      <c r="E61">
        <v>442</v>
      </c>
      <c r="F61">
        <v>449</v>
      </c>
      <c r="G61">
        <v>245</v>
      </c>
      <c r="H61">
        <f t="shared" si="6"/>
        <v>451</v>
      </c>
      <c r="I61">
        <f t="shared" si="6"/>
        <v>763</v>
      </c>
      <c r="J61">
        <f t="shared" si="6"/>
        <v>245</v>
      </c>
      <c r="K61" t="str">
        <f t="shared" si="0"/>
        <v>mal_trus</v>
      </c>
      <c r="L61">
        <f t="shared" si="1"/>
        <v>451</v>
      </c>
      <c r="M61">
        <f t="shared" si="2"/>
        <v>451</v>
      </c>
      <c r="N61">
        <f t="shared" si="3"/>
        <v>0</v>
      </c>
      <c r="O61">
        <f t="shared" si="4"/>
        <v>0</v>
      </c>
      <c r="P61">
        <f t="shared" si="4"/>
        <v>312</v>
      </c>
      <c r="Q61">
        <f t="shared" si="4"/>
        <v>245</v>
      </c>
      <c r="U61" t="s">
        <v>23</v>
      </c>
      <c r="V61">
        <v>441</v>
      </c>
      <c r="W61">
        <v>0</v>
      </c>
      <c r="X61">
        <v>441</v>
      </c>
      <c r="Y61">
        <f t="shared" si="7"/>
        <v>441</v>
      </c>
      <c r="AA61" t="s">
        <v>23</v>
      </c>
      <c r="AB61">
        <v>441</v>
      </c>
      <c r="AC61">
        <f t="shared" si="8"/>
        <v>0</v>
      </c>
    </row>
    <row r="62" spans="1:29" x14ac:dyDescent="0.25">
      <c r="A62" s="1">
        <v>44011</v>
      </c>
      <c r="B62">
        <f t="shared" si="5"/>
        <v>0</v>
      </c>
      <c r="C62">
        <f t="shared" si="5"/>
        <v>312</v>
      </c>
      <c r="D62">
        <f t="shared" si="5"/>
        <v>245</v>
      </c>
      <c r="E62">
        <v>269</v>
      </c>
      <c r="F62">
        <v>370</v>
      </c>
      <c r="G62">
        <v>242</v>
      </c>
      <c r="H62">
        <f t="shared" si="6"/>
        <v>269</v>
      </c>
      <c r="I62">
        <f t="shared" si="6"/>
        <v>682</v>
      </c>
      <c r="J62">
        <f t="shared" si="6"/>
        <v>487</v>
      </c>
      <c r="K62" t="str">
        <f t="shared" si="0"/>
        <v>trus_porz</v>
      </c>
      <c r="L62">
        <f t="shared" si="1"/>
        <v>0</v>
      </c>
      <c r="M62">
        <f t="shared" si="2"/>
        <v>487</v>
      </c>
      <c r="N62">
        <f t="shared" si="3"/>
        <v>487</v>
      </c>
      <c r="O62">
        <f t="shared" si="4"/>
        <v>269</v>
      </c>
      <c r="P62">
        <f t="shared" si="4"/>
        <v>195</v>
      </c>
      <c r="Q62">
        <f t="shared" si="4"/>
        <v>0</v>
      </c>
      <c r="U62" t="s">
        <v>22</v>
      </c>
      <c r="V62">
        <v>451</v>
      </c>
      <c r="W62">
        <v>451</v>
      </c>
      <c r="X62">
        <v>0</v>
      </c>
      <c r="Y62">
        <f t="shared" si="7"/>
        <v>451</v>
      </c>
      <c r="AA62" t="s">
        <v>22</v>
      </c>
      <c r="AB62">
        <v>451</v>
      </c>
      <c r="AC62">
        <f t="shared" si="8"/>
        <v>451</v>
      </c>
    </row>
    <row r="63" spans="1:29" x14ac:dyDescent="0.25">
      <c r="A63" s="1">
        <v>44012</v>
      </c>
      <c r="B63">
        <f t="shared" si="5"/>
        <v>269</v>
      </c>
      <c r="C63">
        <f t="shared" si="5"/>
        <v>195</v>
      </c>
      <c r="D63">
        <f t="shared" si="5"/>
        <v>0</v>
      </c>
      <c r="E63">
        <v>444</v>
      </c>
      <c r="F63">
        <v>350</v>
      </c>
      <c r="G63">
        <v>236</v>
      </c>
      <c r="H63">
        <f t="shared" si="6"/>
        <v>713</v>
      </c>
      <c r="I63">
        <f t="shared" si="6"/>
        <v>545</v>
      </c>
      <c r="J63">
        <f t="shared" si="6"/>
        <v>236</v>
      </c>
      <c r="K63" t="str">
        <f t="shared" si="0"/>
        <v>mal_trus</v>
      </c>
      <c r="L63">
        <f t="shared" si="1"/>
        <v>545</v>
      </c>
      <c r="M63">
        <f t="shared" si="2"/>
        <v>545</v>
      </c>
      <c r="N63">
        <f t="shared" si="3"/>
        <v>0</v>
      </c>
      <c r="O63">
        <f t="shared" si="4"/>
        <v>168</v>
      </c>
      <c r="P63">
        <f t="shared" si="4"/>
        <v>0</v>
      </c>
      <c r="Q63">
        <f t="shared" si="4"/>
        <v>236</v>
      </c>
      <c r="U63" t="s">
        <v>25</v>
      </c>
      <c r="V63">
        <v>0</v>
      </c>
      <c r="W63">
        <v>487</v>
      </c>
      <c r="X63">
        <v>487</v>
      </c>
      <c r="Y63">
        <f t="shared" si="7"/>
        <v>487</v>
      </c>
      <c r="AA63" t="s">
        <v>25</v>
      </c>
      <c r="AB63">
        <v>487</v>
      </c>
      <c r="AC63">
        <f t="shared" si="8"/>
        <v>0</v>
      </c>
    </row>
    <row r="64" spans="1:29" x14ac:dyDescent="0.25">
      <c r="A64" s="1">
        <v>44013</v>
      </c>
      <c r="B64">
        <f t="shared" si="5"/>
        <v>168</v>
      </c>
      <c r="C64">
        <f t="shared" si="5"/>
        <v>0</v>
      </c>
      <c r="D64">
        <f t="shared" si="5"/>
        <v>236</v>
      </c>
      <c r="E64">
        <v>425</v>
      </c>
      <c r="F64">
        <v>342</v>
      </c>
      <c r="G64">
        <v>237</v>
      </c>
      <c r="H64">
        <f t="shared" si="6"/>
        <v>593</v>
      </c>
      <c r="I64">
        <f t="shared" si="6"/>
        <v>342</v>
      </c>
      <c r="J64">
        <f t="shared" si="6"/>
        <v>473</v>
      </c>
      <c r="K64" t="str">
        <f t="shared" si="0"/>
        <v>mal_porz</v>
      </c>
      <c r="L64">
        <f t="shared" si="1"/>
        <v>473</v>
      </c>
      <c r="M64">
        <f t="shared" si="2"/>
        <v>0</v>
      </c>
      <c r="N64">
        <f t="shared" si="3"/>
        <v>473</v>
      </c>
      <c r="O64">
        <f t="shared" si="4"/>
        <v>120</v>
      </c>
      <c r="P64">
        <f t="shared" si="4"/>
        <v>342</v>
      </c>
      <c r="Q64">
        <f t="shared" si="4"/>
        <v>0</v>
      </c>
      <c r="U64" t="s">
        <v>22</v>
      </c>
      <c r="V64">
        <v>545</v>
      </c>
      <c r="W64">
        <v>545</v>
      </c>
      <c r="X64">
        <v>0</v>
      </c>
      <c r="Y64">
        <f t="shared" si="7"/>
        <v>545</v>
      </c>
      <c r="AA64" t="s">
        <v>22</v>
      </c>
      <c r="AB64">
        <v>545</v>
      </c>
      <c r="AC64">
        <f t="shared" si="8"/>
        <v>545</v>
      </c>
    </row>
    <row r="65" spans="1:29" x14ac:dyDescent="0.25">
      <c r="A65" s="1">
        <v>44014</v>
      </c>
      <c r="B65">
        <f t="shared" si="5"/>
        <v>120</v>
      </c>
      <c r="C65">
        <f t="shared" si="5"/>
        <v>342</v>
      </c>
      <c r="D65">
        <f t="shared" si="5"/>
        <v>0</v>
      </c>
      <c r="E65">
        <v>377</v>
      </c>
      <c r="F65">
        <v>290</v>
      </c>
      <c r="G65">
        <v>240</v>
      </c>
      <c r="H65">
        <f t="shared" si="6"/>
        <v>497</v>
      </c>
      <c r="I65">
        <f t="shared" si="6"/>
        <v>632</v>
      </c>
      <c r="J65">
        <f t="shared" si="6"/>
        <v>240</v>
      </c>
      <c r="K65" t="str">
        <f t="shared" si="0"/>
        <v>mal_trus</v>
      </c>
      <c r="L65">
        <f t="shared" si="1"/>
        <v>497</v>
      </c>
      <c r="M65">
        <f t="shared" si="2"/>
        <v>497</v>
      </c>
      <c r="N65">
        <f t="shared" si="3"/>
        <v>0</v>
      </c>
      <c r="O65">
        <f t="shared" si="4"/>
        <v>0</v>
      </c>
      <c r="P65">
        <f t="shared" si="4"/>
        <v>135</v>
      </c>
      <c r="Q65">
        <f t="shared" si="4"/>
        <v>240</v>
      </c>
      <c r="U65" t="s">
        <v>23</v>
      </c>
      <c r="V65">
        <v>473</v>
      </c>
      <c r="W65">
        <v>0</v>
      </c>
      <c r="X65">
        <v>473</v>
      </c>
      <c r="Y65">
        <f t="shared" si="7"/>
        <v>473</v>
      </c>
      <c r="AA65" t="s">
        <v>23</v>
      </c>
      <c r="AB65">
        <v>473</v>
      </c>
      <c r="AC65">
        <f t="shared" si="8"/>
        <v>0</v>
      </c>
    </row>
    <row r="66" spans="1:29" x14ac:dyDescent="0.25">
      <c r="A66" s="1">
        <v>44015</v>
      </c>
      <c r="B66">
        <f t="shared" si="5"/>
        <v>0</v>
      </c>
      <c r="C66">
        <f t="shared" si="5"/>
        <v>135</v>
      </c>
      <c r="D66">
        <f t="shared" si="5"/>
        <v>240</v>
      </c>
      <c r="E66">
        <v>382</v>
      </c>
      <c r="F66">
        <v>360</v>
      </c>
      <c r="G66">
        <v>203</v>
      </c>
      <c r="H66">
        <f t="shared" si="6"/>
        <v>382</v>
      </c>
      <c r="I66">
        <f t="shared" si="6"/>
        <v>495</v>
      </c>
      <c r="J66">
        <f t="shared" si="6"/>
        <v>443</v>
      </c>
      <c r="K66" t="str">
        <f t="shared" si="0"/>
        <v>trus_porz</v>
      </c>
      <c r="L66">
        <f t="shared" si="1"/>
        <v>0</v>
      </c>
      <c r="M66">
        <f t="shared" si="2"/>
        <v>443</v>
      </c>
      <c r="N66">
        <f t="shared" si="3"/>
        <v>443</v>
      </c>
      <c r="O66">
        <f t="shared" si="4"/>
        <v>382</v>
      </c>
      <c r="P66">
        <f t="shared" si="4"/>
        <v>52</v>
      </c>
      <c r="Q66">
        <f t="shared" si="4"/>
        <v>0</v>
      </c>
      <c r="U66" t="s">
        <v>22</v>
      </c>
      <c r="V66">
        <v>497</v>
      </c>
      <c r="W66">
        <v>497</v>
      </c>
      <c r="X66">
        <v>0</v>
      </c>
      <c r="Y66">
        <f t="shared" si="7"/>
        <v>497</v>
      </c>
      <c r="AA66" t="s">
        <v>22</v>
      </c>
      <c r="AB66">
        <v>497</v>
      </c>
      <c r="AC66">
        <f t="shared" si="8"/>
        <v>497</v>
      </c>
    </row>
    <row r="67" spans="1:29" x14ac:dyDescent="0.25">
      <c r="A67" s="1">
        <v>44016</v>
      </c>
      <c r="B67">
        <f t="shared" si="5"/>
        <v>382</v>
      </c>
      <c r="C67">
        <f t="shared" si="5"/>
        <v>52</v>
      </c>
      <c r="D67">
        <f t="shared" si="5"/>
        <v>0</v>
      </c>
      <c r="E67">
        <v>287</v>
      </c>
      <c r="F67">
        <v>428</v>
      </c>
      <c r="G67">
        <v>204</v>
      </c>
      <c r="H67">
        <f t="shared" si="6"/>
        <v>669</v>
      </c>
      <c r="I67">
        <f t="shared" si="6"/>
        <v>480</v>
      </c>
      <c r="J67">
        <f t="shared" si="6"/>
        <v>204</v>
      </c>
      <c r="K67" t="str">
        <f t="shared" si="0"/>
        <v>mal_trus</v>
      </c>
      <c r="L67">
        <f t="shared" si="1"/>
        <v>480</v>
      </c>
      <c r="M67">
        <f t="shared" si="2"/>
        <v>480</v>
      </c>
      <c r="N67">
        <f t="shared" si="3"/>
        <v>0</v>
      </c>
      <c r="O67">
        <f t="shared" si="4"/>
        <v>189</v>
      </c>
      <c r="P67">
        <f t="shared" si="4"/>
        <v>0</v>
      </c>
      <c r="Q67">
        <f t="shared" si="4"/>
        <v>204</v>
      </c>
      <c r="U67" t="s">
        <v>25</v>
      </c>
      <c r="V67">
        <v>0</v>
      </c>
      <c r="W67">
        <v>443</v>
      </c>
      <c r="X67">
        <v>443</v>
      </c>
      <c r="Y67">
        <f t="shared" si="7"/>
        <v>443</v>
      </c>
      <c r="AA67" t="s">
        <v>25</v>
      </c>
      <c r="AB67">
        <v>443</v>
      </c>
      <c r="AC67">
        <f t="shared" si="8"/>
        <v>0</v>
      </c>
    </row>
    <row r="68" spans="1:29" x14ac:dyDescent="0.25">
      <c r="A68" s="1">
        <v>44017</v>
      </c>
      <c r="B68">
        <f t="shared" si="5"/>
        <v>189</v>
      </c>
      <c r="C68">
        <f t="shared" si="5"/>
        <v>0</v>
      </c>
      <c r="D68">
        <f t="shared" si="5"/>
        <v>204</v>
      </c>
      <c r="E68">
        <v>429</v>
      </c>
      <c r="F68">
        <v>394</v>
      </c>
      <c r="G68">
        <v>246</v>
      </c>
      <c r="H68">
        <f t="shared" si="6"/>
        <v>618</v>
      </c>
      <c r="I68">
        <f t="shared" si="6"/>
        <v>394</v>
      </c>
      <c r="J68">
        <f t="shared" si="6"/>
        <v>450</v>
      </c>
      <c r="K68" t="str">
        <f t="shared" ref="K68:K131" si="9">IF(AND(H68&lt;J68,H68&lt;I68), "trus_porz", IF(AND(I68&lt;H68,I68&lt;J68), "mal_porz", IF(AND(J68&lt;I68,J68&lt;H68), "mal_trus", "")))</f>
        <v>mal_porz</v>
      </c>
      <c r="L68">
        <f t="shared" ref="L68:L131" si="10">IF(K68="mal_trus",MIN(H68,I68),IF(K68="mal_porz",MIN(H68,J68),0))</f>
        <v>450</v>
      </c>
      <c r="M68">
        <f t="shared" ref="M68:M131" si="11">IF(K68="trus_porz",MIN(I68,J68), IF(K68="mal_trus", MIN(H68,I68),0))</f>
        <v>0</v>
      </c>
      <c r="N68">
        <f t="shared" ref="N68:N131" si="12">IF(K68="mal_porz",MIN(H68,J68), IF(K68="trus_porz", MIN(I68,J68),0))</f>
        <v>450</v>
      </c>
      <c r="O68">
        <f t="shared" ref="O68:Q131" si="13">H68-L68</f>
        <v>168</v>
      </c>
      <c r="P68">
        <f t="shared" si="13"/>
        <v>394</v>
      </c>
      <c r="Q68">
        <f t="shared" si="13"/>
        <v>0</v>
      </c>
      <c r="U68" t="s">
        <v>22</v>
      </c>
      <c r="V68">
        <v>480</v>
      </c>
      <c r="W68">
        <v>480</v>
      </c>
      <c r="X68">
        <v>0</v>
      </c>
      <c r="Y68">
        <f t="shared" si="7"/>
        <v>480</v>
      </c>
      <c r="AA68" t="s">
        <v>22</v>
      </c>
      <c r="AB68">
        <v>480</v>
      </c>
      <c r="AC68">
        <f t="shared" si="8"/>
        <v>480</v>
      </c>
    </row>
    <row r="69" spans="1:29" x14ac:dyDescent="0.25">
      <c r="A69" s="1">
        <v>44018</v>
      </c>
      <c r="B69">
        <f t="shared" ref="B69:D132" si="14">O68</f>
        <v>168</v>
      </c>
      <c r="C69">
        <f t="shared" si="14"/>
        <v>394</v>
      </c>
      <c r="D69">
        <f t="shared" si="14"/>
        <v>0</v>
      </c>
      <c r="E69">
        <v>287</v>
      </c>
      <c r="F69">
        <v>356</v>
      </c>
      <c r="G69">
        <v>233</v>
      </c>
      <c r="H69">
        <f t="shared" ref="H69:J132" si="15">B69+E69</f>
        <v>455</v>
      </c>
      <c r="I69">
        <f t="shared" si="15"/>
        <v>750</v>
      </c>
      <c r="J69">
        <f t="shared" si="15"/>
        <v>233</v>
      </c>
      <c r="K69" t="str">
        <f t="shared" si="9"/>
        <v>mal_trus</v>
      </c>
      <c r="L69">
        <f t="shared" si="10"/>
        <v>455</v>
      </c>
      <c r="M69">
        <f t="shared" si="11"/>
        <v>455</v>
      </c>
      <c r="N69">
        <f t="shared" si="12"/>
        <v>0</v>
      </c>
      <c r="O69">
        <f t="shared" si="13"/>
        <v>0</v>
      </c>
      <c r="P69">
        <f t="shared" si="13"/>
        <v>295</v>
      </c>
      <c r="Q69">
        <f t="shared" si="13"/>
        <v>233</v>
      </c>
      <c r="U69" t="s">
        <v>23</v>
      </c>
      <c r="V69">
        <v>450</v>
      </c>
      <c r="W69">
        <v>0</v>
      </c>
      <c r="X69">
        <v>450</v>
      </c>
      <c r="Y69">
        <f t="shared" ref="Y69:Y132" si="16">MAX(V69:X69)</f>
        <v>450</v>
      </c>
      <c r="AA69" t="s">
        <v>23</v>
      </c>
      <c r="AB69">
        <v>450</v>
      </c>
      <c r="AC69">
        <f t="shared" ref="AC69:AC132" si="17">IF(AA69=$AC$3,AB69,0)</f>
        <v>0</v>
      </c>
    </row>
    <row r="70" spans="1:29" x14ac:dyDescent="0.25">
      <c r="A70" s="1">
        <v>44019</v>
      </c>
      <c r="B70">
        <f t="shared" si="14"/>
        <v>0</v>
      </c>
      <c r="C70">
        <f t="shared" si="14"/>
        <v>295</v>
      </c>
      <c r="D70">
        <f t="shared" si="14"/>
        <v>233</v>
      </c>
      <c r="E70">
        <v>421</v>
      </c>
      <c r="F70">
        <v>292</v>
      </c>
      <c r="G70">
        <v>226</v>
      </c>
      <c r="H70">
        <f t="shared" si="15"/>
        <v>421</v>
      </c>
      <c r="I70">
        <f t="shared" si="15"/>
        <v>587</v>
      </c>
      <c r="J70">
        <f t="shared" si="15"/>
        <v>459</v>
      </c>
      <c r="K70" t="str">
        <f t="shared" si="9"/>
        <v>trus_porz</v>
      </c>
      <c r="L70">
        <f t="shared" si="10"/>
        <v>0</v>
      </c>
      <c r="M70">
        <f t="shared" si="11"/>
        <v>459</v>
      </c>
      <c r="N70">
        <f t="shared" si="12"/>
        <v>459</v>
      </c>
      <c r="O70">
        <f t="shared" si="13"/>
        <v>421</v>
      </c>
      <c r="P70">
        <f t="shared" si="13"/>
        <v>128</v>
      </c>
      <c r="Q70">
        <f t="shared" si="13"/>
        <v>0</v>
      </c>
      <c r="U70" t="s">
        <v>22</v>
      </c>
      <c r="V70">
        <v>455</v>
      </c>
      <c r="W70">
        <v>455</v>
      </c>
      <c r="X70">
        <v>0</v>
      </c>
      <c r="Y70">
        <f t="shared" si="16"/>
        <v>455</v>
      </c>
      <c r="AA70" t="s">
        <v>22</v>
      </c>
      <c r="AB70">
        <v>455</v>
      </c>
      <c r="AC70">
        <f t="shared" si="17"/>
        <v>455</v>
      </c>
    </row>
    <row r="71" spans="1:29" x14ac:dyDescent="0.25">
      <c r="A71" s="1">
        <v>44020</v>
      </c>
      <c r="B71">
        <f t="shared" si="14"/>
        <v>421</v>
      </c>
      <c r="C71">
        <f t="shared" si="14"/>
        <v>128</v>
      </c>
      <c r="D71">
        <f t="shared" si="14"/>
        <v>0</v>
      </c>
      <c r="E71">
        <v>334</v>
      </c>
      <c r="F71">
        <v>353</v>
      </c>
      <c r="G71">
        <v>282</v>
      </c>
      <c r="H71">
        <f t="shared" si="15"/>
        <v>755</v>
      </c>
      <c r="I71">
        <f t="shared" si="15"/>
        <v>481</v>
      </c>
      <c r="J71">
        <f t="shared" si="15"/>
        <v>282</v>
      </c>
      <c r="K71" t="str">
        <f t="shared" si="9"/>
        <v>mal_trus</v>
      </c>
      <c r="L71">
        <f t="shared" si="10"/>
        <v>481</v>
      </c>
      <c r="M71">
        <f t="shared" si="11"/>
        <v>481</v>
      </c>
      <c r="N71">
        <f t="shared" si="12"/>
        <v>0</v>
      </c>
      <c r="O71">
        <f t="shared" si="13"/>
        <v>274</v>
      </c>
      <c r="P71">
        <f t="shared" si="13"/>
        <v>0</v>
      </c>
      <c r="Q71">
        <f t="shared" si="13"/>
        <v>282</v>
      </c>
      <c r="U71" t="s">
        <v>25</v>
      </c>
      <c r="V71">
        <v>0</v>
      </c>
      <c r="W71">
        <v>459</v>
      </c>
      <c r="X71">
        <v>459</v>
      </c>
      <c r="Y71">
        <f t="shared" si="16"/>
        <v>459</v>
      </c>
      <c r="AA71" t="s">
        <v>25</v>
      </c>
      <c r="AB71">
        <v>459</v>
      </c>
      <c r="AC71">
        <f t="shared" si="17"/>
        <v>0</v>
      </c>
    </row>
    <row r="72" spans="1:29" x14ac:dyDescent="0.25">
      <c r="A72" s="1">
        <v>44021</v>
      </c>
      <c r="B72">
        <f t="shared" si="14"/>
        <v>274</v>
      </c>
      <c r="C72">
        <f t="shared" si="14"/>
        <v>0</v>
      </c>
      <c r="D72">
        <f t="shared" si="14"/>
        <v>282</v>
      </c>
      <c r="E72">
        <v>282</v>
      </c>
      <c r="F72">
        <v>329</v>
      </c>
      <c r="G72">
        <v>262</v>
      </c>
      <c r="H72">
        <f t="shared" si="15"/>
        <v>556</v>
      </c>
      <c r="I72">
        <f t="shared" si="15"/>
        <v>329</v>
      </c>
      <c r="J72">
        <f t="shared" si="15"/>
        <v>544</v>
      </c>
      <c r="K72" t="str">
        <f t="shared" si="9"/>
        <v>mal_porz</v>
      </c>
      <c r="L72">
        <f t="shared" si="10"/>
        <v>544</v>
      </c>
      <c r="M72">
        <f t="shared" si="11"/>
        <v>0</v>
      </c>
      <c r="N72">
        <f t="shared" si="12"/>
        <v>544</v>
      </c>
      <c r="O72">
        <f t="shared" si="13"/>
        <v>12</v>
      </c>
      <c r="P72">
        <f t="shared" si="13"/>
        <v>329</v>
      </c>
      <c r="Q72">
        <f t="shared" si="13"/>
        <v>0</v>
      </c>
      <c r="U72" t="s">
        <v>22</v>
      </c>
      <c r="V72">
        <v>481</v>
      </c>
      <c r="W72">
        <v>481</v>
      </c>
      <c r="X72">
        <v>0</v>
      </c>
      <c r="Y72">
        <f t="shared" si="16"/>
        <v>481</v>
      </c>
      <c r="AA72" t="s">
        <v>22</v>
      </c>
      <c r="AB72">
        <v>481</v>
      </c>
      <c r="AC72">
        <f t="shared" si="17"/>
        <v>481</v>
      </c>
    </row>
    <row r="73" spans="1:29" x14ac:dyDescent="0.25">
      <c r="A73" s="1">
        <v>44022</v>
      </c>
      <c r="B73">
        <f t="shared" si="14"/>
        <v>12</v>
      </c>
      <c r="C73">
        <f t="shared" si="14"/>
        <v>329</v>
      </c>
      <c r="D73">
        <f t="shared" si="14"/>
        <v>0</v>
      </c>
      <c r="E73">
        <v>356</v>
      </c>
      <c r="F73">
        <v>331</v>
      </c>
      <c r="G73">
        <v>290</v>
      </c>
      <c r="H73">
        <f t="shared" si="15"/>
        <v>368</v>
      </c>
      <c r="I73">
        <f t="shared" si="15"/>
        <v>660</v>
      </c>
      <c r="J73">
        <f t="shared" si="15"/>
        <v>290</v>
      </c>
      <c r="K73" t="str">
        <f t="shared" si="9"/>
        <v>mal_trus</v>
      </c>
      <c r="L73">
        <f t="shared" si="10"/>
        <v>368</v>
      </c>
      <c r="M73">
        <f t="shared" si="11"/>
        <v>368</v>
      </c>
      <c r="N73">
        <f t="shared" si="12"/>
        <v>0</v>
      </c>
      <c r="O73">
        <f t="shared" si="13"/>
        <v>0</v>
      </c>
      <c r="P73">
        <f t="shared" si="13"/>
        <v>292</v>
      </c>
      <c r="Q73">
        <f t="shared" si="13"/>
        <v>290</v>
      </c>
      <c r="U73" t="s">
        <v>23</v>
      </c>
      <c r="V73">
        <v>544</v>
      </c>
      <c r="W73">
        <v>0</v>
      </c>
      <c r="X73">
        <v>544</v>
      </c>
      <c r="Y73">
        <f t="shared" si="16"/>
        <v>544</v>
      </c>
      <c r="AA73" t="s">
        <v>23</v>
      </c>
      <c r="AB73">
        <v>544</v>
      </c>
      <c r="AC73">
        <f t="shared" si="17"/>
        <v>0</v>
      </c>
    </row>
    <row r="74" spans="1:29" x14ac:dyDescent="0.25">
      <c r="A74" s="1">
        <v>44023</v>
      </c>
      <c r="B74">
        <f t="shared" si="14"/>
        <v>0</v>
      </c>
      <c r="C74">
        <f t="shared" si="14"/>
        <v>292</v>
      </c>
      <c r="D74">
        <f t="shared" si="14"/>
        <v>290</v>
      </c>
      <c r="E74">
        <v>307</v>
      </c>
      <c r="F74">
        <v>394</v>
      </c>
      <c r="G74">
        <v>256</v>
      </c>
      <c r="H74">
        <f t="shared" si="15"/>
        <v>307</v>
      </c>
      <c r="I74">
        <f t="shared" si="15"/>
        <v>686</v>
      </c>
      <c r="J74">
        <f t="shared" si="15"/>
        <v>546</v>
      </c>
      <c r="K74" t="str">
        <f t="shared" si="9"/>
        <v>trus_porz</v>
      </c>
      <c r="L74">
        <f t="shared" si="10"/>
        <v>0</v>
      </c>
      <c r="M74">
        <f t="shared" si="11"/>
        <v>546</v>
      </c>
      <c r="N74">
        <f t="shared" si="12"/>
        <v>546</v>
      </c>
      <c r="O74">
        <f t="shared" si="13"/>
        <v>307</v>
      </c>
      <c r="P74">
        <f t="shared" si="13"/>
        <v>140</v>
      </c>
      <c r="Q74">
        <f t="shared" si="13"/>
        <v>0</v>
      </c>
      <c r="U74" t="s">
        <v>22</v>
      </c>
      <c r="V74">
        <v>368</v>
      </c>
      <c r="W74">
        <v>368</v>
      </c>
      <c r="X74">
        <v>0</v>
      </c>
      <c r="Y74">
        <f t="shared" si="16"/>
        <v>368</v>
      </c>
      <c r="AA74" t="s">
        <v>22</v>
      </c>
      <c r="AB74">
        <v>368</v>
      </c>
      <c r="AC74">
        <f t="shared" si="17"/>
        <v>368</v>
      </c>
    </row>
    <row r="75" spans="1:29" x14ac:dyDescent="0.25">
      <c r="A75" s="1">
        <v>44024</v>
      </c>
      <c r="B75">
        <f t="shared" si="14"/>
        <v>307</v>
      </c>
      <c r="C75">
        <f t="shared" si="14"/>
        <v>140</v>
      </c>
      <c r="D75">
        <f t="shared" si="14"/>
        <v>0</v>
      </c>
      <c r="E75">
        <v>441</v>
      </c>
      <c r="F75">
        <v>271</v>
      </c>
      <c r="G75">
        <v>292</v>
      </c>
      <c r="H75">
        <f t="shared" si="15"/>
        <v>748</v>
      </c>
      <c r="I75">
        <f t="shared" si="15"/>
        <v>411</v>
      </c>
      <c r="J75">
        <f t="shared" si="15"/>
        <v>292</v>
      </c>
      <c r="K75" t="str">
        <f t="shared" si="9"/>
        <v>mal_trus</v>
      </c>
      <c r="L75">
        <f t="shared" si="10"/>
        <v>411</v>
      </c>
      <c r="M75">
        <f t="shared" si="11"/>
        <v>411</v>
      </c>
      <c r="N75">
        <f t="shared" si="12"/>
        <v>0</v>
      </c>
      <c r="O75">
        <f t="shared" si="13"/>
        <v>337</v>
      </c>
      <c r="P75">
        <f t="shared" si="13"/>
        <v>0</v>
      </c>
      <c r="Q75">
        <f t="shared" si="13"/>
        <v>292</v>
      </c>
      <c r="U75" t="s">
        <v>25</v>
      </c>
      <c r="V75">
        <v>0</v>
      </c>
      <c r="W75">
        <v>546</v>
      </c>
      <c r="X75">
        <v>546</v>
      </c>
      <c r="Y75">
        <f t="shared" si="16"/>
        <v>546</v>
      </c>
      <c r="AA75" t="s">
        <v>25</v>
      </c>
      <c r="AB75">
        <v>546</v>
      </c>
      <c r="AC75">
        <f t="shared" si="17"/>
        <v>0</v>
      </c>
    </row>
    <row r="76" spans="1:29" x14ac:dyDescent="0.25">
      <c r="A76" s="1">
        <v>44025</v>
      </c>
      <c r="B76">
        <f t="shared" si="14"/>
        <v>337</v>
      </c>
      <c r="C76">
        <f t="shared" si="14"/>
        <v>0</v>
      </c>
      <c r="D76">
        <f t="shared" si="14"/>
        <v>292</v>
      </c>
      <c r="E76">
        <v>407</v>
      </c>
      <c r="F76">
        <v>311</v>
      </c>
      <c r="G76">
        <v>280</v>
      </c>
      <c r="H76">
        <f t="shared" si="15"/>
        <v>744</v>
      </c>
      <c r="I76">
        <f t="shared" si="15"/>
        <v>311</v>
      </c>
      <c r="J76">
        <f t="shared" si="15"/>
        <v>572</v>
      </c>
      <c r="K76" t="str">
        <f t="shared" si="9"/>
        <v>mal_porz</v>
      </c>
      <c r="L76">
        <f t="shared" si="10"/>
        <v>572</v>
      </c>
      <c r="M76">
        <f t="shared" si="11"/>
        <v>0</v>
      </c>
      <c r="N76">
        <f t="shared" si="12"/>
        <v>572</v>
      </c>
      <c r="O76">
        <f t="shared" si="13"/>
        <v>172</v>
      </c>
      <c r="P76">
        <f t="shared" si="13"/>
        <v>311</v>
      </c>
      <c r="Q76">
        <f t="shared" si="13"/>
        <v>0</v>
      </c>
      <c r="U76" t="s">
        <v>22</v>
      </c>
      <c r="V76">
        <v>411</v>
      </c>
      <c r="W76">
        <v>411</v>
      </c>
      <c r="X76">
        <v>0</v>
      </c>
      <c r="Y76">
        <f t="shared" si="16"/>
        <v>411</v>
      </c>
      <c r="AA76" t="s">
        <v>22</v>
      </c>
      <c r="AB76">
        <v>411</v>
      </c>
      <c r="AC76">
        <f t="shared" si="17"/>
        <v>411</v>
      </c>
    </row>
    <row r="77" spans="1:29" x14ac:dyDescent="0.25">
      <c r="A77" s="1">
        <v>44026</v>
      </c>
      <c r="B77">
        <f t="shared" si="14"/>
        <v>172</v>
      </c>
      <c r="C77">
        <f t="shared" si="14"/>
        <v>311</v>
      </c>
      <c r="D77">
        <f t="shared" si="14"/>
        <v>0</v>
      </c>
      <c r="E77">
        <v>480</v>
      </c>
      <c r="F77">
        <v>342</v>
      </c>
      <c r="G77">
        <v>292</v>
      </c>
      <c r="H77">
        <f t="shared" si="15"/>
        <v>652</v>
      </c>
      <c r="I77">
        <f t="shared" si="15"/>
        <v>653</v>
      </c>
      <c r="J77">
        <f t="shared" si="15"/>
        <v>292</v>
      </c>
      <c r="K77" t="str">
        <f t="shared" si="9"/>
        <v>mal_trus</v>
      </c>
      <c r="L77">
        <f t="shared" si="10"/>
        <v>652</v>
      </c>
      <c r="M77">
        <f t="shared" si="11"/>
        <v>652</v>
      </c>
      <c r="N77">
        <f t="shared" si="12"/>
        <v>0</v>
      </c>
      <c r="O77">
        <f t="shared" si="13"/>
        <v>0</v>
      </c>
      <c r="P77">
        <f t="shared" si="13"/>
        <v>1</v>
      </c>
      <c r="Q77">
        <f t="shared" si="13"/>
        <v>292</v>
      </c>
      <c r="U77" t="s">
        <v>23</v>
      </c>
      <c r="V77">
        <v>572</v>
      </c>
      <c r="W77">
        <v>0</v>
      </c>
      <c r="X77">
        <v>572</v>
      </c>
      <c r="Y77">
        <f t="shared" si="16"/>
        <v>572</v>
      </c>
      <c r="AA77" t="s">
        <v>23</v>
      </c>
      <c r="AB77">
        <v>572</v>
      </c>
      <c r="AC77">
        <f t="shared" si="17"/>
        <v>0</v>
      </c>
    </row>
    <row r="78" spans="1:29" x14ac:dyDescent="0.25">
      <c r="A78" s="1">
        <v>44027</v>
      </c>
      <c r="B78">
        <f t="shared" si="14"/>
        <v>0</v>
      </c>
      <c r="C78">
        <f t="shared" si="14"/>
        <v>1</v>
      </c>
      <c r="D78">
        <f t="shared" si="14"/>
        <v>292</v>
      </c>
      <c r="E78">
        <v>494</v>
      </c>
      <c r="F78">
        <v>310</v>
      </c>
      <c r="G78">
        <v>275</v>
      </c>
      <c r="H78">
        <f t="shared" si="15"/>
        <v>494</v>
      </c>
      <c r="I78">
        <f t="shared" si="15"/>
        <v>311</v>
      </c>
      <c r="J78">
        <f t="shared" si="15"/>
        <v>567</v>
      </c>
      <c r="K78" t="str">
        <f t="shared" si="9"/>
        <v>mal_porz</v>
      </c>
      <c r="L78">
        <f t="shared" si="10"/>
        <v>494</v>
      </c>
      <c r="M78">
        <f t="shared" si="11"/>
        <v>0</v>
      </c>
      <c r="N78">
        <f t="shared" si="12"/>
        <v>494</v>
      </c>
      <c r="O78">
        <f t="shared" si="13"/>
        <v>0</v>
      </c>
      <c r="P78">
        <f t="shared" si="13"/>
        <v>311</v>
      </c>
      <c r="Q78">
        <f t="shared" si="13"/>
        <v>73</v>
      </c>
      <c r="U78" t="s">
        <v>22</v>
      </c>
      <c r="V78">
        <v>652</v>
      </c>
      <c r="W78">
        <v>652</v>
      </c>
      <c r="X78">
        <v>0</v>
      </c>
      <c r="Y78">
        <f t="shared" si="16"/>
        <v>652</v>
      </c>
      <c r="AA78" t="s">
        <v>22</v>
      </c>
      <c r="AB78">
        <v>652</v>
      </c>
      <c r="AC78">
        <f t="shared" si="17"/>
        <v>652</v>
      </c>
    </row>
    <row r="79" spans="1:29" x14ac:dyDescent="0.25">
      <c r="A79" s="1">
        <v>44028</v>
      </c>
      <c r="B79">
        <f t="shared" si="14"/>
        <v>0</v>
      </c>
      <c r="C79">
        <f t="shared" si="14"/>
        <v>311</v>
      </c>
      <c r="D79">
        <f t="shared" si="14"/>
        <v>73</v>
      </c>
      <c r="E79">
        <v>493</v>
      </c>
      <c r="F79">
        <v>431</v>
      </c>
      <c r="G79">
        <v>283</v>
      </c>
      <c r="H79">
        <f t="shared" si="15"/>
        <v>493</v>
      </c>
      <c r="I79">
        <f t="shared" si="15"/>
        <v>742</v>
      </c>
      <c r="J79">
        <f t="shared" si="15"/>
        <v>356</v>
      </c>
      <c r="K79" t="str">
        <f t="shared" si="9"/>
        <v>mal_trus</v>
      </c>
      <c r="L79">
        <f t="shared" si="10"/>
        <v>493</v>
      </c>
      <c r="M79">
        <f t="shared" si="11"/>
        <v>493</v>
      </c>
      <c r="N79">
        <f t="shared" si="12"/>
        <v>0</v>
      </c>
      <c r="O79">
        <f t="shared" si="13"/>
        <v>0</v>
      </c>
      <c r="P79">
        <f t="shared" si="13"/>
        <v>249</v>
      </c>
      <c r="Q79">
        <f t="shared" si="13"/>
        <v>356</v>
      </c>
      <c r="U79" t="s">
        <v>23</v>
      </c>
      <c r="V79">
        <v>494</v>
      </c>
      <c r="W79">
        <v>0</v>
      </c>
      <c r="X79">
        <v>494</v>
      </c>
      <c r="Y79">
        <f t="shared" si="16"/>
        <v>494</v>
      </c>
      <c r="AA79" t="s">
        <v>23</v>
      </c>
      <c r="AB79">
        <v>494</v>
      </c>
      <c r="AC79">
        <f t="shared" si="17"/>
        <v>0</v>
      </c>
    </row>
    <row r="80" spans="1:29" x14ac:dyDescent="0.25">
      <c r="A80" s="1">
        <v>44029</v>
      </c>
      <c r="B80">
        <f t="shared" si="14"/>
        <v>0</v>
      </c>
      <c r="C80">
        <f t="shared" si="14"/>
        <v>249</v>
      </c>
      <c r="D80">
        <f t="shared" si="14"/>
        <v>356</v>
      </c>
      <c r="E80">
        <v>302</v>
      </c>
      <c r="F80">
        <v>415</v>
      </c>
      <c r="G80">
        <v>297</v>
      </c>
      <c r="H80">
        <f t="shared" si="15"/>
        <v>302</v>
      </c>
      <c r="I80">
        <f t="shared" si="15"/>
        <v>664</v>
      </c>
      <c r="J80">
        <f t="shared" si="15"/>
        <v>653</v>
      </c>
      <c r="K80" t="str">
        <f t="shared" si="9"/>
        <v>trus_porz</v>
      </c>
      <c r="L80">
        <f t="shared" si="10"/>
        <v>0</v>
      </c>
      <c r="M80">
        <f t="shared" si="11"/>
        <v>653</v>
      </c>
      <c r="N80">
        <f t="shared" si="12"/>
        <v>653</v>
      </c>
      <c r="O80">
        <f t="shared" si="13"/>
        <v>302</v>
      </c>
      <c r="P80">
        <f t="shared" si="13"/>
        <v>11</v>
      </c>
      <c r="Q80">
        <f t="shared" si="13"/>
        <v>0</v>
      </c>
      <c r="U80" t="s">
        <v>22</v>
      </c>
      <c r="V80">
        <v>493</v>
      </c>
      <c r="W80">
        <v>493</v>
      </c>
      <c r="X80">
        <v>0</v>
      </c>
      <c r="Y80">
        <f t="shared" si="16"/>
        <v>493</v>
      </c>
      <c r="AA80" t="s">
        <v>22</v>
      </c>
      <c r="AB80">
        <v>493</v>
      </c>
      <c r="AC80">
        <f t="shared" si="17"/>
        <v>493</v>
      </c>
    </row>
    <row r="81" spans="1:29" x14ac:dyDescent="0.25">
      <c r="A81" s="1">
        <v>44030</v>
      </c>
      <c r="B81">
        <f t="shared" si="14"/>
        <v>302</v>
      </c>
      <c r="C81">
        <f t="shared" si="14"/>
        <v>11</v>
      </c>
      <c r="D81">
        <f t="shared" si="14"/>
        <v>0</v>
      </c>
      <c r="E81">
        <v>331</v>
      </c>
      <c r="F81">
        <v>353</v>
      </c>
      <c r="G81">
        <v>373</v>
      </c>
      <c r="H81">
        <f t="shared" si="15"/>
        <v>633</v>
      </c>
      <c r="I81">
        <f t="shared" si="15"/>
        <v>364</v>
      </c>
      <c r="J81">
        <f t="shared" si="15"/>
        <v>373</v>
      </c>
      <c r="K81" t="str">
        <f t="shared" si="9"/>
        <v>mal_porz</v>
      </c>
      <c r="L81">
        <f t="shared" si="10"/>
        <v>373</v>
      </c>
      <c r="M81">
        <f t="shared" si="11"/>
        <v>0</v>
      </c>
      <c r="N81">
        <f t="shared" si="12"/>
        <v>373</v>
      </c>
      <c r="O81">
        <f t="shared" si="13"/>
        <v>260</v>
      </c>
      <c r="P81">
        <f t="shared" si="13"/>
        <v>364</v>
      </c>
      <c r="Q81">
        <f t="shared" si="13"/>
        <v>0</v>
      </c>
      <c r="U81" t="s">
        <v>25</v>
      </c>
      <c r="V81">
        <v>0</v>
      </c>
      <c r="W81">
        <v>653</v>
      </c>
      <c r="X81">
        <v>653</v>
      </c>
      <c r="Y81">
        <f t="shared" si="16"/>
        <v>653</v>
      </c>
      <c r="AA81" t="s">
        <v>25</v>
      </c>
      <c r="AB81">
        <v>653</v>
      </c>
      <c r="AC81">
        <f t="shared" si="17"/>
        <v>0</v>
      </c>
    </row>
    <row r="82" spans="1:29" x14ac:dyDescent="0.25">
      <c r="A82" s="1">
        <v>44031</v>
      </c>
      <c r="B82">
        <f t="shared" si="14"/>
        <v>260</v>
      </c>
      <c r="C82">
        <f t="shared" si="14"/>
        <v>364</v>
      </c>
      <c r="D82">
        <f t="shared" si="14"/>
        <v>0</v>
      </c>
      <c r="E82">
        <v>486</v>
      </c>
      <c r="F82">
        <v>323</v>
      </c>
      <c r="G82">
        <v>359</v>
      </c>
      <c r="H82">
        <f t="shared" si="15"/>
        <v>746</v>
      </c>
      <c r="I82">
        <f t="shared" si="15"/>
        <v>687</v>
      </c>
      <c r="J82">
        <f t="shared" si="15"/>
        <v>359</v>
      </c>
      <c r="K82" t="str">
        <f t="shared" si="9"/>
        <v>mal_trus</v>
      </c>
      <c r="L82">
        <f t="shared" si="10"/>
        <v>687</v>
      </c>
      <c r="M82">
        <f t="shared" si="11"/>
        <v>687</v>
      </c>
      <c r="N82">
        <f t="shared" si="12"/>
        <v>0</v>
      </c>
      <c r="O82">
        <f t="shared" si="13"/>
        <v>59</v>
      </c>
      <c r="P82">
        <f t="shared" si="13"/>
        <v>0</v>
      </c>
      <c r="Q82">
        <f t="shared" si="13"/>
        <v>359</v>
      </c>
      <c r="U82" t="s">
        <v>23</v>
      </c>
      <c r="V82">
        <v>373</v>
      </c>
      <c r="W82">
        <v>0</v>
      </c>
      <c r="X82">
        <v>373</v>
      </c>
      <c r="Y82">
        <f t="shared" si="16"/>
        <v>373</v>
      </c>
      <c r="AA82" t="s">
        <v>23</v>
      </c>
      <c r="AB82">
        <v>373</v>
      </c>
      <c r="AC82">
        <f t="shared" si="17"/>
        <v>0</v>
      </c>
    </row>
    <row r="83" spans="1:29" x14ac:dyDescent="0.25">
      <c r="A83" s="1">
        <v>44032</v>
      </c>
      <c r="B83">
        <f t="shared" si="14"/>
        <v>59</v>
      </c>
      <c r="C83">
        <f t="shared" si="14"/>
        <v>0</v>
      </c>
      <c r="D83">
        <f t="shared" si="14"/>
        <v>359</v>
      </c>
      <c r="E83">
        <v>360</v>
      </c>
      <c r="F83">
        <v>331</v>
      </c>
      <c r="G83">
        <v>445</v>
      </c>
      <c r="H83">
        <f t="shared" si="15"/>
        <v>419</v>
      </c>
      <c r="I83">
        <f t="shared" si="15"/>
        <v>331</v>
      </c>
      <c r="J83">
        <f t="shared" si="15"/>
        <v>804</v>
      </c>
      <c r="K83" t="str">
        <f t="shared" si="9"/>
        <v>mal_porz</v>
      </c>
      <c r="L83">
        <f t="shared" si="10"/>
        <v>419</v>
      </c>
      <c r="M83">
        <f t="shared" si="11"/>
        <v>0</v>
      </c>
      <c r="N83">
        <f t="shared" si="12"/>
        <v>419</v>
      </c>
      <c r="O83">
        <f t="shared" si="13"/>
        <v>0</v>
      </c>
      <c r="P83">
        <f t="shared" si="13"/>
        <v>331</v>
      </c>
      <c r="Q83">
        <f t="shared" si="13"/>
        <v>385</v>
      </c>
      <c r="U83" t="s">
        <v>22</v>
      </c>
      <c r="V83">
        <v>687</v>
      </c>
      <c r="W83">
        <v>687</v>
      </c>
      <c r="X83">
        <v>0</v>
      </c>
      <c r="Y83">
        <f t="shared" si="16"/>
        <v>687</v>
      </c>
      <c r="AA83" t="s">
        <v>22</v>
      </c>
      <c r="AB83">
        <v>687</v>
      </c>
      <c r="AC83">
        <f t="shared" si="17"/>
        <v>687</v>
      </c>
    </row>
    <row r="84" spans="1:29" x14ac:dyDescent="0.25">
      <c r="A84" s="1">
        <v>44033</v>
      </c>
      <c r="B84">
        <f t="shared" si="14"/>
        <v>0</v>
      </c>
      <c r="C84">
        <f t="shared" si="14"/>
        <v>331</v>
      </c>
      <c r="D84">
        <f t="shared" si="14"/>
        <v>385</v>
      </c>
      <c r="E84">
        <v>391</v>
      </c>
      <c r="F84">
        <v>455</v>
      </c>
      <c r="G84">
        <v>427</v>
      </c>
      <c r="H84">
        <f t="shared" si="15"/>
        <v>391</v>
      </c>
      <c r="I84">
        <f t="shared" si="15"/>
        <v>786</v>
      </c>
      <c r="J84">
        <f t="shared" si="15"/>
        <v>812</v>
      </c>
      <c r="K84" t="str">
        <f t="shared" si="9"/>
        <v>trus_porz</v>
      </c>
      <c r="L84">
        <f t="shared" si="10"/>
        <v>0</v>
      </c>
      <c r="M84">
        <f t="shared" si="11"/>
        <v>786</v>
      </c>
      <c r="N84">
        <f t="shared" si="12"/>
        <v>786</v>
      </c>
      <c r="O84">
        <f t="shared" si="13"/>
        <v>391</v>
      </c>
      <c r="P84">
        <f t="shared" si="13"/>
        <v>0</v>
      </c>
      <c r="Q84">
        <f t="shared" si="13"/>
        <v>26</v>
      </c>
      <c r="U84" t="s">
        <v>23</v>
      </c>
      <c r="V84">
        <v>419</v>
      </c>
      <c r="W84">
        <v>0</v>
      </c>
      <c r="X84">
        <v>419</v>
      </c>
      <c r="Y84">
        <f t="shared" si="16"/>
        <v>419</v>
      </c>
      <c r="AA84" t="s">
        <v>23</v>
      </c>
      <c r="AB84">
        <v>419</v>
      </c>
      <c r="AC84">
        <f t="shared" si="17"/>
        <v>0</v>
      </c>
    </row>
    <row r="85" spans="1:29" x14ac:dyDescent="0.25">
      <c r="A85" s="1">
        <v>44034</v>
      </c>
      <c r="B85">
        <f t="shared" si="14"/>
        <v>391</v>
      </c>
      <c r="C85">
        <f t="shared" si="14"/>
        <v>0</v>
      </c>
      <c r="D85">
        <f t="shared" si="14"/>
        <v>26</v>
      </c>
      <c r="E85">
        <v>327</v>
      </c>
      <c r="F85">
        <v>471</v>
      </c>
      <c r="G85">
        <v>423</v>
      </c>
      <c r="H85">
        <f t="shared" si="15"/>
        <v>718</v>
      </c>
      <c r="I85">
        <f t="shared" si="15"/>
        <v>471</v>
      </c>
      <c r="J85">
        <f t="shared" si="15"/>
        <v>449</v>
      </c>
      <c r="K85" t="str">
        <f t="shared" si="9"/>
        <v>mal_trus</v>
      </c>
      <c r="L85">
        <f t="shared" si="10"/>
        <v>471</v>
      </c>
      <c r="M85">
        <f t="shared" si="11"/>
        <v>471</v>
      </c>
      <c r="N85">
        <f t="shared" si="12"/>
        <v>0</v>
      </c>
      <c r="O85">
        <f t="shared" si="13"/>
        <v>247</v>
      </c>
      <c r="P85">
        <f t="shared" si="13"/>
        <v>0</v>
      </c>
      <c r="Q85">
        <f t="shared" si="13"/>
        <v>449</v>
      </c>
      <c r="U85" t="s">
        <v>25</v>
      </c>
      <c r="V85">
        <v>0</v>
      </c>
      <c r="W85">
        <v>786</v>
      </c>
      <c r="X85">
        <v>786</v>
      </c>
      <c r="Y85">
        <f t="shared" si="16"/>
        <v>786</v>
      </c>
      <c r="AA85" t="s">
        <v>25</v>
      </c>
      <c r="AB85">
        <v>786</v>
      </c>
      <c r="AC85">
        <f t="shared" si="17"/>
        <v>0</v>
      </c>
    </row>
    <row r="86" spans="1:29" x14ac:dyDescent="0.25">
      <c r="A86" s="1">
        <v>44035</v>
      </c>
      <c r="B86">
        <f t="shared" si="14"/>
        <v>247</v>
      </c>
      <c r="C86">
        <f t="shared" si="14"/>
        <v>0</v>
      </c>
      <c r="D86">
        <f t="shared" si="14"/>
        <v>449</v>
      </c>
      <c r="E86">
        <v>355</v>
      </c>
      <c r="F86">
        <v>490</v>
      </c>
      <c r="G86">
        <v>449</v>
      </c>
      <c r="H86">
        <f t="shared" si="15"/>
        <v>602</v>
      </c>
      <c r="I86">
        <f t="shared" si="15"/>
        <v>490</v>
      </c>
      <c r="J86">
        <f t="shared" si="15"/>
        <v>898</v>
      </c>
      <c r="K86" t="str">
        <f t="shared" si="9"/>
        <v>mal_porz</v>
      </c>
      <c r="L86">
        <f t="shared" si="10"/>
        <v>602</v>
      </c>
      <c r="M86">
        <f t="shared" si="11"/>
        <v>0</v>
      </c>
      <c r="N86">
        <f t="shared" si="12"/>
        <v>602</v>
      </c>
      <c r="O86">
        <f t="shared" si="13"/>
        <v>0</v>
      </c>
      <c r="P86">
        <f t="shared" si="13"/>
        <v>490</v>
      </c>
      <c r="Q86">
        <f t="shared" si="13"/>
        <v>296</v>
      </c>
      <c r="U86" t="s">
        <v>22</v>
      </c>
      <c r="V86">
        <v>471</v>
      </c>
      <c r="W86">
        <v>471</v>
      </c>
      <c r="X86">
        <v>0</v>
      </c>
      <c r="Y86">
        <f t="shared" si="16"/>
        <v>471</v>
      </c>
      <c r="AA86" t="s">
        <v>22</v>
      </c>
      <c r="AB86">
        <v>471</v>
      </c>
      <c r="AC86">
        <f t="shared" si="17"/>
        <v>471</v>
      </c>
    </row>
    <row r="87" spans="1:29" x14ac:dyDescent="0.25">
      <c r="A87" s="1">
        <v>44036</v>
      </c>
      <c r="B87">
        <f t="shared" si="14"/>
        <v>0</v>
      </c>
      <c r="C87">
        <f t="shared" si="14"/>
        <v>490</v>
      </c>
      <c r="D87">
        <f t="shared" si="14"/>
        <v>296</v>
      </c>
      <c r="E87">
        <v>360</v>
      </c>
      <c r="F87">
        <v>339</v>
      </c>
      <c r="G87">
        <v>470</v>
      </c>
      <c r="H87">
        <f t="shared" si="15"/>
        <v>360</v>
      </c>
      <c r="I87">
        <f t="shared" si="15"/>
        <v>829</v>
      </c>
      <c r="J87">
        <f t="shared" si="15"/>
        <v>766</v>
      </c>
      <c r="K87" t="str">
        <f t="shared" si="9"/>
        <v>trus_porz</v>
      </c>
      <c r="L87">
        <f t="shared" si="10"/>
        <v>0</v>
      </c>
      <c r="M87">
        <f t="shared" si="11"/>
        <v>766</v>
      </c>
      <c r="N87">
        <f t="shared" si="12"/>
        <v>766</v>
      </c>
      <c r="O87">
        <f t="shared" si="13"/>
        <v>360</v>
      </c>
      <c r="P87">
        <f t="shared" si="13"/>
        <v>63</v>
      </c>
      <c r="Q87">
        <f t="shared" si="13"/>
        <v>0</v>
      </c>
      <c r="U87" t="s">
        <v>23</v>
      </c>
      <c r="V87">
        <v>602</v>
      </c>
      <c r="W87">
        <v>0</v>
      </c>
      <c r="X87">
        <v>602</v>
      </c>
      <c r="Y87">
        <f t="shared" si="16"/>
        <v>602</v>
      </c>
      <c r="AA87" t="s">
        <v>23</v>
      </c>
      <c r="AB87">
        <v>602</v>
      </c>
      <c r="AC87">
        <f t="shared" si="17"/>
        <v>0</v>
      </c>
    </row>
    <row r="88" spans="1:29" x14ac:dyDescent="0.25">
      <c r="A88" s="1">
        <v>44037</v>
      </c>
      <c r="B88">
        <f t="shared" si="14"/>
        <v>360</v>
      </c>
      <c r="C88">
        <f t="shared" si="14"/>
        <v>63</v>
      </c>
      <c r="D88">
        <f t="shared" si="14"/>
        <v>0</v>
      </c>
      <c r="E88">
        <v>303</v>
      </c>
      <c r="F88">
        <v>404</v>
      </c>
      <c r="G88">
        <v>434</v>
      </c>
      <c r="H88">
        <f t="shared" si="15"/>
        <v>663</v>
      </c>
      <c r="I88">
        <f t="shared" si="15"/>
        <v>467</v>
      </c>
      <c r="J88">
        <f t="shared" si="15"/>
        <v>434</v>
      </c>
      <c r="K88" t="str">
        <f t="shared" si="9"/>
        <v>mal_trus</v>
      </c>
      <c r="L88">
        <f t="shared" si="10"/>
        <v>467</v>
      </c>
      <c r="M88">
        <f t="shared" si="11"/>
        <v>467</v>
      </c>
      <c r="N88">
        <f t="shared" si="12"/>
        <v>0</v>
      </c>
      <c r="O88">
        <f t="shared" si="13"/>
        <v>196</v>
      </c>
      <c r="P88">
        <f t="shared" si="13"/>
        <v>0</v>
      </c>
      <c r="Q88">
        <f t="shared" si="13"/>
        <v>434</v>
      </c>
      <c r="U88" t="s">
        <v>25</v>
      </c>
      <c r="V88">
        <v>0</v>
      </c>
      <c r="W88">
        <v>766</v>
      </c>
      <c r="X88">
        <v>766</v>
      </c>
      <c r="Y88">
        <f t="shared" si="16"/>
        <v>766</v>
      </c>
      <c r="AA88" t="s">
        <v>25</v>
      </c>
      <c r="AB88">
        <v>766</v>
      </c>
      <c r="AC88">
        <f t="shared" si="17"/>
        <v>0</v>
      </c>
    </row>
    <row r="89" spans="1:29" x14ac:dyDescent="0.25">
      <c r="A89" s="1">
        <v>44038</v>
      </c>
      <c r="B89">
        <f t="shared" si="14"/>
        <v>196</v>
      </c>
      <c r="C89">
        <f t="shared" si="14"/>
        <v>0</v>
      </c>
      <c r="D89">
        <f t="shared" si="14"/>
        <v>434</v>
      </c>
      <c r="E89">
        <v>310</v>
      </c>
      <c r="F89">
        <v>332</v>
      </c>
      <c r="G89">
        <v>536</v>
      </c>
      <c r="H89">
        <f t="shared" si="15"/>
        <v>506</v>
      </c>
      <c r="I89">
        <f t="shared" si="15"/>
        <v>332</v>
      </c>
      <c r="J89">
        <f t="shared" si="15"/>
        <v>970</v>
      </c>
      <c r="K89" t="str">
        <f t="shared" si="9"/>
        <v>mal_porz</v>
      </c>
      <c r="L89">
        <f t="shared" si="10"/>
        <v>506</v>
      </c>
      <c r="M89">
        <f t="shared" si="11"/>
        <v>0</v>
      </c>
      <c r="N89">
        <f t="shared" si="12"/>
        <v>506</v>
      </c>
      <c r="O89">
        <f t="shared" si="13"/>
        <v>0</v>
      </c>
      <c r="P89">
        <f t="shared" si="13"/>
        <v>332</v>
      </c>
      <c r="Q89">
        <f t="shared" si="13"/>
        <v>464</v>
      </c>
      <c r="U89" t="s">
        <v>22</v>
      </c>
      <c r="V89">
        <v>467</v>
      </c>
      <c r="W89">
        <v>467</v>
      </c>
      <c r="X89">
        <v>0</v>
      </c>
      <c r="Y89">
        <f t="shared" si="16"/>
        <v>467</v>
      </c>
      <c r="AA89" t="s">
        <v>22</v>
      </c>
      <c r="AB89">
        <v>467</v>
      </c>
      <c r="AC89">
        <f t="shared" si="17"/>
        <v>467</v>
      </c>
    </row>
    <row r="90" spans="1:29" x14ac:dyDescent="0.25">
      <c r="A90" s="1">
        <v>44039</v>
      </c>
      <c r="B90">
        <f t="shared" si="14"/>
        <v>0</v>
      </c>
      <c r="C90">
        <f t="shared" si="14"/>
        <v>332</v>
      </c>
      <c r="D90">
        <f t="shared" si="14"/>
        <v>464</v>
      </c>
      <c r="E90">
        <v>435</v>
      </c>
      <c r="F90">
        <v>406</v>
      </c>
      <c r="G90">
        <v>421</v>
      </c>
      <c r="H90">
        <f t="shared" si="15"/>
        <v>435</v>
      </c>
      <c r="I90">
        <f t="shared" si="15"/>
        <v>738</v>
      </c>
      <c r="J90">
        <f t="shared" si="15"/>
        <v>885</v>
      </c>
      <c r="K90" t="str">
        <f t="shared" si="9"/>
        <v>trus_porz</v>
      </c>
      <c r="L90">
        <f t="shared" si="10"/>
        <v>0</v>
      </c>
      <c r="M90">
        <f t="shared" si="11"/>
        <v>738</v>
      </c>
      <c r="N90">
        <f t="shared" si="12"/>
        <v>738</v>
      </c>
      <c r="O90">
        <f t="shared" si="13"/>
        <v>435</v>
      </c>
      <c r="P90">
        <f t="shared" si="13"/>
        <v>0</v>
      </c>
      <c r="Q90">
        <f t="shared" si="13"/>
        <v>147</v>
      </c>
      <c r="U90" t="s">
        <v>23</v>
      </c>
      <c r="V90">
        <v>506</v>
      </c>
      <c r="W90">
        <v>0</v>
      </c>
      <c r="X90">
        <v>506</v>
      </c>
      <c r="Y90">
        <f t="shared" si="16"/>
        <v>506</v>
      </c>
      <c r="AA90" t="s">
        <v>23</v>
      </c>
      <c r="AB90">
        <v>506</v>
      </c>
      <c r="AC90">
        <f t="shared" si="17"/>
        <v>0</v>
      </c>
    </row>
    <row r="91" spans="1:29" x14ac:dyDescent="0.25">
      <c r="A91" s="1">
        <v>44040</v>
      </c>
      <c r="B91">
        <f t="shared" si="14"/>
        <v>435</v>
      </c>
      <c r="C91">
        <f t="shared" si="14"/>
        <v>0</v>
      </c>
      <c r="D91">
        <f t="shared" si="14"/>
        <v>147</v>
      </c>
      <c r="E91">
        <v>344</v>
      </c>
      <c r="F91">
        <v>348</v>
      </c>
      <c r="G91">
        <v>555</v>
      </c>
      <c r="H91">
        <f t="shared" si="15"/>
        <v>779</v>
      </c>
      <c r="I91">
        <f t="shared" si="15"/>
        <v>348</v>
      </c>
      <c r="J91">
        <f t="shared" si="15"/>
        <v>702</v>
      </c>
      <c r="K91" t="str">
        <f t="shared" si="9"/>
        <v>mal_porz</v>
      </c>
      <c r="L91">
        <f t="shared" si="10"/>
        <v>702</v>
      </c>
      <c r="M91">
        <f t="shared" si="11"/>
        <v>0</v>
      </c>
      <c r="N91">
        <f t="shared" si="12"/>
        <v>702</v>
      </c>
      <c r="O91">
        <f t="shared" si="13"/>
        <v>77</v>
      </c>
      <c r="P91">
        <f t="shared" si="13"/>
        <v>348</v>
      </c>
      <c r="Q91">
        <f t="shared" si="13"/>
        <v>0</v>
      </c>
      <c r="U91" t="s">
        <v>25</v>
      </c>
      <c r="V91">
        <v>0</v>
      </c>
      <c r="W91">
        <v>738</v>
      </c>
      <c r="X91">
        <v>738</v>
      </c>
      <c r="Y91">
        <f t="shared" si="16"/>
        <v>738</v>
      </c>
      <c r="AA91" t="s">
        <v>25</v>
      </c>
      <c r="AB91">
        <v>738</v>
      </c>
      <c r="AC91">
        <f t="shared" si="17"/>
        <v>0</v>
      </c>
    </row>
    <row r="92" spans="1:29" x14ac:dyDescent="0.25">
      <c r="A92" s="1">
        <v>44041</v>
      </c>
      <c r="B92">
        <f t="shared" si="14"/>
        <v>77</v>
      </c>
      <c r="C92">
        <f t="shared" si="14"/>
        <v>348</v>
      </c>
      <c r="D92">
        <f t="shared" si="14"/>
        <v>0</v>
      </c>
      <c r="E92">
        <v>303</v>
      </c>
      <c r="F92">
        <v>335</v>
      </c>
      <c r="G92">
        <v>436</v>
      </c>
      <c r="H92">
        <f t="shared" si="15"/>
        <v>380</v>
      </c>
      <c r="I92">
        <f t="shared" si="15"/>
        <v>683</v>
      </c>
      <c r="J92">
        <f t="shared" si="15"/>
        <v>436</v>
      </c>
      <c r="K92" t="str">
        <f t="shared" si="9"/>
        <v>trus_porz</v>
      </c>
      <c r="L92">
        <f t="shared" si="10"/>
        <v>0</v>
      </c>
      <c r="M92">
        <f t="shared" si="11"/>
        <v>436</v>
      </c>
      <c r="N92">
        <f t="shared" si="12"/>
        <v>436</v>
      </c>
      <c r="O92">
        <f t="shared" si="13"/>
        <v>380</v>
      </c>
      <c r="P92">
        <f t="shared" si="13"/>
        <v>247</v>
      </c>
      <c r="Q92">
        <f t="shared" si="13"/>
        <v>0</v>
      </c>
      <c r="U92" t="s">
        <v>23</v>
      </c>
      <c r="V92">
        <v>702</v>
      </c>
      <c r="W92">
        <v>0</v>
      </c>
      <c r="X92">
        <v>702</v>
      </c>
      <c r="Y92">
        <f t="shared" si="16"/>
        <v>702</v>
      </c>
      <c r="AA92" t="s">
        <v>23</v>
      </c>
      <c r="AB92">
        <v>702</v>
      </c>
      <c r="AC92">
        <f t="shared" si="17"/>
        <v>0</v>
      </c>
    </row>
    <row r="93" spans="1:29" x14ac:dyDescent="0.25">
      <c r="A93" s="1">
        <v>44042</v>
      </c>
      <c r="B93">
        <f t="shared" si="14"/>
        <v>380</v>
      </c>
      <c r="C93">
        <f t="shared" si="14"/>
        <v>247</v>
      </c>
      <c r="D93">
        <f t="shared" si="14"/>
        <v>0</v>
      </c>
      <c r="E93">
        <v>433</v>
      </c>
      <c r="F93">
        <v>425</v>
      </c>
      <c r="G93">
        <v>422</v>
      </c>
      <c r="H93">
        <f t="shared" si="15"/>
        <v>813</v>
      </c>
      <c r="I93">
        <f t="shared" si="15"/>
        <v>672</v>
      </c>
      <c r="J93">
        <f t="shared" si="15"/>
        <v>422</v>
      </c>
      <c r="K93" t="str">
        <f t="shared" si="9"/>
        <v>mal_trus</v>
      </c>
      <c r="L93">
        <f t="shared" si="10"/>
        <v>672</v>
      </c>
      <c r="M93">
        <f t="shared" si="11"/>
        <v>672</v>
      </c>
      <c r="N93">
        <f t="shared" si="12"/>
        <v>0</v>
      </c>
      <c r="O93">
        <f t="shared" si="13"/>
        <v>141</v>
      </c>
      <c r="P93">
        <f t="shared" si="13"/>
        <v>0</v>
      </c>
      <c r="Q93">
        <f t="shared" si="13"/>
        <v>422</v>
      </c>
      <c r="U93" t="s">
        <v>25</v>
      </c>
      <c r="V93">
        <v>0</v>
      </c>
      <c r="W93">
        <v>436</v>
      </c>
      <c r="X93">
        <v>436</v>
      </c>
      <c r="Y93">
        <f t="shared" si="16"/>
        <v>436</v>
      </c>
      <c r="AA93" t="s">
        <v>25</v>
      </c>
      <c r="AB93">
        <v>436</v>
      </c>
      <c r="AC93">
        <f t="shared" si="17"/>
        <v>0</v>
      </c>
    </row>
    <row r="94" spans="1:29" x14ac:dyDescent="0.25">
      <c r="A94" s="1">
        <v>44043</v>
      </c>
      <c r="B94">
        <f t="shared" si="14"/>
        <v>141</v>
      </c>
      <c r="C94">
        <f t="shared" si="14"/>
        <v>0</v>
      </c>
      <c r="D94">
        <f t="shared" si="14"/>
        <v>422</v>
      </c>
      <c r="E94">
        <v>350</v>
      </c>
      <c r="F94">
        <v>378</v>
      </c>
      <c r="G94">
        <v>419</v>
      </c>
      <c r="H94">
        <f t="shared" si="15"/>
        <v>491</v>
      </c>
      <c r="I94">
        <f t="shared" si="15"/>
        <v>378</v>
      </c>
      <c r="J94">
        <f t="shared" si="15"/>
        <v>841</v>
      </c>
      <c r="K94" t="str">
        <f t="shared" si="9"/>
        <v>mal_porz</v>
      </c>
      <c r="L94">
        <f t="shared" si="10"/>
        <v>491</v>
      </c>
      <c r="M94">
        <f t="shared" si="11"/>
        <v>0</v>
      </c>
      <c r="N94">
        <f t="shared" si="12"/>
        <v>491</v>
      </c>
      <c r="O94">
        <f t="shared" si="13"/>
        <v>0</v>
      </c>
      <c r="P94">
        <f t="shared" si="13"/>
        <v>378</v>
      </c>
      <c r="Q94">
        <f t="shared" si="13"/>
        <v>350</v>
      </c>
      <c r="U94" t="s">
        <v>22</v>
      </c>
      <c r="V94">
        <v>672</v>
      </c>
      <c r="W94">
        <v>672</v>
      </c>
      <c r="X94">
        <v>0</v>
      </c>
      <c r="Y94">
        <f t="shared" si="16"/>
        <v>672</v>
      </c>
      <c r="AA94" t="s">
        <v>22</v>
      </c>
      <c r="AB94">
        <v>672</v>
      </c>
      <c r="AC94">
        <f t="shared" si="17"/>
        <v>672</v>
      </c>
    </row>
    <row r="95" spans="1:29" x14ac:dyDescent="0.25">
      <c r="A95" s="1">
        <v>44044</v>
      </c>
      <c r="B95">
        <f t="shared" si="14"/>
        <v>0</v>
      </c>
      <c r="C95">
        <f t="shared" si="14"/>
        <v>378</v>
      </c>
      <c r="D95">
        <f t="shared" si="14"/>
        <v>350</v>
      </c>
      <c r="E95">
        <v>396</v>
      </c>
      <c r="F95">
        <v>466</v>
      </c>
      <c r="G95">
        <v>434</v>
      </c>
      <c r="H95">
        <f t="shared" si="15"/>
        <v>396</v>
      </c>
      <c r="I95">
        <f t="shared" si="15"/>
        <v>844</v>
      </c>
      <c r="J95">
        <f t="shared" si="15"/>
        <v>784</v>
      </c>
      <c r="K95" t="str">
        <f t="shared" si="9"/>
        <v>trus_porz</v>
      </c>
      <c r="L95">
        <f t="shared" si="10"/>
        <v>0</v>
      </c>
      <c r="M95">
        <f t="shared" si="11"/>
        <v>784</v>
      </c>
      <c r="N95">
        <f t="shared" si="12"/>
        <v>784</v>
      </c>
      <c r="O95">
        <f t="shared" si="13"/>
        <v>396</v>
      </c>
      <c r="P95">
        <f t="shared" si="13"/>
        <v>60</v>
      </c>
      <c r="Q95">
        <f t="shared" si="13"/>
        <v>0</v>
      </c>
      <c r="U95" t="s">
        <v>23</v>
      </c>
      <c r="V95">
        <v>491</v>
      </c>
      <c r="W95">
        <v>0</v>
      </c>
      <c r="X95">
        <v>491</v>
      </c>
      <c r="Y95">
        <f t="shared" si="16"/>
        <v>491</v>
      </c>
      <c r="AA95" t="s">
        <v>23</v>
      </c>
      <c r="AB95">
        <v>491</v>
      </c>
      <c r="AC95">
        <f t="shared" si="17"/>
        <v>0</v>
      </c>
    </row>
    <row r="96" spans="1:29" x14ac:dyDescent="0.25">
      <c r="A96" s="1">
        <v>44045</v>
      </c>
      <c r="B96">
        <f t="shared" si="14"/>
        <v>396</v>
      </c>
      <c r="C96">
        <f t="shared" si="14"/>
        <v>60</v>
      </c>
      <c r="D96">
        <f t="shared" si="14"/>
        <v>0</v>
      </c>
      <c r="E96">
        <v>495</v>
      </c>
      <c r="F96">
        <v>410</v>
      </c>
      <c r="G96">
        <v>418</v>
      </c>
      <c r="H96">
        <f t="shared" si="15"/>
        <v>891</v>
      </c>
      <c r="I96">
        <f t="shared" si="15"/>
        <v>470</v>
      </c>
      <c r="J96">
        <f t="shared" si="15"/>
        <v>418</v>
      </c>
      <c r="K96" t="str">
        <f t="shared" si="9"/>
        <v>mal_trus</v>
      </c>
      <c r="L96">
        <f t="shared" si="10"/>
        <v>470</v>
      </c>
      <c r="M96">
        <f t="shared" si="11"/>
        <v>470</v>
      </c>
      <c r="N96">
        <f t="shared" si="12"/>
        <v>0</v>
      </c>
      <c r="O96">
        <f t="shared" si="13"/>
        <v>421</v>
      </c>
      <c r="P96">
        <f t="shared" si="13"/>
        <v>0</v>
      </c>
      <c r="Q96">
        <f t="shared" si="13"/>
        <v>418</v>
      </c>
      <c r="U96" t="s">
        <v>25</v>
      </c>
      <c r="V96">
        <v>0</v>
      </c>
      <c r="W96">
        <v>784</v>
      </c>
      <c r="X96">
        <v>784</v>
      </c>
      <c r="Y96">
        <f t="shared" si="16"/>
        <v>784</v>
      </c>
      <c r="AA96" t="s">
        <v>25</v>
      </c>
      <c r="AB96">
        <v>784</v>
      </c>
      <c r="AC96">
        <f t="shared" si="17"/>
        <v>0</v>
      </c>
    </row>
    <row r="97" spans="1:29" x14ac:dyDescent="0.25">
      <c r="A97" s="1">
        <v>44046</v>
      </c>
      <c r="B97">
        <f t="shared" si="14"/>
        <v>421</v>
      </c>
      <c r="C97">
        <f t="shared" si="14"/>
        <v>0</v>
      </c>
      <c r="D97">
        <f t="shared" si="14"/>
        <v>418</v>
      </c>
      <c r="E97">
        <v>420</v>
      </c>
      <c r="F97">
        <v>328</v>
      </c>
      <c r="G97">
        <v>422</v>
      </c>
      <c r="H97">
        <f t="shared" si="15"/>
        <v>841</v>
      </c>
      <c r="I97">
        <f t="shared" si="15"/>
        <v>328</v>
      </c>
      <c r="J97">
        <f t="shared" si="15"/>
        <v>840</v>
      </c>
      <c r="K97" t="str">
        <f t="shared" si="9"/>
        <v>mal_porz</v>
      </c>
      <c r="L97">
        <f t="shared" si="10"/>
        <v>840</v>
      </c>
      <c r="M97">
        <f t="shared" si="11"/>
        <v>0</v>
      </c>
      <c r="N97">
        <f t="shared" si="12"/>
        <v>840</v>
      </c>
      <c r="O97">
        <f t="shared" si="13"/>
        <v>1</v>
      </c>
      <c r="P97">
        <f t="shared" si="13"/>
        <v>328</v>
      </c>
      <c r="Q97">
        <f t="shared" si="13"/>
        <v>0</v>
      </c>
      <c r="U97" t="s">
        <v>22</v>
      </c>
      <c r="V97">
        <v>470</v>
      </c>
      <c r="W97">
        <v>470</v>
      </c>
      <c r="X97">
        <v>0</v>
      </c>
      <c r="Y97">
        <f t="shared" si="16"/>
        <v>470</v>
      </c>
      <c r="AA97" t="s">
        <v>22</v>
      </c>
      <c r="AB97">
        <v>470</v>
      </c>
      <c r="AC97">
        <f t="shared" si="17"/>
        <v>470</v>
      </c>
    </row>
    <row r="98" spans="1:29" x14ac:dyDescent="0.25">
      <c r="A98" s="1">
        <v>44047</v>
      </c>
      <c r="B98">
        <f t="shared" si="14"/>
        <v>1</v>
      </c>
      <c r="C98">
        <f t="shared" si="14"/>
        <v>328</v>
      </c>
      <c r="D98">
        <f t="shared" si="14"/>
        <v>0</v>
      </c>
      <c r="E98">
        <v>411</v>
      </c>
      <c r="F98">
        <v>481</v>
      </c>
      <c r="G98">
        <v>445</v>
      </c>
      <c r="H98">
        <f t="shared" si="15"/>
        <v>412</v>
      </c>
      <c r="I98">
        <f t="shared" si="15"/>
        <v>809</v>
      </c>
      <c r="J98">
        <f t="shared" si="15"/>
        <v>445</v>
      </c>
      <c r="K98" t="str">
        <f t="shared" si="9"/>
        <v>trus_porz</v>
      </c>
      <c r="L98">
        <f t="shared" si="10"/>
        <v>0</v>
      </c>
      <c r="M98">
        <f t="shared" si="11"/>
        <v>445</v>
      </c>
      <c r="N98">
        <f t="shared" si="12"/>
        <v>445</v>
      </c>
      <c r="O98">
        <f t="shared" si="13"/>
        <v>412</v>
      </c>
      <c r="P98">
        <f t="shared" si="13"/>
        <v>364</v>
      </c>
      <c r="Q98">
        <f t="shared" si="13"/>
        <v>0</v>
      </c>
      <c r="U98" t="s">
        <v>23</v>
      </c>
      <c r="V98">
        <v>840</v>
      </c>
      <c r="W98">
        <v>0</v>
      </c>
      <c r="X98">
        <v>840</v>
      </c>
      <c r="Y98">
        <f t="shared" si="16"/>
        <v>840</v>
      </c>
      <c r="AA98" t="s">
        <v>23</v>
      </c>
      <c r="AB98">
        <v>840</v>
      </c>
      <c r="AC98">
        <f t="shared" si="17"/>
        <v>0</v>
      </c>
    </row>
    <row r="99" spans="1:29" x14ac:dyDescent="0.25">
      <c r="A99" s="1">
        <v>44048</v>
      </c>
      <c r="B99">
        <f t="shared" si="14"/>
        <v>412</v>
      </c>
      <c r="C99">
        <f t="shared" si="14"/>
        <v>364</v>
      </c>
      <c r="D99">
        <f t="shared" si="14"/>
        <v>0</v>
      </c>
      <c r="E99">
        <v>317</v>
      </c>
      <c r="F99">
        <v>434</v>
      </c>
      <c r="G99">
        <v>411</v>
      </c>
      <c r="H99">
        <f t="shared" si="15"/>
        <v>729</v>
      </c>
      <c r="I99">
        <f t="shared" si="15"/>
        <v>798</v>
      </c>
      <c r="J99">
        <f t="shared" si="15"/>
        <v>411</v>
      </c>
      <c r="K99" t="str">
        <f t="shared" si="9"/>
        <v>mal_trus</v>
      </c>
      <c r="L99">
        <f t="shared" si="10"/>
        <v>729</v>
      </c>
      <c r="M99">
        <f t="shared" si="11"/>
        <v>729</v>
      </c>
      <c r="N99">
        <f t="shared" si="12"/>
        <v>0</v>
      </c>
      <c r="O99">
        <f t="shared" si="13"/>
        <v>0</v>
      </c>
      <c r="P99">
        <f t="shared" si="13"/>
        <v>69</v>
      </c>
      <c r="Q99">
        <f t="shared" si="13"/>
        <v>411</v>
      </c>
      <c r="U99" t="s">
        <v>25</v>
      </c>
      <c r="V99">
        <v>0</v>
      </c>
      <c r="W99">
        <v>445</v>
      </c>
      <c r="X99">
        <v>445</v>
      </c>
      <c r="Y99">
        <f t="shared" si="16"/>
        <v>445</v>
      </c>
      <c r="AA99" t="s">
        <v>25</v>
      </c>
      <c r="AB99">
        <v>445</v>
      </c>
      <c r="AC99">
        <f t="shared" si="17"/>
        <v>0</v>
      </c>
    </row>
    <row r="100" spans="1:29" x14ac:dyDescent="0.25">
      <c r="A100" s="1">
        <v>44049</v>
      </c>
      <c r="B100">
        <f t="shared" si="14"/>
        <v>0</v>
      </c>
      <c r="C100">
        <f t="shared" si="14"/>
        <v>69</v>
      </c>
      <c r="D100">
        <f t="shared" si="14"/>
        <v>411</v>
      </c>
      <c r="E100">
        <v>342</v>
      </c>
      <c r="F100">
        <v>465</v>
      </c>
      <c r="G100">
        <v>417</v>
      </c>
      <c r="H100">
        <f t="shared" si="15"/>
        <v>342</v>
      </c>
      <c r="I100">
        <f t="shared" si="15"/>
        <v>534</v>
      </c>
      <c r="J100">
        <f t="shared" si="15"/>
        <v>828</v>
      </c>
      <c r="K100" t="str">
        <f t="shared" si="9"/>
        <v>trus_porz</v>
      </c>
      <c r="L100">
        <f t="shared" si="10"/>
        <v>0</v>
      </c>
      <c r="M100">
        <f t="shared" si="11"/>
        <v>534</v>
      </c>
      <c r="N100">
        <f t="shared" si="12"/>
        <v>534</v>
      </c>
      <c r="O100">
        <f t="shared" si="13"/>
        <v>342</v>
      </c>
      <c r="P100">
        <f t="shared" si="13"/>
        <v>0</v>
      </c>
      <c r="Q100">
        <f t="shared" si="13"/>
        <v>294</v>
      </c>
      <c r="U100" t="s">
        <v>22</v>
      </c>
      <c r="V100">
        <v>729</v>
      </c>
      <c r="W100">
        <v>729</v>
      </c>
      <c r="X100">
        <v>0</v>
      </c>
      <c r="Y100">
        <f t="shared" si="16"/>
        <v>729</v>
      </c>
      <c r="AA100" t="s">
        <v>22</v>
      </c>
      <c r="AB100">
        <v>729</v>
      </c>
      <c r="AC100">
        <f t="shared" si="17"/>
        <v>729</v>
      </c>
    </row>
    <row r="101" spans="1:29" x14ac:dyDescent="0.25">
      <c r="A101" s="1">
        <v>44050</v>
      </c>
      <c r="B101">
        <f t="shared" si="14"/>
        <v>342</v>
      </c>
      <c r="C101">
        <f t="shared" si="14"/>
        <v>0</v>
      </c>
      <c r="D101">
        <f t="shared" si="14"/>
        <v>294</v>
      </c>
      <c r="E101">
        <v>450</v>
      </c>
      <c r="F101">
        <v>318</v>
      </c>
      <c r="G101">
        <v>490</v>
      </c>
      <c r="H101">
        <f t="shared" si="15"/>
        <v>792</v>
      </c>
      <c r="I101">
        <f t="shared" si="15"/>
        <v>318</v>
      </c>
      <c r="J101">
        <f t="shared" si="15"/>
        <v>784</v>
      </c>
      <c r="K101" t="str">
        <f t="shared" si="9"/>
        <v>mal_porz</v>
      </c>
      <c r="L101">
        <f t="shared" si="10"/>
        <v>784</v>
      </c>
      <c r="M101">
        <f t="shared" si="11"/>
        <v>0</v>
      </c>
      <c r="N101">
        <f t="shared" si="12"/>
        <v>784</v>
      </c>
      <c r="O101">
        <f t="shared" si="13"/>
        <v>8</v>
      </c>
      <c r="P101">
        <f t="shared" si="13"/>
        <v>318</v>
      </c>
      <c r="Q101">
        <f t="shared" si="13"/>
        <v>0</v>
      </c>
      <c r="U101" t="s">
        <v>25</v>
      </c>
      <c r="V101">
        <v>0</v>
      </c>
      <c r="W101">
        <v>534</v>
      </c>
      <c r="X101">
        <v>534</v>
      </c>
      <c r="Y101">
        <f t="shared" si="16"/>
        <v>534</v>
      </c>
      <c r="AA101" t="s">
        <v>25</v>
      </c>
      <c r="AB101">
        <v>534</v>
      </c>
      <c r="AC101">
        <f t="shared" si="17"/>
        <v>0</v>
      </c>
    </row>
    <row r="102" spans="1:29" x14ac:dyDescent="0.25">
      <c r="A102" s="1">
        <v>44051</v>
      </c>
      <c r="B102">
        <f t="shared" si="14"/>
        <v>8</v>
      </c>
      <c r="C102">
        <f t="shared" si="14"/>
        <v>318</v>
      </c>
      <c r="D102">
        <f t="shared" si="14"/>
        <v>0</v>
      </c>
      <c r="E102">
        <v>343</v>
      </c>
      <c r="F102">
        <v>329</v>
      </c>
      <c r="G102">
        <v>345</v>
      </c>
      <c r="H102">
        <f t="shared" si="15"/>
        <v>351</v>
      </c>
      <c r="I102">
        <f t="shared" si="15"/>
        <v>647</v>
      </c>
      <c r="J102">
        <f t="shared" si="15"/>
        <v>345</v>
      </c>
      <c r="K102" t="str">
        <f t="shared" si="9"/>
        <v>mal_trus</v>
      </c>
      <c r="L102">
        <f t="shared" si="10"/>
        <v>351</v>
      </c>
      <c r="M102">
        <f t="shared" si="11"/>
        <v>351</v>
      </c>
      <c r="N102">
        <f t="shared" si="12"/>
        <v>0</v>
      </c>
      <c r="O102">
        <f t="shared" si="13"/>
        <v>0</v>
      </c>
      <c r="P102">
        <f t="shared" si="13"/>
        <v>296</v>
      </c>
      <c r="Q102">
        <f t="shared" si="13"/>
        <v>345</v>
      </c>
      <c r="U102" t="s">
        <v>23</v>
      </c>
      <c r="V102">
        <v>784</v>
      </c>
      <c r="W102">
        <v>0</v>
      </c>
      <c r="X102">
        <v>784</v>
      </c>
      <c r="Y102">
        <f t="shared" si="16"/>
        <v>784</v>
      </c>
      <c r="AA102" t="s">
        <v>23</v>
      </c>
      <c r="AB102">
        <v>784</v>
      </c>
      <c r="AC102">
        <f t="shared" si="17"/>
        <v>0</v>
      </c>
    </row>
    <row r="103" spans="1:29" x14ac:dyDescent="0.25">
      <c r="A103" s="1">
        <v>44052</v>
      </c>
      <c r="B103">
        <f t="shared" si="14"/>
        <v>0</v>
      </c>
      <c r="C103">
        <f t="shared" si="14"/>
        <v>296</v>
      </c>
      <c r="D103">
        <f t="shared" si="14"/>
        <v>345</v>
      </c>
      <c r="E103">
        <v>287</v>
      </c>
      <c r="F103">
        <v>328</v>
      </c>
      <c r="G103">
        <v>377</v>
      </c>
      <c r="H103">
        <f t="shared" si="15"/>
        <v>287</v>
      </c>
      <c r="I103">
        <f t="shared" si="15"/>
        <v>624</v>
      </c>
      <c r="J103">
        <f t="shared" si="15"/>
        <v>722</v>
      </c>
      <c r="K103" t="str">
        <f t="shared" si="9"/>
        <v>trus_porz</v>
      </c>
      <c r="L103">
        <f t="shared" si="10"/>
        <v>0</v>
      </c>
      <c r="M103">
        <f t="shared" si="11"/>
        <v>624</v>
      </c>
      <c r="N103">
        <f t="shared" si="12"/>
        <v>624</v>
      </c>
      <c r="O103">
        <f t="shared" si="13"/>
        <v>287</v>
      </c>
      <c r="P103">
        <f t="shared" si="13"/>
        <v>0</v>
      </c>
      <c r="Q103">
        <f t="shared" si="13"/>
        <v>98</v>
      </c>
      <c r="U103" t="s">
        <v>22</v>
      </c>
      <c r="V103">
        <v>351</v>
      </c>
      <c r="W103">
        <v>351</v>
      </c>
      <c r="X103">
        <v>0</v>
      </c>
      <c r="Y103">
        <f t="shared" si="16"/>
        <v>351</v>
      </c>
      <c r="AA103" t="s">
        <v>22</v>
      </c>
      <c r="AB103">
        <v>351</v>
      </c>
      <c r="AC103">
        <f t="shared" si="17"/>
        <v>351</v>
      </c>
    </row>
    <row r="104" spans="1:29" x14ac:dyDescent="0.25">
      <c r="A104" s="1">
        <v>44053</v>
      </c>
      <c r="B104">
        <f t="shared" si="14"/>
        <v>287</v>
      </c>
      <c r="C104">
        <f t="shared" si="14"/>
        <v>0</v>
      </c>
      <c r="D104">
        <f t="shared" si="14"/>
        <v>98</v>
      </c>
      <c r="E104">
        <v>298</v>
      </c>
      <c r="F104">
        <v>401</v>
      </c>
      <c r="G104">
        <v>416</v>
      </c>
      <c r="H104">
        <f t="shared" si="15"/>
        <v>585</v>
      </c>
      <c r="I104">
        <f t="shared" si="15"/>
        <v>401</v>
      </c>
      <c r="J104">
        <f t="shared" si="15"/>
        <v>514</v>
      </c>
      <c r="K104" t="str">
        <f t="shared" si="9"/>
        <v>mal_porz</v>
      </c>
      <c r="L104">
        <f t="shared" si="10"/>
        <v>514</v>
      </c>
      <c r="M104">
        <f t="shared" si="11"/>
        <v>0</v>
      </c>
      <c r="N104">
        <f t="shared" si="12"/>
        <v>514</v>
      </c>
      <c r="O104">
        <f t="shared" si="13"/>
        <v>71</v>
      </c>
      <c r="P104">
        <f t="shared" si="13"/>
        <v>401</v>
      </c>
      <c r="Q104">
        <f t="shared" si="13"/>
        <v>0</v>
      </c>
      <c r="U104" t="s">
        <v>25</v>
      </c>
      <c r="V104">
        <v>0</v>
      </c>
      <c r="W104">
        <v>624</v>
      </c>
      <c r="X104">
        <v>624</v>
      </c>
      <c r="Y104">
        <f t="shared" si="16"/>
        <v>624</v>
      </c>
      <c r="AA104" t="s">
        <v>25</v>
      </c>
      <c r="AB104">
        <v>624</v>
      </c>
      <c r="AC104">
        <f t="shared" si="17"/>
        <v>0</v>
      </c>
    </row>
    <row r="105" spans="1:29" x14ac:dyDescent="0.25">
      <c r="A105" s="1">
        <v>44054</v>
      </c>
      <c r="B105">
        <f t="shared" si="14"/>
        <v>71</v>
      </c>
      <c r="C105">
        <f t="shared" si="14"/>
        <v>401</v>
      </c>
      <c r="D105">
        <f t="shared" si="14"/>
        <v>0</v>
      </c>
      <c r="E105">
        <v>429</v>
      </c>
      <c r="F105">
        <v>348</v>
      </c>
      <c r="G105">
        <v>426</v>
      </c>
      <c r="H105">
        <f t="shared" si="15"/>
        <v>500</v>
      </c>
      <c r="I105">
        <f t="shared" si="15"/>
        <v>749</v>
      </c>
      <c r="J105">
        <f t="shared" si="15"/>
        <v>426</v>
      </c>
      <c r="K105" t="str">
        <f t="shared" si="9"/>
        <v>mal_trus</v>
      </c>
      <c r="L105">
        <f t="shared" si="10"/>
        <v>500</v>
      </c>
      <c r="M105">
        <f t="shared" si="11"/>
        <v>500</v>
      </c>
      <c r="N105">
        <f t="shared" si="12"/>
        <v>0</v>
      </c>
      <c r="O105">
        <f t="shared" si="13"/>
        <v>0</v>
      </c>
      <c r="P105">
        <f t="shared" si="13"/>
        <v>249</v>
      </c>
      <c r="Q105">
        <f t="shared" si="13"/>
        <v>426</v>
      </c>
      <c r="U105" t="s">
        <v>23</v>
      </c>
      <c r="V105">
        <v>514</v>
      </c>
      <c r="W105">
        <v>0</v>
      </c>
      <c r="X105">
        <v>514</v>
      </c>
      <c r="Y105">
        <f t="shared" si="16"/>
        <v>514</v>
      </c>
      <c r="AA105" t="s">
        <v>23</v>
      </c>
      <c r="AB105">
        <v>514</v>
      </c>
      <c r="AC105">
        <f t="shared" si="17"/>
        <v>0</v>
      </c>
    </row>
    <row r="106" spans="1:29" x14ac:dyDescent="0.25">
      <c r="A106" s="1">
        <v>44055</v>
      </c>
      <c r="B106">
        <f t="shared" si="14"/>
        <v>0</v>
      </c>
      <c r="C106">
        <f t="shared" si="14"/>
        <v>249</v>
      </c>
      <c r="D106">
        <f t="shared" si="14"/>
        <v>426</v>
      </c>
      <c r="E106">
        <v>417</v>
      </c>
      <c r="F106">
        <v>457</v>
      </c>
      <c r="G106">
        <v>438</v>
      </c>
      <c r="H106">
        <f t="shared" si="15"/>
        <v>417</v>
      </c>
      <c r="I106">
        <f t="shared" si="15"/>
        <v>706</v>
      </c>
      <c r="J106">
        <f t="shared" si="15"/>
        <v>864</v>
      </c>
      <c r="K106" t="str">
        <f t="shared" si="9"/>
        <v>trus_porz</v>
      </c>
      <c r="L106">
        <f t="shared" si="10"/>
        <v>0</v>
      </c>
      <c r="M106">
        <f t="shared" si="11"/>
        <v>706</v>
      </c>
      <c r="N106">
        <f t="shared" si="12"/>
        <v>706</v>
      </c>
      <c r="O106">
        <f t="shared" si="13"/>
        <v>417</v>
      </c>
      <c r="P106">
        <f t="shared" si="13"/>
        <v>0</v>
      </c>
      <c r="Q106">
        <f t="shared" si="13"/>
        <v>158</v>
      </c>
      <c r="U106" t="s">
        <v>22</v>
      </c>
      <c r="V106">
        <v>500</v>
      </c>
      <c r="W106">
        <v>500</v>
      </c>
      <c r="X106">
        <v>0</v>
      </c>
      <c r="Y106">
        <f t="shared" si="16"/>
        <v>500</v>
      </c>
      <c r="AA106" t="s">
        <v>22</v>
      </c>
      <c r="AB106">
        <v>500</v>
      </c>
      <c r="AC106">
        <f t="shared" si="17"/>
        <v>500</v>
      </c>
    </row>
    <row r="107" spans="1:29" x14ac:dyDescent="0.25">
      <c r="A107" s="1">
        <v>44056</v>
      </c>
      <c r="B107">
        <f t="shared" si="14"/>
        <v>417</v>
      </c>
      <c r="C107">
        <f t="shared" si="14"/>
        <v>0</v>
      </c>
      <c r="D107">
        <f t="shared" si="14"/>
        <v>158</v>
      </c>
      <c r="E107">
        <v>384</v>
      </c>
      <c r="F107">
        <v>330</v>
      </c>
      <c r="G107">
        <v>292</v>
      </c>
      <c r="H107">
        <f t="shared" si="15"/>
        <v>801</v>
      </c>
      <c r="I107">
        <f t="shared" si="15"/>
        <v>330</v>
      </c>
      <c r="J107">
        <f t="shared" si="15"/>
        <v>450</v>
      </c>
      <c r="K107" t="str">
        <f t="shared" si="9"/>
        <v>mal_porz</v>
      </c>
      <c r="L107">
        <f t="shared" si="10"/>
        <v>450</v>
      </c>
      <c r="M107">
        <f t="shared" si="11"/>
        <v>0</v>
      </c>
      <c r="N107">
        <f t="shared" si="12"/>
        <v>450</v>
      </c>
      <c r="O107">
        <f t="shared" si="13"/>
        <v>351</v>
      </c>
      <c r="P107">
        <f t="shared" si="13"/>
        <v>330</v>
      </c>
      <c r="Q107">
        <f t="shared" si="13"/>
        <v>0</v>
      </c>
      <c r="U107" t="s">
        <v>25</v>
      </c>
      <c r="V107">
        <v>0</v>
      </c>
      <c r="W107">
        <v>706</v>
      </c>
      <c r="X107">
        <v>706</v>
      </c>
      <c r="Y107">
        <f t="shared" si="16"/>
        <v>706</v>
      </c>
      <c r="AA107" t="s">
        <v>25</v>
      </c>
      <c r="AB107">
        <v>706</v>
      </c>
      <c r="AC107">
        <f t="shared" si="17"/>
        <v>0</v>
      </c>
    </row>
    <row r="108" spans="1:29" x14ac:dyDescent="0.25">
      <c r="A108" s="1">
        <v>44057</v>
      </c>
      <c r="B108">
        <f t="shared" si="14"/>
        <v>351</v>
      </c>
      <c r="C108">
        <f t="shared" si="14"/>
        <v>330</v>
      </c>
      <c r="D108">
        <f t="shared" si="14"/>
        <v>0</v>
      </c>
      <c r="E108">
        <v>370</v>
      </c>
      <c r="F108">
        <v>388</v>
      </c>
      <c r="G108">
        <v>390</v>
      </c>
      <c r="H108">
        <f t="shared" si="15"/>
        <v>721</v>
      </c>
      <c r="I108">
        <f t="shared" si="15"/>
        <v>718</v>
      </c>
      <c r="J108">
        <f t="shared" si="15"/>
        <v>390</v>
      </c>
      <c r="K108" t="str">
        <f t="shared" si="9"/>
        <v>mal_trus</v>
      </c>
      <c r="L108">
        <f t="shared" si="10"/>
        <v>718</v>
      </c>
      <c r="M108">
        <f t="shared" si="11"/>
        <v>718</v>
      </c>
      <c r="N108">
        <f t="shared" si="12"/>
        <v>0</v>
      </c>
      <c r="O108">
        <f t="shared" si="13"/>
        <v>3</v>
      </c>
      <c r="P108">
        <f t="shared" si="13"/>
        <v>0</v>
      </c>
      <c r="Q108">
        <f t="shared" si="13"/>
        <v>390</v>
      </c>
      <c r="U108" t="s">
        <v>23</v>
      </c>
      <c r="V108">
        <v>450</v>
      </c>
      <c r="W108">
        <v>0</v>
      </c>
      <c r="X108">
        <v>450</v>
      </c>
      <c r="Y108">
        <f t="shared" si="16"/>
        <v>450</v>
      </c>
      <c r="AA108" t="s">
        <v>23</v>
      </c>
      <c r="AB108">
        <v>450</v>
      </c>
      <c r="AC108">
        <f t="shared" si="17"/>
        <v>0</v>
      </c>
    </row>
    <row r="109" spans="1:29" x14ac:dyDescent="0.25">
      <c r="A109" s="1">
        <v>44058</v>
      </c>
      <c r="B109">
        <f t="shared" si="14"/>
        <v>3</v>
      </c>
      <c r="C109">
        <f t="shared" si="14"/>
        <v>0</v>
      </c>
      <c r="D109">
        <f t="shared" si="14"/>
        <v>390</v>
      </c>
      <c r="E109">
        <v>436</v>
      </c>
      <c r="F109">
        <v>298</v>
      </c>
      <c r="G109">
        <v>420</v>
      </c>
      <c r="H109">
        <f t="shared" si="15"/>
        <v>439</v>
      </c>
      <c r="I109">
        <f t="shared" si="15"/>
        <v>298</v>
      </c>
      <c r="J109">
        <f t="shared" si="15"/>
        <v>810</v>
      </c>
      <c r="K109" t="str">
        <f t="shared" si="9"/>
        <v>mal_porz</v>
      </c>
      <c r="L109">
        <f t="shared" si="10"/>
        <v>439</v>
      </c>
      <c r="M109">
        <f t="shared" si="11"/>
        <v>0</v>
      </c>
      <c r="N109">
        <f t="shared" si="12"/>
        <v>439</v>
      </c>
      <c r="O109">
        <f t="shared" si="13"/>
        <v>0</v>
      </c>
      <c r="P109">
        <f t="shared" si="13"/>
        <v>298</v>
      </c>
      <c r="Q109">
        <f t="shared" si="13"/>
        <v>371</v>
      </c>
      <c r="U109" t="s">
        <v>22</v>
      </c>
      <c r="V109">
        <v>718</v>
      </c>
      <c r="W109">
        <v>718</v>
      </c>
      <c r="X109">
        <v>0</v>
      </c>
      <c r="Y109">
        <f t="shared" si="16"/>
        <v>718</v>
      </c>
      <c r="AA109" t="s">
        <v>22</v>
      </c>
      <c r="AB109">
        <v>718</v>
      </c>
      <c r="AC109">
        <f t="shared" si="17"/>
        <v>718</v>
      </c>
    </row>
    <row r="110" spans="1:29" x14ac:dyDescent="0.25">
      <c r="A110" s="1">
        <v>44059</v>
      </c>
      <c r="B110">
        <f t="shared" si="14"/>
        <v>0</v>
      </c>
      <c r="C110">
        <f t="shared" si="14"/>
        <v>298</v>
      </c>
      <c r="D110">
        <f t="shared" si="14"/>
        <v>371</v>
      </c>
      <c r="E110">
        <v>303</v>
      </c>
      <c r="F110">
        <v>429</v>
      </c>
      <c r="G110">
        <v>407</v>
      </c>
      <c r="H110">
        <f t="shared" si="15"/>
        <v>303</v>
      </c>
      <c r="I110">
        <f t="shared" si="15"/>
        <v>727</v>
      </c>
      <c r="J110">
        <f t="shared" si="15"/>
        <v>778</v>
      </c>
      <c r="K110" t="str">
        <f t="shared" si="9"/>
        <v>trus_porz</v>
      </c>
      <c r="L110">
        <f t="shared" si="10"/>
        <v>0</v>
      </c>
      <c r="M110">
        <f t="shared" si="11"/>
        <v>727</v>
      </c>
      <c r="N110">
        <f t="shared" si="12"/>
        <v>727</v>
      </c>
      <c r="O110">
        <f t="shared" si="13"/>
        <v>303</v>
      </c>
      <c r="P110">
        <f t="shared" si="13"/>
        <v>0</v>
      </c>
      <c r="Q110">
        <f t="shared" si="13"/>
        <v>51</v>
      </c>
      <c r="U110" t="s">
        <v>23</v>
      </c>
      <c r="V110">
        <v>439</v>
      </c>
      <c r="W110">
        <v>0</v>
      </c>
      <c r="X110">
        <v>439</v>
      </c>
      <c r="Y110">
        <f t="shared" si="16"/>
        <v>439</v>
      </c>
      <c r="AA110" t="s">
        <v>23</v>
      </c>
      <c r="AB110">
        <v>439</v>
      </c>
      <c r="AC110">
        <f t="shared" si="17"/>
        <v>0</v>
      </c>
    </row>
    <row r="111" spans="1:29" x14ac:dyDescent="0.25">
      <c r="A111" s="1">
        <v>44060</v>
      </c>
      <c r="B111">
        <f t="shared" si="14"/>
        <v>303</v>
      </c>
      <c r="C111">
        <f t="shared" si="14"/>
        <v>0</v>
      </c>
      <c r="D111">
        <f t="shared" si="14"/>
        <v>51</v>
      </c>
      <c r="E111">
        <v>449</v>
      </c>
      <c r="F111">
        <v>444</v>
      </c>
      <c r="G111">
        <v>425</v>
      </c>
      <c r="H111">
        <f t="shared" si="15"/>
        <v>752</v>
      </c>
      <c r="I111">
        <f t="shared" si="15"/>
        <v>444</v>
      </c>
      <c r="J111">
        <f t="shared" si="15"/>
        <v>476</v>
      </c>
      <c r="K111" t="str">
        <f t="shared" si="9"/>
        <v>mal_porz</v>
      </c>
      <c r="L111">
        <f t="shared" si="10"/>
        <v>476</v>
      </c>
      <c r="M111">
        <f t="shared" si="11"/>
        <v>0</v>
      </c>
      <c r="N111">
        <f t="shared" si="12"/>
        <v>476</v>
      </c>
      <c r="O111">
        <f t="shared" si="13"/>
        <v>276</v>
      </c>
      <c r="P111">
        <f t="shared" si="13"/>
        <v>444</v>
      </c>
      <c r="Q111">
        <f t="shared" si="13"/>
        <v>0</v>
      </c>
      <c r="U111" t="s">
        <v>25</v>
      </c>
      <c r="V111">
        <v>0</v>
      </c>
      <c r="W111">
        <v>727</v>
      </c>
      <c r="X111">
        <v>727</v>
      </c>
      <c r="Y111">
        <f t="shared" si="16"/>
        <v>727</v>
      </c>
      <c r="AA111" t="s">
        <v>25</v>
      </c>
      <c r="AB111">
        <v>727</v>
      </c>
      <c r="AC111">
        <f t="shared" si="17"/>
        <v>0</v>
      </c>
    </row>
    <row r="112" spans="1:29" x14ac:dyDescent="0.25">
      <c r="A112" s="1">
        <v>44061</v>
      </c>
      <c r="B112">
        <f t="shared" si="14"/>
        <v>276</v>
      </c>
      <c r="C112">
        <f t="shared" si="14"/>
        <v>444</v>
      </c>
      <c r="D112">
        <f t="shared" si="14"/>
        <v>0</v>
      </c>
      <c r="E112">
        <v>300</v>
      </c>
      <c r="F112">
        <v>358</v>
      </c>
      <c r="G112">
        <v>377</v>
      </c>
      <c r="H112">
        <f t="shared" si="15"/>
        <v>576</v>
      </c>
      <c r="I112">
        <f t="shared" si="15"/>
        <v>802</v>
      </c>
      <c r="J112">
        <f t="shared" si="15"/>
        <v>377</v>
      </c>
      <c r="K112" t="str">
        <f t="shared" si="9"/>
        <v>mal_trus</v>
      </c>
      <c r="L112">
        <f t="shared" si="10"/>
        <v>576</v>
      </c>
      <c r="M112">
        <f t="shared" si="11"/>
        <v>576</v>
      </c>
      <c r="N112">
        <f t="shared" si="12"/>
        <v>0</v>
      </c>
      <c r="O112">
        <f t="shared" si="13"/>
        <v>0</v>
      </c>
      <c r="P112">
        <f t="shared" si="13"/>
        <v>226</v>
      </c>
      <c r="Q112">
        <f t="shared" si="13"/>
        <v>377</v>
      </c>
      <c r="U112" t="s">
        <v>23</v>
      </c>
      <c r="V112">
        <v>476</v>
      </c>
      <c r="W112">
        <v>0</v>
      </c>
      <c r="X112">
        <v>476</v>
      </c>
      <c r="Y112">
        <f t="shared" si="16"/>
        <v>476</v>
      </c>
      <c r="AA112" t="s">
        <v>23</v>
      </c>
      <c r="AB112">
        <v>476</v>
      </c>
      <c r="AC112">
        <f t="shared" si="17"/>
        <v>0</v>
      </c>
    </row>
    <row r="113" spans="1:29" x14ac:dyDescent="0.25">
      <c r="A113" s="1">
        <v>44062</v>
      </c>
      <c r="B113">
        <f t="shared" si="14"/>
        <v>0</v>
      </c>
      <c r="C113">
        <f t="shared" si="14"/>
        <v>226</v>
      </c>
      <c r="D113">
        <f t="shared" si="14"/>
        <v>377</v>
      </c>
      <c r="E113">
        <v>307</v>
      </c>
      <c r="F113">
        <v>417</v>
      </c>
      <c r="G113">
        <v>405</v>
      </c>
      <c r="H113">
        <f t="shared" si="15"/>
        <v>307</v>
      </c>
      <c r="I113">
        <f t="shared" si="15"/>
        <v>643</v>
      </c>
      <c r="J113">
        <f t="shared" si="15"/>
        <v>782</v>
      </c>
      <c r="K113" t="str">
        <f t="shared" si="9"/>
        <v>trus_porz</v>
      </c>
      <c r="L113">
        <f t="shared" si="10"/>
        <v>0</v>
      </c>
      <c r="M113">
        <f t="shared" si="11"/>
        <v>643</v>
      </c>
      <c r="N113">
        <f t="shared" si="12"/>
        <v>643</v>
      </c>
      <c r="O113">
        <f t="shared" si="13"/>
        <v>307</v>
      </c>
      <c r="P113">
        <f t="shared" si="13"/>
        <v>0</v>
      </c>
      <c r="Q113">
        <f t="shared" si="13"/>
        <v>139</v>
      </c>
      <c r="U113" t="s">
        <v>22</v>
      </c>
      <c r="V113">
        <v>576</v>
      </c>
      <c r="W113">
        <v>576</v>
      </c>
      <c r="X113">
        <v>0</v>
      </c>
      <c r="Y113">
        <f t="shared" si="16"/>
        <v>576</v>
      </c>
      <c r="AA113" t="s">
        <v>22</v>
      </c>
      <c r="AB113">
        <v>576</v>
      </c>
      <c r="AC113">
        <f t="shared" si="17"/>
        <v>576</v>
      </c>
    </row>
    <row r="114" spans="1:29" x14ac:dyDescent="0.25">
      <c r="A114" s="1">
        <v>44063</v>
      </c>
      <c r="B114">
        <f t="shared" si="14"/>
        <v>307</v>
      </c>
      <c r="C114">
        <f t="shared" si="14"/>
        <v>0</v>
      </c>
      <c r="D114">
        <f t="shared" si="14"/>
        <v>139</v>
      </c>
      <c r="E114">
        <v>314</v>
      </c>
      <c r="F114">
        <v>340</v>
      </c>
      <c r="G114">
        <v>345</v>
      </c>
      <c r="H114">
        <f t="shared" si="15"/>
        <v>621</v>
      </c>
      <c r="I114">
        <f t="shared" si="15"/>
        <v>340</v>
      </c>
      <c r="J114">
        <f t="shared" si="15"/>
        <v>484</v>
      </c>
      <c r="K114" t="str">
        <f t="shared" si="9"/>
        <v>mal_porz</v>
      </c>
      <c r="L114">
        <f t="shared" si="10"/>
        <v>484</v>
      </c>
      <c r="M114">
        <f t="shared" si="11"/>
        <v>0</v>
      </c>
      <c r="N114">
        <f t="shared" si="12"/>
        <v>484</v>
      </c>
      <c r="O114">
        <f t="shared" si="13"/>
        <v>137</v>
      </c>
      <c r="P114">
        <f t="shared" si="13"/>
        <v>340</v>
      </c>
      <c r="Q114">
        <f t="shared" si="13"/>
        <v>0</v>
      </c>
      <c r="U114" t="s">
        <v>25</v>
      </c>
      <c r="V114">
        <v>0</v>
      </c>
      <c r="W114">
        <v>643</v>
      </c>
      <c r="X114">
        <v>643</v>
      </c>
      <c r="Y114">
        <f t="shared" si="16"/>
        <v>643</v>
      </c>
      <c r="AA114" t="s">
        <v>25</v>
      </c>
      <c r="AB114">
        <v>643</v>
      </c>
      <c r="AC114">
        <f t="shared" si="17"/>
        <v>0</v>
      </c>
    </row>
    <row r="115" spans="1:29" x14ac:dyDescent="0.25">
      <c r="A115" s="1">
        <v>44064</v>
      </c>
      <c r="B115">
        <f t="shared" si="14"/>
        <v>137</v>
      </c>
      <c r="C115">
        <f t="shared" si="14"/>
        <v>340</v>
      </c>
      <c r="D115">
        <f t="shared" si="14"/>
        <v>0</v>
      </c>
      <c r="E115">
        <v>379</v>
      </c>
      <c r="F115">
        <v>288</v>
      </c>
      <c r="G115">
        <v>353</v>
      </c>
      <c r="H115">
        <f t="shared" si="15"/>
        <v>516</v>
      </c>
      <c r="I115">
        <f t="shared" si="15"/>
        <v>628</v>
      </c>
      <c r="J115">
        <f t="shared" si="15"/>
        <v>353</v>
      </c>
      <c r="K115" t="str">
        <f t="shared" si="9"/>
        <v>mal_trus</v>
      </c>
      <c r="L115">
        <f t="shared" si="10"/>
        <v>516</v>
      </c>
      <c r="M115">
        <f t="shared" si="11"/>
        <v>516</v>
      </c>
      <c r="N115">
        <f t="shared" si="12"/>
        <v>0</v>
      </c>
      <c r="O115">
        <f t="shared" si="13"/>
        <v>0</v>
      </c>
      <c r="P115">
        <f t="shared" si="13"/>
        <v>112</v>
      </c>
      <c r="Q115">
        <f t="shared" si="13"/>
        <v>353</v>
      </c>
      <c r="U115" t="s">
        <v>23</v>
      </c>
      <c r="V115">
        <v>484</v>
      </c>
      <c r="W115">
        <v>0</v>
      </c>
      <c r="X115">
        <v>484</v>
      </c>
      <c r="Y115">
        <f t="shared" si="16"/>
        <v>484</v>
      </c>
      <c r="AA115" t="s">
        <v>23</v>
      </c>
      <c r="AB115">
        <v>484</v>
      </c>
      <c r="AC115">
        <f t="shared" si="17"/>
        <v>0</v>
      </c>
    </row>
    <row r="116" spans="1:29" x14ac:dyDescent="0.25">
      <c r="A116" s="1">
        <v>44065</v>
      </c>
      <c r="B116">
        <f t="shared" si="14"/>
        <v>0</v>
      </c>
      <c r="C116">
        <f t="shared" si="14"/>
        <v>112</v>
      </c>
      <c r="D116">
        <f t="shared" si="14"/>
        <v>353</v>
      </c>
      <c r="E116">
        <v>405</v>
      </c>
      <c r="F116">
        <v>454</v>
      </c>
      <c r="G116">
        <v>342</v>
      </c>
      <c r="H116">
        <f t="shared" si="15"/>
        <v>405</v>
      </c>
      <c r="I116">
        <f t="shared" si="15"/>
        <v>566</v>
      </c>
      <c r="J116">
        <f t="shared" si="15"/>
        <v>695</v>
      </c>
      <c r="K116" t="str">
        <f t="shared" si="9"/>
        <v>trus_porz</v>
      </c>
      <c r="L116">
        <f t="shared" si="10"/>
        <v>0</v>
      </c>
      <c r="M116">
        <f t="shared" si="11"/>
        <v>566</v>
      </c>
      <c r="N116">
        <f t="shared" si="12"/>
        <v>566</v>
      </c>
      <c r="O116">
        <f t="shared" si="13"/>
        <v>405</v>
      </c>
      <c r="P116">
        <f t="shared" si="13"/>
        <v>0</v>
      </c>
      <c r="Q116">
        <f t="shared" si="13"/>
        <v>129</v>
      </c>
      <c r="U116" t="s">
        <v>22</v>
      </c>
      <c r="V116">
        <v>516</v>
      </c>
      <c r="W116">
        <v>516</v>
      </c>
      <c r="X116">
        <v>0</v>
      </c>
      <c r="Y116">
        <f t="shared" si="16"/>
        <v>516</v>
      </c>
      <c r="AA116" t="s">
        <v>22</v>
      </c>
      <c r="AB116">
        <v>516</v>
      </c>
      <c r="AC116">
        <f t="shared" si="17"/>
        <v>516</v>
      </c>
    </row>
    <row r="117" spans="1:29" x14ac:dyDescent="0.25">
      <c r="A117" s="1">
        <v>44066</v>
      </c>
      <c r="B117">
        <f t="shared" si="14"/>
        <v>405</v>
      </c>
      <c r="C117">
        <f t="shared" si="14"/>
        <v>0</v>
      </c>
      <c r="D117">
        <f t="shared" si="14"/>
        <v>129</v>
      </c>
      <c r="E117">
        <v>407</v>
      </c>
      <c r="F117">
        <v>300</v>
      </c>
      <c r="G117">
        <v>365</v>
      </c>
      <c r="H117">
        <f t="shared" si="15"/>
        <v>812</v>
      </c>
      <c r="I117">
        <f t="shared" si="15"/>
        <v>300</v>
      </c>
      <c r="J117">
        <f t="shared" si="15"/>
        <v>494</v>
      </c>
      <c r="K117" t="str">
        <f t="shared" si="9"/>
        <v>mal_porz</v>
      </c>
      <c r="L117">
        <f t="shared" si="10"/>
        <v>494</v>
      </c>
      <c r="M117">
        <f t="shared" si="11"/>
        <v>0</v>
      </c>
      <c r="N117">
        <f t="shared" si="12"/>
        <v>494</v>
      </c>
      <c r="O117">
        <f t="shared" si="13"/>
        <v>318</v>
      </c>
      <c r="P117">
        <f t="shared" si="13"/>
        <v>300</v>
      </c>
      <c r="Q117">
        <f t="shared" si="13"/>
        <v>0</v>
      </c>
      <c r="U117" t="s">
        <v>25</v>
      </c>
      <c r="V117">
        <v>0</v>
      </c>
      <c r="W117">
        <v>566</v>
      </c>
      <c r="X117">
        <v>566</v>
      </c>
      <c r="Y117">
        <f t="shared" si="16"/>
        <v>566</v>
      </c>
      <c r="AA117" t="s">
        <v>25</v>
      </c>
      <c r="AB117">
        <v>566</v>
      </c>
      <c r="AC117">
        <f t="shared" si="17"/>
        <v>0</v>
      </c>
    </row>
    <row r="118" spans="1:29" x14ac:dyDescent="0.25">
      <c r="A118" s="1">
        <v>44067</v>
      </c>
      <c r="B118">
        <f t="shared" si="14"/>
        <v>318</v>
      </c>
      <c r="C118">
        <f t="shared" si="14"/>
        <v>300</v>
      </c>
      <c r="D118">
        <f t="shared" si="14"/>
        <v>0</v>
      </c>
      <c r="E118">
        <v>432</v>
      </c>
      <c r="F118">
        <v>423</v>
      </c>
      <c r="G118">
        <v>221</v>
      </c>
      <c r="H118">
        <f t="shared" si="15"/>
        <v>750</v>
      </c>
      <c r="I118">
        <f t="shared" si="15"/>
        <v>723</v>
      </c>
      <c r="J118">
        <f t="shared" si="15"/>
        <v>221</v>
      </c>
      <c r="K118" t="str">
        <f t="shared" si="9"/>
        <v>mal_trus</v>
      </c>
      <c r="L118">
        <f t="shared" si="10"/>
        <v>723</v>
      </c>
      <c r="M118">
        <f t="shared" si="11"/>
        <v>723</v>
      </c>
      <c r="N118">
        <f t="shared" si="12"/>
        <v>0</v>
      </c>
      <c r="O118">
        <f t="shared" si="13"/>
        <v>27</v>
      </c>
      <c r="P118">
        <f t="shared" si="13"/>
        <v>0</v>
      </c>
      <c r="Q118">
        <f t="shared" si="13"/>
        <v>221</v>
      </c>
      <c r="U118" t="s">
        <v>23</v>
      </c>
      <c r="V118">
        <v>494</v>
      </c>
      <c r="W118">
        <v>0</v>
      </c>
      <c r="X118">
        <v>494</v>
      </c>
      <c r="Y118">
        <f t="shared" si="16"/>
        <v>494</v>
      </c>
      <c r="AA118" t="s">
        <v>23</v>
      </c>
      <c r="AB118">
        <v>494</v>
      </c>
      <c r="AC118">
        <f t="shared" si="17"/>
        <v>0</v>
      </c>
    </row>
    <row r="119" spans="1:29" x14ac:dyDescent="0.25">
      <c r="A119" s="1">
        <v>44068</v>
      </c>
      <c r="B119">
        <f t="shared" si="14"/>
        <v>27</v>
      </c>
      <c r="C119">
        <f t="shared" si="14"/>
        <v>0</v>
      </c>
      <c r="D119">
        <f t="shared" si="14"/>
        <v>221</v>
      </c>
      <c r="E119">
        <v>405</v>
      </c>
      <c r="F119">
        <v>449</v>
      </c>
      <c r="G119">
        <v>231</v>
      </c>
      <c r="H119">
        <f t="shared" si="15"/>
        <v>432</v>
      </c>
      <c r="I119">
        <f t="shared" si="15"/>
        <v>449</v>
      </c>
      <c r="J119">
        <f t="shared" si="15"/>
        <v>452</v>
      </c>
      <c r="K119" t="str">
        <f t="shared" si="9"/>
        <v>trus_porz</v>
      </c>
      <c r="L119">
        <f t="shared" si="10"/>
        <v>0</v>
      </c>
      <c r="M119">
        <f t="shared" si="11"/>
        <v>449</v>
      </c>
      <c r="N119">
        <f t="shared" si="12"/>
        <v>449</v>
      </c>
      <c r="O119">
        <f t="shared" si="13"/>
        <v>432</v>
      </c>
      <c r="P119">
        <f t="shared" si="13"/>
        <v>0</v>
      </c>
      <c r="Q119">
        <f t="shared" si="13"/>
        <v>3</v>
      </c>
      <c r="U119" t="s">
        <v>22</v>
      </c>
      <c r="V119">
        <v>723</v>
      </c>
      <c r="W119">
        <v>723</v>
      </c>
      <c r="X119">
        <v>0</v>
      </c>
      <c r="Y119">
        <f t="shared" si="16"/>
        <v>723</v>
      </c>
      <c r="AA119" t="s">
        <v>22</v>
      </c>
      <c r="AB119">
        <v>723</v>
      </c>
      <c r="AC119">
        <f t="shared" si="17"/>
        <v>723</v>
      </c>
    </row>
    <row r="120" spans="1:29" x14ac:dyDescent="0.25">
      <c r="A120" s="1">
        <v>44069</v>
      </c>
      <c r="B120">
        <f t="shared" si="14"/>
        <v>432</v>
      </c>
      <c r="C120">
        <f t="shared" si="14"/>
        <v>0</v>
      </c>
      <c r="D120">
        <f t="shared" si="14"/>
        <v>3</v>
      </c>
      <c r="E120">
        <v>162</v>
      </c>
      <c r="F120">
        <v>294</v>
      </c>
      <c r="G120">
        <v>255</v>
      </c>
      <c r="H120">
        <f t="shared" si="15"/>
        <v>594</v>
      </c>
      <c r="I120">
        <f t="shared" si="15"/>
        <v>294</v>
      </c>
      <c r="J120">
        <f t="shared" si="15"/>
        <v>258</v>
      </c>
      <c r="K120" t="str">
        <f t="shared" si="9"/>
        <v>mal_trus</v>
      </c>
      <c r="L120">
        <f t="shared" si="10"/>
        <v>294</v>
      </c>
      <c r="M120">
        <f t="shared" si="11"/>
        <v>294</v>
      </c>
      <c r="N120">
        <f t="shared" si="12"/>
        <v>0</v>
      </c>
      <c r="O120">
        <f t="shared" si="13"/>
        <v>300</v>
      </c>
      <c r="P120">
        <f t="shared" si="13"/>
        <v>0</v>
      </c>
      <c r="Q120">
        <f t="shared" si="13"/>
        <v>258</v>
      </c>
      <c r="U120" t="s">
        <v>25</v>
      </c>
      <c r="V120">
        <v>0</v>
      </c>
      <c r="W120">
        <v>449</v>
      </c>
      <c r="X120">
        <v>449</v>
      </c>
      <c r="Y120">
        <f t="shared" si="16"/>
        <v>449</v>
      </c>
      <c r="AA120" t="s">
        <v>25</v>
      </c>
      <c r="AB120">
        <v>449</v>
      </c>
      <c r="AC120">
        <f t="shared" si="17"/>
        <v>0</v>
      </c>
    </row>
    <row r="121" spans="1:29" x14ac:dyDescent="0.25">
      <c r="A121" s="1">
        <v>44070</v>
      </c>
      <c r="B121">
        <f t="shared" si="14"/>
        <v>300</v>
      </c>
      <c r="C121">
        <f t="shared" si="14"/>
        <v>0</v>
      </c>
      <c r="D121">
        <f t="shared" si="14"/>
        <v>258</v>
      </c>
      <c r="E121">
        <v>297</v>
      </c>
      <c r="F121">
        <v>341</v>
      </c>
      <c r="G121">
        <v>223</v>
      </c>
      <c r="H121">
        <f t="shared" si="15"/>
        <v>597</v>
      </c>
      <c r="I121">
        <f t="shared" si="15"/>
        <v>341</v>
      </c>
      <c r="J121">
        <f t="shared" si="15"/>
        <v>481</v>
      </c>
      <c r="K121" t="str">
        <f t="shared" si="9"/>
        <v>mal_porz</v>
      </c>
      <c r="L121">
        <f t="shared" si="10"/>
        <v>481</v>
      </c>
      <c r="M121">
        <f t="shared" si="11"/>
        <v>0</v>
      </c>
      <c r="N121">
        <f t="shared" si="12"/>
        <v>481</v>
      </c>
      <c r="O121">
        <f t="shared" si="13"/>
        <v>116</v>
      </c>
      <c r="P121">
        <f t="shared" si="13"/>
        <v>341</v>
      </c>
      <c r="Q121">
        <f t="shared" si="13"/>
        <v>0</v>
      </c>
      <c r="U121" t="s">
        <v>22</v>
      </c>
      <c r="V121">
        <v>294</v>
      </c>
      <c r="W121">
        <v>294</v>
      </c>
      <c r="X121">
        <v>0</v>
      </c>
      <c r="Y121">
        <f t="shared" si="16"/>
        <v>294</v>
      </c>
      <c r="AA121" t="s">
        <v>22</v>
      </c>
      <c r="AB121">
        <v>294</v>
      </c>
      <c r="AC121">
        <f t="shared" si="17"/>
        <v>294</v>
      </c>
    </row>
    <row r="122" spans="1:29" x14ac:dyDescent="0.25">
      <c r="A122" s="1">
        <v>44071</v>
      </c>
      <c r="B122">
        <f t="shared" si="14"/>
        <v>116</v>
      </c>
      <c r="C122">
        <f t="shared" si="14"/>
        <v>341</v>
      </c>
      <c r="D122">
        <f t="shared" si="14"/>
        <v>0</v>
      </c>
      <c r="E122">
        <v>226</v>
      </c>
      <c r="F122">
        <v>329</v>
      </c>
      <c r="G122">
        <v>261</v>
      </c>
      <c r="H122">
        <f t="shared" si="15"/>
        <v>342</v>
      </c>
      <c r="I122">
        <f t="shared" si="15"/>
        <v>670</v>
      </c>
      <c r="J122">
        <f t="shared" si="15"/>
        <v>261</v>
      </c>
      <c r="K122" t="str">
        <f t="shared" si="9"/>
        <v>mal_trus</v>
      </c>
      <c r="L122">
        <f t="shared" si="10"/>
        <v>342</v>
      </c>
      <c r="M122">
        <f t="shared" si="11"/>
        <v>342</v>
      </c>
      <c r="N122">
        <f t="shared" si="12"/>
        <v>0</v>
      </c>
      <c r="O122">
        <f t="shared" si="13"/>
        <v>0</v>
      </c>
      <c r="P122">
        <f t="shared" si="13"/>
        <v>328</v>
      </c>
      <c r="Q122">
        <f t="shared" si="13"/>
        <v>261</v>
      </c>
      <c r="U122" t="s">
        <v>23</v>
      </c>
      <c r="V122">
        <v>481</v>
      </c>
      <c r="W122">
        <v>0</v>
      </c>
      <c r="X122">
        <v>481</v>
      </c>
      <c r="Y122">
        <f t="shared" si="16"/>
        <v>481</v>
      </c>
      <c r="AA122" t="s">
        <v>23</v>
      </c>
      <c r="AB122">
        <v>481</v>
      </c>
      <c r="AC122">
        <f t="shared" si="17"/>
        <v>0</v>
      </c>
    </row>
    <row r="123" spans="1:29" x14ac:dyDescent="0.25">
      <c r="A123" s="1">
        <v>44072</v>
      </c>
      <c r="B123">
        <f t="shared" si="14"/>
        <v>0</v>
      </c>
      <c r="C123">
        <f t="shared" si="14"/>
        <v>328</v>
      </c>
      <c r="D123">
        <f t="shared" si="14"/>
        <v>261</v>
      </c>
      <c r="E123">
        <v>226</v>
      </c>
      <c r="F123">
        <v>256</v>
      </c>
      <c r="G123">
        <v>239</v>
      </c>
      <c r="H123">
        <f t="shared" si="15"/>
        <v>226</v>
      </c>
      <c r="I123">
        <f t="shared" si="15"/>
        <v>584</v>
      </c>
      <c r="J123">
        <f t="shared" si="15"/>
        <v>500</v>
      </c>
      <c r="K123" t="str">
        <f t="shared" si="9"/>
        <v>trus_porz</v>
      </c>
      <c r="L123">
        <f t="shared" si="10"/>
        <v>0</v>
      </c>
      <c r="M123">
        <f t="shared" si="11"/>
        <v>500</v>
      </c>
      <c r="N123">
        <f t="shared" si="12"/>
        <v>500</v>
      </c>
      <c r="O123">
        <f t="shared" si="13"/>
        <v>226</v>
      </c>
      <c r="P123">
        <f t="shared" si="13"/>
        <v>84</v>
      </c>
      <c r="Q123">
        <f t="shared" si="13"/>
        <v>0</v>
      </c>
      <c r="U123" t="s">
        <v>22</v>
      </c>
      <c r="V123">
        <v>342</v>
      </c>
      <c r="W123">
        <v>342</v>
      </c>
      <c r="X123">
        <v>0</v>
      </c>
      <c r="Y123">
        <f t="shared" si="16"/>
        <v>342</v>
      </c>
      <c r="AA123" t="s">
        <v>22</v>
      </c>
      <c r="AB123">
        <v>342</v>
      </c>
      <c r="AC123">
        <f t="shared" si="17"/>
        <v>342</v>
      </c>
    </row>
    <row r="124" spans="1:29" x14ac:dyDescent="0.25">
      <c r="A124" s="1">
        <v>44073</v>
      </c>
      <c r="B124">
        <f t="shared" si="14"/>
        <v>226</v>
      </c>
      <c r="C124">
        <f t="shared" si="14"/>
        <v>84</v>
      </c>
      <c r="D124">
        <f t="shared" si="14"/>
        <v>0</v>
      </c>
      <c r="E124">
        <v>287</v>
      </c>
      <c r="F124">
        <v>217</v>
      </c>
      <c r="G124">
        <v>262</v>
      </c>
      <c r="H124">
        <f t="shared" si="15"/>
        <v>513</v>
      </c>
      <c r="I124">
        <f t="shared" si="15"/>
        <v>301</v>
      </c>
      <c r="J124">
        <f t="shared" si="15"/>
        <v>262</v>
      </c>
      <c r="K124" t="str">
        <f t="shared" si="9"/>
        <v>mal_trus</v>
      </c>
      <c r="L124">
        <f t="shared" si="10"/>
        <v>301</v>
      </c>
      <c r="M124">
        <f t="shared" si="11"/>
        <v>301</v>
      </c>
      <c r="N124">
        <f t="shared" si="12"/>
        <v>0</v>
      </c>
      <c r="O124">
        <f t="shared" si="13"/>
        <v>212</v>
      </c>
      <c r="P124">
        <f t="shared" si="13"/>
        <v>0</v>
      </c>
      <c r="Q124">
        <f t="shared" si="13"/>
        <v>262</v>
      </c>
      <c r="U124" t="s">
        <v>25</v>
      </c>
      <c r="V124">
        <v>0</v>
      </c>
      <c r="W124">
        <v>500</v>
      </c>
      <c r="X124">
        <v>500</v>
      </c>
      <c r="Y124">
        <f t="shared" si="16"/>
        <v>500</v>
      </c>
      <c r="AA124" t="s">
        <v>25</v>
      </c>
      <c r="AB124">
        <v>500</v>
      </c>
      <c r="AC124">
        <f t="shared" si="17"/>
        <v>0</v>
      </c>
    </row>
    <row r="125" spans="1:29" x14ac:dyDescent="0.25">
      <c r="A125" s="1">
        <v>44074</v>
      </c>
      <c r="B125">
        <f t="shared" si="14"/>
        <v>212</v>
      </c>
      <c r="C125">
        <f t="shared" si="14"/>
        <v>0</v>
      </c>
      <c r="D125">
        <f t="shared" si="14"/>
        <v>262</v>
      </c>
      <c r="E125">
        <v>351</v>
      </c>
      <c r="F125">
        <v>266</v>
      </c>
      <c r="G125">
        <v>226</v>
      </c>
      <c r="H125">
        <f t="shared" si="15"/>
        <v>563</v>
      </c>
      <c r="I125">
        <f t="shared" si="15"/>
        <v>266</v>
      </c>
      <c r="J125">
        <f t="shared" si="15"/>
        <v>488</v>
      </c>
      <c r="K125" t="str">
        <f t="shared" si="9"/>
        <v>mal_porz</v>
      </c>
      <c r="L125">
        <f t="shared" si="10"/>
        <v>488</v>
      </c>
      <c r="M125">
        <f t="shared" si="11"/>
        <v>0</v>
      </c>
      <c r="N125">
        <f t="shared" si="12"/>
        <v>488</v>
      </c>
      <c r="O125">
        <f t="shared" si="13"/>
        <v>75</v>
      </c>
      <c r="P125">
        <f t="shared" si="13"/>
        <v>266</v>
      </c>
      <c r="Q125">
        <f t="shared" si="13"/>
        <v>0</v>
      </c>
      <c r="U125" t="s">
        <v>22</v>
      </c>
      <c r="V125">
        <v>301</v>
      </c>
      <c r="W125">
        <v>301</v>
      </c>
      <c r="X125">
        <v>0</v>
      </c>
      <c r="Y125">
        <f t="shared" si="16"/>
        <v>301</v>
      </c>
      <c r="AA125" t="s">
        <v>22</v>
      </c>
      <c r="AB125">
        <v>301</v>
      </c>
      <c r="AC125">
        <f t="shared" si="17"/>
        <v>301</v>
      </c>
    </row>
    <row r="126" spans="1:29" x14ac:dyDescent="0.25">
      <c r="A126" s="1">
        <v>44075</v>
      </c>
      <c r="B126">
        <f t="shared" si="14"/>
        <v>75</v>
      </c>
      <c r="C126">
        <f t="shared" si="14"/>
        <v>266</v>
      </c>
      <c r="D126">
        <f t="shared" si="14"/>
        <v>0</v>
      </c>
      <c r="E126">
        <v>214</v>
      </c>
      <c r="F126">
        <v>260</v>
      </c>
      <c r="G126">
        <v>241</v>
      </c>
      <c r="H126">
        <f t="shared" si="15"/>
        <v>289</v>
      </c>
      <c r="I126">
        <f t="shared" si="15"/>
        <v>526</v>
      </c>
      <c r="J126">
        <f t="shared" si="15"/>
        <v>241</v>
      </c>
      <c r="K126" t="str">
        <f t="shared" si="9"/>
        <v>mal_trus</v>
      </c>
      <c r="L126">
        <f t="shared" si="10"/>
        <v>289</v>
      </c>
      <c r="M126">
        <f t="shared" si="11"/>
        <v>289</v>
      </c>
      <c r="N126">
        <f t="shared" si="12"/>
        <v>0</v>
      </c>
      <c r="O126">
        <f t="shared" si="13"/>
        <v>0</v>
      </c>
      <c r="P126">
        <f t="shared" si="13"/>
        <v>237</v>
      </c>
      <c r="Q126">
        <f t="shared" si="13"/>
        <v>241</v>
      </c>
      <c r="U126" t="s">
        <v>23</v>
      </c>
      <c r="V126">
        <v>488</v>
      </c>
      <c r="W126">
        <v>0</v>
      </c>
      <c r="X126">
        <v>488</v>
      </c>
      <c r="Y126">
        <f t="shared" si="16"/>
        <v>488</v>
      </c>
      <c r="AA126" t="s">
        <v>23</v>
      </c>
      <c r="AB126">
        <v>488</v>
      </c>
      <c r="AC126">
        <f t="shared" si="17"/>
        <v>0</v>
      </c>
    </row>
    <row r="127" spans="1:29" x14ac:dyDescent="0.25">
      <c r="A127" s="1">
        <v>44076</v>
      </c>
      <c r="B127">
        <f t="shared" si="14"/>
        <v>0</v>
      </c>
      <c r="C127">
        <f t="shared" si="14"/>
        <v>237</v>
      </c>
      <c r="D127">
        <f t="shared" si="14"/>
        <v>241</v>
      </c>
      <c r="E127">
        <v>282</v>
      </c>
      <c r="F127">
        <v>227</v>
      </c>
      <c r="G127">
        <v>258</v>
      </c>
      <c r="H127">
        <f t="shared" si="15"/>
        <v>282</v>
      </c>
      <c r="I127">
        <f t="shared" si="15"/>
        <v>464</v>
      </c>
      <c r="J127">
        <f t="shared" si="15"/>
        <v>499</v>
      </c>
      <c r="K127" t="str">
        <f t="shared" si="9"/>
        <v>trus_porz</v>
      </c>
      <c r="L127">
        <f t="shared" si="10"/>
        <v>0</v>
      </c>
      <c r="M127">
        <f t="shared" si="11"/>
        <v>464</v>
      </c>
      <c r="N127">
        <f t="shared" si="12"/>
        <v>464</v>
      </c>
      <c r="O127">
        <f t="shared" si="13"/>
        <v>282</v>
      </c>
      <c r="P127">
        <f t="shared" si="13"/>
        <v>0</v>
      </c>
      <c r="Q127">
        <f t="shared" si="13"/>
        <v>35</v>
      </c>
      <c r="U127" t="s">
        <v>22</v>
      </c>
      <c r="V127">
        <v>289</v>
      </c>
      <c r="W127">
        <v>289</v>
      </c>
      <c r="X127">
        <v>0</v>
      </c>
      <c r="Y127">
        <f t="shared" si="16"/>
        <v>289</v>
      </c>
      <c r="AA127" t="s">
        <v>22</v>
      </c>
      <c r="AB127">
        <v>289</v>
      </c>
      <c r="AC127">
        <f t="shared" si="17"/>
        <v>289</v>
      </c>
    </row>
    <row r="128" spans="1:29" x14ac:dyDescent="0.25">
      <c r="A128" s="1">
        <v>44077</v>
      </c>
      <c r="B128">
        <f t="shared" si="14"/>
        <v>282</v>
      </c>
      <c r="C128">
        <f t="shared" si="14"/>
        <v>0</v>
      </c>
      <c r="D128">
        <f t="shared" si="14"/>
        <v>35</v>
      </c>
      <c r="E128">
        <v>257</v>
      </c>
      <c r="F128">
        <v>251</v>
      </c>
      <c r="G128">
        <v>252</v>
      </c>
      <c r="H128">
        <f t="shared" si="15"/>
        <v>539</v>
      </c>
      <c r="I128">
        <f t="shared" si="15"/>
        <v>251</v>
      </c>
      <c r="J128">
        <f t="shared" si="15"/>
        <v>287</v>
      </c>
      <c r="K128" t="str">
        <f t="shared" si="9"/>
        <v>mal_porz</v>
      </c>
      <c r="L128">
        <f t="shared" si="10"/>
        <v>287</v>
      </c>
      <c r="M128">
        <f t="shared" si="11"/>
        <v>0</v>
      </c>
      <c r="N128">
        <f t="shared" si="12"/>
        <v>287</v>
      </c>
      <c r="O128">
        <f t="shared" si="13"/>
        <v>252</v>
      </c>
      <c r="P128">
        <f t="shared" si="13"/>
        <v>251</v>
      </c>
      <c r="Q128">
        <f t="shared" si="13"/>
        <v>0</v>
      </c>
      <c r="U128" t="s">
        <v>25</v>
      </c>
      <c r="V128">
        <v>0</v>
      </c>
      <c r="W128">
        <v>464</v>
      </c>
      <c r="X128">
        <v>464</v>
      </c>
      <c r="Y128">
        <f t="shared" si="16"/>
        <v>464</v>
      </c>
      <c r="AA128" t="s">
        <v>25</v>
      </c>
      <c r="AB128">
        <v>464</v>
      </c>
      <c r="AC128">
        <f t="shared" si="17"/>
        <v>0</v>
      </c>
    </row>
    <row r="129" spans="1:29" x14ac:dyDescent="0.25">
      <c r="A129" s="1">
        <v>44078</v>
      </c>
      <c r="B129">
        <f t="shared" si="14"/>
        <v>252</v>
      </c>
      <c r="C129">
        <f t="shared" si="14"/>
        <v>251</v>
      </c>
      <c r="D129">
        <f t="shared" si="14"/>
        <v>0</v>
      </c>
      <c r="E129">
        <v>172</v>
      </c>
      <c r="F129">
        <v>171</v>
      </c>
      <c r="G129">
        <v>268</v>
      </c>
      <c r="H129">
        <f t="shared" si="15"/>
        <v>424</v>
      </c>
      <c r="I129">
        <f t="shared" si="15"/>
        <v>422</v>
      </c>
      <c r="J129">
        <f t="shared" si="15"/>
        <v>268</v>
      </c>
      <c r="K129" t="str">
        <f t="shared" si="9"/>
        <v>mal_trus</v>
      </c>
      <c r="L129">
        <f t="shared" si="10"/>
        <v>422</v>
      </c>
      <c r="M129">
        <f t="shared" si="11"/>
        <v>422</v>
      </c>
      <c r="N129">
        <f t="shared" si="12"/>
        <v>0</v>
      </c>
      <c r="O129">
        <f t="shared" si="13"/>
        <v>2</v>
      </c>
      <c r="P129">
        <f t="shared" si="13"/>
        <v>0</v>
      </c>
      <c r="Q129">
        <f t="shared" si="13"/>
        <v>268</v>
      </c>
      <c r="U129" t="s">
        <v>23</v>
      </c>
      <c r="V129">
        <v>287</v>
      </c>
      <c r="W129">
        <v>0</v>
      </c>
      <c r="X129">
        <v>287</v>
      </c>
      <c r="Y129">
        <f t="shared" si="16"/>
        <v>287</v>
      </c>
      <c r="AA129" t="s">
        <v>23</v>
      </c>
      <c r="AB129">
        <v>287</v>
      </c>
      <c r="AC129">
        <f t="shared" si="17"/>
        <v>0</v>
      </c>
    </row>
    <row r="130" spans="1:29" x14ac:dyDescent="0.25">
      <c r="A130" s="1">
        <v>44079</v>
      </c>
      <c r="B130">
        <f t="shared" si="14"/>
        <v>2</v>
      </c>
      <c r="C130">
        <f t="shared" si="14"/>
        <v>0</v>
      </c>
      <c r="D130">
        <f t="shared" si="14"/>
        <v>268</v>
      </c>
      <c r="E130">
        <v>197</v>
      </c>
      <c r="F130">
        <v>326</v>
      </c>
      <c r="G130">
        <v>224</v>
      </c>
      <c r="H130">
        <f t="shared" si="15"/>
        <v>199</v>
      </c>
      <c r="I130">
        <f t="shared" si="15"/>
        <v>326</v>
      </c>
      <c r="J130">
        <f t="shared" si="15"/>
        <v>492</v>
      </c>
      <c r="K130" t="str">
        <f t="shared" si="9"/>
        <v>trus_porz</v>
      </c>
      <c r="L130">
        <f t="shared" si="10"/>
        <v>0</v>
      </c>
      <c r="M130">
        <f t="shared" si="11"/>
        <v>326</v>
      </c>
      <c r="N130">
        <f t="shared" si="12"/>
        <v>326</v>
      </c>
      <c r="O130">
        <f t="shared" si="13"/>
        <v>199</v>
      </c>
      <c r="P130">
        <f t="shared" si="13"/>
        <v>0</v>
      </c>
      <c r="Q130">
        <f t="shared" si="13"/>
        <v>166</v>
      </c>
      <c r="U130" t="s">
        <v>22</v>
      </c>
      <c r="V130">
        <v>422</v>
      </c>
      <c r="W130">
        <v>422</v>
      </c>
      <c r="X130">
        <v>0</v>
      </c>
      <c r="Y130">
        <f t="shared" si="16"/>
        <v>422</v>
      </c>
      <c r="AA130" t="s">
        <v>22</v>
      </c>
      <c r="AB130">
        <v>422</v>
      </c>
      <c r="AC130">
        <f t="shared" si="17"/>
        <v>422</v>
      </c>
    </row>
    <row r="131" spans="1:29" x14ac:dyDescent="0.25">
      <c r="A131" s="1">
        <v>44080</v>
      </c>
      <c r="B131">
        <f t="shared" si="14"/>
        <v>199</v>
      </c>
      <c r="C131">
        <f t="shared" si="14"/>
        <v>0</v>
      </c>
      <c r="D131">
        <f t="shared" si="14"/>
        <v>166</v>
      </c>
      <c r="E131">
        <v>292</v>
      </c>
      <c r="F131">
        <v>329</v>
      </c>
      <c r="G131">
        <v>255</v>
      </c>
      <c r="H131">
        <f t="shared" si="15"/>
        <v>491</v>
      </c>
      <c r="I131">
        <f t="shared" si="15"/>
        <v>329</v>
      </c>
      <c r="J131">
        <f t="shared" si="15"/>
        <v>421</v>
      </c>
      <c r="K131" t="str">
        <f t="shared" si="9"/>
        <v>mal_porz</v>
      </c>
      <c r="L131">
        <f t="shared" si="10"/>
        <v>421</v>
      </c>
      <c r="M131">
        <f t="shared" si="11"/>
        <v>0</v>
      </c>
      <c r="N131">
        <f t="shared" si="12"/>
        <v>421</v>
      </c>
      <c r="O131">
        <f t="shared" si="13"/>
        <v>70</v>
      </c>
      <c r="P131">
        <f t="shared" si="13"/>
        <v>329</v>
      </c>
      <c r="Q131">
        <f t="shared" si="13"/>
        <v>0</v>
      </c>
      <c r="U131" t="s">
        <v>25</v>
      </c>
      <c r="V131">
        <v>0</v>
      </c>
      <c r="W131">
        <v>326</v>
      </c>
      <c r="X131">
        <v>326</v>
      </c>
      <c r="Y131">
        <f t="shared" si="16"/>
        <v>326</v>
      </c>
      <c r="AA131" t="s">
        <v>25</v>
      </c>
      <c r="AB131">
        <v>326</v>
      </c>
      <c r="AC131">
        <f t="shared" si="17"/>
        <v>0</v>
      </c>
    </row>
    <row r="132" spans="1:29" x14ac:dyDescent="0.25">
      <c r="A132" s="1">
        <v>44081</v>
      </c>
      <c r="B132">
        <f t="shared" si="14"/>
        <v>70</v>
      </c>
      <c r="C132">
        <f t="shared" si="14"/>
        <v>329</v>
      </c>
      <c r="D132">
        <f t="shared" si="14"/>
        <v>0</v>
      </c>
      <c r="E132">
        <v>172</v>
      </c>
      <c r="F132">
        <v>216</v>
      </c>
      <c r="G132">
        <v>199</v>
      </c>
      <c r="H132">
        <f t="shared" si="15"/>
        <v>242</v>
      </c>
      <c r="I132">
        <f t="shared" si="15"/>
        <v>545</v>
      </c>
      <c r="J132">
        <f t="shared" si="15"/>
        <v>199</v>
      </c>
      <c r="K132" t="str">
        <f t="shared" ref="K132:K155" si="18">IF(AND(H132&lt;J132,H132&lt;I132), "trus_porz", IF(AND(I132&lt;H132,I132&lt;J132), "mal_porz", IF(AND(J132&lt;I132,J132&lt;H132), "mal_trus", "")))</f>
        <v>mal_trus</v>
      </c>
      <c r="L132">
        <f t="shared" ref="L132:L155" si="19">IF(K132="mal_trus",MIN(H132,I132),IF(K132="mal_porz",MIN(H132,J132),0))</f>
        <v>242</v>
      </c>
      <c r="M132">
        <f t="shared" ref="M132:M155" si="20">IF(K132="trus_porz",MIN(I132,J132), IF(K132="mal_trus", MIN(H132,I132),0))</f>
        <v>242</v>
      </c>
      <c r="N132">
        <f t="shared" ref="N132:N155" si="21">IF(K132="mal_porz",MIN(H132,J132), IF(K132="trus_porz", MIN(I132,J132),0))</f>
        <v>0</v>
      </c>
      <c r="O132">
        <f t="shared" ref="O132:Q155" si="22">H132-L132</f>
        <v>0</v>
      </c>
      <c r="P132">
        <f t="shared" si="22"/>
        <v>303</v>
      </c>
      <c r="Q132">
        <f t="shared" si="22"/>
        <v>199</v>
      </c>
      <c r="U132" t="s">
        <v>23</v>
      </c>
      <c r="V132">
        <v>421</v>
      </c>
      <c r="W132">
        <v>0</v>
      </c>
      <c r="X132">
        <v>421</v>
      </c>
      <c r="Y132">
        <f t="shared" si="16"/>
        <v>421</v>
      </c>
      <c r="AA132" t="s">
        <v>23</v>
      </c>
      <c r="AB132">
        <v>421</v>
      </c>
      <c r="AC132">
        <f t="shared" si="17"/>
        <v>0</v>
      </c>
    </row>
    <row r="133" spans="1:29" x14ac:dyDescent="0.25">
      <c r="A133" s="1">
        <v>44082</v>
      </c>
      <c r="B133">
        <f t="shared" ref="B133:D155" si="23">O132</f>
        <v>0</v>
      </c>
      <c r="C133">
        <f t="shared" si="23"/>
        <v>303</v>
      </c>
      <c r="D133">
        <f t="shared" si="23"/>
        <v>199</v>
      </c>
      <c r="E133">
        <v>258</v>
      </c>
      <c r="F133">
        <v>291</v>
      </c>
      <c r="G133">
        <v>220</v>
      </c>
      <c r="H133">
        <f t="shared" ref="H133:J155" si="24">B133+E133</f>
        <v>258</v>
      </c>
      <c r="I133">
        <f t="shared" si="24"/>
        <v>594</v>
      </c>
      <c r="J133">
        <f t="shared" si="24"/>
        <v>419</v>
      </c>
      <c r="K133" t="str">
        <f t="shared" si="18"/>
        <v>trus_porz</v>
      </c>
      <c r="L133">
        <f t="shared" si="19"/>
        <v>0</v>
      </c>
      <c r="M133">
        <f t="shared" si="20"/>
        <v>419</v>
      </c>
      <c r="N133">
        <f t="shared" si="21"/>
        <v>419</v>
      </c>
      <c r="O133">
        <f t="shared" si="22"/>
        <v>258</v>
      </c>
      <c r="P133">
        <f t="shared" si="22"/>
        <v>175</v>
      </c>
      <c r="Q133">
        <f t="shared" si="22"/>
        <v>0</v>
      </c>
      <c r="U133" t="s">
        <v>22</v>
      </c>
      <c r="V133">
        <v>242</v>
      </c>
      <c r="W133">
        <v>242</v>
      </c>
      <c r="X133">
        <v>0</v>
      </c>
      <c r="Y133">
        <f t="shared" ref="Y133:Y156" si="25">MAX(V133:X133)</f>
        <v>242</v>
      </c>
      <c r="AA133" t="s">
        <v>22</v>
      </c>
      <c r="AB133">
        <v>242</v>
      </c>
      <c r="AC133">
        <f t="shared" ref="AC133:AC156" si="26">IF(AA133=$AC$3,AB133,0)</f>
        <v>242</v>
      </c>
    </row>
    <row r="134" spans="1:29" x14ac:dyDescent="0.25">
      <c r="A134" s="1">
        <v>44083</v>
      </c>
      <c r="B134">
        <f t="shared" si="23"/>
        <v>258</v>
      </c>
      <c r="C134">
        <f t="shared" si="23"/>
        <v>175</v>
      </c>
      <c r="D134">
        <f t="shared" si="23"/>
        <v>0</v>
      </c>
      <c r="E134">
        <v>276</v>
      </c>
      <c r="F134">
        <v>347</v>
      </c>
      <c r="G134">
        <v>197</v>
      </c>
      <c r="H134">
        <f t="shared" si="24"/>
        <v>534</v>
      </c>
      <c r="I134">
        <f t="shared" si="24"/>
        <v>522</v>
      </c>
      <c r="J134">
        <f t="shared" si="24"/>
        <v>197</v>
      </c>
      <c r="K134" t="str">
        <f t="shared" si="18"/>
        <v>mal_trus</v>
      </c>
      <c r="L134">
        <f t="shared" si="19"/>
        <v>522</v>
      </c>
      <c r="M134">
        <f t="shared" si="20"/>
        <v>522</v>
      </c>
      <c r="N134">
        <f t="shared" si="21"/>
        <v>0</v>
      </c>
      <c r="O134">
        <f t="shared" si="22"/>
        <v>12</v>
      </c>
      <c r="P134">
        <f t="shared" si="22"/>
        <v>0</v>
      </c>
      <c r="Q134">
        <f t="shared" si="22"/>
        <v>197</v>
      </c>
      <c r="U134" t="s">
        <v>25</v>
      </c>
      <c r="V134">
        <v>0</v>
      </c>
      <c r="W134">
        <v>419</v>
      </c>
      <c r="X134">
        <v>419</v>
      </c>
      <c r="Y134">
        <f t="shared" si="25"/>
        <v>419</v>
      </c>
      <c r="AA134" t="s">
        <v>25</v>
      </c>
      <c r="AB134">
        <v>419</v>
      </c>
      <c r="AC134">
        <f t="shared" si="26"/>
        <v>0</v>
      </c>
    </row>
    <row r="135" spans="1:29" x14ac:dyDescent="0.25">
      <c r="A135" s="1">
        <v>44084</v>
      </c>
      <c r="B135">
        <f t="shared" si="23"/>
        <v>12</v>
      </c>
      <c r="C135">
        <f t="shared" si="23"/>
        <v>0</v>
      </c>
      <c r="D135">
        <f t="shared" si="23"/>
        <v>197</v>
      </c>
      <c r="E135">
        <v>210</v>
      </c>
      <c r="F135">
        <v>333</v>
      </c>
      <c r="G135">
        <v>218</v>
      </c>
      <c r="H135">
        <f t="shared" si="24"/>
        <v>222</v>
      </c>
      <c r="I135">
        <f t="shared" si="24"/>
        <v>333</v>
      </c>
      <c r="J135">
        <f t="shared" si="24"/>
        <v>415</v>
      </c>
      <c r="K135" t="str">
        <f t="shared" si="18"/>
        <v>trus_porz</v>
      </c>
      <c r="L135">
        <f t="shared" si="19"/>
        <v>0</v>
      </c>
      <c r="M135">
        <f t="shared" si="20"/>
        <v>333</v>
      </c>
      <c r="N135">
        <f t="shared" si="21"/>
        <v>333</v>
      </c>
      <c r="O135">
        <f t="shared" si="22"/>
        <v>222</v>
      </c>
      <c r="P135">
        <f t="shared" si="22"/>
        <v>0</v>
      </c>
      <c r="Q135">
        <f t="shared" si="22"/>
        <v>82</v>
      </c>
      <c r="U135" t="s">
        <v>22</v>
      </c>
      <c r="V135">
        <v>522</v>
      </c>
      <c r="W135">
        <v>522</v>
      </c>
      <c r="X135">
        <v>0</v>
      </c>
      <c r="Y135">
        <f t="shared" si="25"/>
        <v>522</v>
      </c>
      <c r="AA135" t="s">
        <v>22</v>
      </c>
      <c r="AB135">
        <v>522</v>
      </c>
      <c r="AC135">
        <f t="shared" si="26"/>
        <v>522</v>
      </c>
    </row>
    <row r="136" spans="1:29" x14ac:dyDescent="0.25">
      <c r="A136" s="1">
        <v>44085</v>
      </c>
      <c r="B136">
        <f t="shared" si="23"/>
        <v>222</v>
      </c>
      <c r="C136">
        <f t="shared" si="23"/>
        <v>0</v>
      </c>
      <c r="D136">
        <f t="shared" si="23"/>
        <v>82</v>
      </c>
      <c r="E136">
        <v>168</v>
      </c>
      <c r="F136">
        <v>211</v>
      </c>
      <c r="G136">
        <v>180</v>
      </c>
      <c r="H136">
        <f t="shared" si="24"/>
        <v>390</v>
      </c>
      <c r="I136">
        <f t="shared" si="24"/>
        <v>211</v>
      </c>
      <c r="J136">
        <f t="shared" si="24"/>
        <v>262</v>
      </c>
      <c r="K136" t="str">
        <f t="shared" si="18"/>
        <v>mal_porz</v>
      </c>
      <c r="L136">
        <f t="shared" si="19"/>
        <v>262</v>
      </c>
      <c r="M136">
        <f t="shared" si="20"/>
        <v>0</v>
      </c>
      <c r="N136">
        <f t="shared" si="21"/>
        <v>262</v>
      </c>
      <c r="O136">
        <f t="shared" si="22"/>
        <v>128</v>
      </c>
      <c r="P136">
        <f t="shared" si="22"/>
        <v>211</v>
      </c>
      <c r="Q136">
        <f t="shared" si="22"/>
        <v>0</v>
      </c>
      <c r="U136" t="s">
        <v>25</v>
      </c>
      <c r="V136">
        <v>0</v>
      </c>
      <c r="W136">
        <v>333</v>
      </c>
      <c r="X136">
        <v>333</v>
      </c>
      <c r="Y136">
        <f t="shared" si="25"/>
        <v>333</v>
      </c>
      <c r="AA136" t="s">
        <v>25</v>
      </c>
      <c r="AB136">
        <v>333</v>
      </c>
      <c r="AC136">
        <f t="shared" si="26"/>
        <v>0</v>
      </c>
    </row>
    <row r="137" spans="1:29" x14ac:dyDescent="0.25">
      <c r="A137" s="1">
        <v>44086</v>
      </c>
      <c r="B137">
        <f t="shared" si="23"/>
        <v>128</v>
      </c>
      <c r="C137">
        <f t="shared" si="23"/>
        <v>211</v>
      </c>
      <c r="D137">
        <f t="shared" si="23"/>
        <v>0</v>
      </c>
      <c r="E137">
        <v>196</v>
      </c>
      <c r="F137">
        <v>348</v>
      </c>
      <c r="G137">
        <v>225</v>
      </c>
      <c r="H137">
        <f t="shared" si="24"/>
        <v>324</v>
      </c>
      <c r="I137">
        <f t="shared" si="24"/>
        <v>559</v>
      </c>
      <c r="J137">
        <f t="shared" si="24"/>
        <v>225</v>
      </c>
      <c r="K137" t="str">
        <f t="shared" si="18"/>
        <v>mal_trus</v>
      </c>
      <c r="L137">
        <f t="shared" si="19"/>
        <v>324</v>
      </c>
      <c r="M137">
        <f t="shared" si="20"/>
        <v>324</v>
      </c>
      <c r="N137">
        <f t="shared" si="21"/>
        <v>0</v>
      </c>
      <c r="O137">
        <f t="shared" si="22"/>
        <v>0</v>
      </c>
      <c r="P137">
        <f t="shared" si="22"/>
        <v>235</v>
      </c>
      <c r="Q137">
        <f t="shared" si="22"/>
        <v>225</v>
      </c>
      <c r="U137" t="s">
        <v>23</v>
      </c>
      <c r="V137">
        <v>262</v>
      </c>
      <c r="W137">
        <v>0</v>
      </c>
      <c r="X137">
        <v>262</v>
      </c>
      <c r="Y137">
        <f t="shared" si="25"/>
        <v>262</v>
      </c>
      <c r="AA137" t="s">
        <v>23</v>
      </c>
      <c r="AB137">
        <v>262</v>
      </c>
      <c r="AC137">
        <f t="shared" si="26"/>
        <v>0</v>
      </c>
    </row>
    <row r="138" spans="1:29" x14ac:dyDescent="0.25">
      <c r="A138" s="1">
        <v>44087</v>
      </c>
      <c r="B138">
        <f t="shared" si="23"/>
        <v>0</v>
      </c>
      <c r="C138">
        <f t="shared" si="23"/>
        <v>235</v>
      </c>
      <c r="D138">
        <f t="shared" si="23"/>
        <v>225</v>
      </c>
      <c r="E138">
        <v>284</v>
      </c>
      <c r="F138">
        <v>226</v>
      </c>
      <c r="G138">
        <v>197</v>
      </c>
      <c r="H138">
        <f t="shared" si="24"/>
        <v>284</v>
      </c>
      <c r="I138">
        <f t="shared" si="24"/>
        <v>461</v>
      </c>
      <c r="J138">
        <f t="shared" si="24"/>
        <v>422</v>
      </c>
      <c r="K138" t="str">
        <f t="shared" si="18"/>
        <v>trus_porz</v>
      </c>
      <c r="L138">
        <f t="shared" si="19"/>
        <v>0</v>
      </c>
      <c r="M138">
        <f t="shared" si="20"/>
        <v>422</v>
      </c>
      <c r="N138">
        <f t="shared" si="21"/>
        <v>422</v>
      </c>
      <c r="O138">
        <f t="shared" si="22"/>
        <v>284</v>
      </c>
      <c r="P138">
        <f t="shared" si="22"/>
        <v>39</v>
      </c>
      <c r="Q138">
        <f t="shared" si="22"/>
        <v>0</v>
      </c>
      <c r="U138" t="s">
        <v>22</v>
      </c>
      <c r="V138">
        <v>324</v>
      </c>
      <c r="W138">
        <v>324</v>
      </c>
      <c r="X138">
        <v>0</v>
      </c>
      <c r="Y138">
        <f t="shared" si="25"/>
        <v>324</v>
      </c>
      <c r="AA138" t="s">
        <v>22</v>
      </c>
      <c r="AB138">
        <v>324</v>
      </c>
      <c r="AC138">
        <f t="shared" si="26"/>
        <v>324</v>
      </c>
    </row>
    <row r="139" spans="1:29" x14ac:dyDescent="0.25">
      <c r="A139" s="1">
        <v>44088</v>
      </c>
      <c r="B139">
        <f t="shared" si="23"/>
        <v>284</v>
      </c>
      <c r="C139">
        <f t="shared" si="23"/>
        <v>39</v>
      </c>
      <c r="D139">
        <f t="shared" si="23"/>
        <v>0</v>
      </c>
      <c r="E139">
        <v>162</v>
      </c>
      <c r="F139">
        <v>345</v>
      </c>
      <c r="G139">
        <v>194</v>
      </c>
      <c r="H139">
        <f t="shared" si="24"/>
        <v>446</v>
      </c>
      <c r="I139">
        <f t="shared" si="24"/>
        <v>384</v>
      </c>
      <c r="J139">
        <f t="shared" si="24"/>
        <v>194</v>
      </c>
      <c r="K139" t="str">
        <f t="shared" si="18"/>
        <v>mal_trus</v>
      </c>
      <c r="L139">
        <f t="shared" si="19"/>
        <v>384</v>
      </c>
      <c r="M139">
        <f t="shared" si="20"/>
        <v>384</v>
      </c>
      <c r="N139">
        <f t="shared" si="21"/>
        <v>0</v>
      </c>
      <c r="O139">
        <f t="shared" si="22"/>
        <v>62</v>
      </c>
      <c r="P139">
        <f t="shared" si="22"/>
        <v>0</v>
      </c>
      <c r="Q139">
        <f t="shared" si="22"/>
        <v>194</v>
      </c>
      <c r="U139" t="s">
        <v>25</v>
      </c>
      <c r="V139">
        <v>0</v>
      </c>
      <c r="W139">
        <v>422</v>
      </c>
      <c r="X139">
        <v>422</v>
      </c>
      <c r="Y139">
        <f t="shared" si="25"/>
        <v>422</v>
      </c>
      <c r="AA139" t="s">
        <v>25</v>
      </c>
      <c r="AB139">
        <v>422</v>
      </c>
      <c r="AC139">
        <f t="shared" si="26"/>
        <v>0</v>
      </c>
    </row>
    <row r="140" spans="1:29" x14ac:dyDescent="0.25">
      <c r="A140" s="1">
        <v>44089</v>
      </c>
      <c r="B140">
        <f t="shared" si="23"/>
        <v>62</v>
      </c>
      <c r="C140">
        <f t="shared" si="23"/>
        <v>0</v>
      </c>
      <c r="D140">
        <f t="shared" si="23"/>
        <v>194</v>
      </c>
      <c r="E140">
        <v>212</v>
      </c>
      <c r="F140">
        <v>184</v>
      </c>
      <c r="G140">
        <v>183</v>
      </c>
      <c r="H140">
        <f t="shared" si="24"/>
        <v>274</v>
      </c>
      <c r="I140">
        <f t="shared" si="24"/>
        <v>184</v>
      </c>
      <c r="J140">
        <f t="shared" si="24"/>
        <v>377</v>
      </c>
      <c r="K140" t="str">
        <f t="shared" si="18"/>
        <v>mal_porz</v>
      </c>
      <c r="L140">
        <f t="shared" si="19"/>
        <v>274</v>
      </c>
      <c r="M140">
        <f t="shared" si="20"/>
        <v>0</v>
      </c>
      <c r="N140">
        <f t="shared" si="21"/>
        <v>274</v>
      </c>
      <c r="O140">
        <f t="shared" si="22"/>
        <v>0</v>
      </c>
      <c r="P140">
        <f t="shared" si="22"/>
        <v>184</v>
      </c>
      <c r="Q140">
        <f t="shared" si="22"/>
        <v>103</v>
      </c>
      <c r="U140" t="s">
        <v>22</v>
      </c>
      <c r="V140">
        <v>384</v>
      </c>
      <c r="W140">
        <v>384</v>
      </c>
      <c r="X140">
        <v>0</v>
      </c>
      <c r="Y140">
        <f t="shared" si="25"/>
        <v>384</v>
      </c>
      <c r="AA140" t="s">
        <v>22</v>
      </c>
      <c r="AB140">
        <v>384</v>
      </c>
      <c r="AC140">
        <f t="shared" si="26"/>
        <v>384</v>
      </c>
    </row>
    <row r="141" spans="1:29" x14ac:dyDescent="0.25">
      <c r="A141" s="1">
        <v>44090</v>
      </c>
      <c r="B141">
        <f t="shared" si="23"/>
        <v>0</v>
      </c>
      <c r="C141">
        <f t="shared" si="23"/>
        <v>184</v>
      </c>
      <c r="D141">
        <f t="shared" si="23"/>
        <v>103</v>
      </c>
      <c r="E141">
        <v>165</v>
      </c>
      <c r="F141">
        <v>232</v>
      </c>
      <c r="G141">
        <v>202</v>
      </c>
      <c r="H141">
        <f t="shared" si="24"/>
        <v>165</v>
      </c>
      <c r="I141">
        <f t="shared" si="24"/>
        <v>416</v>
      </c>
      <c r="J141">
        <f t="shared" si="24"/>
        <v>305</v>
      </c>
      <c r="K141" t="str">
        <f t="shared" si="18"/>
        <v>trus_porz</v>
      </c>
      <c r="L141">
        <f t="shared" si="19"/>
        <v>0</v>
      </c>
      <c r="M141">
        <f t="shared" si="20"/>
        <v>305</v>
      </c>
      <c r="N141">
        <f t="shared" si="21"/>
        <v>305</v>
      </c>
      <c r="O141">
        <f t="shared" si="22"/>
        <v>165</v>
      </c>
      <c r="P141">
        <f t="shared" si="22"/>
        <v>111</v>
      </c>
      <c r="Q141">
        <f t="shared" si="22"/>
        <v>0</v>
      </c>
      <c r="U141" t="s">
        <v>23</v>
      </c>
      <c r="V141">
        <v>274</v>
      </c>
      <c r="W141">
        <v>0</v>
      </c>
      <c r="X141">
        <v>274</v>
      </c>
      <c r="Y141">
        <f t="shared" si="25"/>
        <v>274</v>
      </c>
      <c r="AA141" t="s">
        <v>23</v>
      </c>
      <c r="AB141">
        <v>274</v>
      </c>
      <c r="AC141">
        <f t="shared" si="26"/>
        <v>0</v>
      </c>
    </row>
    <row r="142" spans="1:29" x14ac:dyDescent="0.25">
      <c r="A142" s="1">
        <v>44091</v>
      </c>
      <c r="B142">
        <f t="shared" si="23"/>
        <v>165</v>
      </c>
      <c r="C142">
        <f t="shared" si="23"/>
        <v>111</v>
      </c>
      <c r="D142">
        <f t="shared" si="23"/>
        <v>0</v>
      </c>
      <c r="E142">
        <v>163</v>
      </c>
      <c r="F142">
        <v>314</v>
      </c>
      <c r="G142">
        <v>213</v>
      </c>
      <c r="H142">
        <f t="shared" si="24"/>
        <v>328</v>
      </c>
      <c r="I142">
        <f t="shared" si="24"/>
        <v>425</v>
      </c>
      <c r="J142">
        <f t="shared" si="24"/>
        <v>213</v>
      </c>
      <c r="K142" t="str">
        <f t="shared" si="18"/>
        <v>mal_trus</v>
      </c>
      <c r="L142">
        <f t="shared" si="19"/>
        <v>328</v>
      </c>
      <c r="M142">
        <f t="shared" si="20"/>
        <v>328</v>
      </c>
      <c r="N142">
        <f t="shared" si="21"/>
        <v>0</v>
      </c>
      <c r="O142">
        <f t="shared" si="22"/>
        <v>0</v>
      </c>
      <c r="P142">
        <f t="shared" si="22"/>
        <v>97</v>
      </c>
      <c r="Q142">
        <f t="shared" si="22"/>
        <v>213</v>
      </c>
      <c r="U142" t="s">
        <v>25</v>
      </c>
      <c r="V142">
        <v>0</v>
      </c>
      <c r="W142">
        <v>305</v>
      </c>
      <c r="X142">
        <v>305</v>
      </c>
      <c r="Y142">
        <f t="shared" si="25"/>
        <v>305</v>
      </c>
      <c r="AA142" t="s">
        <v>25</v>
      </c>
      <c r="AB142">
        <v>305</v>
      </c>
      <c r="AC142">
        <f t="shared" si="26"/>
        <v>0</v>
      </c>
    </row>
    <row r="143" spans="1:29" x14ac:dyDescent="0.25">
      <c r="A143" s="1">
        <v>44092</v>
      </c>
      <c r="B143">
        <f t="shared" si="23"/>
        <v>0</v>
      </c>
      <c r="C143">
        <f t="shared" si="23"/>
        <v>97</v>
      </c>
      <c r="D143">
        <f t="shared" si="23"/>
        <v>213</v>
      </c>
      <c r="E143">
        <v>200</v>
      </c>
      <c r="F143">
        <v>307</v>
      </c>
      <c r="G143">
        <v>206</v>
      </c>
      <c r="H143">
        <f t="shared" si="24"/>
        <v>200</v>
      </c>
      <c r="I143">
        <f t="shared" si="24"/>
        <v>404</v>
      </c>
      <c r="J143">
        <f t="shared" si="24"/>
        <v>419</v>
      </c>
      <c r="K143" t="str">
        <f t="shared" si="18"/>
        <v>trus_porz</v>
      </c>
      <c r="L143">
        <f t="shared" si="19"/>
        <v>0</v>
      </c>
      <c r="M143">
        <f t="shared" si="20"/>
        <v>404</v>
      </c>
      <c r="N143">
        <f t="shared" si="21"/>
        <v>404</v>
      </c>
      <c r="O143">
        <f t="shared" si="22"/>
        <v>200</v>
      </c>
      <c r="P143">
        <f t="shared" si="22"/>
        <v>0</v>
      </c>
      <c r="Q143">
        <f t="shared" si="22"/>
        <v>15</v>
      </c>
      <c r="U143" t="s">
        <v>22</v>
      </c>
      <c r="V143">
        <v>328</v>
      </c>
      <c r="W143">
        <v>328</v>
      </c>
      <c r="X143">
        <v>0</v>
      </c>
      <c r="Y143">
        <f t="shared" si="25"/>
        <v>328</v>
      </c>
      <c r="AA143" t="s">
        <v>22</v>
      </c>
      <c r="AB143">
        <v>328</v>
      </c>
      <c r="AC143">
        <f t="shared" si="26"/>
        <v>328</v>
      </c>
    </row>
    <row r="144" spans="1:29" x14ac:dyDescent="0.25">
      <c r="A144" s="1">
        <v>44093</v>
      </c>
      <c r="B144">
        <f t="shared" si="23"/>
        <v>200</v>
      </c>
      <c r="C144">
        <f t="shared" si="23"/>
        <v>0</v>
      </c>
      <c r="D144">
        <f t="shared" si="23"/>
        <v>15</v>
      </c>
      <c r="E144">
        <v>201</v>
      </c>
      <c r="F144">
        <v>274</v>
      </c>
      <c r="G144">
        <v>210</v>
      </c>
      <c r="H144">
        <f t="shared" si="24"/>
        <v>401</v>
      </c>
      <c r="I144">
        <f t="shared" si="24"/>
        <v>274</v>
      </c>
      <c r="J144">
        <f t="shared" si="24"/>
        <v>225</v>
      </c>
      <c r="K144" t="str">
        <f t="shared" si="18"/>
        <v>mal_trus</v>
      </c>
      <c r="L144">
        <f t="shared" si="19"/>
        <v>274</v>
      </c>
      <c r="M144">
        <f t="shared" si="20"/>
        <v>274</v>
      </c>
      <c r="N144">
        <f t="shared" si="21"/>
        <v>0</v>
      </c>
      <c r="O144">
        <f t="shared" si="22"/>
        <v>127</v>
      </c>
      <c r="P144">
        <f t="shared" si="22"/>
        <v>0</v>
      </c>
      <c r="Q144">
        <f t="shared" si="22"/>
        <v>225</v>
      </c>
      <c r="U144" t="s">
        <v>25</v>
      </c>
      <c r="V144">
        <v>0</v>
      </c>
      <c r="W144">
        <v>404</v>
      </c>
      <c r="X144">
        <v>404</v>
      </c>
      <c r="Y144">
        <f t="shared" si="25"/>
        <v>404</v>
      </c>
      <c r="AA144" t="s">
        <v>25</v>
      </c>
      <c r="AB144">
        <v>404</v>
      </c>
      <c r="AC144">
        <f t="shared" si="26"/>
        <v>0</v>
      </c>
    </row>
    <row r="145" spans="1:29" x14ac:dyDescent="0.25">
      <c r="A145" s="1">
        <v>44094</v>
      </c>
      <c r="B145">
        <f t="shared" si="23"/>
        <v>127</v>
      </c>
      <c r="C145">
        <f t="shared" si="23"/>
        <v>0</v>
      </c>
      <c r="D145">
        <f t="shared" si="23"/>
        <v>225</v>
      </c>
      <c r="E145">
        <v>269</v>
      </c>
      <c r="F145">
        <v>278</v>
      </c>
      <c r="G145">
        <v>228</v>
      </c>
      <c r="H145">
        <f t="shared" si="24"/>
        <v>396</v>
      </c>
      <c r="I145">
        <f t="shared" si="24"/>
        <v>278</v>
      </c>
      <c r="J145">
        <f t="shared" si="24"/>
        <v>453</v>
      </c>
      <c r="K145" t="str">
        <f t="shared" si="18"/>
        <v>mal_porz</v>
      </c>
      <c r="L145">
        <f t="shared" si="19"/>
        <v>396</v>
      </c>
      <c r="M145">
        <f t="shared" si="20"/>
        <v>0</v>
      </c>
      <c r="N145">
        <f t="shared" si="21"/>
        <v>396</v>
      </c>
      <c r="O145">
        <f t="shared" si="22"/>
        <v>0</v>
      </c>
      <c r="P145">
        <f t="shared" si="22"/>
        <v>278</v>
      </c>
      <c r="Q145">
        <f t="shared" si="22"/>
        <v>57</v>
      </c>
      <c r="U145" t="s">
        <v>22</v>
      </c>
      <c r="V145">
        <v>274</v>
      </c>
      <c r="W145">
        <v>274</v>
      </c>
      <c r="X145">
        <v>0</v>
      </c>
      <c r="Y145">
        <f t="shared" si="25"/>
        <v>274</v>
      </c>
      <c r="AA145" t="s">
        <v>22</v>
      </c>
      <c r="AB145">
        <v>274</v>
      </c>
      <c r="AC145">
        <f t="shared" si="26"/>
        <v>274</v>
      </c>
    </row>
    <row r="146" spans="1:29" x14ac:dyDescent="0.25">
      <c r="A146" s="1">
        <v>44095</v>
      </c>
      <c r="B146">
        <f t="shared" si="23"/>
        <v>0</v>
      </c>
      <c r="C146">
        <f t="shared" si="23"/>
        <v>278</v>
      </c>
      <c r="D146">
        <f t="shared" si="23"/>
        <v>57</v>
      </c>
      <c r="E146">
        <v>188</v>
      </c>
      <c r="F146">
        <v>195</v>
      </c>
      <c r="G146">
        <v>207</v>
      </c>
      <c r="H146">
        <f t="shared" si="24"/>
        <v>188</v>
      </c>
      <c r="I146">
        <f t="shared" si="24"/>
        <v>473</v>
      </c>
      <c r="J146">
        <f t="shared" si="24"/>
        <v>264</v>
      </c>
      <c r="K146" t="str">
        <f t="shared" si="18"/>
        <v>trus_porz</v>
      </c>
      <c r="L146">
        <f t="shared" si="19"/>
        <v>0</v>
      </c>
      <c r="M146">
        <f t="shared" si="20"/>
        <v>264</v>
      </c>
      <c r="N146">
        <f t="shared" si="21"/>
        <v>264</v>
      </c>
      <c r="O146">
        <f t="shared" si="22"/>
        <v>188</v>
      </c>
      <c r="P146">
        <f t="shared" si="22"/>
        <v>209</v>
      </c>
      <c r="Q146">
        <f t="shared" si="22"/>
        <v>0</v>
      </c>
      <c r="U146" t="s">
        <v>23</v>
      </c>
      <c r="V146">
        <v>396</v>
      </c>
      <c r="W146">
        <v>0</v>
      </c>
      <c r="X146">
        <v>396</v>
      </c>
      <c r="Y146">
        <f t="shared" si="25"/>
        <v>396</v>
      </c>
      <c r="AA146" t="s">
        <v>23</v>
      </c>
      <c r="AB146">
        <v>396</v>
      </c>
      <c r="AC146">
        <f t="shared" si="26"/>
        <v>0</v>
      </c>
    </row>
    <row r="147" spans="1:29" x14ac:dyDescent="0.25">
      <c r="A147" s="1">
        <v>44096</v>
      </c>
      <c r="B147">
        <f t="shared" si="23"/>
        <v>188</v>
      </c>
      <c r="C147">
        <f t="shared" si="23"/>
        <v>209</v>
      </c>
      <c r="D147">
        <f t="shared" si="23"/>
        <v>0</v>
      </c>
      <c r="E147">
        <v>142</v>
      </c>
      <c r="F147">
        <v>249</v>
      </c>
      <c r="G147">
        <v>202</v>
      </c>
      <c r="H147">
        <f t="shared" si="24"/>
        <v>330</v>
      </c>
      <c r="I147">
        <f t="shared" si="24"/>
        <v>458</v>
      </c>
      <c r="J147">
        <f t="shared" si="24"/>
        <v>202</v>
      </c>
      <c r="K147" t="str">
        <f t="shared" si="18"/>
        <v>mal_trus</v>
      </c>
      <c r="L147">
        <f t="shared" si="19"/>
        <v>330</v>
      </c>
      <c r="M147">
        <f t="shared" si="20"/>
        <v>330</v>
      </c>
      <c r="N147">
        <f t="shared" si="21"/>
        <v>0</v>
      </c>
      <c r="O147">
        <f t="shared" si="22"/>
        <v>0</v>
      </c>
      <c r="P147">
        <f t="shared" si="22"/>
        <v>128</v>
      </c>
      <c r="Q147">
        <f t="shared" si="22"/>
        <v>202</v>
      </c>
      <c r="U147" t="s">
        <v>25</v>
      </c>
      <c r="V147">
        <v>0</v>
      </c>
      <c r="W147">
        <v>264</v>
      </c>
      <c r="X147">
        <v>264</v>
      </c>
      <c r="Y147">
        <f t="shared" si="25"/>
        <v>264</v>
      </c>
      <c r="AA147" t="s">
        <v>25</v>
      </c>
      <c r="AB147">
        <v>264</v>
      </c>
      <c r="AC147">
        <f t="shared" si="26"/>
        <v>0</v>
      </c>
    </row>
    <row r="148" spans="1:29" x14ac:dyDescent="0.25">
      <c r="A148" s="1">
        <v>44097</v>
      </c>
      <c r="B148">
        <f t="shared" si="23"/>
        <v>0</v>
      </c>
      <c r="C148">
        <f t="shared" si="23"/>
        <v>128</v>
      </c>
      <c r="D148">
        <f t="shared" si="23"/>
        <v>202</v>
      </c>
      <c r="E148">
        <v>232</v>
      </c>
      <c r="F148">
        <v>116</v>
      </c>
      <c r="G148">
        <v>195</v>
      </c>
      <c r="H148">
        <f t="shared" si="24"/>
        <v>232</v>
      </c>
      <c r="I148">
        <f t="shared" si="24"/>
        <v>244</v>
      </c>
      <c r="J148">
        <f t="shared" si="24"/>
        <v>397</v>
      </c>
      <c r="K148" t="str">
        <f t="shared" si="18"/>
        <v>trus_porz</v>
      </c>
      <c r="L148">
        <f t="shared" si="19"/>
        <v>0</v>
      </c>
      <c r="M148">
        <f t="shared" si="20"/>
        <v>244</v>
      </c>
      <c r="N148">
        <f t="shared" si="21"/>
        <v>244</v>
      </c>
      <c r="O148">
        <f t="shared" si="22"/>
        <v>232</v>
      </c>
      <c r="P148">
        <f t="shared" si="22"/>
        <v>0</v>
      </c>
      <c r="Q148">
        <f t="shared" si="22"/>
        <v>153</v>
      </c>
      <c r="U148" t="s">
        <v>22</v>
      </c>
      <c r="V148">
        <v>330</v>
      </c>
      <c r="W148">
        <v>330</v>
      </c>
      <c r="X148">
        <v>0</v>
      </c>
      <c r="Y148">
        <f t="shared" si="25"/>
        <v>330</v>
      </c>
      <c r="AA148" t="s">
        <v>22</v>
      </c>
      <c r="AB148">
        <v>330</v>
      </c>
      <c r="AC148">
        <f t="shared" si="26"/>
        <v>330</v>
      </c>
    </row>
    <row r="149" spans="1:29" x14ac:dyDescent="0.25">
      <c r="A149" s="1">
        <v>44098</v>
      </c>
      <c r="B149">
        <f t="shared" si="23"/>
        <v>232</v>
      </c>
      <c r="C149">
        <f t="shared" si="23"/>
        <v>0</v>
      </c>
      <c r="D149">
        <f t="shared" si="23"/>
        <v>153</v>
      </c>
      <c r="E149">
        <v>296</v>
      </c>
      <c r="F149">
        <v>102</v>
      </c>
      <c r="G149">
        <v>192</v>
      </c>
      <c r="H149">
        <f t="shared" si="24"/>
        <v>528</v>
      </c>
      <c r="I149">
        <f t="shared" si="24"/>
        <v>102</v>
      </c>
      <c r="J149">
        <f t="shared" si="24"/>
        <v>345</v>
      </c>
      <c r="K149" t="str">
        <f t="shared" si="18"/>
        <v>mal_porz</v>
      </c>
      <c r="L149">
        <f t="shared" si="19"/>
        <v>345</v>
      </c>
      <c r="M149">
        <f t="shared" si="20"/>
        <v>0</v>
      </c>
      <c r="N149">
        <f t="shared" si="21"/>
        <v>345</v>
      </c>
      <c r="O149">
        <f t="shared" si="22"/>
        <v>183</v>
      </c>
      <c r="P149">
        <f t="shared" si="22"/>
        <v>102</v>
      </c>
      <c r="Q149">
        <f t="shared" si="22"/>
        <v>0</v>
      </c>
      <c r="U149" t="s">
        <v>25</v>
      </c>
      <c r="V149">
        <v>0</v>
      </c>
      <c r="W149">
        <v>244</v>
      </c>
      <c r="X149">
        <v>244</v>
      </c>
      <c r="Y149">
        <f t="shared" si="25"/>
        <v>244</v>
      </c>
      <c r="AA149" t="s">
        <v>25</v>
      </c>
      <c r="AB149">
        <v>244</v>
      </c>
      <c r="AC149">
        <f t="shared" si="26"/>
        <v>0</v>
      </c>
    </row>
    <row r="150" spans="1:29" x14ac:dyDescent="0.25">
      <c r="A150" s="1">
        <v>44099</v>
      </c>
      <c r="B150">
        <f t="shared" si="23"/>
        <v>183</v>
      </c>
      <c r="C150">
        <f t="shared" si="23"/>
        <v>102</v>
      </c>
      <c r="D150">
        <f t="shared" si="23"/>
        <v>0</v>
      </c>
      <c r="E150">
        <v>161</v>
      </c>
      <c r="F150">
        <v>151</v>
      </c>
      <c r="G150">
        <v>216</v>
      </c>
      <c r="H150">
        <f t="shared" si="24"/>
        <v>344</v>
      </c>
      <c r="I150">
        <f t="shared" si="24"/>
        <v>253</v>
      </c>
      <c r="J150">
        <f t="shared" si="24"/>
        <v>216</v>
      </c>
      <c r="K150" t="str">
        <f t="shared" si="18"/>
        <v>mal_trus</v>
      </c>
      <c r="L150">
        <f t="shared" si="19"/>
        <v>253</v>
      </c>
      <c r="M150">
        <f t="shared" si="20"/>
        <v>253</v>
      </c>
      <c r="N150">
        <f t="shared" si="21"/>
        <v>0</v>
      </c>
      <c r="O150">
        <f t="shared" si="22"/>
        <v>91</v>
      </c>
      <c r="P150">
        <f t="shared" si="22"/>
        <v>0</v>
      </c>
      <c r="Q150">
        <f t="shared" si="22"/>
        <v>216</v>
      </c>
      <c r="U150" t="s">
        <v>23</v>
      </c>
      <c r="V150">
        <v>345</v>
      </c>
      <c r="W150">
        <v>0</v>
      </c>
      <c r="X150">
        <v>345</v>
      </c>
      <c r="Y150">
        <f t="shared" si="25"/>
        <v>345</v>
      </c>
      <c r="AA150" t="s">
        <v>23</v>
      </c>
      <c r="AB150">
        <v>345</v>
      </c>
      <c r="AC150">
        <f t="shared" si="26"/>
        <v>0</v>
      </c>
    </row>
    <row r="151" spans="1:29" x14ac:dyDescent="0.25">
      <c r="A151" s="1">
        <v>44100</v>
      </c>
      <c r="B151">
        <f t="shared" si="23"/>
        <v>91</v>
      </c>
      <c r="C151">
        <f t="shared" si="23"/>
        <v>0</v>
      </c>
      <c r="D151">
        <f t="shared" si="23"/>
        <v>216</v>
      </c>
      <c r="E151">
        <v>162</v>
      </c>
      <c r="F151">
        <v>261</v>
      </c>
      <c r="G151">
        <v>184</v>
      </c>
      <c r="H151">
        <f t="shared" si="24"/>
        <v>253</v>
      </c>
      <c r="I151">
        <f t="shared" si="24"/>
        <v>261</v>
      </c>
      <c r="J151">
        <f t="shared" si="24"/>
        <v>400</v>
      </c>
      <c r="K151" t="str">
        <f t="shared" si="18"/>
        <v>trus_porz</v>
      </c>
      <c r="L151">
        <f t="shared" si="19"/>
        <v>0</v>
      </c>
      <c r="M151">
        <f t="shared" si="20"/>
        <v>261</v>
      </c>
      <c r="N151">
        <f t="shared" si="21"/>
        <v>261</v>
      </c>
      <c r="O151">
        <f t="shared" si="22"/>
        <v>253</v>
      </c>
      <c r="P151">
        <f t="shared" si="22"/>
        <v>0</v>
      </c>
      <c r="Q151">
        <f t="shared" si="22"/>
        <v>139</v>
      </c>
      <c r="U151" t="s">
        <v>22</v>
      </c>
      <c r="V151">
        <v>253</v>
      </c>
      <c r="W151">
        <v>253</v>
      </c>
      <c r="X151">
        <v>0</v>
      </c>
      <c r="Y151">
        <f t="shared" si="25"/>
        <v>253</v>
      </c>
      <c r="AA151" t="s">
        <v>22</v>
      </c>
      <c r="AB151">
        <v>253</v>
      </c>
      <c r="AC151">
        <f t="shared" si="26"/>
        <v>253</v>
      </c>
    </row>
    <row r="152" spans="1:29" x14ac:dyDescent="0.25">
      <c r="A152" s="1">
        <v>44101</v>
      </c>
      <c r="B152">
        <f t="shared" si="23"/>
        <v>253</v>
      </c>
      <c r="C152">
        <f t="shared" si="23"/>
        <v>0</v>
      </c>
      <c r="D152">
        <f t="shared" si="23"/>
        <v>139</v>
      </c>
      <c r="E152">
        <v>216</v>
      </c>
      <c r="F152">
        <v>147</v>
      </c>
      <c r="G152">
        <v>204</v>
      </c>
      <c r="H152">
        <f t="shared" si="24"/>
        <v>469</v>
      </c>
      <c r="I152">
        <f t="shared" si="24"/>
        <v>147</v>
      </c>
      <c r="J152">
        <f t="shared" si="24"/>
        <v>343</v>
      </c>
      <c r="K152" t="str">
        <f t="shared" si="18"/>
        <v>mal_porz</v>
      </c>
      <c r="L152">
        <f t="shared" si="19"/>
        <v>343</v>
      </c>
      <c r="M152">
        <f t="shared" si="20"/>
        <v>0</v>
      </c>
      <c r="N152">
        <f t="shared" si="21"/>
        <v>343</v>
      </c>
      <c r="O152">
        <f t="shared" si="22"/>
        <v>126</v>
      </c>
      <c r="P152">
        <f t="shared" si="22"/>
        <v>147</v>
      </c>
      <c r="Q152">
        <f t="shared" si="22"/>
        <v>0</v>
      </c>
      <c r="U152" t="s">
        <v>25</v>
      </c>
      <c r="V152">
        <v>0</v>
      </c>
      <c r="W152">
        <v>261</v>
      </c>
      <c r="X152">
        <v>261</v>
      </c>
      <c r="Y152">
        <f t="shared" si="25"/>
        <v>261</v>
      </c>
      <c r="AA152" t="s">
        <v>25</v>
      </c>
      <c r="AB152">
        <v>261</v>
      </c>
      <c r="AC152">
        <f t="shared" si="26"/>
        <v>0</v>
      </c>
    </row>
    <row r="153" spans="1:29" x14ac:dyDescent="0.25">
      <c r="A153" s="1">
        <v>44102</v>
      </c>
      <c r="B153">
        <f t="shared" si="23"/>
        <v>126</v>
      </c>
      <c r="C153">
        <f t="shared" si="23"/>
        <v>147</v>
      </c>
      <c r="D153">
        <f t="shared" si="23"/>
        <v>0</v>
      </c>
      <c r="E153">
        <v>282</v>
      </c>
      <c r="F153">
        <v>297</v>
      </c>
      <c r="G153">
        <v>195</v>
      </c>
      <c r="H153">
        <f t="shared" si="24"/>
        <v>408</v>
      </c>
      <c r="I153">
        <f t="shared" si="24"/>
        <v>444</v>
      </c>
      <c r="J153">
        <f t="shared" si="24"/>
        <v>195</v>
      </c>
      <c r="K153" t="str">
        <f t="shared" si="18"/>
        <v>mal_trus</v>
      </c>
      <c r="L153">
        <f t="shared" si="19"/>
        <v>408</v>
      </c>
      <c r="M153">
        <f t="shared" si="20"/>
        <v>408</v>
      </c>
      <c r="N153">
        <f t="shared" si="21"/>
        <v>0</v>
      </c>
      <c r="O153">
        <f t="shared" si="22"/>
        <v>0</v>
      </c>
      <c r="P153">
        <f t="shared" si="22"/>
        <v>36</v>
      </c>
      <c r="Q153">
        <f t="shared" si="22"/>
        <v>195</v>
      </c>
      <c r="U153" t="s">
        <v>23</v>
      </c>
      <c r="V153">
        <v>343</v>
      </c>
      <c r="W153">
        <v>0</v>
      </c>
      <c r="X153">
        <v>343</v>
      </c>
      <c r="Y153">
        <f t="shared" si="25"/>
        <v>343</v>
      </c>
      <c r="AA153" t="s">
        <v>23</v>
      </c>
      <c r="AB153">
        <v>343</v>
      </c>
      <c r="AC153">
        <f t="shared" si="26"/>
        <v>0</v>
      </c>
    </row>
    <row r="154" spans="1:29" x14ac:dyDescent="0.25">
      <c r="A154" s="1">
        <v>44103</v>
      </c>
      <c r="B154">
        <f t="shared" si="23"/>
        <v>0</v>
      </c>
      <c r="C154">
        <f t="shared" si="23"/>
        <v>36</v>
      </c>
      <c r="D154">
        <f t="shared" si="23"/>
        <v>195</v>
      </c>
      <c r="E154">
        <v>214</v>
      </c>
      <c r="F154">
        <v>198</v>
      </c>
      <c r="G154">
        <v>200</v>
      </c>
      <c r="H154">
        <f t="shared" si="24"/>
        <v>214</v>
      </c>
      <c r="I154">
        <f t="shared" si="24"/>
        <v>234</v>
      </c>
      <c r="J154">
        <f t="shared" si="24"/>
        <v>395</v>
      </c>
      <c r="K154" t="str">
        <f t="shared" si="18"/>
        <v>trus_porz</v>
      </c>
      <c r="L154">
        <f t="shared" si="19"/>
        <v>0</v>
      </c>
      <c r="M154">
        <f t="shared" si="20"/>
        <v>234</v>
      </c>
      <c r="N154">
        <f t="shared" si="21"/>
        <v>234</v>
      </c>
      <c r="O154">
        <f t="shared" si="22"/>
        <v>214</v>
      </c>
      <c r="P154">
        <f t="shared" si="22"/>
        <v>0</v>
      </c>
      <c r="Q154">
        <f t="shared" si="22"/>
        <v>161</v>
      </c>
      <c r="U154" t="s">
        <v>22</v>
      </c>
      <c r="V154">
        <v>408</v>
      </c>
      <c r="W154">
        <v>408</v>
      </c>
      <c r="X154">
        <v>0</v>
      </c>
      <c r="Y154">
        <f t="shared" si="25"/>
        <v>408</v>
      </c>
      <c r="AA154" t="s">
        <v>22</v>
      </c>
      <c r="AB154">
        <v>408</v>
      </c>
      <c r="AC154">
        <f t="shared" si="26"/>
        <v>408</v>
      </c>
    </row>
    <row r="155" spans="1:29" x14ac:dyDescent="0.25">
      <c r="A155" s="1">
        <v>44104</v>
      </c>
      <c r="B155">
        <f t="shared" si="23"/>
        <v>214</v>
      </c>
      <c r="C155">
        <f t="shared" si="23"/>
        <v>0</v>
      </c>
      <c r="D155">
        <f t="shared" si="23"/>
        <v>161</v>
      </c>
      <c r="E155">
        <v>289</v>
      </c>
      <c r="F155">
        <v>290</v>
      </c>
      <c r="G155">
        <v>190</v>
      </c>
      <c r="H155">
        <f t="shared" si="24"/>
        <v>503</v>
      </c>
      <c r="I155">
        <f t="shared" si="24"/>
        <v>290</v>
      </c>
      <c r="J155">
        <f t="shared" si="24"/>
        <v>351</v>
      </c>
      <c r="K155" t="str">
        <f t="shared" si="18"/>
        <v>mal_porz</v>
      </c>
      <c r="L155">
        <f t="shared" si="19"/>
        <v>351</v>
      </c>
      <c r="M155">
        <f t="shared" si="20"/>
        <v>0</v>
      </c>
      <c r="N155">
        <f t="shared" si="21"/>
        <v>351</v>
      </c>
      <c r="O155">
        <f t="shared" si="22"/>
        <v>152</v>
      </c>
      <c r="P155">
        <f t="shared" si="22"/>
        <v>290</v>
      </c>
      <c r="Q155">
        <f t="shared" si="22"/>
        <v>0</v>
      </c>
      <c r="U155" t="s">
        <v>25</v>
      </c>
      <c r="V155">
        <v>0</v>
      </c>
      <c r="W155">
        <v>234</v>
      </c>
      <c r="X155">
        <v>234</v>
      </c>
      <c r="Y155">
        <f t="shared" si="25"/>
        <v>234</v>
      </c>
      <c r="AA155" t="s">
        <v>25</v>
      </c>
      <c r="AB155">
        <v>234</v>
      </c>
      <c r="AC155">
        <f t="shared" si="26"/>
        <v>0</v>
      </c>
    </row>
    <row r="156" spans="1:29" x14ac:dyDescent="0.25">
      <c r="U156" t="s">
        <v>23</v>
      </c>
      <c r="V156">
        <v>351</v>
      </c>
      <c r="W156">
        <v>0</v>
      </c>
      <c r="X156">
        <v>351</v>
      </c>
      <c r="Y156">
        <f t="shared" si="25"/>
        <v>351</v>
      </c>
      <c r="AA156" t="s">
        <v>23</v>
      </c>
      <c r="AB156">
        <v>351</v>
      </c>
      <c r="AC156">
        <f t="shared" si="26"/>
        <v>0</v>
      </c>
    </row>
  </sheetData>
  <mergeCells count="5">
    <mergeCell ref="B1:D1"/>
    <mergeCell ref="E1:G1"/>
    <mergeCell ref="H1:J1"/>
    <mergeCell ref="L1:N1"/>
    <mergeCell ref="O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7CB34C-C7CF-48F2-94B0-9D5BB42AB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6</vt:i4>
      </vt:variant>
    </vt:vector>
  </HeadingPairs>
  <TitlesOfParts>
    <vt:vector size="12" baseType="lpstr">
      <vt:lpstr>Dane</vt:lpstr>
      <vt:lpstr>zad1</vt:lpstr>
      <vt:lpstr>zad2</vt:lpstr>
      <vt:lpstr>zad3</vt:lpstr>
      <vt:lpstr>31</vt:lpstr>
      <vt:lpstr>32</vt:lpstr>
      <vt:lpstr>'31'!owoce</vt:lpstr>
      <vt:lpstr>'32'!owoce</vt:lpstr>
      <vt:lpstr>Dane!owoce</vt:lpstr>
      <vt:lpstr>zad1!owoce</vt:lpstr>
      <vt:lpstr>zad2!owoce</vt:lpstr>
      <vt:lpstr>zad3!owoce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2024-02-21T17:18:11Z</dcterms:modified>
</cp:coreProperties>
</file>