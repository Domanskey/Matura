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queryTables/queryTable4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trlProps/ctrlProp1.xml" ContentType="application/vnd.ms-excel.controlproperties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omad\Desktop\2022_czerwiec_infa\"/>
    </mc:Choice>
  </mc:AlternateContent>
  <xr:revisionPtr revIDLastSave="0" documentId="13_ncr:1_{35183387-701F-4FE0-B415-37842DBE88E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ne" sheetId="1" r:id="rId1"/>
    <sheet name="1" sheetId="2" r:id="rId2"/>
    <sheet name="2" sheetId="3" r:id="rId3"/>
    <sheet name="3" sheetId="5" r:id="rId4"/>
    <sheet name="4" sheetId="7" r:id="rId5"/>
  </sheets>
  <definedNames>
    <definedName name="temperatury" localSheetId="1">'1'!$A$2:$B$93</definedName>
    <definedName name="temperatury" localSheetId="2">'2'!$A$2:$B$93</definedName>
    <definedName name="temperatury" localSheetId="3">'3'!$A$2:$B$93</definedName>
    <definedName name="temperatury" localSheetId="4">'4'!$B$2:$C$93</definedName>
    <definedName name="temperatury" localSheetId="0">Dane!$A$1:$B$92</definedName>
  </definedNames>
  <calcPr calcId="191029"/>
  <pivotCaches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7" l="1"/>
  <c r="I69" i="7" s="1"/>
  <c r="N3" i="7"/>
  <c r="H4" i="7" s="1"/>
  <c r="M3" i="7"/>
  <c r="G88" i="7" s="1"/>
  <c r="C96" i="7"/>
  <c r="D96" i="7" s="1"/>
  <c r="C97" i="7"/>
  <c r="F97" i="7" s="1"/>
  <c r="C98" i="7"/>
  <c r="C99" i="7" s="1"/>
  <c r="C95" i="7"/>
  <c r="D94" i="7"/>
  <c r="E94" i="7"/>
  <c r="F94" i="7"/>
  <c r="D95" i="7"/>
  <c r="E95" i="7"/>
  <c r="F95" i="7"/>
  <c r="F96" i="7"/>
  <c r="D97" i="7"/>
  <c r="E97" i="7"/>
  <c r="F93" i="7"/>
  <c r="E93" i="7"/>
  <c r="D93" i="7"/>
  <c r="F92" i="7"/>
  <c r="E92" i="7"/>
  <c r="D92" i="7"/>
  <c r="F91" i="7"/>
  <c r="E91" i="7"/>
  <c r="D91" i="7"/>
  <c r="F90" i="7"/>
  <c r="E90" i="7"/>
  <c r="D90" i="7"/>
  <c r="F89" i="7"/>
  <c r="E89" i="7"/>
  <c r="D89" i="7"/>
  <c r="F88" i="7"/>
  <c r="E88" i="7"/>
  <c r="D88" i="7"/>
  <c r="F87" i="7"/>
  <c r="E87" i="7"/>
  <c r="D87" i="7"/>
  <c r="F86" i="7"/>
  <c r="E86" i="7"/>
  <c r="D86" i="7"/>
  <c r="F85" i="7"/>
  <c r="E85" i="7"/>
  <c r="D85" i="7"/>
  <c r="F84" i="7"/>
  <c r="E84" i="7"/>
  <c r="D84" i="7"/>
  <c r="F83" i="7"/>
  <c r="E83" i="7"/>
  <c r="D83" i="7"/>
  <c r="F82" i="7"/>
  <c r="E82" i="7"/>
  <c r="D82" i="7"/>
  <c r="F81" i="7"/>
  <c r="E81" i="7"/>
  <c r="D81" i="7"/>
  <c r="F80" i="7"/>
  <c r="E80" i="7"/>
  <c r="D80" i="7"/>
  <c r="F79" i="7"/>
  <c r="E79" i="7"/>
  <c r="D79" i="7"/>
  <c r="F78" i="7"/>
  <c r="E78" i="7"/>
  <c r="D78" i="7"/>
  <c r="F77" i="7"/>
  <c r="E77" i="7"/>
  <c r="D77" i="7"/>
  <c r="F76" i="7"/>
  <c r="E76" i="7"/>
  <c r="D76" i="7"/>
  <c r="F75" i="7"/>
  <c r="E75" i="7"/>
  <c r="D75" i="7"/>
  <c r="F74" i="7"/>
  <c r="E74" i="7"/>
  <c r="D74" i="7"/>
  <c r="F73" i="7"/>
  <c r="E73" i="7"/>
  <c r="D73" i="7"/>
  <c r="F72" i="7"/>
  <c r="E72" i="7"/>
  <c r="D72" i="7"/>
  <c r="F71" i="7"/>
  <c r="E71" i="7"/>
  <c r="D71" i="7"/>
  <c r="F70" i="7"/>
  <c r="E70" i="7"/>
  <c r="D70" i="7"/>
  <c r="F69" i="7"/>
  <c r="E69" i="7"/>
  <c r="D69" i="7"/>
  <c r="F68" i="7"/>
  <c r="E68" i="7"/>
  <c r="D68" i="7"/>
  <c r="F67" i="7"/>
  <c r="E67" i="7"/>
  <c r="D67" i="7"/>
  <c r="F66" i="7"/>
  <c r="E66" i="7"/>
  <c r="D66" i="7"/>
  <c r="F65" i="7"/>
  <c r="E65" i="7"/>
  <c r="D65" i="7"/>
  <c r="F64" i="7"/>
  <c r="E64" i="7"/>
  <c r="D64" i="7"/>
  <c r="F63" i="7"/>
  <c r="E63" i="7"/>
  <c r="D63" i="7"/>
  <c r="F62" i="7"/>
  <c r="E62" i="7"/>
  <c r="D62" i="7"/>
  <c r="F61" i="7"/>
  <c r="E61" i="7"/>
  <c r="D61" i="7"/>
  <c r="F60" i="7"/>
  <c r="E60" i="7"/>
  <c r="D60" i="7"/>
  <c r="F59" i="7"/>
  <c r="E59" i="7"/>
  <c r="D59" i="7"/>
  <c r="F58" i="7"/>
  <c r="E58" i="7"/>
  <c r="D58" i="7"/>
  <c r="F57" i="7"/>
  <c r="E57" i="7"/>
  <c r="D57" i="7"/>
  <c r="F56" i="7"/>
  <c r="E56" i="7"/>
  <c r="D56" i="7"/>
  <c r="F55" i="7"/>
  <c r="E55" i="7"/>
  <c r="D55" i="7"/>
  <c r="F54" i="7"/>
  <c r="E54" i="7"/>
  <c r="D54" i="7"/>
  <c r="F53" i="7"/>
  <c r="E53" i="7"/>
  <c r="D53" i="7"/>
  <c r="F52" i="7"/>
  <c r="E52" i="7"/>
  <c r="D52" i="7"/>
  <c r="F51" i="7"/>
  <c r="E51" i="7"/>
  <c r="D51" i="7"/>
  <c r="F50" i="7"/>
  <c r="E50" i="7"/>
  <c r="D50" i="7"/>
  <c r="F49" i="7"/>
  <c r="E49" i="7"/>
  <c r="D49" i="7"/>
  <c r="F48" i="7"/>
  <c r="E48" i="7"/>
  <c r="D48" i="7"/>
  <c r="F47" i="7"/>
  <c r="E47" i="7"/>
  <c r="D47" i="7"/>
  <c r="F46" i="7"/>
  <c r="E46" i="7"/>
  <c r="D46" i="7"/>
  <c r="F45" i="7"/>
  <c r="E45" i="7"/>
  <c r="D45" i="7"/>
  <c r="F44" i="7"/>
  <c r="E44" i="7"/>
  <c r="D44" i="7"/>
  <c r="F43" i="7"/>
  <c r="E43" i="7"/>
  <c r="D43" i="7"/>
  <c r="F42" i="7"/>
  <c r="E42" i="7"/>
  <c r="D42" i="7"/>
  <c r="F41" i="7"/>
  <c r="E41" i="7"/>
  <c r="D41" i="7"/>
  <c r="F40" i="7"/>
  <c r="E40" i="7"/>
  <c r="D40" i="7"/>
  <c r="F39" i="7"/>
  <c r="E39" i="7"/>
  <c r="D39" i="7"/>
  <c r="F38" i="7"/>
  <c r="E38" i="7"/>
  <c r="D38" i="7"/>
  <c r="F37" i="7"/>
  <c r="E37" i="7"/>
  <c r="D37" i="7"/>
  <c r="F36" i="7"/>
  <c r="E36" i="7"/>
  <c r="D36" i="7"/>
  <c r="F35" i="7"/>
  <c r="E35" i="7"/>
  <c r="D35" i="7"/>
  <c r="F34" i="7"/>
  <c r="E34" i="7"/>
  <c r="D34" i="7"/>
  <c r="F33" i="7"/>
  <c r="E33" i="7"/>
  <c r="D33" i="7"/>
  <c r="F32" i="7"/>
  <c r="E32" i="7"/>
  <c r="D32" i="7"/>
  <c r="F31" i="7"/>
  <c r="E31" i="7"/>
  <c r="D31" i="7"/>
  <c r="F30" i="7"/>
  <c r="E30" i="7"/>
  <c r="D30" i="7"/>
  <c r="F29" i="7"/>
  <c r="E29" i="7"/>
  <c r="D29" i="7"/>
  <c r="F28" i="7"/>
  <c r="E28" i="7"/>
  <c r="D28" i="7"/>
  <c r="F27" i="7"/>
  <c r="E27" i="7"/>
  <c r="D27" i="7"/>
  <c r="F26" i="7"/>
  <c r="E26" i="7"/>
  <c r="D26" i="7"/>
  <c r="F25" i="7"/>
  <c r="E25" i="7"/>
  <c r="D25" i="7"/>
  <c r="F24" i="7"/>
  <c r="E24" i="7"/>
  <c r="D24" i="7"/>
  <c r="F23" i="7"/>
  <c r="E23" i="7"/>
  <c r="D23" i="7"/>
  <c r="F22" i="7"/>
  <c r="E22" i="7"/>
  <c r="D22" i="7"/>
  <c r="F21" i="7"/>
  <c r="E21" i="7"/>
  <c r="D21" i="7"/>
  <c r="F20" i="7"/>
  <c r="E20" i="7"/>
  <c r="D20" i="7"/>
  <c r="F19" i="7"/>
  <c r="E19" i="7"/>
  <c r="D19" i="7"/>
  <c r="F18" i="7"/>
  <c r="E18" i="7"/>
  <c r="D18" i="7"/>
  <c r="F17" i="7"/>
  <c r="E17" i="7"/>
  <c r="D17" i="7"/>
  <c r="F16" i="7"/>
  <c r="E16" i="7"/>
  <c r="D16" i="7"/>
  <c r="F15" i="7"/>
  <c r="E15" i="7"/>
  <c r="D15" i="7"/>
  <c r="F14" i="7"/>
  <c r="E14" i="7"/>
  <c r="D14" i="7"/>
  <c r="F13" i="7"/>
  <c r="E13" i="7"/>
  <c r="D13" i="7"/>
  <c r="F12" i="7"/>
  <c r="E12" i="7"/>
  <c r="D12" i="7"/>
  <c r="F11" i="7"/>
  <c r="E11" i="7"/>
  <c r="D11" i="7"/>
  <c r="F10" i="7"/>
  <c r="E10" i="7"/>
  <c r="D10" i="7"/>
  <c r="F9" i="7"/>
  <c r="E9" i="7"/>
  <c r="D9" i="7"/>
  <c r="F8" i="7"/>
  <c r="E8" i="7"/>
  <c r="D8" i="7"/>
  <c r="F7" i="7"/>
  <c r="E7" i="7"/>
  <c r="D7" i="7"/>
  <c r="F6" i="7"/>
  <c r="E6" i="7"/>
  <c r="D6" i="7"/>
  <c r="F5" i="7"/>
  <c r="E5" i="7"/>
  <c r="D5" i="7"/>
  <c r="F4" i="7"/>
  <c r="E4" i="7"/>
  <c r="D4" i="7"/>
  <c r="F3" i="7"/>
  <c r="E3" i="7"/>
  <c r="D3" i="7"/>
  <c r="I3" i="5"/>
  <c r="I4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I90" i="5" s="1"/>
  <c r="I91" i="5" s="1"/>
  <c r="I92" i="5" s="1"/>
  <c r="I93" i="5" s="1"/>
  <c r="I2" i="5"/>
  <c r="F32" i="5"/>
  <c r="F40" i="5"/>
  <c r="F48" i="5"/>
  <c r="F56" i="5"/>
  <c r="F64" i="5"/>
  <c r="F72" i="5"/>
  <c r="F80" i="5"/>
  <c r="H87" i="5"/>
  <c r="F88" i="5"/>
  <c r="F92" i="5"/>
  <c r="G3" i="5"/>
  <c r="G2" i="5"/>
  <c r="H2" i="5"/>
  <c r="F2" i="5"/>
  <c r="E93" i="5"/>
  <c r="H93" i="5" s="1"/>
  <c r="D93" i="5"/>
  <c r="G93" i="5" s="1"/>
  <c r="C93" i="5"/>
  <c r="F93" i="5" s="1"/>
  <c r="E92" i="5"/>
  <c r="H92" i="5" s="1"/>
  <c r="D92" i="5"/>
  <c r="G92" i="5" s="1"/>
  <c r="C92" i="5"/>
  <c r="E91" i="5"/>
  <c r="H91" i="5" s="1"/>
  <c r="D91" i="5"/>
  <c r="G91" i="5" s="1"/>
  <c r="C91" i="5"/>
  <c r="F91" i="5" s="1"/>
  <c r="E90" i="5"/>
  <c r="H90" i="5" s="1"/>
  <c r="D90" i="5"/>
  <c r="G90" i="5" s="1"/>
  <c r="C90" i="5"/>
  <c r="F90" i="5" s="1"/>
  <c r="E89" i="5"/>
  <c r="H89" i="5" s="1"/>
  <c r="D89" i="5"/>
  <c r="G89" i="5" s="1"/>
  <c r="C89" i="5"/>
  <c r="F89" i="5" s="1"/>
  <c r="E88" i="5"/>
  <c r="H88" i="5" s="1"/>
  <c r="D88" i="5"/>
  <c r="G88" i="5" s="1"/>
  <c r="C88" i="5"/>
  <c r="E87" i="5"/>
  <c r="D87" i="5"/>
  <c r="G87" i="5" s="1"/>
  <c r="C87" i="5"/>
  <c r="F87" i="5" s="1"/>
  <c r="E86" i="5"/>
  <c r="H86" i="5" s="1"/>
  <c r="D86" i="5"/>
  <c r="G86" i="5" s="1"/>
  <c r="C86" i="5"/>
  <c r="F86" i="5" s="1"/>
  <c r="E85" i="5"/>
  <c r="H85" i="5" s="1"/>
  <c r="D85" i="5"/>
  <c r="G85" i="5" s="1"/>
  <c r="C85" i="5"/>
  <c r="F85" i="5" s="1"/>
  <c r="E84" i="5"/>
  <c r="H84" i="5" s="1"/>
  <c r="D84" i="5"/>
  <c r="G84" i="5" s="1"/>
  <c r="C84" i="5"/>
  <c r="F84" i="5" s="1"/>
  <c r="E83" i="5"/>
  <c r="H83" i="5" s="1"/>
  <c r="D83" i="5"/>
  <c r="G83" i="5" s="1"/>
  <c r="C83" i="5"/>
  <c r="F83" i="5" s="1"/>
  <c r="E82" i="5"/>
  <c r="H82" i="5" s="1"/>
  <c r="D82" i="5"/>
  <c r="G82" i="5" s="1"/>
  <c r="C82" i="5"/>
  <c r="F82" i="5" s="1"/>
  <c r="E81" i="5"/>
  <c r="H81" i="5" s="1"/>
  <c r="D81" i="5"/>
  <c r="G81" i="5" s="1"/>
  <c r="C81" i="5"/>
  <c r="F81" i="5" s="1"/>
  <c r="E80" i="5"/>
  <c r="H80" i="5" s="1"/>
  <c r="D80" i="5"/>
  <c r="G80" i="5" s="1"/>
  <c r="C80" i="5"/>
  <c r="E79" i="5"/>
  <c r="H79" i="5" s="1"/>
  <c r="D79" i="5"/>
  <c r="G79" i="5" s="1"/>
  <c r="C79" i="5"/>
  <c r="F79" i="5" s="1"/>
  <c r="E78" i="5"/>
  <c r="H78" i="5" s="1"/>
  <c r="D78" i="5"/>
  <c r="G78" i="5" s="1"/>
  <c r="C78" i="5"/>
  <c r="F78" i="5" s="1"/>
  <c r="E77" i="5"/>
  <c r="H77" i="5" s="1"/>
  <c r="D77" i="5"/>
  <c r="G77" i="5" s="1"/>
  <c r="C77" i="5"/>
  <c r="F77" i="5" s="1"/>
  <c r="E76" i="5"/>
  <c r="H76" i="5" s="1"/>
  <c r="D76" i="5"/>
  <c r="G76" i="5" s="1"/>
  <c r="C76" i="5"/>
  <c r="F76" i="5" s="1"/>
  <c r="E75" i="5"/>
  <c r="H75" i="5" s="1"/>
  <c r="D75" i="5"/>
  <c r="G75" i="5" s="1"/>
  <c r="C75" i="5"/>
  <c r="F75" i="5" s="1"/>
  <c r="E74" i="5"/>
  <c r="H74" i="5" s="1"/>
  <c r="D74" i="5"/>
  <c r="G74" i="5" s="1"/>
  <c r="C74" i="5"/>
  <c r="F74" i="5" s="1"/>
  <c r="E73" i="5"/>
  <c r="H73" i="5" s="1"/>
  <c r="D73" i="5"/>
  <c r="G73" i="5" s="1"/>
  <c r="C73" i="5"/>
  <c r="F73" i="5" s="1"/>
  <c r="E72" i="5"/>
  <c r="H72" i="5" s="1"/>
  <c r="D72" i="5"/>
  <c r="G72" i="5" s="1"/>
  <c r="C72" i="5"/>
  <c r="E71" i="5"/>
  <c r="H71" i="5" s="1"/>
  <c r="D71" i="5"/>
  <c r="G71" i="5" s="1"/>
  <c r="C71" i="5"/>
  <c r="F71" i="5" s="1"/>
  <c r="E70" i="5"/>
  <c r="H70" i="5" s="1"/>
  <c r="D70" i="5"/>
  <c r="G70" i="5" s="1"/>
  <c r="C70" i="5"/>
  <c r="F70" i="5" s="1"/>
  <c r="E69" i="5"/>
  <c r="H69" i="5" s="1"/>
  <c r="D69" i="5"/>
  <c r="G69" i="5" s="1"/>
  <c r="C69" i="5"/>
  <c r="F69" i="5" s="1"/>
  <c r="E68" i="5"/>
  <c r="H68" i="5" s="1"/>
  <c r="D68" i="5"/>
  <c r="G68" i="5" s="1"/>
  <c r="C68" i="5"/>
  <c r="F68" i="5" s="1"/>
  <c r="E67" i="5"/>
  <c r="H67" i="5" s="1"/>
  <c r="D67" i="5"/>
  <c r="G67" i="5" s="1"/>
  <c r="C67" i="5"/>
  <c r="F67" i="5" s="1"/>
  <c r="E66" i="5"/>
  <c r="H66" i="5" s="1"/>
  <c r="D66" i="5"/>
  <c r="G66" i="5" s="1"/>
  <c r="C66" i="5"/>
  <c r="F66" i="5" s="1"/>
  <c r="E65" i="5"/>
  <c r="H65" i="5" s="1"/>
  <c r="D65" i="5"/>
  <c r="G65" i="5" s="1"/>
  <c r="C65" i="5"/>
  <c r="F65" i="5" s="1"/>
  <c r="E64" i="5"/>
  <c r="H64" i="5" s="1"/>
  <c r="D64" i="5"/>
  <c r="G64" i="5" s="1"/>
  <c r="C64" i="5"/>
  <c r="E63" i="5"/>
  <c r="H63" i="5" s="1"/>
  <c r="D63" i="5"/>
  <c r="G63" i="5" s="1"/>
  <c r="C63" i="5"/>
  <c r="F63" i="5" s="1"/>
  <c r="E62" i="5"/>
  <c r="H62" i="5" s="1"/>
  <c r="D62" i="5"/>
  <c r="G62" i="5" s="1"/>
  <c r="C62" i="5"/>
  <c r="F62" i="5" s="1"/>
  <c r="E61" i="5"/>
  <c r="H61" i="5" s="1"/>
  <c r="D61" i="5"/>
  <c r="G61" i="5" s="1"/>
  <c r="C61" i="5"/>
  <c r="F61" i="5" s="1"/>
  <c r="E60" i="5"/>
  <c r="H60" i="5" s="1"/>
  <c r="D60" i="5"/>
  <c r="G60" i="5" s="1"/>
  <c r="C60" i="5"/>
  <c r="F60" i="5" s="1"/>
  <c r="E59" i="5"/>
  <c r="H59" i="5" s="1"/>
  <c r="D59" i="5"/>
  <c r="G59" i="5" s="1"/>
  <c r="C59" i="5"/>
  <c r="F59" i="5" s="1"/>
  <c r="E58" i="5"/>
  <c r="H58" i="5" s="1"/>
  <c r="D58" i="5"/>
  <c r="G58" i="5" s="1"/>
  <c r="C58" i="5"/>
  <c r="F58" i="5" s="1"/>
  <c r="E57" i="5"/>
  <c r="H57" i="5" s="1"/>
  <c r="D57" i="5"/>
  <c r="G57" i="5" s="1"/>
  <c r="C57" i="5"/>
  <c r="F57" i="5" s="1"/>
  <c r="E56" i="5"/>
  <c r="H56" i="5" s="1"/>
  <c r="D56" i="5"/>
  <c r="G56" i="5" s="1"/>
  <c r="C56" i="5"/>
  <c r="E55" i="5"/>
  <c r="H55" i="5" s="1"/>
  <c r="D55" i="5"/>
  <c r="G55" i="5" s="1"/>
  <c r="C55" i="5"/>
  <c r="F55" i="5" s="1"/>
  <c r="E54" i="5"/>
  <c r="H54" i="5" s="1"/>
  <c r="D54" i="5"/>
  <c r="G54" i="5" s="1"/>
  <c r="C54" i="5"/>
  <c r="F54" i="5" s="1"/>
  <c r="E53" i="5"/>
  <c r="H53" i="5" s="1"/>
  <c r="D53" i="5"/>
  <c r="G53" i="5" s="1"/>
  <c r="C53" i="5"/>
  <c r="F53" i="5" s="1"/>
  <c r="E52" i="5"/>
  <c r="H52" i="5" s="1"/>
  <c r="D52" i="5"/>
  <c r="G52" i="5" s="1"/>
  <c r="C52" i="5"/>
  <c r="F52" i="5" s="1"/>
  <c r="E51" i="5"/>
  <c r="H51" i="5" s="1"/>
  <c r="D51" i="5"/>
  <c r="G51" i="5" s="1"/>
  <c r="C51" i="5"/>
  <c r="F51" i="5" s="1"/>
  <c r="E50" i="5"/>
  <c r="H50" i="5" s="1"/>
  <c r="D50" i="5"/>
  <c r="G50" i="5" s="1"/>
  <c r="C50" i="5"/>
  <c r="F50" i="5" s="1"/>
  <c r="E49" i="5"/>
  <c r="H49" i="5" s="1"/>
  <c r="D49" i="5"/>
  <c r="G49" i="5" s="1"/>
  <c r="C49" i="5"/>
  <c r="F49" i="5" s="1"/>
  <c r="E48" i="5"/>
  <c r="H48" i="5" s="1"/>
  <c r="D48" i="5"/>
  <c r="G48" i="5" s="1"/>
  <c r="C48" i="5"/>
  <c r="E47" i="5"/>
  <c r="H47" i="5" s="1"/>
  <c r="D47" i="5"/>
  <c r="G47" i="5" s="1"/>
  <c r="C47" i="5"/>
  <c r="F47" i="5" s="1"/>
  <c r="E46" i="5"/>
  <c r="H46" i="5" s="1"/>
  <c r="D46" i="5"/>
  <c r="G46" i="5" s="1"/>
  <c r="C46" i="5"/>
  <c r="F46" i="5" s="1"/>
  <c r="E45" i="5"/>
  <c r="H45" i="5" s="1"/>
  <c r="D45" i="5"/>
  <c r="G45" i="5" s="1"/>
  <c r="C45" i="5"/>
  <c r="F45" i="5" s="1"/>
  <c r="E44" i="5"/>
  <c r="H44" i="5" s="1"/>
  <c r="D44" i="5"/>
  <c r="G44" i="5" s="1"/>
  <c r="C44" i="5"/>
  <c r="F44" i="5" s="1"/>
  <c r="E43" i="5"/>
  <c r="H43" i="5" s="1"/>
  <c r="D43" i="5"/>
  <c r="G43" i="5" s="1"/>
  <c r="C43" i="5"/>
  <c r="F43" i="5" s="1"/>
  <c r="E42" i="5"/>
  <c r="H42" i="5" s="1"/>
  <c r="D42" i="5"/>
  <c r="G42" i="5" s="1"/>
  <c r="C42" i="5"/>
  <c r="F42" i="5" s="1"/>
  <c r="E41" i="5"/>
  <c r="H41" i="5" s="1"/>
  <c r="D41" i="5"/>
  <c r="G41" i="5" s="1"/>
  <c r="C41" i="5"/>
  <c r="F41" i="5" s="1"/>
  <c r="E40" i="5"/>
  <c r="H40" i="5" s="1"/>
  <c r="D40" i="5"/>
  <c r="G40" i="5" s="1"/>
  <c r="C40" i="5"/>
  <c r="E39" i="5"/>
  <c r="H39" i="5" s="1"/>
  <c r="D39" i="5"/>
  <c r="G39" i="5" s="1"/>
  <c r="C39" i="5"/>
  <c r="F39" i="5" s="1"/>
  <c r="E38" i="5"/>
  <c r="H38" i="5" s="1"/>
  <c r="D38" i="5"/>
  <c r="G38" i="5" s="1"/>
  <c r="C38" i="5"/>
  <c r="F38" i="5" s="1"/>
  <c r="E37" i="5"/>
  <c r="H37" i="5" s="1"/>
  <c r="D37" i="5"/>
  <c r="G37" i="5" s="1"/>
  <c r="C37" i="5"/>
  <c r="F37" i="5" s="1"/>
  <c r="E36" i="5"/>
  <c r="H36" i="5" s="1"/>
  <c r="D36" i="5"/>
  <c r="G36" i="5" s="1"/>
  <c r="C36" i="5"/>
  <c r="F36" i="5" s="1"/>
  <c r="E35" i="5"/>
  <c r="H35" i="5" s="1"/>
  <c r="D35" i="5"/>
  <c r="G35" i="5" s="1"/>
  <c r="C35" i="5"/>
  <c r="F35" i="5" s="1"/>
  <c r="E34" i="5"/>
  <c r="H34" i="5" s="1"/>
  <c r="D34" i="5"/>
  <c r="G34" i="5" s="1"/>
  <c r="C34" i="5"/>
  <c r="F34" i="5" s="1"/>
  <c r="E33" i="5"/>
  <c r="H33" i="5" s="1"/>
  <c r="D33" i="5"/>
  <c r="G33" i="5" s="1"/>
  <c r="C33" i="5"/>
  <c r="F33" i="5" s="1"/>
  <c r="E32" i="5"/>
  <c r="H32" i="5" s="1"/>
  <c r="D32" i="5"/>
  <c r="G32" i="5" s="1"/>
  <c r="C32" i="5"/>
  <c r="E31" i="5"/>
  <c r="H31" i="5" s="1"/>
  <c r="D31" i="5"/>
  <c r="G31" i="5" s="1"/>
  <c r="C31" i="5"/>
  <c r="F31" i="5" s="1"/>
  <c r="E30" i="5"/>
  <c r="H30" i="5" s="1"/>
  <c r="D30" i="5"/>
  <c r="G30" i="5" s="1"/>
  <c r="C30" i="5"/>
  <c r="F30" i="5" s="1"/>
  <c r="E29" i="5"/>
  <c r="H29" i="5" s="1"/>
  <c r="D29" i="5"/>
  <c r="G29" i="5" s="1"/>
  <c r="C29" i="5"/>
  <c r="F29" i="5" s="1"/>
  <c r="E28" i="5"/>
  <c r="H28" i="5" s="1"/>
  <c r="D28" i="5"/>
  <c r="G28" i="5" s="1"/>
  <c r="C28" i="5"/>
  <c r="F28" i="5" s="1"/>
  <c r="E27" i="5"/>
  <c r="H27" i="5" s="1"/>
  <c r="D27" i="5"/>
  <c r="G27" i="5" s="1"/>
  <c r="C27" i="5"/>
  <c r="F27" i="5" s="1"/>
  <c r="E26" i="5"/>
  <c r="H26" i="5" s="1"/>
  <c r="D26" i="5"/>
  <c r="G26" i="5" s="1"/>
  <c r="C26" i="5"/>
  <c r="F26" i="5" s="1"/>
  <c r="E25" i="5"/>
  <c r="H25" i="5" s="1"/>
  <c r="D25" i="5"/>
  <c r="G25" i="5" s="1"/>
  <c r="C25" i="5"/>
  <c r="F25" i="5" s="1"/>
  <c r="E24" i="5"/>
  <c r="H24" i="5" s="1"/>
  <c r="D24" i="5"/>
  <c r="G24" i="5" s="1"/>
  <c r="C24" i="5"/>
  <c r="F24" i="5" s="1"/>
  <c r="E23" i="5"/>
  <c r="H23" i="5" s="1"/>
  <c r="D23" i="5"/>
  <c r="G23" i="5" s="1"/>
  <c r="C23" i="5"/>
  <c r="F23" i="5" s="1"/>
  <c r="E22" i="5"/>
  <c r="H22" i="5" s="1"/>
  <c r="D22" i="5"/>
  <c r="G22" i="5" s="1"/>
  <c r="C22" i="5"/>
  <c r="F22" i="5" s="1"/>
  <c r="E21" i="5"/>
  <c r="H21" i="5" s="1"/>
  <c r="D21" i="5"/>
  <c r="G21" i="5" s="1"/>
  <c r="C21" i="5"/>
  <c r="F21" i="5" s="1"/>
  <c r="E20" i="5"/>
  <c r="H20" i="5" s="1"/>
  <c r="D20" i="5"/>
  <c r="G20" i="5" s="1"/>
  <c r="C20" i="5"/>
  <c r="F20" i="5" s="1"/>
  <c r="E19" i="5"/>
  <c r="H19" i="5" s="1"/>
  <c r="D19" i="5"/>
  <c r="G19" i="5" s="1"/>
  <c r="C19" i="5"/>
  <c r="F19" i="5" s="1"/>
  <c r="E18" i="5"/>
  <c r="H18" i="5" s="1"/>
  <c r="D18" i="5"/>
  <c r="G18" i="5" s="1"/>
  <c r="C18" i="5"/>
  <c r="F18" i="5" s="1"/>
  <c r="E17" i="5"/>
  <c r="H17" i="5" s="1"/>
  <c r="D17" i="5"/>
  <c r="G17" i="5" s="1"/>
  <c r="C17" i="5"/>
  <c r="F17" i="5" s="1"/>
  <c r="E16" i="5"/>
  <c r="H16" i="5" s="1"/>
  <c r="D16" i="5"/>
  <c r="G16" i="5" s="1"/>
  <c r="C16" i="5"/>
  <c r="F16" i="5" s="1"/>
  <c r="E15" i="5"/>
  <c r="H15" i="5" s="1"/>
  <c r="D15" i="5"/>
  <c r="G15" i="5" s="1"/>
  <c r="C15" i="5"/>
  <c r="F15" i="5" s="1"/>
  <c r="E14" i="5"/>
  <c r="H14" i="5" s="1"/>
  <c r="D14" i="5"/>
  <c r="G14" i="5" s="1"/>
  <c r="C14" i="5"/>
  <c r="F14" i="5" s="1"/>
  <c r="E13" i="5"/>
  <c r="H13" i="5" s="1"/>
  <c r="D13" i="5"/>
  <c r="G13" i="5" s="1"/>
  <c r="C13" i="5"/>
  <c r="F13" i="5" s="1"/>
  <c r="E12" i="5"/>
  <c r="H12" i="5" s="1"/>
  <c r="D12" i="5"/>
  <c r="G12" i="5" s="1"/>
  <c r="C12" i="5"/>
  <c r="F12" i="5" s="1"/>
  <c r="E11" i="5"/>
  <c r="H11" i="5" s="1"/>
  <c r="D11" i="5"/>
  <c r="G11" i="5" s="1"/>
  <c r="C11" i="5"/>
  <c r="F11" i="5" s="1"/>
  <c r="E10" i="5"/>
  <c r="H10" i="5" s="1"/>
  <c r="D10" i="5"/>
  <c r="G10" i="5" s="1"/>
  <c r="C10" i="5"/>
  <c r="F10" i="5" s="1"/>
  <c r="E9" i="5"/>
  <c r="H9" i="5" s="1"/>
  <c r="D9" i="5"/>
  <c r="G9" i="5" s="1"/>
  <c r="C9" i="5"/>
  <c r="F9" i="5" s="1"/>
  <c r="E8" i="5"/>
  <c r="H8" i="5" s="1"/>
  <c r="D8" i="5"/>
  <c r="G8" i="5" s="1"/>
  <c r="C8" i="5"/>
  <c r="F8" i="5" s="1"/>
  <c r="E7" i="5"/>
  <c r="H7" i="5" s="1"/>
  <c r="D7" i="5"/>
  <c r="G7" i="5" s="1"/>
  <c r="C7" i="5"/>
  <c r="F7" i="5" s="1"/>
  <c r="E6" i="5"/>
  <c r="H6" i="5" s="1"/>
  <c r="D6" i="5"/>
  <c r="G6" i="5" s="1"/>
  <c r="C6" i="5"/>
  <c r="F6" i="5" s="1"/>
  <c r="E5" i="5"/>
  <c r="H5" i="5" s="1"/>
  <c r="D5" i="5"/>
  <c r="G5" i="5" s="1"/>
  <c r="C5" i="5"/>
  <c r="F5" i="5" s="1"/>
  <c r="E4" i="5"/>
  <c r="H4" i="5" s="1"/>
  <c r="D4" i="5"/>
  <c r="G4" i="5" s="1"/>
  <c r="C4" i="5"/>
  <c r="F4" i="5" s="1"/>
  <c r="E3" i="5"/>
  <c r="H3" i="5" s="1"/>
  <c r="D3" i="5"/>
  <c r="C3" i="5"/>
  <c r="F3" i="5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3" i="3"/>
  <c r="E2" i="2"/>
  <c r="C3" i="2"/>
  <c r="C4" i="2"/>
  <c r="C5" i="2"/>
  <c r="C6" i="2"/>
  <c r="C7" i="2" s="1"/>
  <c r="C8" i="2" s="1"/>
  <c r="C9" i="2" s="1"/>
  <c r="C10" i="2" s="1"/>
  <c r="C11" i="2" s="1"/>
  <c r="C12" i="2"/>
  <c r="C13" i="2"/>
  <c r="C14" i="2"/>
  <c r="C15" i="2"/>
  <c r="C16" i="2"/>
  <c r="C17" i="2"/>
  <c r="C18" i="2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/>
  <c r="C30" i="2"/>
  <c r="C31" i="2" s="1"/>
  <c r="C32" i="2" s="1"/>
  <c r="C33" i="2" s="1"/>
  <c r="C34" i="2" s="1"/>
  <c r="C35" i="2" s="1"/>
  <c r="C36" i="2" s="1"/>
  <c r="C37" i="2"/>
  <c r="C38" i="2" s="1"/>
  <c r="C39" i="2" s="1"/>
  <c r="C40" i="2"/>
  <c r="C41" i="2"/>
  <c r="C42" i="2"/>
  <c r="C43" i="2" s="1"/>
  <c r="C44" i="2" s="1"/>
  <c r="C45" i="2"/>
  <c r="C46" i="2"/>
  <c r="C47" i="2" s="1"/>
  <c r="C48" i="2" s="1"/>
  <c r="C49" i="2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2" i="2"/>
  <c r="I90" i="7" l="1"/>
  <c r="I96" i="7"/>
  <c r="I83" i="7"/>
  <c r="I87" i="7"/>
  <c r="I53" i="7"/>
  <c r="G90" i="7"/>
  <c r="I57" i="7"/>
  <c r="I49" i="7"/>
  <c r="I6" i="7"/>
  <c r="G9" i="7"/>
  <c r="G83" i="7"/>
  <c r="I13" i="7"/>
  <c r="I17" i="7"/>
  <c r="I80" i="7"/>
  <c r="H6" i="7"/>
  <c r="H65" i="7"/>
  <c r="I22" i="7"/>
  <c r="I42" i="7"/>
  <c r="H39" i="7"/>
  <c r="I46" i="7"/>
  <c r="I35" i="7"/>
  <c r="I39" i="7"/>
  <c r="I66" i="7"/>
  <c r="I74" i="7"/>
  <c r="I3" i="7"/>
  <c r="H46" i="7"/>
  <c r="I55" i="7"/>
  <c r="I24" i="7"/>
  <c r="I32" i="7"/>
  <c r="H17" i="7"/>
  <c r="G3" i="7"/>
  <c r="H28" i="7"/>
  <c r="H35" i="7"/>
  <c r="H58" i="7"/>
  <c r="G62" i="7"/>
  <c r="I10" i="7"/>
  <c r="I25" i="7"/>
  <c r="I28" i="7"/>
  <c r="H32" i="7"/>
  <c r="H62" i="7"/>
  <c r="I73" i="7"/>
  <c r="I77" i="7"/>
  <c r="H25" i="7"/>
  <c r="G55" i="7"/>
  <c r="H77" i="7"/>
  <c r="G95" i="7"/>
  <c r="I4" i="7"/>
  <c r="I7" i="7"/>
  <c r="H11" i="7"/>
  <c r="H14" i="7"/>
  <c r="I18" i="7"/>
  <c r="H22" i="7"/>
  <c r="H51" i="7"/>
  <c r="H55" i="7"/>
  <c r="I88" i="7"/>
  <c r="G92" i="7"/>
  <c r="I94" i="7"/>
  <c r="G8" i="7"/>
  <c r="H18" i="7"/>
  <c r="H5" i="7"/>
  <c r="H37" i="7"/>
  <c r="I63" i="7"/>
  <c r="I41" i="7"/>
  <c r="H45" i="7"/>
  <c r="G60" i="7"/>
  <c r="H67" i="7"/>
  <c r="I78" i="7"/>
  <c r="I11" i="7"/>
  <c r="I59" i="7"/>
  <c r="I85" i="7"/>
  <c r="H34" i="7"/>
  <c r="I48" i="7"/>
  <c r="I52" i="7"/>
  <c r="I67" i="7"/>
  <c r="H86" i="7"/>
  <c r="H93" i="7"/>
  <c r="H47" i="7"/>
  <c r="G2" i="7"/>
  <c r="I27" i="7"/>
  <c r="H30" i="7"/>
  <c r="I34" i="7"/>
  <c r="I45" i="7"/>
  <c r="I60" i="7"/>
  <c r="G5" i="7"/>
  <c r="H20" i="7"/>
  <c r="H24" i="7"/>
  <c r="I38" i="7"/>
  <c r="H49" i="7"/>
  <c r="I64" i="7"/>
  <c r="H72" i="7"/>
  <c r="H76" i="7"/>
  <c r="G96" i="7"/>
  <c r="I14" i="7"/>
  <c r="I21" i="7"/>
  <c r="I31" i="7"/>
  <c r="I56" i="7"/>
  <c r="I70" i="7"/>
  <c r="I81" i="7"/>
  <c r="I84" i="7"/>
  <c r="I91" i="7"/>
  <c r="I92" i="7"/>
  <c r="I75" i="7"/>
  <c r="I82" i="7"/>
  <c r="I19" i="7"/>
  <c r="I29" i="7"/>
  <c r="I36" i="7"/>
  <c r="I50" i="7"/>
  <c r="I61" i="7"/>
  <c r="I5" i="7"/>
  <c r="I68" i="7"/>
  <c r="I2" i="7"/>
  <c r="I12" i="7"/>
  <c r="I26" i="7"/>
  <c r="I40" i="7"/>
  <c r="I54" i="7"/>
  <c r="I65" i="7"/>
  <c r="I79" i="7"/>
  <c r="I86" i="7"/>
  <c r="I8" i="7"/>
  <c r="I43" i="7"/>
  <c r="I89" i="7"/>
  <c r="I9" i="7"/>
  <c r="I16" i="7"/>
  <c r="I23" i="7"/>
  <c r="I33" i="7"/>
  <c r="I44" i="7"/>
  <c r="I58" i="7"/>
  <c r="I72" i="7"/>
  <c r="I76" i="7"/>
  <c r="I93" i="7"/>
  <c r="I97" i="7"/>
  <c r="I15" i="7"/>
  <c r="I71" i="7"/>
  <c r="I20" i="7"/>
  <c r="I30" i="7"/>
  <c r="I37" i="7"/>
  <c r="I47" i="7"/>
  <c r="I51" i="7"/>
  <c r="I62" i="7"/>
  <c r="I95" i="7"/>
  <c r="H2" i="7"/>
  <c r="H15" i="7"/>
  <c r="H43" i="7"/>
  <c r="H53" i="7"/>
  <c r="H60" i="7"/>
  <c r="H64" i="7"/>
  <c r="H74" i="7"/>
  <c r="H84" i="7"/>
  <c r="H88" i="7"/>
  <c r="H91" i="7"/>
  <c r="H8" i="7"/>
  <c r="H19" i="7"/>
  <c r="H26" i="7"/>
  <c r="H29" i="7"/>
  <c r="H36" i="7"/>
  <c r="H40" i="7"/>
  <c r="H50" i="7"/>
  <c r="H78" i="7"/>
  <c r="H81" i="7"/>
  <c r="H95" i="7"/>
  <c r="H12" i="7"/>
  <c r="H23" i="7"/>
  <c r="H33" i="7"/>
  <c r="H54" i="7"/>
  <c r="H57" i="7"/>
  <c r="H68" i="7"/>
  <c r="H3" i="7"/>
  <c r="H9" i="7"/>
  <c r="H16" i="7"/>
  <c r="H44" i="7"/>
  <c r="H61" i="7"/>
  <c r="H71" i="7"/>
  <c r="H75" i="7"/>
  <c r="H82" i="7"/>
  <c r="H85" i="7"/>
  <c r="H92" i="7"/>
  <c r="H89" i="7"/>
  <c r="H94" i="7"/>
  <c r="H13" i="7"/>
  <c r="H27" i="7"/>
  <c r="H41" i="7"/>
  <c r="H69" i="7"/>
  <c r="H79" i="7"/>
  <c r="H7" i="7"/>
  <c r="H10" i="7"/>
  <c r="H21" i="7"/>
  <c r="H38" i="7"/>
  <c r="H48" i="7"/>
  <c r="H52" i="7"/>
  <c r="H66" i="7"/>
  <c r="H83" i="7"/>
  <c r="H90" i="7"/>
  <c r="H31" i="7"/>
  <c r="H42" i="7"/>
  <c r="H59" i="7"/>
  <c r="H80" i="7"/>
  <c r="H56" i="7"/>
  <c r="H63" i="7"/>
  <c r="H70" i="7"/>
  <c r="H73" i="7"/>
  <c r="H87" i="7"/>
  <c r="H97" i="7"/>
  <c r="G27" i="7"/>
  <c r="G34" i="7"/>
  <c r="G68" i="7"/>
  <c r="G74" i="7"/>
  <c r="G84" i="7"/>
  <c r="G18" i="7"/>
  <c r="G25" i="7"/>
  <c r="G28" i="7"/>
  <c r="G31" i="7"/>
  <c r="G38" i="7"/>
  <c r="G79" i="7"/>
  <c r="G26" i="7"/>
  <c r="G42" i="7"/>
  <c r="G46" i="7"/>
  <c r="G48" i="7"/>
  <c r="G52" i="7"/>
  <c r="G32" i="7"/>
  <c r="G36" i="7"/>
  <c r="G40" i="7"/>
  <c r="G43" i="7"/>
  <c r="G66" i="7"/>
  <c r="G70" i="7"/>
  <c r="G72" i="7"/>
  <c r="G20" i="7"/>
  <c r="G87" i="7"/>
  <c r="G51" i="7"/>
  <c r="G22" i="7"/>
  <c r="G76" i="7"/>
  <c r="G86" i="7"/>
  <c r="G6" i="7"/>
  <c r="G12" i="7"/>
  <c r="G35" i="7"/>
  <c r="G54" i="7"/>
  <c r="G58" i="7"/>
  <c r="G77" i="7"/>
  <c r="G80" i="7"/>
  <c r="G93" i="7"/>
  <c r="G94" i="7"/>
  <c r="G45" i="7"/>
  <c r="G85" i="7"/>
  <c r="G89" i="7"/>
  <c r="G67" i="7"/>
  <c r="G15" i="7"/>
  <c r="G19" i="7"/>
  <c r="G39" i="7"/>
  <c r="G64" i="7"/>
  <c r="G71" i="7"/>
  <c r="G73" i="7"/>
  <c r="G13" i="7"/>
  <c r="G29" i="7"/>
  <c r="G61" i="7"/>
  <c r="G65" i="7"/>
  <c r="G81" i="7"/>
  <c r="G4" i="7"/>
  <c r="G7" i="7"/>
  <c r="G10" i="7"/>
  <c r="G16" i="7"/>
  <c r="G23" i="7"/>
  <c r="G33" i="7"/>
  <c r="G53" i="7"/>
  <c r="G56" i="7"/>
  <c r="G69" i="7"/>
  <c r="G75" i="7"/>
  <c r="G97" i="7"/>
  <c r="G14" i="7"/>
  <c r="G17" i="7"/>
  <c r="G30" i="7"/>
  <c r="G47" i="7"/>
  <c r="G49" i="7"/>
  <c r="G91" i="7"/>
  <c r="G21" i="7"/>
  <c r="G24" i="7"/>
  <c r="G37" i="7"/>
  <c r="G44" i="7"/>
  <c r="G50" i="7"/>
  <c r="G59" i="7"/>
  <c r="G63" i="7"/>
  <c r="G78" i="7"/>
  <c r="G82" i="7"/>
  <c r="G11" i="7"/>
  <c r="G41" i="7"/>
  <c r="G57" i="7"/>
  <c r="F99" i="7"/>
  <c r="I99" i="7" s="1"/>
  <c r="C100" i="7"/>
  <c r="E99" i="7"/>
  <c r="H99" i="7" s="1"/>
  <c r="D99" i="7"/>
  <c r="G99" i="7" s="1"/>
  <c r="F98" i="7"/>
  <c r="I98" i="7" s="1"/>
  <c r="E98" i="7"/>
  <c r="H98" i="7" s="1"/>
  <c r="D98" i="7"/>
  <c r="G98" i="7" s="1"/>
  <c r="E96" i="7"/>
  <c r="H96" i="7" s="1"/>
  <c r="J98" i="7" l="1"/>
  <c r="J97" i="7"/>
  <c r="J94" i="7"/>
  <c r="J96" i="7"/>
  <c r="J99" i="7"/>
  <c r="J95" i="7"/>
  <c r="F100" i="7"/>
  <c r="I100" i="7" s="1"/>
  <c r="D100" i="7"/>
  <c r="G100" i="7" s="1"/>
  <c r="C101" i="7"/>
  <c r="E100" i="7"/>
  <c r="H100" i="7" s="1"/>
  <c r="J100" i="7" l="1"/>
  <c r="C102" i="7"/>
  <c r="D101" i="7"/>
  <c r="G101" i="7" s="1"/>
  <c r="E101" i="7"/>
  <c r="H101" i="7" s="1"/>
  <c r="F101" i="7"/>
  <c r="I101" i="7" s="1"/>
  <c r="J101" i="7" l="1"/>
  <c r="C103" i="7"/>
  <c r="D102" i="7"/>
  <c r="G102" i="7" s="1"/>
  <c r="E102" i="7"/>
  <c r="H102" i="7" s="1"/>
  <c r="F102" i="7"/>
  <c r="I102" i="7" s="1"/>
  <c r="J102" i="7" l="1"/>
  <c r="F103" i="7"/>
  <c r="I103" i="7" s="1"/>
  <c r="C104" i="7"/>
  <c r="D103" i="7"/>
  <c r="G103" i="7" s="1"/>
  <c r="E103" i="7"/>
  <c r="H103" i="7" s="1"/>
  <c r="J103" i="7" l="1"/>
  <c r="F104" i="7"/>
  <c r="I104" i="7" s="1"/>
  <c r="D104" i="7"/>
  <c r="G104" i="7" s="1"/>
  <c r="E104" i="7"/>
  <c r="H104" i="7" s="1"/>
  <c r="C105" i="7"/>
  <c r="J104" i="7" l="1"/>
  <c r="D105" i="7"/>
  <c r="G105" i="7" s="1"/>
  <c r="E105" i="7"/>
  <c r="H105" i="7" s="1"/>
  <c r="F105" i="7"/>
  <c r="I105" i="7" s="1"/>
  <c r="C106" i="7"/>
  <c r="J105" i="7" l="1"/>
  <c r="E106" i="7"/>
  <c r="H106" i="7" s="1"/>
  <c r="F106" i="7"/>
  <c r="I106" i="7" s="1"/>
  <c r="C107" i="7"/>
  <c r="D106" i="7"/>
  <c r="G106" i="7" s="1"/>
  <c r="J106" i="7" l="1"/>
  <c r="F107" i="7"/>
  <c r="I107" i="7" s="1"/>
  <c r="D107" i="7"/>
  <c r="G107" i="7" s="1"/>
  <c r="C108" i="7"/>
  <c r="E107" i="7"/>
  <c r="H107" i="7" s="1"/>
  <c r="J107" i="7" l="1"/>
  <c r="D108" i="7"/>
  <c r="G108" i="7" s="1"/>
  <c r="E108" i="7"/>
  <c r="H108" i="7" s="1"/>
  <c r="F108" i="7"/>
  <c r="I108" i="7" s="1"/>
  <c r="C109" i="7"/>
  <c r="J108" i="7" l="1"/>
  <c r="D109" i="7"/>
  <c r="G109" i="7" s="1"/>
  <c r="E109" i="7"/>
  <c r="H109" i="7" s="1"/>
  <c r="F109" i="7"/>
  <c r="I109" i="7" s="1"/>
  <c r="C110" i="7"/>
  <c r="J109" i="7" l="1"/>
  <c r="C111" i="7"/>
  <c r="D110" i="7"/>
  <c r="G110" i="7" s="1"/>
  <c r="E110" i="7"/>
  <c r="H110" i="7" s="1"/>
  <c r="F110" i="7"/>
  <c r="I110" i="7" s="1"/>
  <c r="J110" i="7" l="1"/>
  <c r="C112" i="7"/>
  <c r="D111" i="7"/>
  <c r="G111" i="7" s="1"/>
  <c r="E111" i="7"/>
  <c r="H111" i="7" s="1"/>
  <c r="F111" i="7"/>
  <c r="I111" i="7" s="1"/>
  <c r="J111" i="7" l="1"/>
  <c r="D112" i="7"/>
  <c r="G112" i="7" s="1"/>
  <c r="E112" i="7"/>
  <c r="H112" i="7" s="1"/>
  <c r="C113" i="7"/>
  <c r="F112" i="7"/>
  <c r="I112" i="7" s="1"/>
  <c r="J112" i="7" l="1"/>
  <c r="D113" i="7"/>
  <c r="G113" i="7" s="1"/>
  <c r="E113" i="7"/>
  <c r="H113" i="7" s="1"/>
  <c r="C114" i="7"/>
  <c r="F113" i="7"/>
  <c r="I113" i="7" s="1"/>
  <c r="J113" i="7" l="1"/>
  <c r="C115" i="7"/>
  <c r="D114" i="7"/>
  <c r="G114" i="7" s="1"/>
  <c r="F114" i="7"/>
  <c r="I114" i="7" s="1"/>
  <c r="E114" i="7"/>
  <c r="H114" i="7" s="1"/>
  <c r="J114" i="7" l="1"/>
  <c r="C116" i="7"/>
  <c r="F115" i="7"/>
  <c r="I115" i="7" s="1"/>
  <c r="D115" i="7"/>
  <c r="G115" i="7" s="1"/>
  <c r="E115" i="7"/>
  <c r="H115" i="7" s="1"/>
  <c r="J115" i="7" l="1"/>
  <c r="E116" i="7"/>
  <c r="H116" i="7" s="1"/>
  <c r="F116" i="7"/>
  <c r="I116" i="7" s="1"/>
  <c r="D116" i="7"/>
  <c r="G116" i="7" s="1"/>
  <c r="C117" i="7"/>
  <c r="J116" i="7" l="1"/>
  <c r="D117" i="7"/>
  <c r="G117" i="7" s="1"/>
  <c r="E117" i="7"/>
  <c r="H117" i="7" s="1"/>
  <c r="F117" i="7"/>
  <c r="I117" i="7" s="1"/>
  <c r="C118" i="7"/>
  <c r="J117" i="7" l="1"/>
  <c r="D118" i="7"/>
  <c r="G118" i="7" s="1"/>
  <c r="E118" i="7"/>
  <c r="H118" i="7" s="1"/>
  <c r="F118" i="7"/>
  <c r="I118" i="7" s="1"/>
  <c r="C119" i="7"/>
  <c r="J118" i="7" l="1"/>
  <c r="F119" i="7"/>
  <c r="I119" i="7" s="1"/>
  <c r="D119" i="7"/>
  <c r="G119" i="7" s="1"/>
  <c r="C120" i="7"/>
  <c r="E119" i="7"/>
  <c r="H119" i="7" s="1"/>
  <c r="J119" i="7" l="1"/>
  <c r="E120" i="7"/>
  <c r="H120" i="7" s="1"/>
  <c r="F120" i="7"/>
  <c r="I120" i="7" s="1"/>
  <c r="C121" i="7"/>
  <c r="D120" i="7"/>
  <c r="G120" i="7" s="1"/>
  <c r="J120" i="7" l="1"/>
  <c r="D121" i="7"/>
  <c r="G121" i="7" s="1"/>
  <c r="E121" i="7"/>
  <c r="H121" i="7" s="1"/>
  <c r="F121" i="7"/>
  <c r="I121" i="7" s="1"/>
  <c r="C122" i="7"/>
  <c r="J121" i="7" l="1"/>
  <c r="C123" i="7"/>
  <c r="D122" i="7"/>
  <c r="G122" i="7" s="1"/>
  <c r="E122" i="7"/>
  <c r="H122" i="7" s="1"/>
  <c r="F122" i="7"/>
  <c r="I122" i="7" s="1"/>
  <c r="J122" i="7" l="1"/>
  <c r="D123" i="7"/>
  <c r="G123" i="7" s="1"/>
  <c r="E123" i="7"/>
  <c r="H123" i="7" s="1"/>
  <c r="F123" i="7"/>
  <c r="I123" i="7" s="1"/>
  <c r="J123" i="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9A2271-492B-4F10-AB93-0B05ECDD58E6}" name="temperatury" type="6" refreshedVersion="8" background="1" saveData="1">
    <textPr codePage="852" sourceFile="C:\Users\domad\Desktop\DANE\temperatury.txt" decimal="," thousands=" " tab="0" semicolon="1">
      <textFields count="2">
        <textField type="YMD"/>
        <textField/>
      </textFields>
    </textPr>
  </connection>
  <connection id="2" xr16:uid="{308970B9-2F1E-4544-A120-5B665E4224E1}" name="temperatury1" type="6" refreshedVersion="8" background="1" saveData="1">
    <textPr codePage="852" sourceFile="C:\Users\domad\Desktop\DANE\temperatury.txt" decimal="," thousands=" " tab="0" semicolon="1">
      <textFields count="2">
        <textField type="YMD"/>
        <textField/>
      </textFields>
    </textPr>
  </connection>
  <connection id="3" xr16:uid="{1DA8358C-117B-4E19-9815-C6A9A78214FA}" name="temperatury2" type="6" refreshedVersion="8" background="1" saveData="1">
    <textPr codePage="852" sourceFile="C:\Users\domad\Desktop\DANE\temperatury.txt" decimal="," thousands=" " tab="0" semicolon="1">
      <textFields count="2">
        <textField type="YMD"/>
        <textField/>
      </textFields>
    </textPr>
  </connection>
  <connection id="4" xr16:uid="{75133FB3-2896-4314-883B-A31E499E11BD}" name="temperatury21" type="6" refreshedVersion="8" background="1" saveData="1">
    <textPr codePage="852" sourceFile="C:\Users\domad\Desktop\DANE\temperatury.txt" decimal="," thousands=" " tab="0" semicolon="1">
      <textFields count="2">
        <textField type="YMD"/>
        <textField/>
      </textFields>
    </textPr>
  </connection>
  <connection id="5" xr16:uid="{7D4ED16C-C926-4D63-B589-B215CDD9A5F6}" name="temperatury211" type="6" refreshedVersion="8" background="1" saveData="1">
    <textPr codePage="852" sourceFile="C:\Users\domad\Desktop\DANE\temperatury.txt" decimal="," thousands=" " tab="0" semicolon="1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<sst xmlns="http://schemas.openxmlformats.org/spreadsheetml/2006/main" count="49" uniqueCount="20">
  <si>
    <t>Data</t>
  </si>
  <si>
    <t>Temperatura</t>
  </si>
  <si>
    <t>Hotdog</t>
  </si>
  <si>
    <t>Kukurydza</t>
  </si>
  <si>
    <t>Lody</t>
  </si>
  <si>
    <t>lody</t>
  </si>
  <si>
    <t>kukurydza</t>
  </si>
  <si>
    <t>hotdog</t>
  </si>
  <si>
    <t>sprzedaz</t>
  </si>
  <si>
    <t>Etykiety wierszy</t>
  </si>
  <si>
    <t>Suma końcowa</t>
  </si>
  <si>
    <t>cze</t>
  </si>
  <si>
    <t>lip</t>
  </si>
  <si>
    <t>sie</t>
  </si>
  <si>
    <t>Suma z Hotdog</t>
  </si>
  <si>
    <t>Suma z Kukurydza</t>
  </si>
  <si>
    <t>Suma z Lody</t>
  </si>
  <si>
    <t>Miesiąc</t>
  </si>
  <si>
    <t>utarg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</si>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</sst>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" fillId="2" borderId="0" xfId="1"/>
    <xf numFmtId="0" fontId="2" fillId="3" borderId="0" xfId="2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2" fillId="3" borderId="0" xfId="2" applyNumberFormat="1"/>
  </cellXfs>
  <cellStyles count="3">
    <cellStyle name="Dobry" xfId="1" builtinId="26"/>
    <cellStyle name="Normalny" xfId="0" builtinId="0"/>
    <cellStyle name="Zły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Sprzedaż</a:t>
            </a:r>
            <a:r>
              <a:rPr lang="pl-PL" baseline="0"/>
              <a:t> produktów w poszczególnych miesiącach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'2'!$M$31</c:f>
              <c:strCache>
                <c:ptCount val="1"/>
                <c:pt idx="0">
                  <c:v>Suma z Hotdog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'2'!$N$30:$P$30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'2'!$N$31:$P$31</c:f>
              <c:numCache>
                <c:formatCode>General</c:formatCode>
                <c:ptCount val="3"/>
                <c:pt idx="0">
                  <c:v>2639</c:v>
                </c:pt>
                <c:pt idx="1">
                  <c:v>2747</c:v>
                </c:pt>
                <c:pt idx="2">
                  <c:v>2665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05-4DB2-A55F-CB42361A829D}"/>
            </c:ext>
          </c:extLst>
        </c:ser>
        <c:ser>
          <c:idx val="1"/>
          <c:order val="1"/>
          <c:tx>
            <c:strRef>
              <c:f>'2'!$M$32</c:f>
              <c:strCache>
                <c:ptCount val="1"/>
                <c:pt idx="0">
                  <c:v>Suma z Kukurydza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'2'!$N$30:$P$30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'2'!$N$32:$P$32</c:f>
              <c:numCache>
                <c:formatCode>General</c:formatCode>
                <c:ptCount val="3"/>
                <c:pt idx="0">
                  <c:v>2355</c:v>
                </c:pt>
                <c:pt idx="1">
                  <c:v>2448</c:v>
                </c:pt>
                <c:pt idx="2">
                  <c:v>2390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5-4DB2-A55F-CB42361A829D}"/>
            </c:ext>
          </c:extLst>
        </c:ser>
        <c:ser>
          <c:idx val="2"/>
          <c:order val="2"/>
          <c:tx>
            <c:strRef>
              <c:f>'2'!$M$33</c:f>
              <c:strCache>
                <c:ptCount val="1"/>
                <c:pt idx="0">
                  <c:v>Suma z Lody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'2'!$N$30:$P$30</c:f>
              <c:strCache>
                <c:ptCount val="3"/>
                <c:pt idx="0">
                  <c:v>cze</c:v>
                </c:pt>
                <c:pt idx="1">
                  <c:v>lip</c:v>
                </c:pt>
                <c:pt idx="2">
                  <c:v>sie</c:v>
                </c:pt>
              </c:strCache>
            </c:strRef>
          </c:cat>
          <c:val>
            <c:numRef>
              <c:f>'2'!$N$33:$P$33</c:f>
              <c:numCache>
                <c:formatCode>General</c:formatCode>
                <c:ptCount val="3"/>
                <c:pt idx="0">
                  <c:v>3527</c:v>
                </c:pt>
                <c:pt idx="1">
                  <c:v>3675</c:v>
                </c:pt>
                <c:pt idx="2">
                  <c:v>3579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05-4DB2-A55F-CB42361A82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88147535"/>
        <c:axId val="1288152335"/>
      </c:barChart>
      <c:catAx>
        <c:axId val="128814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8152335"/>
        <c:crosses val="autoZero"/>
        <c:auto val="1"/>
        <c:lblAlgn val="ctr"/>
        <c:lblOffset val="100"/>
        <c:noMultiLvlLbl val="0"/>
      </c:catAx>
      <c:valAx>
        <c:axId val="12881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sprzedanych produktów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8814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L$102" inc="0" max="30000" page="1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304799</xdr:colOff>
      <xdr:row>35</xdr:row>
      <xdr:rowOff>166687</xdr:rowOff>
    </xdr:from>
    <xdr:to>
      <xdr:col>17</xdr:col>
      <xdr:colOff>476249</xdr:colOff>
      <xdr:row>57</xdr:row>
      <xdr:rowOff>123825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4ED7CC4-9B93-736D-5AED-879D33139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533400</xdr:colOff>
          <xdr:row>11</xdr:row>
          <xdr:rowOff>38100</xdr:rowOff>
        </xdr:from>
        <xdr:to>
          <xdr:col>14</xdr:col>
          <xdr:colOff>247650</xdr:colOff>
          <xdr:row>15</xdr:row>
          <xdr:rowOff>171450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64.464608912036" createdVersion="8" refreshedVersion="8" minRefreshableVersion="3" recordCount="92" xr:uid="{6235A768-1A58-46F6-825D-820165412B28}">
  <cacheSource type="worksheet">
    <worksheetSource ref="A1:E93" sheet="2"/>
  </cacheSource>
  <cacheFields count="7">
    <cacheField name="Data" numFmtId="14">
      <sharedItems containsSemiMixedTypes="0" containsNonDate="0" containsDate="1" containsString="0" minDate="2022-06-01T00:00:00" maxDate="2022-09-01T00:00:00" count="92"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</sharedItems>
      <fieldGroup par="6"/>
    </cacheField>
    <cacheField name="Temperatura" numFmtId="0">
      <sharedItems containsSemiMixedTypes="0" containsString="0" containsNumber="1" containsInteger="1" minValue="15" maxValue="33"/>
    </cacheField>
    <cacheField name="Hotdog" numFmtId="0">
      <sharedItems containsSemiMixedTypes="0" containsString="0" containsNumber="1" containsInteger="1" minValue="58" maxValue="121"/>
    </cacheField>
    <cacheField name="Kukurydza" numFmtId="0">
      <sharedItems containsSemiMixedTypes="0" containsString="0" containsNumber="1" containsInteger="1" minValue="58" maxValue="101"/>
    </cacheField>
    <cacheField name="Lody" numFmtId="0">
      <sharedItems containsSemiMixedTypes="0" containsString="0" containsNumber="1" containsInteger="1" minValue="82" maxValue="157"/>
    </cacheField>
    <cacheField name="Dni (Data)" numFmtId="0" databaseField="0">
      <fieldGroup base="0">
        <rangePr groupBy="days" startDate="2022-06-01T00:00:00" endDate="2022-09-01T00:00:00"/>
        <groupItems count="368">
          <s v="&lt;01.06.2022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9.2022"/>
        </groupItems>
      </fieldGroup>
    </cacheField>
    <cacheField name="Miesiące (Data)" numFmtId="0" databaseField="0">
      <fieldGroup base="0">
        <rangePr groupBy="months" startDate="2022-06-01T00:00:00" endDate="2022-09-01T00:00:00"/>
        <groupItems count="14">
          <s v="&lt;01.06.2022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9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">
  <r>
    <x v="0"/>
    <n v="24"/>
    <n v="90"/>
    <n v="80"/>
    <n v="120"/>
  </r>
  <r>
    <x v="1"/>
    <n v="25"/>
    <n v="93"/>
    <n v="82"/>
    <n v="124"/>
  </r>
  <r>
    <x v="2"/>
    <n v="27"/>
    <n v="100"/>
    <n v="87"/>
    <n v="132"/>
  </r>
  <r>
    <x v="3"/>
    <n v="27"/>
    <n v="100"/>
    <n v="87"/>
    <n v="132"/>
  </r>
  <r>
    <x v="4"/>
    <n v="27"/>
    <n v="100"/>
    <n v="87"/>
    <n v="132"/>
  </r>
  <r>
    <x v="5"/>
    <n v="22"/>
    <n v="83"/>
    <n v="75"/>
    <n v="111"/>
  </r>
  <r>
    <x v="6"/>
    <n v="25"/>
    <n v="93"/>
    <n v="82"/>
    <n v="124"/>
  </r>
  <r>
    <x v="7"/>
    <n v="25"/>
    <n v="93"/>
    <n v="82"/>
    <n v="124"/>
  </r>
  <r>
    <x v="8"/>
    <n v="21"/>
    <n v="79"/>
    <n v="72"/>
    <n v="107"/>
  </r>
  <r>
    <x v="9"/>
    <n v="21"/>
    <n v="79"/>
    <n v="72"/>
    <n v="107"/>
  </r>
  <r>
    <x v="10"/>
    <n v="19"/>
    <n v="72"/>
    <n v="68"/>
    <n v="99"/>
  </r>
  <r>
    <x v="11"/>
    <n v="19"/>
    <n v="72"/>
    <n v="68"/>
    <n v="99"/>
  </r>
  <r>
    <x v="12"/>
    <n v="15"/>
    <n v="58"/>
    <n v="58"/>
    <n v="82"/>
  </r>
  <r>
    <x v="13"/>
    <n v="21"/>
    <n v="79"/>
    <n v="72"/>
    <n v="107"/>
  </r>
  <r>
    <x v="14"/>
    <n v="23"/>
    <n v="86"/>
    <n v="77"/>
    <n v="115"/>
  </r>
  <r>
    <x v="15"/>
    <n v="23"/>
    <n v="86"/>
    <n v="77"/>
    <n v="115"/>
  </r>
  <r>
    <x v="16"/>
    <n v="16"/>
    <n v="62"/>
    <n v="61"/>
    <n v="86"/>
  </r>
  <r>
    <x v="17"/>
    <n v="21"/>
    <n v="79"/>
    <n v="72"/>
    <n v="107"/>
  </r>
  <r>
    <x v="18"/>
    <n v="22"/>
    <n v="83"/>
    <n v="75"/>
    <n v="111"/>
  </r>
  <r>
    <x v="19"/>
    <n v="22"/>
    <n v="83"/>
    <n v="75"/>
    <n v="111"/>
  </r>
  <r>
    <x v="20"/>
    <n v="22"/>
    <n v="83"/>
    <n v="75"/>
    <n v="111"/>
  </r>
  <r>
    <x v="21"/>
    <n v="28"/>
    <n v="103"/>
    <n v="89"/>
    <n v="136"/>
  </r>
  <r>
    <x v="22"/>
    <n v="31"/>
    <n v="114"/>
    <n v="96"/>
    <n v="148"/>
  </r>
  <r>
    <x v="23"/>
    <n v="33"/>
    <n v="121"/>
    <n v="101"/>
    <n v="157"/>
  </r>
  <r>
    <x v="24"/>
    <n v="33"/>
    <n v="121"/>
    <n v="101"/>
    <n v="157"/>
  </r>
  <r>
    <x v="25"/>
    <n v="23"/>
    <n v="86"/>
    <n v="77"/>
    <n v="115"/>
  </r>
  <r>
    <x v="26"/>
    <n v="23"/>
    <n v="86"/>
    <n v="77"/>
    <n v="115"/>
  </r>
  <r>
    <x v="27"/>
    <n v="19"/>
    <n v="72"/>
    <n v="68"/>
    <n v="99"/>
  </r>
  <r>
    <x v="28"/>
    <n v="24"/>
    <n v="90"/>
    <n v="80"/>
    <n v="120"/>
  </r>
  <r>
    <x v="29"/>
    <n v="25"/>
    <n v="93"/>
    <n v="82"/>
    <n v="124"/>
  </r>
  <r>
    <x v="30"/>
    <n v="27"/>
    <n v="100"/>
    <n v="87"/>
    <n v="132"/>
  </r>
  <r>
    <x v="31"/>
    <n v="27"/>
    <n v="100"/>
    <n v="87"/>
    <n v="132"/>
  </r>
  <r>
    <x v="32"/>
    <n v="21"/>
    <n v="79"/>
    <n v="72"/>
    <n v="107"/>
  </r>
  <r>
    <x v="33"/>
    <n v="21"/>
    <n v="79"/>
    <n v="72"/>
    <n v="107"/>
  </r>
  <r>
    <x v="34"/>
    <n v="25"/>
    <n v="93"/>
    <n v="82"/>
    <n v="124"/>
  </r>
  <r>
    <x v="35"/>
    <n v="19"/>
    <n v="72"/>
    <n v="68"/>
    <n v="99"/>
  </r>
  <r>
    <x v="36"/>
    <n v="21"/>
    <n v="79"/>
    <n v="72"/>
    <n v="107"/>
  </r>
  <r>
    <x v="37"/>
    <n v="24"/>
    <n v="90"/>
    <n v="80"/>
    <n v="120"/>
  </r>
  <r>
    <x v="38"/>
    <n v="19"/>
    <n v="72"/>
    <n v="68"/>
    <n v="99"/>
  </r>
  <r>
    <x v="39"/>
    <n v="28"/>
    <n v="103"/>
    <n v="89"/>
    <n v="136"/>
  </r>
  <r>
    <x v="40"/>
    <n v="27"/>
    <n v="100"/>
    <n v="87"/>
    <n v="132"/>
  </r>
  <r>
    <x v="41"/>
    <n v="24"/>
    <n v="90"/>
    <n v="80"/>
    <n v="120"/>
  </r>
  <r>
    <x v="42"/>
    <n v="22"/>
    <n v="83"/>
    <n v="75"/>
    <n v="111"/>
  </r>
  <r>
    <x v="43"/>
    <n v="17"/>
    <n v="65"/>
    <n v="63"/>
    <n v="91"/>
  </r>
  <r>
    <x v="44"/>
    <n v="18"/>
    <n v="69"/>
    <n v="65"/>
    <n v="95"/>
  </r>
  <r>
    <x v="45"/>
    <n v="23"/>
    <n v="86"/>
    <n v="77"/>
    <n v="115"/>
  </r>
  <r>
    <x v="46"/>
    <n v="23"/>
    <n v="86"/>
    <n v="77"/>
    <n v="115"/>
  </r>
  <r>
    <x v="47"/>
    <n v="19"/>
    <n v="72"/>
    <n v="68"/>
    <n v="99"/>
  </r>
  <r>
    <x v="48"/>
    <n v="21"/>
    <n v="79"/>
    <n v="72"/>
    <n v="107"/>
  </r>
  <r>
    <x v="49"/>
    <n v="25"/>
    <n v="93"/>
    <n v="82"/>
    <n v="124"/>
  </r>
  <r>
    <x v="50"/>
    <n v="28"/>
    <n v="103"/>
    <n v="89"/>
    <n v="136"/>
  </r>
  <r>
    <x v="51"/>
    <n v="27"/>
    <n v="100"/>
    <n v="87"/>
    <n v="132"/>
  </r>
  <r>
    <x v="52"/>
    <n v="23"/>
    <n v="86"/>
    <n v="77"/>
    <n v="115"/>
  </r>
  <r>
    <x v="53"/>
    <n v="26"/>
    <n v="96"/>
    <n v="84"/>
    <n v="128"/>
  </r>
  <r>
    <x v="54"/>
    <n v="29"/>
    <n v="107"/>
    <n v="91"/>
    <n v="140"/>
  </r>
  <r>
    <x v="55"/>
    <n v="26"/>
    <n v="96"/>
    <n v="84"/>
    <n v="128"/>
  </r>
  <r>
    <x v="56"/>
    <n v="27"/>
    <n v="100"/>
    <n v="87"/>
    <n v="132"/>
  </r>
  <r>
    <x v="57"/>
    <n v="24"/>
    <n v="90"/>
    <n v="80"/>
    <n v="120"/>
  </r>
  <r>
    <x v="58"/>
    <n v="26"/>
    <n v="96"/>
    <n v="84"/>
    <n v="128"/>
  </r>
  <r>
    <x v="59"/>
    <n v="25"/>
    <n v="93"/>
    <n v="82"/>
    <n v="124"/>
  </r>
  <r>
    <x v="60"/>
    <n v="24"/>
    <n v="90"/>
    <n v="80"/>
    <n v="120"/>
  </r>
  <r>
    <x v="61"/>
    <n v="22"/>
    <n v="83"/>
    <n v="75"/>
    <n v="111"/>
  </r>
  <r>
    <x v="62"/>
    <n v="19"/>
    <n v="72"/>
    <n v="68"/>
    <n v="99"/>
  </r>
  <r>
    <x v="63"/>
    <n v="21"/>
    <n v="79"/>
    <n v="72"/>
    <n v="107"/>
  </r>
  <r>
    <x v="64"/>
    <n v="26"/>
    <n v="96"/>
    <n v="84"/>
    <n v="128"/>
  </r>
  <r>
    <x v="65"/>
    <n v="19"/>
    <n v="72"/>
    <n v="68"/>
    <n v="99"/>
  </r>
  <r>
    <x v="66"/>
    <n v="21"/>
    <n v="79"/>
    <n v="72"/>
    <n v="107"/>
  </r>
  <r>
    <x v="67"/>
    <n v="23"/>
    <n v="86"/>
    <n v="77"/>
    <n v="115"/>
  </r>
  <r>
    <x v="68"/>
    <n v="27"/>
    <n v="100"/>
    <n v="87"/>
    <n v="132"/>
  </r>
  <r>
    <x v="69"/>
    <n v="20"/>
    <n v="76"/>
    <n v="70"/>
    <n v="103"/>
  </r>
  <r>
    <x v="70"/>
    <n v="18"/>
    <n v="69"/>
    <n v="65"/>
    <n v="95"/>
  </r>
  <r>
    <x v="71"/>
    <n v="17"/>
    <n v="65"/>
    <n v="63"/>
    <n v="91"/>
  </r>
  <r>
    <x v="72"/>
    <n v="19"/>
    <n v="72"/>
    <n v="68"/>
    <n v="99"/>
  </r>
  <r>
    <x v="73"/>
    <n v="26"/>
    <n v="96"/>
    <n v="84"/>
    <n v="128"/>
  </r>
  <r>
    <x v="74"/>
    <n v="21"/>
    <n v="79"/>
    <n v="72"/>
    <n v="107"/>
  </r>
  <r>
    <x v="75"/>
    <n v="19"/>
    <n v="72"/>
    <n v="68"/>
    <n v="99"/>
  </r>
  <r>
    <x v="76"/>
    <n v="19"/>
    <n v="72"/>
    <n v="68"/>
    <n v="99"/>
  </r>
  <r>
    <x v="77"/>
    <n v="21"/>
    <n v="79"/>
    <n v="72"/>
    <n v="107"/>
  </r>
  <r>
    <x v="78"/>
    <n v="21"/>
    <n v="79"/>
    <n v="72"/>
    <n v="107"/>
  </r>
  <r>
    <x v="79"/>
    <n v="24"/>
    <n v="90"/>
    <n v="80"/>
    <n v="120"/>
  </r>
  <r>
    <x v="80"/>
    <n v="26"/>
    <n v="96"/>
    <n v="84"/>
    <n v="128"/>
  </r>
  <r>
    <x v="81"/>
    <n v="23"/>
    <n v="86"/>
    <n v="77"/>
    <n v="115"/>
  </r>
  <r>
    <x v="82"/>
    <n v="23"/>
    <n v="86"/>
    <n v="77"/>
    <n v="115"/>
  </r>
  <r>
    <x v="83"/>
    <n v="24"/>
    <n v="90"/>
    <n v="80"/>
    <n v="120"/>
  </r>
  <r>
    <x v="84"/>
    <n v="26"/>
    <n v="96"/>
    <n v="84"/>
    <n v="128"/>
  </r>
  <r>
    <x v="85"/>
    <n v="28"/>
    <n v="103"/>
    <n v="89"/>
    <n v="136"/>
  </r>
  <r>
    <x v="86"/>
    <n v="32"/>
    <n v="117"/>
    <n v="98"/>
    <n v="153"/>
  </r>
  <r>
    <x v="87"/>
    <n v="26"/>
    <n v="96"/>
    <n v="84"/>
    <n v="128"/>
  </r>
  <r>
    <x v="88"/>
    <n v="32"/>
    <n v="117"/>
    <n v="98"/>
    <n v="153"/>
  </r>
  <r>
    <x v="89"/>
    <n v="23"/>
    <n v="86"/>
    <n v="77"/>
    <n v="115"/>
  </r>
  <r>
    <x v="90"/>
    <n v="22"/>
    <n v="83"/>
    <n v="75"/>
    <n v="111"/>
  </r>
  <r>
    <x v="91"/>
    <n v="25"/>
    <n v="93"/>
    <n v="82"/>
    <n v="1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65F69-11FD-43FC-9BE3-BA42C4731F26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11:P15" firstHeaderRow="0" firstDataRow="1" firstDataCol="1"/>
  <pivotFields count="7"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dataField="1" showAll="0"/>
    <pivotField dataField="1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4"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Hotdog" fld="2" baseField="0" baseItem="0"/>
    <dataField name="Suma z Kukurydza" fld="3" baseField="0" baseItem="0"/>
    <dataField name="Suma z Lod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11287-3EF6-4216-825B-089F383937A3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O11:Q28" firstHeaderRow="1" firstDataRow="1" firstDataCol="0"/>
  <pivotFields count="7"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F29EB-D62A-4931-8CA5-508538B2C0C2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P11:R28" firstHeaderRow="1" firstDataRow="1" firstDataCol="0"/>
  <pivotFields count="7"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1" xr16:uid="{D0135600-11BC-4726-A1FF-92716BC5560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2" xr16:uid="{D3D712B2-0022-4635-B60C-A43C1C70BAE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3" xr16:uid="{61FF51A2-42DA-4F0B-96C3-1BD246C654B6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4" xr16:uid="{D91263A6-1BD4-4D99-94BB-F0E5334F53A3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mperatury" connectionId="5" xr16:uid="{A97C9578-11F2-4974-8C5F-67C1F68836EB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Relationship Id="rId6" Type="http://schemas.openxmlformats.org/officeDocument/2006/relationships/queryTable" Target="../queryTables/queryTable5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workbookViewId="0"/>
  </sheetViews>
  <sheetFormatPr defaultRowHeight="15" x14ac:dyDescent="0.25"/>
  <cols>
    <col min="1" max="1" width="10.140625" bestFit="1" customWidth="1"/>
    <col min="2" max="2" width="3" bestFit="1" customWidth="1"/>
  </cols>
  <sheetData>
    <row r="1" spans="1:2" x14ac:dyDescent="0.25">
      <c r="A1" s="1">
        <v>44713</v>
      </c>
      <c r="B1">
        <v>24</v>
      </c>
    </row>
    <row r="2" spans="1:2" x14ac:dyDescent="0.25">
      <c r="A2" s="1">
        <v>44714</v>
      </c>
      <c r="B2">
        <v>25</v>
      </c>
    </row>
    <row r="3" spans="1:2" x14ac:dyDescent="0.25">
      <c r="A3" s="1">
        <v>44715</v>
      </c>
      <c r="B3">
        <v>27</v>
      </c>
    </row>
    <row r="4" spans="1:2" x14ac:dyDescent="0.25">
      <c r="A4" s="1">
        <v>44716</v>
      </c>
      <c r="B4">
        <v>27</v>
      </c>
    </row>
    <row r="5" spans="1:2" x14ac:dyDescent="0.25">
      <c r="A5" s="1">
        <v>44717</v>
      </c>
      <c r="B5">
        <v>27</v>
      </c>
    </row>
    <row r="6" spans="1:2" x14ac:dyDescent="0.25">
      <c r="A6" s="1">
        <v>44718</v>
      </c>
      <c r="B6">
        <v>22</v>
      </c>
    </row>
    <row r="7" spans="1:2" x14ac:dyDescent="0.25">
      <c r="A7" s="1">
        <v>44719</v>
      </c>
      <c r="B7">
        <v>25</v>
      </c>
    </row>
    <row r="8" spans="1:2" x14ac:dyDescent="0.25">
      <c r="A8" s="1">
        <v>44720</v>
      </c>
      <c r="B8">
        <v>25</v>
      </c>
    </row>
    <row r="9" spans="1:2" x14ac:dyDescent="0.25">
      <c r="A9" s="1">
        <v>44721</v>
      </c>
      <c r="B9">
        <v>21</v>
      </c>
    </row>
    <row r="10" spans="1:2" x14ac:dyDescent="0.25">
      <c r="A10" s="1">
        <v>44722</v>
      </c>
      <c r="B10">
        <v>21</v>
      </c>
    </row>
    <row r="11" spans="1:2" x14ac:dyDescent="0.25">
      <c r="A11" s="1">
        <v>44723</v>
      </c>
      <c r="B11">
        <v>19</v>
      </c>
    </row>
    <row r="12" spans="1:2" x14ac:dyDescent="0.25">
      <c r="A12" s="1">
        <v>44724</v>
      </c>
      <c r="B12">
        <v>19</v>
      </c>
    </row>
    <row r="13" spans="1:2" x14ac:dyDescent="0.25">
      <c r="A13" s="1">
        <v>44725</v>
      </c>
      <c r="B13">
        <v>15</v>
      </c>
    </row>
    <row r="14" spans="1:2" x14ac:dyDescent="0.25">
      <c r="A14" s="1">
        <v>44726</v>
      </c>
      <c r="B14">
        <v>21</v>
      </c>
    </row>
    <row r="15" spans="1:2" x14ac:dyDescent="0.25">
      <c r="A15" s="1">
        <v>44727</v>
      </c>
      <c r="B15">
        <v>23</v>
      </c>
    </row>
    <row r="16" spans="1:2" x14ac:dyDescent="0.25">
      <c r="A16" s="1">
        <v>44728</v>
      </c>
      <c r="B16">
        <v>23</v>
      </c>
    </row>
    <row r="17" spans="1:2" x14ac:dyDescent="0.25">
      <c r="A17" s="1">
        <v>44729</v>
      </c>
      <c r="B17">
        <v>16</v>
      </c>
    </row>
    <row r="18" spans="1:2" x14ac:dyDescent="0.25">
      <c r="A18" s="1">
        <v>44730</v>
      </c>
      <c r="B18">
        <v>21</v>
      </c>
    </row>
    <row r="19" spans="1:2" x14ac:dyDescent="0.25">
      <c r="A19" s="1">
        <v>44731</v>
      </c>
      <c r="B19">
        <v>22</v>
      </c>
    </row>
    <row r="20" spans="1:2" x14ac:dyDescent="0.25">
      <c r="A20" s="1">
        <v>44732</v>
      </c>
      <c r="B20">
        <v>22</v>
      </c>
    </row>
    <row r="21" spans="1:2" x14ac:dyDescent="0.25">
      <c r="A21" s="1">
        <v>44733</v>
      </c>
      <c r="B21">
        <v>22</v>
      </c>
    </row>
    <row r="22" spans="1:2" x14ac:dyDescent="0.25">
      <c r="A22" s="1">
        <v>44734</v>
      </c>
      <c r="B22">
        <v>28</v>
      </c>
    </row>
    <row r="23" spans="1:2" x14ac:dyDescent="0.25">
      <c r="A23" s="1">
        <v>44735</v>
      </c>
      <c r="B23">
        <v>31</v>
      </c>
    </row>
    <row r="24" spans="1:2" x14ac:dyDescent="0.25">
      <c r="A24" s="1">
        <v>44736</v>
      </c>
      <c r="B24">
        <v>33</v>
      </c>
    </row>
    <row r="25" spans="1:2" x14ac:dyDescent="0.25">
      <c r="A25" s="1">
        <v>44737</v>
      </c>
      <c r="B25">
        <v>33</v>
      </c>
    </row>
    <row r="26" spans="1:2" x14ac:dyDescent="0.25">
      <c r="A26" s="1">
        <v>44738</v>
      </c>
      <c r="B26">
        <v>23</v>
      </c>
    </row>
    <row r="27" spans="1:2" x14ac:dyDescent="0.25">
      <c r="A27" s="1">
        <v>44739</v>
      </c>
      <c r="B27">
        <v>23</v>
      </c>
    </row>
    <row r="28" spans="1:2" x14ac:dyDescent="0.25">
      <c r="A28" s="1">
        <v>44740</v>
      </c>
      <c r="B28">
        <v>19</v>
      </c>
    </row>
    <row r="29" spans="1:2" x14ac:dyDescent="0.25">
      <c r="A29" s="1">
        <v>44741</v>
      </c>
      <c r="B29">
        <v>24</v>
      </c>
    </row>
    <row r="30" spans="1:2" x14ac:dyDescent="0.25">
      <c r="A30" s="1">
        <v>44742</v>
      </c>
      <c r="B30">
        <v>25</v>
      </c>
    </row>
    <row r="31" spans="1:2" x14ac:dyDescent="0.25">
      <c r="A31" s="1">
        <v>44743</v>
      </c>
      <c r="B31">
        <v>27</v>
      </c>
    </row>
    <row r="32" spans="1:2" x14ac:dyDescent="0.25">
      <c r="A32" s="1">
        <v>44744</v>
      </c>
      <c r="B32">
        <v>27</v>
      </c>
    </row>
    <row r="33" spans="1:2" x14ac:dyDescent="0.25">
      <c r="A33" s="1">
        <v>44745</v>
      </c>
      <c r="B33">
        <v>21</v>
      </c>
    </row>
    <row r="34" spans="1:2" x14ac:dyDescent="0.25">
      <c r="A34" s="1">
        <v>44746</v>
      </c>
      <c r="B34">
        <v>21</v>
      </c>
    </row>
    <row r="35" spans="1:2" x14ac:dyDescent="0.25">
      <c r="A35" s="1">
        <v>44747</v>
      </c>
      <c r="B35">
        <v>25</v>
      </c>
    </row>
    <row r="36" spans="1:2" x14ac:dyDescent="0.25">
      <c r="A36" s="1">
        <v>44748</v>
      </c>
      <c r="B36">
        <v>19</v>
      </c>
    </row>
    <row r="37" spans="1:2" x14ac:dyDescent="0.25">
      <c r="A37" s="1">
        <v>44749</v>
      </c>
      <c r="B37">
        <v>21</v>
      </c>
    </row>
    <row r="38" spans="1:2" x14ac:dyDescent="0.25">
      <c r="A38" s="1">
        <v>44750</v>
      </c>
      <c r="B38">
        <v>24</v>
      </c>
    </row>
    <row r="39" spans="1:2" x14ac:dyDescent="0.25">
      <c r="A39" s="1">
        <v>44751</v>
      </c>
      <c r="B39">
        <v>19</v>
      </c>
    </row>
    <row r="40" spans="1:2" x14ac:dyDescent="0.25">
      <c r="A40" s="1">
        <v>44752</v>
      </c>
      <c r="B40">
        <v>28</v>
      </c>
    </row>
    <row r="41" spans="1:2" x14ac:dyDescent="0.25">
      <c r="A41" s="1">
        <v>44753</v>
      </c>
      <c r="B41">
        <v>27</v>
      </c>
    </row>
    <row r="42" spans="1:2" x14ac:dyDescent="0.25">
      <c r="A42" s="1">
        <v>44754</v>
      </c>
      <c r="B42">
        <v>24</v>
      </c>
    </row>
    <row r="43" spans="1:2" x14ac:dyDescent="0.25">
      <c r="A43" s="1">
        <v>44755</v>
      </c>
      <c r="B43">
        <v>22</v>
      </c>
    </row>
    <row r="44" spans="1:2" x14ac:dyDescent="0.25">
      <c r="A44" s="1">
        <v>44756</v>
      </c>
      <c r="B44">
        <v>17</v>
      </c>
    </row>
    <row r="45" spans="1:2" x14ac:dyDescent="0.25">
      <c r="A45" s="1">
        <v>44757</v>
      </c>
      <c r="B45">
        <v>18</v>
      </c>
    </row>
    <row r="46" spans="1:2" x14ac:dyDescent="0.25">
      <c r="A46" s="1">
        <v>44758</v>
      </c>
      <c r="B46">
        <v>23</v>
      </c>
    </row>
    <row r="47" spans="1:2" x14ac:dyDescent="0.25">
      <c r="A47" s="1">
        <v>44759</v>
      </c>
      <c r="B47">
        <v>23</v>
      </c>
    </row>
    <row r="48" spans="1:2" x14ac:dyDescent="0.25">
      <c r="A48" s="1">
        <v>44760</v>
      </c>
      <c r="B48">
        <v>19</v>
      </c>
    </row>
    <row r="49" spans="1:2" x14ac:dyDescent="0.25">
      <c r="A49" s="1">
        <v>44761</v>
      </c>
      <c r="B49">
        <v>21</v>
      </c>
    </row>
    <row r="50" spans="1:2" x14ac:dyDescent="0.25">
      <c r="A50" s="1">
        <v>44762</v>
      </c>
      <c r="B50">
        <v>25</v>
      </c>
    </row>
    <row r="51" spans="1:2" x14ac:dyDescent="0.25">
      <c r="A51" s="1">
        <v>44763</v>
      </c>
      <c r="B51">
        <v>28</v>
      </c>
    </row>
    <row r="52" spans="1:2" x14ac:dyDescent="0.25">
      <c r="A52" s="1">
        <v>44764</v>
      </c>
      <c r="B52">
        <v>27</v>
      </c>
    </row>
    <row r="53" spans="1:2" x14ac:dyDescent="0.25">
      <c r="A53" s="1">
        <v>44765</v>
      </c>
      <c r="B53">
        <v>23</v>
      </c>
    </row>
    <row r="54" spans="1:2" x14ac:dyDescent="0.25">
      <c r="A54" s="1">
        <v>44766</v>
      </c>
      <c r="B54">
        <v>26</v>
      </c>
    </row>
    <row r="55" spans="1:2" x14ac:dyDescent="0.25">
      <c r="A55" s="1">
        <v>44767</v>
      </c>
      <c r="B55">
        <v>29</v>
      </c>
    </row>
    <row r="56" spans="1:2" x14ac:dyDescent="0.25">
      <c r="A56" s="1">
        <v>44768</v>
      </c>
      <c r="B56">
        <v>26</v>
      </c>
    </row>
    <row r="57" spans="1:2" x14ac:dyDescent="0.25">
      <c r="A57" s="1">
        <v>44769</v>
      </c>
      <c r="B57">
        <v>27</v>
      </c>
    </row>
    <row r="58" spans="1:2" x14ac:dyDescent="0.25">
      <c r="A58" s="1">
        <v>44770</v>
      </c>
      <c r="B58">
        <v>24</v>
      </c>
    </row>
    <row r="59" spans="1:2" x14ac:dyDescent="0.25">
      <c r="A59" s="1">
        <v>44771</v>
      </c>
      <c r="B59">
        <v>26</v>
      </c>
    </row>
    <row r="60" spans="1:2" x14ac:dyDescent="0.25">
      <c r="A60" s="1">
        <v>44772</v>
      </c>
      <c r="B60">
        <v>25</v>
      </c>
    </row>
    <row r="61" spans="1:2" x14ac:dyDescent="0.25">
      <c r="A61" s="1">
        <v>44773</v>
      </c>
      <c r="B61">
        <v>24</v>
      </c>
    </row>
    <row r="62" spans="1:2" x14ac:dyDescent="0.25">
      <c r="A62" s="1">
        <v>44774</v>
      </c>
      <c r="B62">
        <v>22</v>
      </c>
    </row>
    <row r="63" spans="1:2" x14ac:dyDescent="0.25">
      <c r="A63" s="1">
        <v>44775</v>
      </c>
      <c r="B63">
        <v>19</v>
      </c>
    </row>
    <row r="64" spans="1:2" x14ac:dyDescent="0.25">
      <c r="A64" s="1">
        <v>44776</v>
      </c>
      <c r="B64">
        <v>21</v>
      </c>
    </row>
    <row r="65" spans="1:2" x14ac:dyDescent="0.25">
      <c r="A65" s="1">
        <v>44777</v>
      </c>
      <c r="B65">
        <v>26</v>
      </c>
    </row>
    <row r="66" spans="1:2" x14ac:dyDescent="0.25">
      <c r="A66" s="1">
        <v>44778</v>
      </c>
      <c r="B66">
        <v>19</v>
      </c>
    </row>
    <row r="67" spans="1:2" x14ac:dyDescent="0.25">
      <c r="A67" s="1">
        <v>44779</v>
      </c>
      <c r="B67">
        <v>21</v>
      </c>
    </row>
    <row r="68" spans="1:2" x14ac:dyDescent="0.25">
      <c r="A68" s="1">
        <v>44780</v>
      </c>
      <c r="B68">
        <v>23</v>
      </c>
    </row>
    <row r="69" spans="1:2" x14ac:dyDescent="0.25">
      <c r="A69" s="1">
        <v>44781</v>
      </c>
      <c r="B69">
        <v>27</v>
      </c>
    </row>
    <row r="70" spans="1:2" x14ac:dyDescent="0.25">
      <c r="A70" s="1">
        <v>44782</v>
      </c>
      <c r="B70">
        <v>20</v>
      </c>
    </row>
    <row r="71" spans="1:2" x14ac:dyDescent="0.25">
      <c r="A71" s="1">
        <v>44783</v>
      </c>
      <c r="B71">
        <v>18</v>
      </c>
    </row>
    <row r="72" spans="1:2" x14ac:dyDescent="0.25">
      <c r="A72" s="1">
        <v>44784</v>
      </c>
      <c r="B72">
        <v>17</v>
      </c>
    </row>
    <row r="73" spans="1:2" x14ac:dyDescent="0.25">
      <c r="A73" s="1">
        <v>44785</v>
      </c>
      <c r="B73">
        <v>19</v>
      </c>
    </row>
    <row r="74" spans="1:2" x14ac:dyDescent="0.25">
      <c r="A74" s="1">
        <v>44786</v>
      </c>
      <c r="B74">
        <v>26</v>
      </c>
    </row>
    <row r="75" spans="1:2" x14ac:dyDescent="0.25">
      <c r="A75" s="1">
        <v>44787</v>
      </c>
      <c r="B75">
        <v>21</v>
      </c>
    </row>
    <row r="76" spans="1:2" x14ac:dyDescent="0.25">
      <c r="A76" s="1">
        <v>44788</v>
      </c>
      <c r="B76">
        <v>19</v>
      </c>
    </row>
    <row r="77" spans="1:2" x14ac:dyDescent="0.25">
      <c r="A77" s="1">
        <v>44789</v>
      </c>
      <c r="B77">
        <v>19</v>
      </c>
    </row>
    <row r="78" spans="1:2" x14ac:dyDescent="0.25">
      <c r="A78" s="1">
        <v>44790</v>
      </c>
      <c r="B78">
        <v>21</v>
      </c>
    </row>
    <row r="79" spans="1:2" x14ac:dyDescent="0.25">
      <c r="A79" s="1">
        <v>44791</v>
      </c>
      <c r="B79">
        <v>21</v>
      </c>
    </row>
    <row r="80" spans="1:2" x14ac:dyDescent="0.25">
      <c r="A80" s="1">
        <v>44792</v>
      </c>
      <c r="B80">
        <v>24</v>
      </c>
    </row>
    <row r="81" spans="1:2" x14ac:dyDescent="0.25">
      <c r="A81" s="1">
        <v>44793</v>
      </c>
      <c r="B81">
        <v>26</v>
      </c>
    </row>
    <row r="82" spans="1:2" x14ac:dyDescent="0.25">
      <c r="A82" s="1">
        <v>44794</v>
      </c>
      <c r="B82">
        <v>23</v>
      </c>
    </row>
    <row r="83" spans="1:2" x14ac:dyDescent="0.25">
      <c r="A83" s="1">
        <v>44795</v>
      </c>
      <c r="B83">
        <v>23</v>
      </c>
    </row>
    <row r="84" spans="1:2" x14ac:dyDescent="0.25">
      <c r="A84" s="1">
        <v>44796</v>
      </c>
      <c r="B84">
        <v>24</v>
      </c>
    </row>
    <row r="85" spans="1:2" x14ac:dyDescent="0.25">
      <c r="A85" s="1">
        <v>44797</v>
      </c>
      <c r="B85">
        <v>26</v>
      </c>
    </row>
    <row r="86" spans="1:2" x14ac:dyDescent="0.25">
      <c r="A86" s="1">
        <v>44798</v>
      </c>
      <c r="B86">
        <v>28</v>
      </c>
    </row>
    <row r="87" spans="1:2" x14ac:dyDescent="0.25">
      <c r="A87" s="1">
        <v>44799</v>
      </c>
      <c r="B87">
        <v>32</v>
      </c>
    </row>
    <row r="88" spans="1:2" x14ac:dyDescent="0.25">
      <c r="A88" s="1">
        <v>44800</v>
      </c>
      <c r="B88">
        <v>26</v>
      </c>
    </row>
    <row r="89" spans="1:2" x14ac:dyDescent="0.25">
      <c r="A89" s="1">
        <v>44801</v>
      </c>
      <c r="B89">
        <v>32</v>
      </c>
    </row>
    <row r="90" spans="1:2" x14ac:dyDescent="0.25">
      <c r="A90" s="1">
        <v>44802</v>
      </c>
      <c r="B90">
        <v>23</v>
      </c>
    </row>
    <row r="91" spans="1:2" x14ac:dyDescent="0.25">
      <c r="A91" s="1">
        <v>44803</v>
      </c>
      <c r="B91">
        <v>22</v>
      </c>
    </row>
    <row r="92" spans="1:2" x14ac:dyDescent="0.25">
      <c r="A92" s="1">
        <v>44804</v>
      </c>
      <c r="B9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852F-763D-4CCB-AF2A-1DF75A4B602C}">
  <dimension ref="A2:E93"/>
  <sheetViews>
    <sheetView workbookViewId="0">
      <selection activeCell="A93" sqref="A93"/>
    </sheetView>
  </sheetViews>
  <sheetFormatPr defaultRowHeight="15" x14ac:dyDescent="0.25"/>
  <cols>
    <col min="1" max="1" width="10.140625" bestFit="1" customWidth="1"/>
    <col min="2" max="2" width="3" bestFit="1" customWidth="1"/>
  </cols>
  <sheetData>
    <row r="2" spans="1:5" x14ac:dyDescent="0.25">
      <c r="A2" s="1">
        <v>44713</v>
      </c>
      <c r="B2">
        <v>24</v>
      </c>
      <c r="C2">
        <f>IF(B2&gt;20,C1+1,0)</f>
        <v>1</v>
      </c>
      <c r="E2">
        <f>MAX(C2:C93)</f>
        <v>15</v>
      </c>
    </row>
    <row r="3" spans="1:5" x14ac:dyDescent="0.25">
      <c r="A3" s="1">
        <v>44714</v>
      </c>
      <c r="B3">
        <v>25</v>
      </c>
      <c r="C3">
        <f t="shared" ref="C3:C66" si="0">IF(B3&gt;20,C2+1,0)</f>
        <v>2</v>
      </c>
    </row>
    <row r="4" spans="1:5" x14ac:dyDescent="0.25">
      <c r="A4" s="1">
        <v>44715</v>
      </c>
      <c r="B4">
        <v>27</v>
      </c>
      <c r="C4">
        <f t="shared" si="0"/>
        <v>3</v>
      </c>
    </row>
    <row r="5" spans="1:5" x14ac:dyDescent="0.25">
      <c r="A5" s="1">
        <v>44716</v>
      </c>
      <c r="B5">
        <v>27</v>
      </c>
      <c r="C5">
        <f t="shared" si="0"/>
        <v>4</v>
      </c>
    </row>
    <row r="6" spans="1:5" x14ac:dyDescent="0.25">
      <c r="A6" s="1">
        <v>44717</v>
      </c>
      <c r="B6">
        <v>27</v>
      </c>
      <c r="C6">
        <f t="shared" si="0"/>
        <v>5</v>
      </c>
    </row>
    <row r="7" spans="1:5" x14ac:dyDescent="0.25">
      <c r="A7" s="1">
        <v>44718</v>
      </c>
      <c r="B7">
        <v>22</v>
      </c>
      <c r="C7">
        <f t="shared" si="0"/>
        <v>6</v>
      </c>
    </row>
    <row r="8" spans="1:5" x14ac:dyDescent="0.25">
      <c r="A8" s="1">
        <v>44719</v>
      </c>
      <c r="B8">
        <v>25</v>
      </c>
      <c r="C8">
        <f t="shared" si="0"/>
        <v>7</v>
      </c>
    </row>
    <row r="9" spans="1:5" x14ac:dyDescent="0.25">
      <c r="A9" s="1">
        <v>44720</v>
      </c>
      <c r="B9">
        <v>25</v>
      </c>
      <c r="C9">
        <f t="shared" si="0"/>
        <v>8</v>
      </c>
    </row>
    <row r="10" spans="1:5" x14ac:dyDescent="0.25">
      <c r="A10" s="1">
        <v>44721</v>
      </c>
      <c r="B10">
        <v>21</v>
      </c>
      <c r="C10">
        <f t="shared" si="0"/>
        <v>9</v>
      </c>
    </row>
    <row r="11" spans="1:5" x14ac:dyDescent="0.25">
      <c r="A11" s="1">
        <v>44722</v>
      </c>
      <c r="B11">
        <v>21</v>
      </c>
      <c r="C11">
        <f t="shared" si="0"/>
        <v>10</v>
      </c>
    </row>
    <row r="12" spans="1:5" x14ac:dyDescent="0.25">
      <c r="A12" s="1">
        <v>44723</v>
      </c>
      <c r="B12">
        <v>19</v>
      </c>
      <c r="C12">
        <f t="shared" si="0"/>
        <v>0</v>
      </c>
    </row>
    <row r="13" spans="1:5" x14ac:dyDescent="0.25">
      <c r="A13" s="1">
        <v>44724</v>
      </c>
      <c r="B13">
        <v>19</v>
      </c>
      <c r="C13">
        <f t="shared" si="0"/>
        <v>0</v>
      </c>
    </row>
    <row r="14" spans="1:5" x14ac:dyDescent="0.25">
      <c r="A14" s="1">
        <v>44725</v>
      </c>
      <c r="B14">
        <v>15</v>
      </c>
      <c r="C14">
        <f t="shared" si="0"/>
        <v>0</v>
      </c>
    </row>
    <row r="15" spans="1:5" x14ac:dyDescent="0.25">
      <c r="A15" s="1">
        <v>44726</v>
      </c>
      <c r="B15">
        <v>21</v>
      </c>
      <c r="C15">
        <f t="shared" si="0"/>
        <v>1</v>
      </c>
    </row>
    <row r="16" spans="1:5" x14ac:dyDescent="0.25">
      <c r="A16" s="1">
        <v>44727</v>
      </c>
      <c r="B16">
        <v>23</v>
      </c>
      <c r="C16">
        <f t="shared" si="0"/>
        <v>2</v>
      </c>
    </row>
    <row r="17" spans="1:3" x14ac:dyDescent="0.25">
      <c r="A17" s="1">
        <v>44728</v>
      </c>
      <c r="B17">
        <v>23</v>
      </c>
      <c r="C17">
        <f t="shared" si="0"/>
        <v>3</v>
      </c>
    </row>
    <row r="18" spans="1:3" x14ac:dyDescent="0.25">
      <c r="A18" s="1">
        <v>44729</v>
      </c>
      <c r="B18">
        <v>16</v>
      </c>
      <c r="C18">
        <f t="shared" si="0"/>
        <v>0</v>
      </c>
    </row>
    <row r="19" spans="1:3" x14ac:dyDescent="0.25">
      <c r="A19" s="1">
        <v>44730</v>
      </c>
      <c r="B19">
        <v>21</v>
      </c>
      <c r="C19">
        <f t="shared" si="0"/>
        <v>1</v>
      </c>
    </row>
    <row r="20" spans="1:3" x14ac:dyDescent="0.25">
      <c r="A20" s="1">
        <v>44731</v>
      </c>
      <c r="B20">
        <v>22</v>
      </c>
      <c r="C20">
        <f t="shared" si="0"/>
        <v>2</v>
      </c>
    </row>
    <row r="21" spans="1:3" x14ac:dyDescent="0.25">
      <c r="A21" s="1">
        <v>44732</v>
      </c>
      <c r="B21">
        <v>22</v>
      </c>
      <c r="C21">
        <f t="shared" si="0"/>
        <v>3</v>
      </c>
    </row>
    <row r="22" spans="1:3" x14ac:dyDescent="0.25">
      <c r="A22" s="1">
        <v>44733</v>
      </c>
      <c r="B22">
        <v>22</v>
      </c>
      <c r="C22">
        <f t="shared" si="0"/>
        <v>4</v>
      </c>
    </row>
    <row r="23" spans="1:3" x14ac:dyDescent="0.25">
      <c r="A23" s="1">
        <v>44734</v>
      </c>
      <c r="B23">
        <v>28</v>
      </c>
      <c r="C23">
        <f t="shared" si="0"/>
        <v>5</v>
      </c>
    </row>
    <row r="24" spans="1:3" x14ac:dyDescent="0.25">
      <c r="A24" s="1">
        <v>44735</v>
      </c>
      <c r="B24">
        <v>31</v>
      </c>
      <c r="C24">
        <f t="shared" si="0"/>
        <v>6</v>
      </c>
    </row>
    <row r="25" spans="1:3" x14ac:dyDescent="0.25">
      <c r="A25" s="1">
        <v>44736</v>
      </c>
      <c r="B25">
        <v>33</v>
      </c>
      <c r="C25">
        <f t="shared" si="0"/>
        <v>7</v>
      </c>
    </row>
    <row r="26" spans="1:3" x14ac:dyDescent="0.25">
      <c r="A26" s="1">
        <v>44737</v>
      </c>
      <c r="B26">
        <v>33</v>
      </c>
      <c r="C26">
        <f t="shared" si="0"/>
        <v>8</v>
      </c>
    </row>
    <row r="27" spans="1:3" x14ac:dyDescent="0.25">
      <c r="A27" s="1">
        <v>44738</v>
      </c>
      <c r="B27">
        <v>23</v>
      </c>
      <c r="C27">
        <f t="shared" si="0"/>
        <v>9</v>
      </c>
    </row>
    <row r="28" spans="1:3" x14ac:dyDescent="0.25">
      <c r="A28" s="1">
        <v>44739</v>
      </c>
      <c r="B28">
        <v>23</v>
      </c>
      <c r="C28">
        <f t="shared" si="0"/>
        <v>10</v>
      </c>
    </row>
    <row r="29" spans="1:3" x14ac:dyDescent="0.25">
      <c r="A29" s="1">
        <v>44740</v>
      </c>
      <c r="B29">
        <v>19</v>
      </c>
      <c r="C29">
        <f t="shared" si="0"/>
        <v>0</v>
      </c>
    </row>
    <row r="30" spans="1:3" x14ac:dyDescent="0.25">
      <c r="A30" s="1">
        <v>44741</v>
      </c>
      <c r="B30">
        <v>24</v>
      </c>
      <c r="C30">
        <f t="shared" si="0"/>
        <v>1</v>
      </c>
    </row>
    <row r="31" spans="1:3" x14ac:dyDescent="0.25">
      <c r="A31" s="1">
        <v>44742</v>
      </c>
      <c r="B31">
        <v>25</v>
      </c>
      <c r="C31">
        <f t="shared" si="0"/>
        <v>2</v>
      </c>
    </row>
    <row r="32" spans="1:3" x14ac:dyDescent="0.25">
      <c r="A32" s="1">
        <v>44743</v>
      </c>
      <c r="B32">
        <v>27</v>
      </c>
      <c r="C32">
        <f t="shared" si="0"/>
        <v>3</v>
      </c>
    </row>
    <row r="33" spans="1:3" x14ac:dyDescent="0.25">
      <c r="A33" s="1">
        <v>44744</v>
      </c>
      <c r="B33">
        <v>27</v>
      </c>
      <c r="C33">
        <f t="shared" si="0"/>
        <v>4</v>
      </c>
    </row>
    <row r="34" spans="1:3" x14ac:dyDescent="0.25">
      <c r="A34" s="1">
        <v>44745</v>
      </c>
      <c r="B34">
        <v>21</v>
      </c>
      <c r="C34">
        <f t="shared" si="0"/>
        <v>5</v>
      </c>
    </row>
    <row r="35" spans="1:3" x14ac:dyDescent="0.25">
      <c r="A35" s="1">
        <v>44746</v>
      </c>
      <c r="B35">
        <v>21</v>
      </c>
      <c r="C35">
        <f t="shared" si="0"/>
        <v>6</v>
      </c>
    </row>
    <row r="36" spans="1:3" x14ac:dyDescent="0.25">
      <c r="A36" s="1">
        <v>44747</v>
      </c>
      <c r="B36">
        <v>25</v>
      </c>
      <c r="C36">
        <f t="shared" si="0"/>
        <v>7</v>
      </c>
    </row>
    <row r="37" spans="1:3" x14ac:dyDescent="0.25">
      <c r="A37" s="1">
        <v>44748</v>
      </c>
      <c r="B37">
        <v>19</v>
      </c>
      <c r="C37">
        <f t="shared" si="0"/>
        <v>0</v>
      </c>
    </row>
    <row r="38" spans="1:3" x14ac:dyDescent="0.25">
      <c r="A38" s="1">
        <v>44749</v>
      </c>
      <c r="B38">
        <v>21</v>
      </c>
      <c r="C38">
        <f t="shared" si="0"/>
        <v>1</v>
      </c>
    </row>
    <row r="39" spans="1:3" x14ac:dyDescent="0.25">
      <c r="A39" s="1">
        <v>44750</v>
      </c>
      <c r="B39">
        <v>24</v>
      </c>
      <c r="C39">
        <f t="shared" si="0"/>
        <v>2</v>
      </c>
    </row>
    <row r="40" spans="1:3" x14ac:dyDescent="0.25">
      <c r="A40" s="1">
        <v>44751</v>
      </c>
      <c r="B40">
        <v>19</v>
      </c>
      <c r="C40">
        <f t="shared" si="0"/>
        <v>0</v>
      </c>
    </row>
    <row r="41" spans="1:3" x14ac:dyDescent="0.25">
      <c r="A41" s="1">
        <v>44752</v>
      </c>
      <c r="B41">
        <v>28</v>
      </c>
      <c r="C41">
        <f t="shared" si="0"/>
        <v>1</v>
      </c>
    </row>
    <row r="42" spans="1:3" x14ac:dyDescent="0.25">
      <c r="A42" s="1">
        <v>44753</v>
      </c>
      <c r="B42">
        <v>27</v>
      </c>
      <c r="C42">
        <f t="shared" si="0"/>
        <v>2</v>
      </c>
    </row>
    <row r="43" spans="1:3" x14ac:dyDescent="0.25">
      <c r="A43" s="1">
        <v>44754</v>
      </c>
      <c r="B43">
        <v>24</v>
      </c>
      <c r="C43">
        <f t="shared" si="0"/>
        <v>3</v>
      </c>
    </row>
    <row r="44" spans="1:3" x14ac:dyDescent="0.25">
      <c r="A44" s="1">
        <v>44755</v>
      </c>
      <c r="B44">
        <v>22</v>
      </c>
      <c r="C44">
        <f t="shared" si="0"/>
        <v>4</v>
      </c>
    </row>
    <row r="45" spans="1:3" x14ac:dyDescent="0.25">
      <c r="A45" s="1">
        <v>44756</v>
      </c>
      <c r="B45">
        <v>17</v>
      </c>
      <c r="C45">
        <f t="shared" si="0"/>
        <v>0</v>
      </c>
    </row>
    <row r="46" spans="1:3" x14ac:dyDescent="0.25">
      <c r="A46" s="1">
        <v>44757</v>
      </c>
      <c r="B46">
        <v>18</v>
      </c>
      <c r="C46">
        <f t="shared" si="0"/>
        <v>0</v>
      </c>
    </row>
    <row r="47" spans="1:3" x14ac:dyDescent="0.25">
      <c r="A47" s="1">
        <v>44758</v>
      </c>
      <c r="B47">
        <v>23</v>
      </c>
      <c r="C47">
        <f t="shared" si="0"/>
        <v>1</v>
      </c>
    </row>
    <row r="48" spans="1:3" x14ac:dyDescent="0.25">
      <c r="A48" s="1">
        <v>44759</v>
      </c>
      <c r="B48">
        <v>23</v>
      </c>
      <c r="C48">
        <f t="shared" si="0"/>
        <v>2</v>
      </c>
    </row>
    <row r="49" spans="1:3" x14ac:dyDescent="0.25">
      <c r="A49" s="1">
        <v>44760</v>
      </c>
      <c r="B49">
        <v>19</v>
      </c>
      <c r="C49">
        <f t="shared" si="0"/>
        <v>0</v>
      </c>
    </row>
    <row r="50" spans="1:3" x14ac:dyDescent="0.25">
      <c r="A50" s="1">
        <v>44761</v>
      </c>
      <c r="B50">
        <v>21</v>
      </c>
      <c r="C50">
        <f t="shared" si="0"/>
        <v>1</v>
      </c>
    </row>
    <row r="51" spans="1:3" x14ac:dyDescent="0.25">
      <c r="A51" s="1">
        <v>44762</v>
      </c>
      <c r="B51">
        <v>25</v>
      </c>
      <c r="C51">
        <f t="shared" si="0"/>
        <v>2</v>
      </c>
    </row>
    <row r="52" spans="1:3" x14ac:dyDescent="0.25">
      <c r="A52" s="1">
        <v>44763</v>
      </c>
      <c r="B52">
        <v>28</v>
      </c>
      <c r="C52">
        <f t="shared" si="0"/>
        <v>3</v>
      </c>
    </row>
    <row r="53" spans="1:3" x14ac:dyDescent="0.25">
      <c r="A53" s="1">
        <v>44764</v>
      </c>
      <c r="B53">
        <v>27</v>
      </c>
      <c r="C53">
        <f t="shared" si="0"/>
        <v>4</v>
      </c>
    </row>
    <row r="54" spans="1:3" x14ac:dyDescent="0.25">
      <c r="A54" s="1">
        <v>44765</v>
      </c>
      <c r="B54">
        <v>23</v>
      </c>
      <c r="C54">
        <f t="shared" si="0"/>
        <v>5</v>
      </c>
    </row>
    <row r="55" spans="1:3" x14ac:dyDescent="0.25">
      <c r="A55" s="1">
        <v>44766</v>
      </c>
      <c r="B55">
        <v>26</v>
      </c>
      <c r="C55">
        <f t="shared" si="0"/>
        <v>6</v>
      </c>
    </row>
    <row r="56" spans="1:3" x14ac:dyDescent="0.25">
      <c r="A56" s="1">
        <v>44767</v>
      </c>
      <c r="B56">
        <v>29</v>
      </c>
      <c r="C56">
        <f t="shared" si="0"/>
        <v>7</v>
      </c>
    </row>
    <row r="57" spans="1:3" x14ac:dyDescent="0.25">
      <c r="A57" s="1">
        <v>44768</v>
      </c>
      <c r="B57">
        <v>26</v>
      </c>
      <c r="C57">
        <f t="shared" si="0"/>
        <v>8</v>
      </c>
    </row>
    <row r="58" spans="1:3" x14ac:dyDescent="0.25">
      <c r="A58" s="1">
        <v>44769</v>
      </c>
      <c r="B58">
        <v>27</v>
      </c>
      <c r="C58">
        <f t="shared" si="0"/>
        <v>9</v>
      </c>
    </row>
    <row r="59" spans="1:3" x14ac:dyDescent="0.25">
      <c r="A59" s="1">
        <v>44770</v>
      </c>
      <c r="B59">
        <v>24</v>
      </c>
      <c r="C59">
        <f t="shared" si="0"/>
        <v>10</v>
      </c>
    </row>
    <row r="60" spans="1:3" x14ac:dyDescent="0.25">
      <c r="A60" s="1">
        <v>44771</v>
      </c>
      <c r="B60">
        <v>26</v>
      </c>
      <c r="C60">
        <f t="shared" si="0"/>
        <v>11</v>
      </c>
    </row>
    <row r="61" spans="1:3" x14ac:dyDescent="0.25">
      <c r="A61" s="1">
        <v>44772</v>
      </c>
      <c r="B61">
        <v>25</v>
      </c>
      <c r="C61">
        <f t="shared" si="0"/>
        <v>12</v>
      </c>
    </row>
    <row r="62" spans="1:3" x14ac:dyDescent="0.25">
      <c r="A62" s="1">
        <v>44773</v>
      </c>
      <c r="B62">
        <v>24</v>
      </c>
      <c r="C62">
        <f t="shared" si="0"/>
        <v>13</v>
      </c>
    </row>
    <row r="63" spans="1:3" x14ac:dyDescent="0.25">
      <c r="A63" s="1">
        <v>44774</v>
      </c>
      <c r="B63">
        <v>22</v>
      </c>
      <c r="C63">
        <f t="shared" si="0"/>
        <v>14</v>
      </c>
    </row>
    <row r="64" spans="1:3" x14ac:dyDescent="0.25">
      <c r="A64" s="1">
        <v>44775</v>
      </c>
      <c r="B64">
        <v>19</v>
      </c>
      <c r="C64">
        <f t="shared" si="0"/>
        <v>0</v>
      </c>
    </row>
    <row r="65" spans="1:4" x14ac:dyDescent="0.25">
      <c r="A65" s="1">
        <v>44776</v>
      </c>
      <c r="B65">
        <v>21</v>
      </c>
      <c r="C65">
        <f t="shared" si="0"/>
        <v>1</v>
      </c>
    </row>
    <row r="66" spans="1:4" x14ac:dyDescent="0.25">
      <c r="A66" s="1">
        <v>44777</v>
      </c>
      <c r="B66">
        <v>26</v>
      </c>
      <c r="C66">
        <f t="shared" si="0"/>
        <v>2</v>
      </c>
    </row>
    <row r="67" spans="1:4" x14ac:dyDescent="0.25">
      <c r="A67" s="1">
        <v>44778</v>
      </c>
      <c r="B67">
        <v>19</v>
      </c>
      <c r="C67">
        <f t="shared" ref="C67:C93" si="1">IF(B67&gt;20,C66+1,0)</f>
        <v>0</v>
      </c>
    </row>
    <row r="68" spans="1:4" x14ac:dyDescent="0.25">
      <c r="A68" s="1">
        <v>44779</v>
      </c>
      <c r="B68">
        <v>21</v>
      </c>
      <c r="C68">
        <f t="shared" si="1"/>
        <v>1</v>
      </c>
    </row>
    <row r="69" spans="1:4" x14ac:dyDescent="0.25">
      <c r="A69" s="1">
        <v>44780</v>
      </c>
      <c r="B69">
        <v>23</v>
      </c>
      <c r="C69">
        <f t="shared" si="1"/>
        <v>2</v>
      </c>
    </row>
    <row r="70" spans="1:4" x14ac:dyDescent="0.25">
      <c r="A70" s="1">
        <v>44781</v>
      </c>
      <c r="B70">
        <v>27</v>
      </c>
      <c r="C70">
        <f t="shared" si="1"/>
        <v>3</v>
      </c>
    </row>
    <row r="71" spans="1:4" x14ac:dyDescent="0.25">
      <c r="A71" s="1">
        <v>44782</v>
      </c>
      <c r="B71">
        <v>20</v>
      </c>
      <c r="C71">
        <f t="shared" si="1"/>
        <v>0</v>
      </c>
    </row>
    <row r="72" spans="1:4" x14ac:dyDescent="0.25">
      <c r="A72" s="1">
        <v>44783</v>
      </c>
      <c r="B72">
        <v>18</v>
      </c>
      <c r="C72">
        <f t="shared" si="1"/>
        <v>0</v>
      </c>
    </row>
    <row r="73" spans="1:4" x14ac:dyDescent="0.25">
      <c r="A73" s="1">
        <v>44784</v>
      </c>
      <c r="B73">
        <v>17</v>
      </c>
      <c r="C73">
        <f t="shared" si="1"/>
        <v>0</v>
      </c>
    </row>
    <row r="74" spans="1:4" x14ac:dyDescent="0.25">
      <c r="A74" s="1">
        <v>44785</v>
      </c>
      <c r="B74">
        <v>19</v>
      </c>
      <c r="C74">
        <f t="shared" si="1"/>
        <v>0</v>
      </c>
    </row>
    <row r="75" spans="1:4" x14ac:dyDescent="0.25">
      <c r="A75" s="1">
        <v>44786</v>
      </c>
      <c r="B75">
        <v>26</v>
      </c>
      <c r="C75">
        <f t="shared" si="1"/>
        <v>1</v>
      </c>
    </row>
    <row r="76" spans="1:4" x14ac:dyDescent="0.25">
      <c r="A76" s="1">
        <v>44787</v>
      </c>
      <c r="B76">
        <v>21</v>
      </c>
      <c r="C76">
        <f t="shared" si="1"/>
        <v>2</v>
      </c>
    </row>
    <row r="77" spans="1:4" x14ac:dyDescent="0.25">
      <c r="A77" s="1">
        <v>44788</v>
      </c>
      <c r="B77">
        <v>19</v>
      </c>
      <c r="C77">
        <f t="shared" si="1"/>
        <v>0</v>
      </c>
    </row>
    <row r="78" spans="1:4" x14ac:dyDescent="0.25">
      <c r="A78" s="1">
        <v>44789</v>
      </c>
      <c r="B78">
        <v>19</v>
      </c>
      <c r="C78">
        <f t="shared" si="1"/>
        <v>0</v>
      </c>
    </row>
    <row r="79" spans="1:4" x14ac:dyDescent="0.25">
      <c r="A79" s="1">
        <v>44790</v>
      </c>
      <c r="B79">
        <v>21</v>
      </c>
      <c r="C79">
        <f t="shared" si="1"/>
        <v>1</v>
      </c>
      <c r="D79" s="2"/>
    </row>
    <row r="80" spans="1:4" x14ac:dyDescent="0.25">
      <c r="A80" s="1">
        <v>44791</v>
      </c>
      <c r="B80">
        <v>21</v>
      </c>
      <c r="C80">
        <f t="shared" si="1"/>
        <v>2</v>
      </c>
    </row>
    <row r="81" spans="1:4" x14ac:dyDescent="0.25">
      <c r="A81" s="1">
        <v>44792</v>
      </c>
      <c r="B81">
        <v>24</v>
      </c>
      <c r="C81">
        <f t="shared" si="1"/>
        <v>3</v>
      </c>
    </row>
    <row r="82" spans="1:4" x14ac:dyDescent="0.25">
      <c r="A82" s="1">
        <v>44793</v>
      </c>
      <c r="B82">
        <v>26</v>
      </c>
      <c r="C82">
        <f t="shared" si="1"/>
        <v>4</v>
      </c>
    </row>
    <row r="83" spans="1:4" x14ac:dyDescent="0.25">
      <c r="A83" s="1">
        <v>44794</v>
      </c>
      <c r="B83">
        <v>23</v>
      </c>
      <c r="C83">
        <f t="shared" si="1"/>
        <v>5</v>
      </c>
    </row>
    <row r="84" spans="1:4" x14ac:dyDescent="0.25">
      <c r="A84" s="1">
        <v>44795</v>
      </c>
      <c r="B84">
        <v>23</v>
      </c>
      <c r="C84">
        <f t="shared" si="1"/>
        <v>6</v>
      </c>
    </row>
    <row r="85" spans="1:4" x14ac:dyDescent="0.25">
      <c r="A85" s="1">
        <v>44796</v>
      </c>
      <c r="B85">
        <v>24</v>
      </c>
      <c r="C85">
        <f t="shared" si="1"/>
        <v>7</v>
      </c>
    </row>
    <row r="86" spans="1:4" x14ac:dyDescent="0.25">
      <c r="A86" s="1">
        <v>44797</v>
      </c>
      <c r="B86">
        <v>26</v>
      </c>
      <c r="C86">
        <f t="shared" si="1"/>
        <v>8</v>
      </c>
    </row>
    <row r="87" spans="1:4" x14ac:dyDescent="0.25">
      <c r="A87" s="1">
        <v>44798</v>
      </c>
      <c r="B87">
        <v>28</v>
      </c>
      <c r="C87">
        <f t="shared" si="1"/>
        <v>9</v>
      </c>
    </row>
    <row r="88" spans="1:4" x14ac:dyDescent="0.25">
      <c r="A88" s="1">
        <v>44799</v>
      </c>
      <c r="B88">
        <v>32</v>
      </c>
      <c r="C88">
        <f t="shared" si="1"/>
        <v>10</v>
      </c>
    </row>
    <row r="89" spans="1:4" x14ac:dyDescent="0.25">
      <c r="A89" s="1">
        <v>44800</v>
      </c>
      <c r="B89">
        <v>26</v>
      </c>
      <c r="C89">
        <f t="shared" si="1"/>
        <v>11</v>
      </c>
    </row>
    <row r="90" spans="1:4" x14ac:dyDescent="0.25">
      <c r="A90" s="1">
        <v>44801</v>
      </c>
      <c r="B90">
        <v>32</v>
      </c>
      <c r="C90">
        <f t="shared" si="1"/>
        <v>12</v>
      </c>
    </row>
    <row r="91" spans="1:4" x14ac:dyDescent="0.25">
      <c r="A91" s="1">
        <v>44802</v>
      </c>
      <c r="B91">
        <v>23</v>
      </c>
      <c r="C91">
        <f t="shared" si="1"/>
        <v>13</v>
      </c>
    </row>
    <row r="92" spans="1:4" x14ac:dyDescent="0.25">
      <c r="A92" s="1">
        <v>44803</v>
      </c>
      <c r="B92">
        <v>22</v>
      </c>
      <c r="C92">
        <f t="shared" si="1"/>
        <v>14</v>
      </c>
    </row>
    <row r="93" spans="1:4" x14ac:dyDescent="0.25">
      <c r="A93" s="1">
        <v>44804</v>
      </c>
      <c r="B93">
        <v>25</v>
      </c>
      <c r="C93">
        <f t="shared" si="1"/>
        <v>15</v>
      </c>
      <c r="D9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B8B54-F168-4C6D-8090-E6027F6A3E4F}">
  <dimension ref="A1:P93"/>
  <sheetViews>
    <sheetView topLeftCell="A31" workbookViewId="0">
      <selection activeCell="S33" sqref="S33"/>
    </sheetView>
  </sheetViews>
  <sheetFormatPr defaultRowHeight="15" x14ac:dyDescent="0.25"/>
  <cols>
    <col min="1" max="1" width="10.140625" bestFit="1" customWidth="1"/>
    <col min="2" max="2" width="12.42578125" bestFit="1" customWidth="1"/>
    <col min="4" max="4" width="10.140625" bestFit="1" customWidth="1"/>
    <col min="12" max="12" width="10" bestFit="1" customWidth="1"/>
    <col min="13" max="13" width="17.7109375" bestFit="1" customWidth="1"/>
    <col min="14" max="14" width="14.140625" bestFit="1" customWidth="1"/>
    <col min="15" max="15" width="16.85546875" bestFit="1" customWidth="1"/>
    <col min="16" max="16" width="11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6" x14ac:dyDescent="0.25">
      <c r="A2" s="1">
        <v>44713</v>
      </c>
      <c r="B2">
        <v>24</v>
      </c>
      <c r="C2">
        <v>90</v>
      </c>
      <c r="D2">
        <v>80</v>
      </c>
      <c r="E2">
        <v>120</v>
      </c>
      <c r="K2" t="s">
        <v>7</v>
      </c>
      <c r="L2" t="s">
        <v>6</v>
      </c>
      <c r="M2" t="s">
        <v>5</v>
      </c>
    </row>
    <row r="3" spans="1:16" x14ac:dyDescent="0.25">
      <c r="A3" s="1">
        <v>44714</v>
      </c>
      <c r="B3">
        <v>25</v>
      </c>
      <c r="C3">
        <f>ROUNDDOWN($C$2 * (1 + (1/13)*((B3-24)/2)),0)</f>
        <v>93</v>
      </c>
      <c r="D3">
        <f>ROUNDDOWN($D$2 * (1 + (1/17)*((B3-24)/2)),0)</f>
        <v>82</v>
      </c>
      <c r="E3">
        <f>ROUNDDOWN($E$2 * (1 + (2/29)*((B3-24)/2)),0)</f>
        <v>124</v>
      </c>
      <c r="J3" t="s">
        <v>8</v>
      </c>
    </row>
    <row r="4" spans="1:16" x14ac:dyDescent="0.25">
      <c r="A4" s="1">
        <v>44715</v>
      </c>
      <c r="B4">
        <v>27</v>
      </c>
      <c r="C4">
        <f t="shared" ref="C4:C67" si="0">ROUNDDOWN($C$2 * (1 + (1/13)*((B4-24)/2)),0)</f>
        <v>100</v>
      </c>
      <c r="D4">
        <f t="shared" ref="D4:D67" si="1">ROUNDDOWN($D$2 * (1 + (1/17)*((B4-24)/2)),0)</f>
        <v>87</v>
      </c>
      <c r="E4">
        <f t="shared" ref="E4:E67" si="2">ROUNDDOWN($E$2 * (1 + (2/29)*((B4-24)/2)),0)</f>
        <v>132</v>
      </c>
      <c r="K4" s="4"/>
      <c r="L4" s="4"/>
      <c r="M4" s="4"/>
    </row>
    <row r="5" spans="1:16" x14ac:dyDescent="0.25">
      <c r="A5" s="1">
        <v>44716</v>
      </c>
      <c r="B5">
        <v>27</v>
      </c>
      <c r="C5">
        <f t="shared" si="0"/>
        <v>100</v>
      </c>
      <c r="D5">
        <f t="shared" si="1"/>
        <v>87</v>
      </c>
      <c r="E5">
        <f t="shared" si="2"/>
        <v>132</v>
      </c>
    </row>
    <row r="6" spans="1:16" x14ac:dyDescent="0.25">
      <c r="A6" s="1">
        <v>44717</v>
      </c>
      <c r="B6">
        <v>27</v>
      </c>
      <c r="C6">
        <f t="shared" si="0"/>
        <v>100</v>
      </c>
      <c r="D6">
        <f t="shared" si="1"/>
        <v>87</v>
      </c>
      <c r="E6">
        <f t="shared" si="2"/>
        <v>132</v>
      </c>
    </row>
    <row r="7" spans="1:16" x14ac:dyDescent="0.25">
      <c r="A7" s="1">
        <v>44718</v>
      </c>
      <c r="B7">
        <v>22</v>
      </c>
      <c r="C7">
        <f t="shared" si="0"/>
        <v>83</v>
      </c>
      <c r="D7">
        <f t="shared" si="1"/>
        <v>75</v>
      </c>
      <c r="E7">
        <f t="shared" si="2"/>
        <v>111</v>
      </c>
    </row>
    <row r="8" spans="1:16" x14ac:dyDescent="0.25">
      <c r="A8" s="1">
        <v>44719</v>
      </c>
      <c r="B8">
        <v>25</v>
      </c>
      <c r="C8">
        <f t="shared" si="0"/>
        <v>93</v>
      </c>
      <c r="D8">
        <f t="shared" si="1"/>
        <v>82</v>
      </c>
      <c r="E8">
        <f t="shared" si="2"/>
        <v>124</v>
      </c>
    </row>
    <row r="9" spans="1:16" x14ac:dyDescent="0.25">
      <c r="A9" s="1">
        <v>44720</v>
      </c>
      <c r="B9">
        <v>25</v>
      </c>
      <c r="C9">
        <f t="shared" si="0"/>
        <v>93</v>
      </c>
      <c r="D9">
        <f t="shared" si="1"/>
        <v>82</v>
      </c>
      <c r="E9">
        <f t="shared" si="2"/>
        <v>124</v>
      </c>
    </row>
    <row r="10" spans="1:16" x14ac:dyDescent="0.25">
      <c r="A10" s="1">
        <v>44721</v>
      </c>
      <c r="B10">
        <v>21</v>
      </c>
      <c r="C10">
        <f t="shared" si="0"/>
        <v>79</v>
      </c>
      <c r="D10">
        <f t="shared" si="1"/>
        <v>72</v>
      </c>
      <c r="E10">
        <f t="shared" si="2"/>
        <v>107</v>
      </c>
    </row>
    <row r="11" spans="1:16" x14ac:dyDescent="0.25">
      <c r="A11" s="1">
        <v>44722</v>
      </c>
      <c r="B11">
        <v>21</v>
      </c>
      <c r="C11">
        <f t="shared" si="0"/>
        <v>79</v>
      </c>
      <c r="D11">
        <f t="shared" si="1"/>
        <v>72</v>
      </c>
      <c r="E11">
        <f t="shared" si="2"/>
        <v>107</v>
      </c>
      <c r="M11" s="14" t="s">
        <v>9</v>
      </c>
      <c r="N11" t="s">
        <v>14</v>
      </c>
      <c r="O11" t="s">
        <v>15</v>
      </c>
      <c r="P11" t="s">
        <v>16</v>
      </c>
    </row>
    <row r="12" spans="1:16" x14ac:dyDescent="0.25">
      <c r="A12" s="1">
        <v>44723</v>
      </c>
      <c r="B12">
        <v>19</v>
      </c>
      <c r="C12">
        <f t="shared" si="0"/>
        <v>72</v>
      </c>
      <c r="D12">
        <f t="shared" si="1"/>
        <v>68</v>
      </c>
      <c r="E12">
        <f t="shared" si="2"/>
        <v>99</v>
      </c>
      <c r="M12" s="15" t="s">
        <v>11</v>
      </c>
      <c r="N12" s="16">
        <v>2639</v>
      </c>
      <c r="O12" s="16">
        <v>2355</v>
      </c>
      <c r="P12" s="16">
        <v>3527</v>
      </c>
    </row>
    <row r="13" spans="1:16" x14ac:dyDescent="0.25">
      <c r="A13" s="1">
        <v>44724</v>
      </c>
      <c r="B13">
        <v>19</v>
      </c>
      <c r="C13">
        <f t="shared" si="0"/>
        <v>72</v>
      </c>
      <c r="D13">
        <f t="shared" si="1"/>
        <v>68</v>
      </c>
      <c r="E13">
        <f t="shared" si="2"/>
        <v>99</v>
      </c>
      <c r="M13" s="15" t="s">
        <v>12</v>
      </c>
      <c r="N13" s="16">
        <v>2747</v>
      </c>
      <c r="O13" s="16">
        <v>2448</v>
      </c>
      <c r="P13" s="16">
        <v>3675</v>
      </c>
    </row>
    <row r="14" spans="1:16" x14ac:dyDescent="0.25">
      <c r="A14" s="1">
        <v>44725</v>
      </c>
      <c r="B14">
        <v>15</v>
      </c>
      <c r="C14">
        <f t="shared" si="0"/>
        <v>58</v>
      </c>
      <c r="D14">
        <f t="shared" si="1"/>
        <v>58</v>
      </c>
      <c r="E14">
        <f t="shared" si="2"/>
        <v>82</v>
      </c>
      <c r="M14" s="15" t="s">
        <v>13</v>
      </c>
      <c r="N14" s="16">
        <v>2665</v>
      </c>
      <c r="O14" s="16">
        <v>2390</v>
      </c>
      <c r="P14" s="16">
        <v>3579</v>
      </c>
    </row>
    <row r="15" spans="1:16" x14ac:dyDescent="0.25">
      <c r="A15" s="1">
        <v>44726</v>
      </c>
      <c r="B15">
        <v>21</v>
      </c>
      <c r="C15">
        <f t="shared" si="0"/>
        <v>79</v>
      </c>
      <c r="D15">
        <f t="shared" si="1"/>
        <v>72</v>
      </c>
      <c r="E15">
        <f t="shared" si="2"/>
        <v>107</v>
      </c>
      <c r="M15" s="15" t="s">
        <v>10</v>
      </c>
      <c r="N15" s="16">
        <v>8051</v>
      </c>
      <c r="O15" s="16">
        <v>7193</v>
      </c>
      <c r="P15" s="16">
        <v>10781</v>
      </c>
    </row>
    <row r="16" spans="1:16" x14ac:dyDescent="0.25">
      <c r="A16" s="1">
        <v>44727</v>
      </c>
      <c r="B16">
        <v>23</v>
      </c>
      <c r="C16">
        <f t="shared" si="0"/>
        <v>86</v>
      </c>
      <c r="D16">
        <f t="shared" si="1"/>
        <v>77</v>
      </c>
      <c r="E16">
        <f t="shared" si="2"/>
        <v>115</v>
      </c>
    </row>
    <row r="17" spans="1:16" x14ac:dyDescent="0.25">
      <c r="A17" s="1">
        <v>44728</v>
      </c>
      <c r="B17">
        <v>23</v>
      </c>
      <c r="C17">
        <f t="shared" si="0"/>
        <v>86</v>
      </c>
      <c r="D17">
        <f t="shared" si="1"/>
        <v>77</v>
      </c>
      <c r="E17">
        <f t="shared" si="2"/>
        <v>115</v>
      </c>
    </row>
    <row r="18" spans="1:16" x14ac:dyDescent="0.25">
      <c r="A18" s="1">
        <v>44729</v>
      </c>
      <c r="B18">
        <v>16</v>
      </c>
      <c r="C18">
        <f t="shared" si="0"/>
        <v>62</v>
      </c>
      <c r="D18">
        <f t="shared" si="1"/>
        <v>61</v>
      </c>
      <c r="E18">
        <f t="shared" si="2"/>
        <v>86</v>
      </c>
    </row>
    <row r="19" spans="1:16" x14ac:dyDescent="0.25">
      <c r="A19" s="1">
        <v>44730</v>
      </c>
      <c r="B19">
        <v>21</v>
      </c>
      <c r="C19">
        <f t="shared" si="0"/>
        <v>79</v>
      </c>
      <c r="D19">
        <f t="shared" si="1"/>
        <v>72</v>
      </c>
      <c r="E19">
        <f t="shared" si="2"/>
        <v>107</v>
      </c>
    </row>
    <row r="20" spans="1:16" x14ac:dyDescent="0.25">
      <c r="A20" s="1">
        <v>44731</v>
      </c>
      <c r="B20">
        <v>22</v>
      </c>
      <c r="C20">
        <f t="shared" si="0"/>
        <v>83</v>
      </c>
      <c r="D20">
        <f t="shared" si="1"/>
        <v>75</v>
      </c>
      <c r="E20">
        <f t="shared" si="2"/>
        <v>111</v>
      </c>
    </row>
    <row r="21" spans="1:16" x14ac:dyDescent="0.25">
      <c r="A21" s="1">
        <v>44732</v>
      </c>
      <c r="B21">
        <v>22</v>
      </c>
      <c r="C21">
        <f t="shared" si="0"/>
        <v>83</v>
      </c>
      <c r="D21">
        <f t="shared" si="1"/>
        <v>75</v>
      </c>
      <c r="E21">
        <f t="shared" si="2"/>
        <v>111</v>
      </c>
      <c r="M21" t="s">
        <v>17</v>
      </c>
      <c r="N21" t="s">
        <v>14</v>
      </c>
      <c r="O21" t="s">
        <v>15</v>
      </c>
      <c r="P21" t="s">
        <v>16</v>
      </c>
    </row>
    <row r="22" spans="1:16" x14ac:dyDescent="0.25">
      <c r="A22" s="1">
        <v>44733</v>
      </c>
      <c r="B22">
        <v>22</v>
      </c>
      <c r="C22">
        <f t="shared" si="0"/>
        <v>83</v>
      </c>
      <c r="D22">
        <f t="shared" si="1"/>
        <v>75</v>
      </c>
      <c r="E22">
        <f t="shared" si="2"/>
        <v>111</v>
      </c>
      <c r="M22" t="s">
        <v>11</v>
      </c>
      <c r="N22">
        <v>2639</v>
      </c>
      <c r="O22">
        <v>2355</v>
      </c>
      <c r="P22">
        <v>3527</v>
      </c>
    </row>
    <row r="23" spans="1:16" x14ac:dyDescent="0.25">
      <c r="A23" s="1">
        <v>44734</v>
      </c>
      <c r="B23">
        <v>28</v>
      </c>
      <c r="C23">
        <f t="shared" si="0"/>
        <v>103</v>
      </c>
      <c r="D23">
        <f t="shared" si="1"/>
        <v>89</v>
      </c>
      <c r="E23">
        <f t="shared" si="2"/>
        <v>136</v>
      </c>
      <c r="M23" t="s">
        <v>12</v>
      </c>
      <c r="N23">
        <v>2747</v>
      </c>
      <c r="O23">
        <v>2448</v>
      </c>
      <c r="P23">
        <v>3675</v>
      </c>
    </row>
    <row r="24" spans="1:16" x14ac:dyDescent="0.25">
      <c r="A24" s="1">
        <v>44735</v>
      </c>
      <c r="B24">
        <v>31</v>
      </c>
      <c r="C24">
        <f t="shared" si="0"/>
        <v>114</v>
      </c>
      <c r="D24">
        <f t="shared" si="1"/>
        <v>96</v>
      </c>
      <c r="E24">
        <f t="shared" si="2"/>
        <v>148</v>
      </c>
      <c r="M24" t="s">
        <v>13</v>
      </c>
      <c r="N24">
        <v>2665</v>
      </c>
      <c r="O24">
        <v>2390</v>
      </c>
      <c r="P24">
        <v>3579</v>
      </c>
    </row>
    <row r="25" spans="1:16" x14ac:dyDescent="0.25">
      <c r="A25" s="1">
        <v>44736</v>
      </c>
      <c r="B25">
        <v>33</v>
      </c>
      <c r="C25">
        <f t="shared" si="0"/>
        <v>121</v>
      </c>
      <c r="D25">
        <f t="shared" si="1"/>
        <v>101</v>
      </c>
      <c r="E25">
        <f t="shared" si="2"/>
        <v>157</v>
      </c>
    </row>
    <row r="26" spans="1:16" x14ac:dyDescent="0.25">
      <c r="A26" s="1">
        <v>44737</v>
      </c>
      <c r="B26">
        <v>33</v>
      </c>
      <c r="C26">
        <f t="shared" si="0"/>
        <v>121</v>
      </c>
      <c r="D26">
        <f t="shared" si="1"/>
        <v>101</v>
      </c>
      <c r="E26">
        <f t="shared" si="2"/>
        <v>157</v>
      </c>
    </row>
    <row r="27" spans="1:16" x14ac:dyDescent="0.25">
      <c r="A27" s="1">
        <v>44738</v>
      </c>
      <c r="B27">
        <v>23</v>
      </c>
      <c r="C27">
        <f t="shared" si="0"/>
        <v>86</v>
      </c>
      <c r="D27">
        <f t="shared" si="1"/>
        <v>77</v>
      </c>
      <c r="E27">
        <f t="shared" si="2"/>
        <v>115</v>
      </c>
    </row>
    <row r="28" spans="1:16" x14ac:dyDescent="0.25">
      <c r="A28" s="1">
        <v>44739</v>
      </c>
      <c r="B28">
        <v>23</v>
      </c>
      <c r="C28">
        <f t="shared" si="0"/>
        <v>86</v>
      </c>
      <c r="D28">
        <f t="shared" si="1"/>
        <v>77</v>
      </c>
      <c r="E28">
        <f t="shared" si="2"/>
        <v>115</v>
      </c>
    </row>
    <row r="29" spans="1:16" x14ac:dyDescent="0.25">
      <c r="A29" s="1">
        <v>44740</v>
      </c>
      <c r="B29">
        <v>19</v>
      </c>
      <c r="C29">
        <f t="shared" si="0"/>
        <v>72</v>
      </c>
      <c r="D29">
        <f t="shared" si="1"/>
        <v>68</v>
      </c>
      <c r="E29">
        <f t="shared" si="2"/>
        <v>99</v>
      </c>
    </row>
    <row r="30" spans="1:16" x14ac:dyDescent="0.25">
      <c r="A30" s="1">
        <v>44741</v>
      </c>
      <c r="B30">
        <v>24</v>
      </c>
      <c r="C30">
        <f t="shared" si="0"/>
        <v>90</v>
      </c>
      <c r="D30">
        <f t="shared" si="1"/>
        <v>80</v>
      </c>
      <c r="E30">
        <f t="shared" si="2"/>
        <v>120</v>
      </c>
      <c r="M30" t="s">
        <v>17</v>
      </c>
      <c r="N30" t="s">
        <v>11</v>
      </c>
      <c r="O30" t="s">
        <v>12</v>
      </c>
      <c r="P30" t="s">
        <v>13</v>
      </c>
    </row>
    <row r="31" spans="1:16" x14ac:dyDescent="0.25">
      <c r="A31" s="1">
        <v>44742</v>
      </c>
      <c r="B31">
        <v>25</v>
      </c>
      <c r="C31">
        <f t="shared" si="0"/>
        <v>93</v>
      </c>
      <c r="D31">
        <f t="shared" si="1"/>
        <v>82</v>
      </c>
      <c r="E31">
        <f t="shared" si="2"/>
        <v>124</v>
      </c>
      <c r="M31" t="s">
        <v>14</v>
      </c>
      <c r="N31">
        <v>2639</v>
      </c>
      <c r="O31">
        <v>2747</v>
      </c>
      <c r="P31">
        <v>2665</v>
      </c>
    </row>
    <row r="32" spans="1:16" x14ac:dyDescent="0.25">
      <c r="A32" s="1">
        <v>44743</v>
      </c>
      <c r="B32">
        <v>27</v>
      </c>
      <c r="C32">
        <f t="shared" si="0"/>
        <v>100</v>
      </c>
      <c r="D32">
        <f t="shared" si="1"/>
        <v>87</v>
      </c>
      <c r="E32">
        <f t="shared" si="2"/>
        <v>132</v>
      </c>
      <c r="M32" t="s">
        <v>15</v>
      </c>
      <c r="N32">
        <v>2355</v>
      </c>
      <c r="O32">
        <v>2448</v>
      </c>
      <c r="P32">
        <v>2390</v>
      </c>
    </row>
    <row r="33" spans="1:16" x14ac:dyDescent="0.25">
      <c r="A33" s="1">
        <v>44744</v>
      </c>
      <c r="B33">
        <v>27</v>
      </c>
      <c r="C33">
        <f t="shared" si="0"/>
        <v>100</v>
      </c>
      <c r="D33">
        <f t="shared" si="1"/>
        <v>87</v>
      </c>
      <c r="E33">
        <f t="shared" si="2"/>
        <v>132</v>
      </c>
      <c r="M33" t="s">
        <v>16</v>
      </c>
      <c r="N33">
        <v>3527</v>
      </c>
      <c r="O33">
        <v>3675</v>
      </c>
      <c r="P33">
        <v>3579</v>
      </c>
    </row>
    <row r="34" spans="1:16" x14ac:dyDescent="0.25">
      <c r="A34" s="1">
        <v>44745</v>
      </c>
      <c r="B34">
        <v>21</v>
      </c>
      <c r="C34">
        <f t="shared" si="0"/>
        <v>79</v>
      </c>
      <c r="D34">
        <f t="shared" si="1"/>
        <v>72</v>
      </c>
      <c r="E34">
        <f t="shared" si="2"/>
        <v>107</v>
      </c>
    </row>
    <row r="35" spans="1:16" x14ac:dyDescent="0.25">
      <c r="A35" s="1">
        <v>44746</v>
      </c>
      <c r="B35">
        <v>21</v>
      </c>
      <c r="C35">
        <f t="shared" si="0"/>
        <v>79</v>
      </c>
      <c r="D35">
        <f t="shared" si="1"/>
        <v>72</v>
      </c>
      <c r="E35">
        <f t="shared" si="2"/>
        <v>107</v>
      </c>
    </row>
    <row r="36" spans="1:16" x14ac:dyDescent="0.25">
      <c r="A36" s="1">
        <v>44747</v>
      </c>
      <c r="B36">
        <v>25</v>
      </c>
      <c r="C36">
        <f t="shared" si="0"/>
        <v>93</v>
      </c>
      <c r="D36">
        <f t="shared" si="1"/>
        <v>82</v>
      </c>
      <c r="E36">
        <f t="shared" si="2"/>
        <v>124</v>
      </c>
    </row>
    <row r="37" spans="1:16" x14ac:dyDescent="0.25">
      <c r="A37" s="1">
        <v>44748</v>
      </c>
      <c r="B37">
        <v>19</v>
      </c>
      <c r="C37">
        <f t="shared" si="0"/>
        <v>72</v>
      </c>
      <c r="D37">
        <f t="shared" si="1"/>
        <v>68</v>
      </c>
      <c r="E37">
        <f t="shared" si="2"/>
        <v>99</v>
      </c>
    </row>
    <row r="38" spans="1:16" x14ac:dyDescent="0.25">
      <c r="A38" s="1">
        <v>44749</v>
      </c>
      <c r="B38">
        <v>21</v>
      </c>
      <c r="C38">
        <f t="shared" si="0"/>
        <v>79</v>
      </c>
      <c r="D38">
        <f t="shared" si="1"/>
        <v>72</v>
      </c>
      <c r="E38">
        <f t="shared" si="2"/>
        <v>107</v>
      </c>
    </row>
    <row r="39" spans="1:16" x14ac:dyDescent="0.25">
      <c r="A39" s="1">
        <v>44750</v>
      </c>
      <c r="B39">
        <v>24</v>
      </c>
      <c r="C39">
        <f t="shared" si="0"/>
        <v>90</v>
      </c>
      <c r="D39">
        <f t="shared" si="1"/>
        <v>80</v>
      </c>
      <c r="E39">
        <f t="shared" si="2"/>
        <v>120</v>
      </c>
    </row>
    <row r="40" spans="1:16" x14ac:dyDescent="0.25">
      <c r="A40" s="1">
        <v>44751</v>
      </c>
      <c r="B40">
        <v>19</v>
      </c>
      <c r="C40">
        <f t="shared" si="0"/>
        <v>72</v>
      </c>
      <c r="D40">
        <f t="shared" si="1"/>
        <v>68</v>
      </c>
      <c r="E40">
        <f t="shared" si="2"/>
        <v>99</v>
      </c>
    </row>
    <row r="41" spans="1:16" x14ac:dyDescent="0.25">
      <c r="A41" s="1">
        <v>44752</v>
      </c>
      <c r="B41">
        <v>28</v>
      </c>
      <c r="C41">
        <f t="shared" si="0"/>
        <v>103</v>
      </c>
      <c r="D41">
        <f t="shared" si="1"/>
        <v>89</v>
      </c>
      <c r="E41">
        <f t="shared" si="2"/>
        <v>136</v>
      </c>
    </row>
    <row r="42" spans="1:16" x14ac:dyDescent="0.25">
      <c r="A42" s="1">
        <v>44753</v>
      </c>
      <c r="B42">
        <v>27</v>
      </c>
      <c r="C42">
        <f t="shared" si="0"/>
        <v>100</v>
      </c>
      <c r="D42">
        <f t="shared" si="1"/>
        <v>87</v>
      </c>
      <c r="E42">
        <f t="shared" si="2"/>
        <v>132</v>
      </c>
    </row>
    <row r="43" spans="1:16" x14ac:dyDescent="0.25">
      <c r="A43" s="1">
        <v>44754</v>
      </c>
      <c r="B43">
        <v>24</v>
      </c>
      <c r="C43">
        <f t="shared" si="0"/>
        <v>90</v>
      </c>
      <c r="D43">
        <f t="shared" si="1"/>
        <v>80</v>
      </c>
      <c r="E43">
        <f t="shared" si="2"/>
        <v>120</v>
      </c>
    </row>
    <row r="44" spans="1:16" x14ac:dyDescent="0.25">
      <c r="A44" s="1">
        <v>44755</v>
      </c>
      <c r="B44">
        <v>22</v>
      </c>
      <c r="C44">
        <f t="shared" si="0"/>
        <v>83</v>
      </c>
      <c r="D44">
        <f t="shared" si="1"/>
        <v>75</v>
      </c>
      <c r="E44">
        <f t="shared" si="2"/>
        <v>111</v>
      </c>
    </row>
    <row r="45" spans="1:16" x14ac:dyDescent="0.25">
      <c r="A45" s="1">
        <v>44756</v>
      </c>
      <c r="B45">
        <v>17</v>
      </c>
      <c r="C45">
        <f t="shared" si="0"/>
        <v>65</v>
      </c>
      <c r="D45">
        <f t="shared" si="1"/>
        <v>63</v>
      </c>
      <c r="E45">
        <f t="shared" si="2"/>
        <v>91</v>
      </c>
    </row>
    <row r="46" spans="1:16" x14ac:dyDescent="0.25">
      <c r="A46" s="1">
        <v>44757</v>
      </c>
      <c r="B46">
        <v>18</v>
      </c>
      <c r="C46">
        <f t="shared" si="0"/>
        <v>69</v>
      </c>
      <c r="D46">
        <f t="shared" si="1"/>
        <v>65</v>
      </c>
      <c r="E46">
        <f t="shared" si="2"/>
        <v>95</v>
      </c>
    </row>
    <row r="47" spans="1:16" x14ac:dyDescent="0.25">
      <c r="A47" s="1">
        <v>44758</v>
      </c>
      <c r="B47">
        <v>23</v>
      </c>
      <c r="C47">
        <f t="shared" si="0"/>
        <v>86</v>
      </c>
      <c r="D47">
        <f t="shared" si="1"/>
        <v>77</v>
      </c>
      <c r="E47">
        <f t="shared" si="2"/>
        <v>115</v>
      </c>
    </row>
    <row r="48" spans="1:16" x14ac:dyDescent="0.25">
      <c r="A48" s="1">
        <v>44759</v>
      </c>
      <c r="B48">
        <v>23</v>
      </c>
      <c r="C48">
        <f t="shared" si="0"/>
        <v>86</v>
      </c>
      <c r="D48">
        <f t="shared" si="1"/>
        <v>77</v>
      </c>
      <c r="E48">
        <f t="shared" si="2"/>
        <v>115</v>
      </c>
    </row>
    <row r="49" spans="1:5" x14ac:dyDescent="0.25">
      <c r="A49" s="1">
        <v>44760</v>
      </c>
      <c r="B49">
        <v>19</v>
      </c>
      <c r="C49">
        <f t="shared" si="0"/>
        <v>72</v>
      </c>
      <c r="D49">
        <f t="shared" si="1"/>
        <v>68</v>
      </c>
      <c r="E49">
        <f t="shared" si="2"/>
        <v>99</v>
      </c>
    </row>
    <row r="50" spans="1:5" x14ac:dyDescent="0.25">
      <c r="A50" s="1">
        <v>44761</v>
      </c>
      <c r="B50">
        <v>21</v>
      </c>
      <c r="C50">
        <f t="shared" si="0"/>
        <v>79</v>
      </c>
      <c r="D50">
        <f t="shared" si="1"/>
        <v>72</v>
      </c>
      <c r="E50">
        <f t="shared" si="2"/>
        <v>107</v>
      </c>
    </row>
    <row r="51" spans="1:5" x14ac:dyDescent="0.25">
      <c r="A51" s="1">
        <v>44762</v>
      </c>
      <c r="B51">
        <v>25</v>
      </c>
      <c r="C51">
        <f t="shared" si="0"/>
        <v>93</v>
      </c>
      <c r="D51">
        <f t="shared" si="1"/>
        <v>82</v>
      </c>
      <c r="E51">
        <f t="shared" si="2"/>
        <v>124</v>
      </c>
    </row>
    <row r="52" spans="1:5" x14ac:dyDescent="0.25">
      <c r="A52" s="1">
        <v>44763</v>
      </c>
      <c r="B52">
        <v>28</v>
      </c>
      <c r="C52">
        <f t="shared" si="0"/>
        <v>103</v>
      </c>
      <c r="D52">
        <f t="shared" si="1"/>
        <v>89</v>
      </c>
      <c r="E52">
        <f t="shared" si="2"/>
        <v>136</v>
      </c>
    </row>
    <row r="53" spans="1:5" x14ac:dyDescent="0.25">
      <c r="A53" s="1">
        <v>44764</v>
      </c>
      <c r="B53">
        <v>27</v>
      </c>
      <c r="C53">
        <f t="shared" si="0"/>
        <v>100</v>
      </c>
      <c r="D53">
        <f t="shared" si="1"/>
        <v>87</v>
      </c>
      <c r="E53">
        <f t="shared" si="2"/>
        <v>132</v>
      </c>
    </row>
    <row r="54" spans="1:5" x14ac:dyDescent="0.25">
      <c r="A54" s="1">
        <v>44765</v>
      </c>
      <c r="B54">
        <v>23</v>
      </c>
      <c r="C54">
        <f t="shared" si="0"/>
        <v>86</v>
      </c>
      <c r="D54">
        <f t="shared" si="1"/>
        <v>77</v>
      </c>
      <c r="E54">
        <f t="shared" si="2"/>
        <v>115</v>
      </c>
    </row>
    <row r="55" spans="1:5" x14ac:dyDescent="0.25">
      <c r="A55" s="1">
        <v>44766</v>
      </c>
      <c r="B55">
        <v>26</v>
      </c>
      <c r="C55">
        <f t="shared" si="0"/>
        <v>96</v>
      </c>
      <c r="D55">
        <f t="shared" si="1"/>
        <v>84</v>
      </c>
      <c r="E55">
        <f t="shared" si="2"/>
        <v>128</v>
      </c>
    </row>
    <row r="56" spans="1:5" x14ac:dyDescent="0.25">
      <c r="A56" s="1">
        <v>44767</v>
      </c>
      <c r="B56">
        <v>29</v>
      </c>
      <c r="C56">
        <f t="shared" si="0"/>
        <v>107</v>
      </c>
      <c r="D56">
        <f t="shared" si="1"/>
        <v>91</v>
      </c>
      <c r="E56">
        <f t="shared" si="2"/>
        <v>140</v>
      </c>
    </row>
    <row r="57" spans="1:5" x14ac:dyDescent="0.25">
      <c r="A57" s="1">
        <v>44768</v>
      </c>
      <c r="B57">
        <v>26</v>
      </c>
      <c r="C57">
        <f t="shared" si="0"/>
        <v>96</v>
      </c>
      <c r="D57">
        <f t="shared" si="1"/>
        <v>84</v>
      </c>
      <c r="E57">
        <f t="shared" si="2"/>
        <v>128</v>
      </c>
    </row>
    <row r="58" spans="1:5" x14ac:dyDescent="0.25">
      <c r="A58" s="1">
        <v>44769</v>
      </c>
      <c r="B58">
        <v>27</v>
      </c>
      <c r="C58">
        <f t="shared" si="0"/>
        <v>100</v>
      </c>
      <c r="D58">
        <f t="shared" si="1"/>
        <v>87</v>
      </c>
      <c r="E58">
        <f t="shared" si="2"/>
        <v>132</v>
      </c>
    </row>
    <row r="59" spans="1:5" x14ac:dyDescent="0.25">
      <c r="A59" s="1">
        <v>44770</v>
      </c>
      <c r="B59">
        <v>24</v>
      </c>
      <c r="C59">
        <f t="shared" si="0"/>
        <v>90</v>
      </c>
      <c r="D59">
        <f t="shared" si="1"/>
        <v>80</v>
      </c>
      <c r="E59">
        <f t="shared" si="2"/>
        <v>120</v>
      </c>
    </row>
    <row r="60" spans="1:5" x14ac:dyDescent="0.25">
      <c r="A60" s="1">
        <v>44771</v>
      </c>
      <c r="B60">
        <v>26</v>
      </c>
      <c r="C60">
        <f t="shared" si="0"/>
        <v>96</v>
      </c>
      <c r="D60">
        <f t="shared" si="1"/>
        <v>84</v>
      </c>
      <c r="E60">
        <f t="shared" si="2"/>
        <v>128</v>
      </c>
    </row>
    <row r="61" spans="1:5" x14ac:dyDescent="0.25">
      <c r="A61" s="1">
        <v>44772</v>
      </c>
      <c r="B61">
        <v>25</v>
      </c>
      <c r="C61">
        <f t="shared" si="0"/>
        <v>93</v>
      </c>
      <c r="D61">
        <f t="shared" si="1"/>
        <v>82</v>
      </c>
      <c r="E61">
        <f t="shared" si="2"/>
        <v>124</v>
      </c>
    </row>
    <row r="62" spans="1:5" x14ac:dyDescent="0.25">
      <c r="A62" s="1">
        <v>44773</v>
      </c>
      <c r="B62">
        <v>24</v>
      </c>
      <c r="C62">
        <f t="shared" si="0"/>
        <v>90</v>
      </c>
      <c r="D62">
        <f t="shared" si="1"/>
        <v>80</v>
      </c>
      <c r="E62">
        <f t="shared" si="2"/>
        <v>120</v>
      </c>
    </row>
    <row r="63" spans="1:5" x14ac:dyDescent="0.25">
      <c r="A63" s="1">
        <v>44774</v>
      </c>
      <c r="B63">
        <v>22</v>
      </c>
      <c r="C63">
        <f t="shared" si="0"/>
        <v>83</v>
      </c>
      <c r="D63">
        <f t="shared" si="1"/>
        <v>75</v>
      </c>
      <c r="E63">
        <f t="shared" si="2"/>
        <v>111</v>
      </c>
    </row>
    <row r="64" spans="1:5" x14ac:dyDescent="0.25">
      <c r="A64" s="1">
        <v>44775</v>
      </c>
      <c r="B64">
        <v>19</v>
      </c>
      <c r="C64">
        <f t="shared" si="0"/>
        <v>72</v>
      </c>
      <c r="D64">
        <f t="shared" si="1"/>
        <v>68</v>
      </c>
      <c r="E64">
        <f t="shared" si="2"/>
        <v>99</v>
      </c>
    </row>
    <row r="65" spans="1:5" x14ac:dyDescent="0.25">
      <c r="A65" s="1">
        <v>44776</v>
      </c>
      <c r="B65">
        <v>21</v>
      </c>
      <c r="C65">
        <f t="shared" si="0"/>
        <v>79</v>
      </c>
      <c r="D65">
        <f t="shared" si="1"/>
        <v>72</v>
      </c>
      <c r="E65">
        <f t="shared" si="2"/>
        <v>107</v>
      </c>
    </row>
    <row r="66" spans="1:5" x14ac:dyDescent="0.25">
      <c r="A66" s="1">
        <v>44777</v>
      </c>
      <c r="B66">
        <v>26</v>
      </c>
      <c r="C66">
        <f t="shared" si="0"/>
        <v>96</v>
      </c>
      <c r="D66">
        <f t="shared" si="1"/>
        <v>84</v>
      </c>
      <c r="E66">
        <f t="shared" si="2"/>
        <v>128</v>
      </c>
    </row>
    <row r="67" spans="1:5" x14ac:dyDescent="0.25">
      <c r="A67" s="1">
        <v>44778</v>
      </c>
      <c r="B67">
        <v>19</v>
      </c>
      <c r="C67">
        <f t="shared" si="0"/>
        <v>72</v>
      </c>
      <c r="D67">
        <f t="shared" si="1"/>
        <v>68</v>
      </c>
      <c r="E67">
        <f t="shared" si="2"/>
        <v>99</v>
      </c>
    </row>
    <row r="68" spans="1:5" x14ac:dyDescent="0.25">
      <c r="A68" s="1">
        <v>44779</v>
      </c>
      <c r="B68">
        <v>21</v>
      </c>
      <c r="C68">
        <f t="shared" ref="C68:C93" si="3">ROUNDDOWN($C$2 * (1 + (1/13)*((B68-24)/2)),0)</f>
        <v>79</v>
      </c>
      <c r="D68">
        <f t="shared" ref="D68:D93" si="4">ROUNDDOWN($D$2 * (1 + (1/17)*((B68-24)/2)),0)</f>
        <v>72</v>
      </c>
      <c r="E68">
        <f t="shared" ref="E68:E93" si="5">ROUNDDOWN($E$2 * (1 + (2/29)*((B68-24)/2)),0)</f>
        <v>107</v>
      </c>
    </row>
    <row r="69" spans="1:5" x14ac:dyDescent="0.25">
      <c r="A69" s="1">
        <v>44780</v>
      </c>
      <c r="B69">
        <v>23</v>
      </c>
      <c r="C69">
        <f t="shared" si="3"/>
        <v>86</v>
      </c>
      <c r="D69">
        <f t="shared" si="4"/>
        <v>77</v>
      </c>
      <c r="E69">
        <f t="shared" si="5"/>
        <v>115</v>
      </c>
    </row>
    <row r="70" spans="1:5" x14ac:dyDescent="0.25">
      <c r="A70" s="1">
        <v>44781</v>
      </c>
      <c r="B70">
        <v>27</v>
      </c>
      <c r="C70">
        <f t="shared" si="3"/>
        <v>100</v>
      </c>
      <c r="D70">
        <f t="shared" si="4"/>
        <v>87</v>
      </c>
      <c r="E70">
        <f t="shared" si="5"/>
        <v>132</v>
      </c>
    </row>
    <row r="71" spans="1:5" x14ac:dyDescent="0.25">
      <c r="A71" s="1">
        <v>44782</v>
      </c>
      <c r="B71">
        <v>20</v>
      </c>
      <c r="C71">
        <f t="shared" si="3"/>
        <v>76</v>
      </c>
      <c r="D71">
        <f t="shared" si="4"/>
        <v>70</v>
      </c>
      <c r="E71">
        <f t="shared" si="5"/>
        <v>103</v>
      </c>
    </row>
    <row r="72" spans="1:5" x14ac:dyDescent="0.25">
      <c r="A72" s="1">
        <v>44783</v>
      </c>
      <c r="B72">
        <v>18</v>
      </c>
      <c r="C72">
        <f t="shared" si="3"/>
        <v>69</v>
      </c>
      <c r="D72">
        <f t="shared" si="4"/>
        <v>65</v>
      </c>
      <c r="E72">
        <f t="shared" si="5"/>
        <v>95</v>
      </c>
    </row>
    <row r="73" spans="1:5" x14ac:dyDescent="0.25">
      <c r="A73" s="1">
        <v>44784</v>
      </c>
      <c r="B73">
        <v>17</v>
      </c>
      <c r="C73">
        <f t="shared" si="3"/>
        <v>65</v>
      </c>
      <c r="D73">
        <f t="shared" si="4"/>
        <v>63</v>
      </c>
      <c r="E73">
        <f t="shared" si="5"/>
        <v>91</v>
      </c>
    </row>
    <row r="74" spans="1:5" x14ac:dyDescent="0.25">
      <c r="A74" s="1">
        <v>44785</v>
      </c>
      <c r="B74">
        <v>19</v>
      </c>
      <c r="C74">
        <f t="shared" si="3"/>
        <v>72</v>
      </c>
      <c r="D74">
        <f t="shared" si="4"/>
        <v>68</v>
      </c>
      <c r="E74">
        <f t="shared" si="5"/>
        <v>99</v>
      </c>
    </row>
    <row r="75" spans="1:5" x14ac:dyDescent="0.25">
      <c r="A75" s="1">
        <v>44786</v>
      </c>
      <c r="B75">
        <v>26</v>
      </c>
      <c r="C75">
        <f t="shared" si="3"/>
        <v>96</v>
      </c>
      <c r="D75">
        <f t="shared" si="4"/>
        <v>84</v>
      </c>
      <c r="E75">
        <f t="shared" si="5"/>
        <v>128</v>
      </c>
    </row>
    <row r="76" spans="1:5" x14ac:dyDescent="0.25">
      <c r="A76" s="1">
        <v>44787</v>
      </c>
      <c r="B76">
        <v>21</v>
      </c>
      <c r="C76">
        <f t="shared" si="3"/>
        <v>79</v>
      </c>
      <c r="D76">
        <f t="shared" si="4"/>
        <v>72</v>
      </c>
      <c r="E76">
        <f t="shared" si="5"/>
        <v>107</v>
      </c>
    </row>
    <row r="77" spans="1:5" x14ac:dyDescent="0.25">
      <c r="A77" s="1">
        <v>44788</v>
      </c>
      <c r="B77">
        <v>19</v>
      </c>
      <c r="C77">
        <f t="shared" si="3"/>
        <v>72</v>
      </c>
      <c r="D77">
        <f t="shared" si="4"/>
        <v>68</v>
      </c>
      <c r="E77">
        <f t="shared" si="5"/>
        <v>99</v>
      </c>
    </row>
    <row r="78" spans="1:5" x14ac:dyDescent="0.25">
      <c r="A78" s="1">
        <v>44789</v>
      </c>
      <c r="B78">
        <v>19</v>
      </c>
      <c r="C78">
        <f t="shared" si="3"/>
        <v>72</v>
      </c>
      <c r="D78">
        <f t="shared" si="4"/>
        <v>68</v>
      </c>
      <c r="E78">
        <f t="shared" si="5"/>
        <v>99</v>
      </c>
    </row>
    <row r="79" spans="1:5" x14ac:dyDescent="0.25">
      <c r="A79" s="1">
        <v>44790</v>
      </c>
      <c r="B79">
        <v>21</v>
      </c>
      <c r="C79">
        <f t="shared" si="3"/>
        <v>79</v>
      </c>
      <c r="D79">
        <f t="shared" si="4"/>
        <v>72</v>
      </c>
      <c r="E79">
        <f t="shared" si="5"/>
        <v>107</v>
      </c>
    </row>
    <row r="80" spans="1:5" x14ac:dyDescent="0.25">
      <c r="A80" s="1">
        <v>44791</v>
      </c>
      <c r="B80">
        <v>21</v>
      </c>
      <c r="C80">
        <f t="shared" si="3"/>
        <v>79</v>
      </c>
      <c r="D80">
        <f t="shared" si="4"/>
        <v>72</v>
      </c>
      <c r="E80">
        <f t="shared" si="5"/>
        <v>107</v>
      </c>
    </row>
    <row r="81" spans="1:5" x14ac:dyDescent="0.25">
      <c r="A81" s="1">
        <v>44792</v>
      </c>
      <c r="B81">
        <v>24</v>
      </c>
      <c r="C81">
        <f t="shared" si="3"/>
        <v>90</v>
      </c>
      <c r="D81">
        <f t="shared" si="4"/>
        <v>80</v>
      </c>
      <c r="E81">
        <f t="shared" si="5"/>
        <v>120</v>
      </c>
    </row>
    <row r="82" spans="1:5" x14ac:dyDescent="0.25">
      <c r="A82" s="1">
        <v>44793</v>
      </c>
      <c r="B82">
        <v>26</v>
      </c>
      <c r="C82">
        <f t="shared" si="3"/>
        <v>96</v>
      </c>
      <c r="D82">
        <f t="shared" si="4"/>
        <v>84</v>
      </c>
      <c r="E82">
        <f t="shared" si="5"/>
        <v>128</v>
      </c>
    </row>
    <row r="83" spans="1:5" x14ac:dyDescent="0.25">
      <c r="A83" s="1">
        <v>44794</v>
      </c>
      <c r="B83">
        <v>23</v>
      </c>
      <c r="C83">
        <f t="shared" si="3"/>
        <v>86</v>
      </c>
      <c r="D83">
        <f t="shared" si="4"/>
        <v>77</v>
      </c>
      <c r="E83">
        <f t="shared" si="5"/>
        <v>115</v>
      </c>
    </row>
    <row r="84" spans="1:5" x14ac:dyDescent="0.25">
      <c r="A84" s="1">
        <v>44795</v>
      </c>
      <c r="B84">
        <v>23</v>
      </c>
      <c r="C84">
        <f t="shared" si="3"/>
        <v>86</v>
      </c>
      <c r="D84">
        <f t="shared" si="4"/>
        <v>77</v>
      </c>
      <c r="E84">
        <f t="shared" si="5"/>
        <v>115</v>
      </c>
    </row>
    <row r="85" spans="1:5" x14ac:dyDescent="0.25">
      <c r="A85" s="1">
        <v>44796</v>
      </c>
      <c r="B85">
        <v>24</v>
      </c>
      <c r="C85">
        <f t="shared" si="3"/>
        <v>90</v>
      </c>
      <c r="D85">
        <f t="shared" si="4"/>
        <v>80</v>
      </c>
      <c r="E85">
        <f t="shared" si="5"/>
        <v>120</v>
      </c>
    </row>
    <row r="86" spans="1:5" x14ac:dyDescent="0.25">
      <c r="A86" s="1">
        <v>44797</v>
      </c>
      <c r="B86">
        <v>26</v>
      </c>
      <c r="C86">
        <f t="shared" si="3"/>
        <v>96</v>
      </c>
      <c r="D86">
        <f t="shared" si="4"/>
        <v>84</v>
      </c>
      <c r="E86">
        <f t="shared" si="5"/>
        <v>128</v>
      </c>
    </row>
    <row r="87" spans="1:5" x14ac:dyDescent="0.25">
      <c r="A87" s="1">
        <v>44798</v>
      </c>
      <c r="B87">
        <v>28</v>
      </c>
      <c r="C87">
        <f t="shared" si="3"/>
        <v>103</v>
      </c>
      <c r="D87">
        <f t="shared" si="4"/>
        <v>89</v>
      </c>
      <c r="E87">
        <f t="shared" si="5"/>
        <v>136</v>
      </c>
    </row>
    <row r="88" spans="1:5" x14ac:dyDescent="0.25">
      <c r="A88" s="1">
        <v>44799</v>
      </c>
      <c r="B88">
        <v>32</v>
      </c>
      <c r="C88">
        <f t="shared" si="3"/>
        <v>117</v>
      </c>
      <c r="D88">
        <f t="shared" si="4"/>
        <v>98</v>
      </c>
      <c r="E88">
        <f t="shared" si="5"/>
        <v>153</v>
      </c>
    </row>
    <row r="89" spans="1:5" x14ac:dyDescent="0.25">
      <c r="A89" s="1">
        <v>44800</v>
      </c>
      <c r="B89">
        <v>26</v>
      </c>
      <c r="C89">
        <f t="shared" si="3"/>
        <v>96</v>
      </c>
      <c r="D89">
        <f t="shared" si="4"/>
        <v>84</v>
      </c>
      <c r="E89">
        <f t="shared" si="5"/>
        <v>128</v>
      </c>
    </row>
    <row r="90" spans="1:5" x14ac:dyDescent="0.25">
      <c r="A90" s="1">
        <v>44801</v>
      </c>
      <c r="B90">
        <v>32</v>
      </c>
      <c r="C90">
        <f t="shared" si="3"/>
        <v>117</v>
      </c>
      <c r="D90">
        <f t="shared" si="4"/>
        <v>98</v>
      </c>
      <c r="E90">
        <f t="shared" si="5"/>
        <v>153</v>
      </c>
    </row>
    <row r="91" spans="1:5" x14ac:dyDescent="0.25">
      <c r="A91" s="1">
        <v>44802</v>
      </c>
      <c r="B91">
        <v>23</v>
      </c>
      <c r="C91">
        <f t="shared" si="3"/>
        <v>86</v>
      </c>
      <c r="D91">
        <f t="shared" si="4"/>
        <v>77</v>
      </c>
      <c r="E91">
        <f t="shared" si="5"/>
        <v>115</v>
      </c>
    </row>
    <row r="92" spans="1:5" x14ac:dyDescent="0.25">
      <c r="A92" s="1">
        <v>44803</v>
      </c>
      <c r="B92">
        <v>22</v>
      </c>
      <c r="C92">
        <f t="shared" si="3"/>
        <v>83</v>
      </c>
      <c r="D92">
        <f t="shared" si="4"/>
        <v>75</v>
      </c>
      <c r="E92">
        <f t="shared" si="5"/>
        <v>111</v>
      </c>
    </row>
    <row r="93" spans="1:5" x14ac:dyDescent="0.25">
      <c r="A93" s="1">
        <v>44804</v>
      </c>
      <c r="B93">
        <v>25</v>
      </c>
      <c r="C93">
        <f t="shared" si="3"/>
        <v>93</v>
      </c>
      <c r="D93">
        <f t="shared" si="4"/>
        <v>82</v>
      </c>
      <c r="E93">
        <f t="shared" si="5"/>
        <v>124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F30F-05D2-4519-940A-4118A192BD25}">
  <dimension ref="A1:Q93"/>
  <sheetViews>
    <sheetView workbookViewId="0">
      <selection activeCell="C20" sqref="C20"/>
    </sheetView>
  </sheetViews>
  <sheetFormatPr defaultRowHeight="15" x14ac:dyDescent="0.25"/>
  <cols>
    <col min="1" max="1" width="10.140625" bestFit="1" customWidth="1"/>
    <col min="2" max="2" width="12.42578125" bestFit="1" customWidth="1"/>
    <col min="4" max="4" width="10.140625" bestFit="1" customWidth="1"/>
    <col min="11" max="11" width="10.140625" bestFit="1" customWidth="1"/>
    <col min="13" max="14" width="10" bestFit="1" customWidth="1"/>
    <col min="15" max="18" width="11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I1">
        <v>0</v>
      </c>
    </row>
    <row r="2" spans="1:17" x14ac:dyDescent="0.25">
      <c r="A2" s="1">
        <v>44713</v>
      </c>
      <c r="B2">
        <v>24</v>
      </c>
      <c r="C2">
        <v>90</v>
      </c>
      <c r="D2">
        <v>80</v>
      </c>
      <c r="E2">
        <v>120</v>
      </c>
      <c r="F2">
        <f>C2*L$3</f>
        <v>630</v>
      </c>
      <c r="G2">
        <f>D2*M$3</f>
        <v>480</v>
      </c>
      <c r="H2">
        <f>E2*N$3</f>
        <v>600</v>
      </c>
      <c r="I2">
        <f>SUM(F2:H2)+I1</f>
        <v>1710</v>
      </c>
      <c r="L2" t="s">
        <v>7</v>
      </c>
      <c r="M2" t="s">
        <v>6</v>
      </c>
      <c r="N2" t="s">
        <v>5</v>
      </c>
    </row>
    <row r="3" spans="1:17" x14ac:dyDescent="0.25">
      <c r="A3" s="1">
        <v>44714</v>
      </c>
      <c r="B3">
        <v>25</v>
      </c>
      <c r="C3">
        <f>ROUNDDOWN($C$2 * (1 + (1/13)*((B3-24)/2)),0)</f>
        <v>93</v>
      </c>
      <c r="D3">
        <f>ROUNDDOWN($D$2 * (1 + (1/17)*((B3-24)/2)),0)</f>
        <v>82</v>
      </c>
      <c r="E3">
        <f>ROUNDDOWN($E$2 * (1 + (2/29)*((B3-24)/2)),0)</f>
        <v>124</v>
      </c>
      <c r="F3">
        <f t="shared" ref="F3:F9" si="0">C3*L$3</f>
        <v>651</v>
      </c>
      <c r="G3">
        <f t="shared" ref="G3:G9" si="1">D3*M$3</f>
        <v>492</v>
      </c>
      <c r="H3">
        <f t="shared" ref="H3:H9" si="2">E3*N$3</f>
        <v>620</v>
      </c>
      <c r="I3">
        <f t="shared" ref="I3:I66" si="3">SUM(F3:H3)+I2</f>
        <v>3473</v>
      </c>
      <c r="L3">
        <v>7</v>
      </c>
      <c r="M3">
        <v>6</v>
      </c>
      <c r="N3">
        <v>5</v>
      </c>
    </row>
    <row r="4" spans="1:17" x14ac:dyDescent="0.25">
      <c r="A4" s="1">
        <v>44715</v>
      </c>
      <c r="B4">
        <v>27</v>
      </c>
      <c r="C4">
        <f t="shared" ref="C4:C67" si="4">ROUNDDOWN($C$2 * (1 + (1/13)*((B4-24)/2)),0)</f>
        <v>100</v>
      </c>
      <c r="D4">
        <f t="shared" ref="D4:D67" si="5">ROUNDDOWN($D$2 * (1 + (1/17)*((B4-24)/2)),0)</f>
        <v>87</v>
      </c>
      <c r="E4">
        <f t="shared" ref="E4:E67" si="6">ROUNDDOWN($E$2 * (1 + (2/29)*((B4-24)/2)),0)</f>
        <v>132</v>
      </c>
      <c r="F4">
        <f t="shared" si="0"/>
        <v>700</v>
      </c>
      <c r="G4">
        <f t="shared" si="1"/>
        <v>522</v>
      </c>
      <c r="H4">
        <f t="shared" si="2"/>
        <v>660</v>
      </c>
      <c r="I4">
        <f t="shared" si="3"/>
        <v>5355</v>
      </c>
      <c r="M4" s="4"/>
      <c r="N4" s="4"/>
      <c r="O4" s="4"/>
    </row>
    <row r="5" spans="1:17" x14ac:dyDescent="0.25">
      <c r="A5" s="1">
        <v>44716</v>
      </c>
      <c r="B5">
        <v>27</v>
      </c>
      <c r="C5">
        <f t="shared" si="4"/>
        <v>100</v>
      </c>
      <c r="D5">
        <f t="shared" si="5"/>
        <v>87</v>
      </c>
      <c r="E5">
        <f t="shared" si="6"/>
        <v>132</v>
      </c>
      <c r="F5">
        <f t="shared" si="0"/>
        <v>700</v>
      </c>
      <c r="G5">
        <f t="shared" si="1"/>
        <v>522</v>
      </c>
      <c r="H5">
        <f t="shared" si="2"/>
        <v>660</v>
      </c>
      <c r="I5">
        <f t="shared" si="3"/>
        <v>7237</v>
      </c>
    </row>
    <row r="6" spans="1:17" x14ac:dyDescent="0.25">
      <c r="A6" s="1">
        <v>44717</v>
      </c>
      <c r="B6">
        <v>27</v>
      </c>
      <c r="C6">
        <f t="shared" si="4"/>
        <v>100</v>
      </c>
      <c r="D6">
        <f t="shared" si="5"/>
        <v>87</v>
      </c>
      <c r="E6">
        <f t="shared" si="6"/>
        <v>132</v>
      </c>
      <c r="F6">
        <f t="shared" si="0"/>
        <v>700</v>
      </c>
      <c r="G6">
        <f t="shared" si="1"/>
        <v>522</v>
      </c>
      <c r="H6">
        <f t="shared" si="2"/>
        <v>660</v>
      </c>
      <c r="I6">
        <f t="shared" si="3"/>
        <v>9119</v>
      </c>
    </row>
    <row r="7" spans="1:17" x14ac:dyDescent="0.25">
      <c r="A7" s="1">
        <v>44718</v>
      </c>
      <c r="B7">
        <v>22</v>
      </c>
      <c r="C7">
        <f t="shared" si="4"/>
        <v>83</v>
      </c>
      <c r="D7">
        <f t="shared" si="5"/>
        <v>75</v>
      </c>
      <c r="E7">
        <f t="shared" si="6"/>
        <v>111</v>
      </c>
      <c r="F7">
        <f t="shared" si="0"/>
        <v>581</v>
      </c>
      <c r="G7">
        <f t="shared" si="1"/>
        <v>450</v>
      </c>
      <c r="H7">
        <f t="shared" si="2"/>
        <v>555</v>
      </c>
      <c r="I7">
        <f t="shared" si="3"/>
        <v>10705</v>
      </c>
    </row>
    <row r="8" spans="1:17" x14ac:dyDescent="0.25">
      <c r="A8" s="1">
        <v>44719</v>
      </c>
      <c r="B8">
        <v>25</v>
      </c>
      <c r="C8">
        <f t="shared" si="4"/>
        <v>93</v>
      </c>
      <c r="D8">
        <f t="shared" si="5"/>
        <v>82</v>
      </c>
      <c r="E8">
        <f t="shared" si="6"/>
        <v>124</v>
      </c>
      <c r="F8">
        <f t="shared" si="0"/>
        <v>651</v>
      </c>
      <c r="G8">
        <f t="shared" si="1"/>
        <v>492</v>
      </c>
      <c r="H8">
        <f t="shared" si="2"/>
        <v>620</v>
      </c>
      <c r="I8">
        <f t="shared" si="3"/>
        <v>12468</v>
      </c>
    </row>
    <row r="9" spans="1:17" x14ac:dyDescent="0.25">
      <c r="A9" s="1">
        <v>44720</v>
      </c>
      <c r="B9">
        <v>25</v>
      </c>
      <c r="C9">
        <f t="shared" si="4"/>
        <v>93</v>
      </c>
      <c r="D9">
        <f t="shared" si="5"/>
        <v>82</v>
      </c>
      <c r="E9">
        <f t="shared" si="6"/>
        <v>124</v>
      </c>
      <c r="F9">
        <f t="shared" si="0"/>
        <v>651</v>
      </c>
      <c r="G9">
        <f t="shared" si="1"/>
        <v>492</v>
      </c>
      <c r="H9">
        <f t="shared" si="2"/>
        <v>620</v>
      </c>
      <c r="I9">
        <f t="shared" si="3"/>
        <v>14231</v>
      </c>
    </row>
    <row r="10" spans="1:17" x14ac:dyDescent="0.25">
      <c r="A10" s="1">
        <v>44721</v>
      </c>
      <c r="B10">
        <v>21</v>
      </c>
      <c r="C10">
        <f t="shared" si="4"/>
        <v>79</v>
      </c>
      <c r="D10">
        <f t="shared" si="5"/>
        <v>72</v>
      </c>
      <c r="E10">
        <f t="shared" si="6"/>
        <v>107</v>
      </c>
      <c r="F10">
        <f t="shared" ref="F10:F73" si="7">C10*L$3</f>
        <v>553</v>
      </c>
      <c r="G10">
        <f t="shared" ref="G10:G73" si="8">D10*M$3</f>
        <v>432</v>
      </c>
      <c r="H10">
        <f t="shared" ref="H10:H73" si="9">E10*N$3</f>
        <v>535</v>
      </c>
      <c r="I10">
        <f t="shared" si="3"/>
        <v>15751</v>
      </c>
    </row>
    <row r="11" spans="1:17" x14ac:dyDescent="0.25">
      <c r="A11" s="1">
        <v>44722</v>
      </c>
      <c r="B11">
        <v>21</v>
      </c>
      <c r="C11">
        <f t="shared" si="4"/>
        <v>79</v>
      </c>
      <c r="D11">
        <f t="shared" si="5"/>
        <v>72</v>
      </c>
      <c r="E11">
        <f t="shared" si="6"/>
        <v>107</v>
      </c>
      <c r="F11">
        <f t="shared" si="7"/>
        <v>553</v>
      </c>
      <c r="G11">
        <f t="shared" si="8"/>
        <v>432</v>
      </c>
      <c r="H11">
        <f t="shared" si="9"/>
        <v>535</v>
      </c>
      <c r="I11">
        <f t="shared" si="3"/>
        <v>17271</v>
      </c>
      <c r="O11" s="5"/>
      <c r="P11" s="6"/>
      <c r="Q11" s="7"/>
    </row>
    <row r="12" spans="1:17" x14ac:dyDescent="0.25">
      <c r="A12" s="1">
        <v>44723</v>
      </c>
      <c r="B12">
        <v>19</v>
      </c>
      <c r="C12">
        <f t="shared" si="4"/>
        <v>72</v>
      </c>
      <c r="D12">
        <f t="shared" si="5"/>
        <v>68</v>
      </c>
      <c r="E12">
        <f t="shared" si="6"/>
        <v>99</v>
      </c>
      <c r="F12">
        <f t="shared" si="7"/>
        <v>504</v>
      </c>
      <c r="G12">
        <f t="shared" si="8"/>
        <v>408</v>
      </c>
      <c r="H12">
        <f t="shared" si="9"/>
        <v>495</v>
      </c>
      <c r="I12">
        <f t="shared" si="3"/>
        <v>18678</v>
      </c>
      <c r="O12" s="8"/>
      <c r="P12" s="9"/>
      <c r="Q12" s="10"/>
    </row>
    <row r="13" spans="1:17" x14ac:dyDescent="0.25">
      <c r="A13" s="1">
        <v>44724</v>
      </c>
      <c r="B13">
        <v>19</v>
      </c>
      <c r="C13">
        <f t="shared" si="4"/>
        <v>72</v>
      </c>
      <c r="D13">
        <f t="shared" si="5"/>
        <v>68</v>
      </c>
      <c r="E13">
        <f t="shared" si="6"/>
        <v>99</v>
      </c>
      <c r="F13">
        <f t="shared" si="7"/>
        <v>504</v>
      </c>
      <c r="G13">
        <f t="shared" si="8"/>
        <v>408</v>
      </c>
      <c r="H13">
        <f t="shared" si="9"/>
        <v>495</v>
      </c>
      <c r="I13">
        <f t="shared" si="3"/>
        <v>20085</v>
      </c>
      <c r="O13" s="8"/>
      <c r="P13" s="9"/>
      <c r="Q13" s="10"/>
    </row>
    <row r="14" spans="1:17" x14ac:dyDescent="0.25">
      <c r="A14" s="1">
        <v>44725</v>
      </c>
      <c r="B14">
        <v>15</v>
      </c>
      <c r="C14">
        <f t="shared" si="4"/>
        <v>58</v>
      </c>
      <c r="D14">
        <f t="shared" si="5"/>
        <v>58</v>
      </c>
      <c r="E14">
        <f t="shared" si="6"/>
        <v>82</v>
      </c>
      <c r="F14">
        <f t="shared" si="7"/>
        <v>406</v>
      </c>
      <c r="G14">
        <f t="shared" si="8"/>
        <v>348</v>
      </c>
      <c r="H14">
        <f t="shared" si="9"/>
        <v>410</v>
      </c>
      <c r="I14">
        <f t="shared" si="3"/>
        <v>21249</v>
      </c>
      <c r="O14" s="8"/>
      <c r="P14" s="9"/>
      <c r="Q14" s="10"/>
    </row>
    <row r="15" spans="1:17" x14ac:dyDescent="0.25">
      <c r="A15" s="1">
        <v>44726</v>
      </c>
      <c r="B15">
        <v>21</v>
      </c>
      <c r="C15">
        <f t="shared" si="4"/>
        <v>79</v>
      </c>
      <c r="D15">
        <f t="shared" si="5"/>
        <v>72</v>
      </c>
      <c r="E15">
        <f t="shared" si="6"/>
        <v>107</v>
      </c>
      <c r="F15">
        <f t="shared" si="7"/>
        <v>553</v>
      </c>
      <c r="G15">
        <f t="shared" si="8"/>
        <v>432</v>
      </c>
      <c r="H15">
        <f t="shared" si="9"/>
        <v>535</v>
      </c>
      <c r="I15">
        <f t="shared" si="3"/>
        <v>22769</v>
      </c>
      <c r="O15" s="8"/>
      <c r="P15" s="9"/>
      <c r="Q15" s="10"/>
    </row>
    <row r="16" spans="1:17" x14ac:dyDescent="0.25">
      <c r="A16" s="1">
        <v>44727</v>
      </c>
      <c r="B16">
        <v>23</v>
      </c>
      <c r="C16">
        <f t="shared" si="4"/>
        <v>86</v>
      </c>
      <c r="D16">
        <f t="shared" si="5"/>
        <v>77</v>
      </c>
      <c r="E16">
        <f t="shared" si="6"/>
        <v>115</v>
      </c>
      <c r="F16">
        <f t="shared" si="7"/>
        <v>602</v>
      </c>
      <c r="G16">
        <f t="shared" si="8"/>
        <v>462</v>
      </c>
      <c r="H16">
        <f t="shared" si="9"/>
        <v>575</v>
      </c>
      <c r="I16">
        <f t="shared" si="3"/>
        <v>24408</v>
      </c>
      <c r="O16" s="8"/>
      <c r="P16" s="9"/>
      <c r="Q16" s="10"/>
    </row>
    <row r="17" spans="1:17" x14ac:dyDescent="0.25">
      <c r="A17" s="1">
        <v>44728</v>
      </c>
      <c r="B17">
        <v>23</v>
      </c>
      <c r="C17">
        <f t="shared" si="4"/>
        <v>86</v>
      </c>
      <c r="D17">
        <f t="shared" si="5"/>
        <v>77</v>
      </c>
      <c r="E17">
        <f t="shared" si="6"/>
        <v>115</v>
      </c>
      <c r="F17">
        <f t="shared" si="7"/>
        <v>602</v>
      </c>
      <c r="G17">
        <f t="shared" si="8"/>
        <v>462</v>
      </c>
      <c r="H17">
        <f t="shared" si="9"/>
        <v>575</v>
      </c>
      <c r="I17">
        <f t="shared" si="3"/>
        <v>26047</v>
      </c>
      <c r="O17" s="8"/>
      <c r="P17" s="9"/>
      <c r="Q17" s="10"/>
    </row>
    <row r="18" spans="1:17" x14ac:dyDescent="0.25">
      <c r="A18" s="1">
        <v>44729</v>
      </c>
      <c r="B18">
        <v>16</v>
      </c>
      <c r="C18">
        <f t="shared" si="4"/>
        <v>62</v>
      </c>
      <c r="D18">
        <f t="shared" si="5"/>
        <v>61</v>
      </c>
      <c r="E18">
        <f t="shared" si="6"/>
        <v>86</v>
      </c>
      <c r="F18">
        <f t="shared" si="7"/>
        <v>434</v>
      </c>
      <c r="G18">
        <f t="shared" si="8"/>
        <v>366</v>
      </c>
      <c r="H18">
        <f t="shared" si="9"/>
        <v>430</v>
      </c>
      <c r="I18">
        <f t="shared" si="3"/>
        <v>27277</v>
      </c>
      <c r="O18" s="8"/>
      <c r="P18" s="9"/>
      <c r="Q18" s="10"/>
    </row>
    <row r="19" spans="1:17" x14ac:dyDescent="0.25">
      <c r="A19" s="1">
        <v>44730</v>
      </c>
      <c r="B19">
        <v>21</v>
      </c>
      <c r="C19">
        <f t="shared" si="4"/>
        <v>79</v>
      </c>
      <c r="D19">
        <f t="shared" si="5"/>
        <v>72</v>
      </c>
      <c r="E19">
        <f t="shared" si="6"/>
        <v>107</v>
      </c>
      <c r="F19">
        <f t="shared" si="7"/>
        <v>553</v>
      </c>
      <c r="G19">
        <f t="shared" si="8"/>
        <v>432</v>
      </c>
      <c r="H19">
        <f t="shared" si="9"/>
        <v>535</v>
      </c>
      <c r="I19">
        <f t="shared" si="3"/>
        <v>28797</v>
      </c>
      <c r="O19" s="8"/>
      <c r="P19" s="9"/>
      <c r="Q19" s="10"/>
    </row>
    <row r="20" spans="1:17" x14ac:dyDescent="0.25">
      <c r="A20" s="1">
        <v>44731</v>
      </c>
      <c r="B20">
        <v>22</v>
      </c>
      <c r="C20">
        <f t="shared" si="4"/>
        <v>83</v>
      </c>
      <c r="D20">
        <f t="shared" si="5"/>
        <v>75</v>
      </c>
      <c r="E20">
        <f t="shared" si="6"/>
        <v>111</v>
      </c>
      <c r="F20">
        <f t="shared" si="7"/>
        <v>581</v>
      </c>
      <c r="G20">
        <f t="shared" si="8"/>
        <v>450</v>
      </c>
      <c r="H20">
        <f t="shared" si="9"/>
        <v>555</v>
      </c>
      <c r="I20">
        <f t="shared" si="3"/>
        <v>30383</v>
      </c>
      <c r="O20" s="8"/>
      <c r="P20" s="9"/>
      <c r="Q20" s="10"/>
    </row>
    <row r="21" spans="1:17" x14ac:dyDescent="0.25">
      <c r="A21" s="1">
        <v>44732</v>
      </c>
      <c r="B21">
        <v>22</v>
      </c>
      <c r="C21">
        <f t="shared" si="4"/>
        <v>83</v>
      </c>
      <c r="D21">
        <f t="shared" si="5"/>
        <v>75</v>
      </c>
      <c r="E21">
        <f t="shared" si="6"/>
        <v>111</v>
      </c>
      <c r="F21">
        <f t="shared" si="7"/>
        <v>581</v>
      </c>
      <c r="G21">
        <f t="shared" si="8"/>
        <v>450</v>
      </c>
      <c r="H21">
        <f t="shared" si="9"/>
        <v>555</v>
      </c>
      <c r="I21">
        <f t="shared" si="3"/>
        <v>31969</v>
      </c>
      <c r="O21" s="8"/>
      <c r="P21" s="9"/>
      <c r="Q21" s="10"/>
    </row>
    <row r="22" spans="1:17" x14ac:dyDescent="0.25">
      <c r="A22" s="1">
        <v>44733</v>
      </c>
      <c r="B22">
        <v>22</v>
      </c>
      <c r="C22">
        <f t="shared" si="4"/>
        <v>83</v>
      </c>
      <c r="D22">
        <f t="shared" si="5"/>
        <v>75</v>
      </c>
      <c r="E22">
        <f t="shared" si="6"/>
        <v>111</v>
      </c>
      <c r="F22">
        <f t="shared" si="7"/>
        <v>581</v>
      </c>
      <c r="G22">
        <f t="shared" si="8"/>
        <v>450</v>
      </c>
      <c r="H22">
        <f t="shared" si="9"/>
        <v>555</v>
      </c>
      <c r="I22">
        <f t="shared" si="3"/>
        <v>33555</v>
      </c>
      <c r="O22" s="8"/>
      <c r="P22" s="9"/>
      <c r="Q22" s="10"/>
    </row>
    <row r="23" spans="1:17" x14ac:dyDescent="0.25">
      <c r="A23" s="1">
        <v>44734</v>
      </c>
      <c r="B23">
        <v>28</v>
      </c>
      <c r="C23">
        <f t="shared" si="4"/>
        <v>103</v>
      </c>
      <c r="D23">
        <f t="shared" si="5"/>
        <v>89</v>
      </c>
      <c r="E23">
        <f t="shared" si="6"/>
        <v>136</v>
      </c>
      <c r="F23">
        <f t="shared" si="7"/>
        <v>721</v>
      </c>
      <c r="G23">
        <f t="shared" si="8"/>
        <v>534</v>
      </c>
      <c r="H23">
        <f t="shared" si="9"/>
        <v>680</v>
      </c>
      <c r="I23">
        <f t="shared" si="3"/>
        <v>35490</v>
      </c>
      <c r="O23" s="8"/>
      <c r="P23" s="9"/>
      <c r="Q23" s="10"/>
    </row>
    <row r="24" spans="1:17" x14ac:dyDescent="0.25">
      <c r="A24" s="1">
        <v>44735</v>
      </c>
      <c r="B24">
        <v>31</v>
      </c>
      <c r="C24">
        <f t="shared" si="4"/>
        <v>114</v>
      </c>
      <c r="D24">
        <f t="shared" si="5"/>
        <v>96</v>
      </c>
      <c r="E24">
        <f t="shared" si="6"/>
        <v>148</v>
      </c>
      <c r="F24">
        <f t="shared" si="7"/>
        <v>798</v>
      </c>
      <c r="G24">
        <f t="shared" si="8"/>
        <v>576</v>
      </c>
      <c r="H24">
        <f t="shared" si="9"/>
        <v>740</v>
      </c>
      <c r="I24">
        <f t="shared" si="3"/>
        <v>37604</v>
      </c>
      <c r="O24" s="8"/>
      <c r="P24" s="9"/>
      <c r="Q24" s="10"/>
    </row>
    <row r="25" spans="1:17" x14ac:dyDescent="0.25">
      <c r="A25" s="1">
        <v>44736</v>
      </c>
      <c r="B25">
        <v>33</v>
      </c>
      <c r="C25">
        <f t="shared" si="4"/>
        <v>121</v>
      </c>
      <c r="D25">
        <f t="shared" si="5"/>
        <v>101</v>
      </c>
      <c r="E25">
        <f t="shared" si="6"/>
        <v>157</v>
      </c>
      <c r="F25">
        <f t="shared" si="7"/>
        <v>847</v>
      </c>
      <c r="G25">
        <f t="shared" si="8"/>
        <v>606</v>
      </c>
      <c r="H25">
        <f t="shared" si="9"/>
        <v>785</v>
      </c>
      <c r="I25">
        <f t="shared" si="3"/>
        <v>39842</v>
      </c>
      <c r="O25" s="8"/>
      <c r="P25" s="9"/>
      <c r="Q25" s="10"/>
    </row>
    <row r="26" spans="1:17" x14ac:dyDescent="0.25">
      <c r="A26" s="1">
        <v>44737</v>
      </c>
      <c r="B26">
        <v>33</v>
      </c>
      <c r="C26">
        <f t="shared" si="4"/>
        <v>121</v>
      </c>
      <c r="D26">
        <f t="shared" si="5"/>
        <v>101</v>
      </c>
      <c r="E26">
        <f t="shared" si="6"/>
        <v>157</v>
      </c>
      <c r="F26">
        <f t="shared" si="7"/>
        <v>847</v>
      </c>
      <c r="G26">
        <f t="shared" si="8"/>
        <v>606</v>
      </c>
      <c r="H26">
        <f t="shared" si="9"/>
        <v>785</v>
      </c>
      <c r="I26">
        <f t="shared" si="3"/>
        <v>42080</v>
      </c>
      <c r="O26" s="8"/>
      <c r="P26" s="9"/>
      <c r="Q26" s="10"/>
    </row>
    <row r="27" spans="1:17" x14ac:dyDescent="0.25">
      <c r="A27" s="1">
        <v>44738</v>
      </c>
      <c r="B27">
        <v>23</v>
      </c>
      <c r="C27">
        <f t="shared" si="4"/>
        <v>86</v>
      </c>
      <c r="D27">
        <f t="shared" si="5"/>
        <v>77</v>
      </c>
      <c r="E27">
        <f t="shared" si="6"/>
        <v>115</v>
      </c>
      <c r="F27">
        <f t="shared" si="7"/>
        <v>602</v>
      </c>
      <c r="G27">
        <f t="shared" si="8"/>
        <v>462</v>
      </c>
      <c r="H27">
        <f t="shared" si="9"/>
        <v>575</v>
      </c>
      <c r="I27">
        <f t="shared" si="3"/>
        <v>43719</v>
      </c>
      <c r="K27" s="1">
        <v>44739</v>
      </c>
      <c r="L27">
        <v>45358</v>
      </c>
      <c r="O27" s="8"/>
      <c r="P27" s="9"/>
      <c r="Q27" s="10"/>
    </row>
    <row r="28" spans="1:17" x14ac:dyDescent="0.25">
      <c r="A28" s="1">
        <v>44739</v>
      </c>
      <c r="B28">
        <v>23</v>
      </c>
      <c r="C28">
        <f t="shared" si="4"/>
        <v>86</v>
      </c>
      <c r="D28">
        <f t="shared" si="5"/>
        <v>77</v>
      </c>
      <c r="E28">
        <f t="shared" si="6"/>
        <v>115</v>
      </c>
      <c r="F28">
        <f t="shared" si="7"/>
        <v>602</v>
      </c>
      <c r="G28">
        <f t="shared" si="8"/>
        <v>462</v>
      </c>
      <c r="H28">
        <f t="shared" si="9"/>
        <v>575</v>
      </c>
      <c r="I28">
        <f t="shared" si="3"/>
        <v>45358</v>
      </c>
      <c r="O28" s="11"/>
      <c r="P28" s="12"/>
      <c r="Q28" s="13"/>
    </row>
    <row r="29" spans="1:17" x14ac:dyDescent="0.25">
      <c r="A29" s="1">
        <v>44740</v>
      </c>
      <c r="B29">
        <v>19</v>
      </c>
      <c r="C29">
        <f t="shared" si="4"/>
        <v>72</v>
      </c>
      <c r="D29">
        <f t="shared" si="5"/>
        <v>68</v>
      </c>
      <c r="E29">
        <f t="shared" si="6"/>
        <v>99</v>
      </c>
      <c r="F29">
        <f t="shared" si="7"/>
        <v>504</v>
      </c>
      <c r="G29">
        <f t="shared" si="8"/>
        <v>408</v>
      </c>
      <c r="H29">
        <f t="shared" si="9"/>
        <v>495</v>
      </c>
      <c r="I29">
        <f t="shared" si="3"/>
        <v>46765</v>
      </c>
    </row>
    <row r="30" spans="1:17" x14ac:dyDescent="0.25">
      <c r="A30" s="1">
        <v>44741</v>
      </c>
      <c r="B30">
        <v>24</v>
      </c>
      <c r="C30">
        <f t="shared" si="4"/>
        <v>90</v>
      </c>
      <c r="D30">
        <f t="shared" si="5"/>
        <v>80</v>
      </c>
      <c r="E30">
        <f t="shared" si="6"/>
        <v>120</v>
      </c>
      <c r="F30">
        <f t="shared" si="7"/>
        <v>630</v>
      </c>
      <c r="G30">
        <f t="shared" si="8"/>
        <v>480</v>
      </c>
      <c r="H30">
        <f t="shared" si="9"/>
        <v>600</v>
      </c>
      <c r="I30">
        <f t="shared" si="3"/>
        <v>48475</v>
      </c>
    </row>
    <row r="31" spans="1:17" x14ac:dyDescent="0.25">
      <c r="A31" s="1">
        <v>44742</v>
      </c>
      <c r="B31">
        <v>25</v>
      </c>
      <c r="C31">
        <f t="shared" si="4"/>
        <v>93</v>
      </c>
      <c r="D31">
        <f t="shared" si="5"/>
        <v>82</v>
      </c>
      <c r="E31">
        <f t="shared" si="6"/>
        <v>124</v>
      </c>
      <c r="F31">
        <f t="shared" si="7"/>
        <v>651</v>
      </c>
      <c r="G31">
        <f t="shared" si="8"/>
        <v>492</v>
      </c>
      <c r="H31">
        <f t="shared" si="9"/>
        <v>620</v>
      </c>
      <c r="I31">
        <f t="shared" si="3"/>
        <v>50238</v>
      </c>
    </row>
    <row r="32" spans="1:17" x14ac:dyDescent="0.25">
      <c r="A32" s="1">
        <v>44743</v>
      </c>
      <c r="B32">
        <v>27</v>
      </c>
      <c r="C32">
        <f t="shared" si="4"/>
        <v>100</v>
      </c>
      <c r="D32">
        <f t="shared" si="5"/>
        <v>87</v>
      </c>
      <c r="E32">
        <f t="shared" si="6"/>
        <v>132</v>
      </c>
      <c r="F32">
        <f t="shared" si="7"/>
        <v>700</v>
      </c>
      <c r="G32">
        <f t="shared" si="8"/>
        <v>522</v>
      </c>
      <c r="H32">
        <f t="shared" si="9"/>
        <v>660</v>
      </c>
      <c r="I32">
        <f t="shared" si="3"/>
        <v>52120</v>
      </c>
    </row>
    <row r="33" spans="1:9" x14ac:dyDescent="0.25">
      <c r="A33" s="1">
        <v>44744</v>
      </c>
      <c r="B33">
        <v>27</v>
      </c>
      <c r="C33">
        <f t="shared" si="4"/>
        <v>100</v>
      </c>
      <c r="D33">
        <f t="shared" si="5"/>
        <v>87</v>
      </c>
      <c r="E33">
        <f t="shared" si="6"/>
        <v>132</v>
      </c>
      <c r="F33">
        <f t="shared" si="7"/>
        <v>700</v>
      </c>
      <c r="G33">
        <f t="shared" si="8"/>
        <v>522</v>
      </c>
      <c r="H33">
        <f t="shared" si="9"/>
        <v>660</v>
      </c>
      <c r="I33">
        <f t="shared" si="3"/>
        <v>54002</v>
      </c>
    </row>
    <row r="34" spans="1:9" x14ac:dyDescent="0.25">
      <c r="A34" s="1">
        <v>44745</v>
      </c>
      <c r="B34">
        <v>21</v>
      </c>
      <c r="C34">
        <f t="shared" si="4"/>
        <v>79</v>
      </c>
      <c r="D34">
        <f t="shared" si="5"/>
        <v>72</v>
      </c>
      <c r="E34">
        <f t="shared" si="6"/>
        <v>107</v>
      </c>
      <c r="F34">
        <f t="shared" si="7"/>
        <v>553</v>
      </c>
      <c r="G34">
        <f t="shared" si="8"/>
        <v>432</v>
      </c>
      <c r="H34">
        <f t="shared" si="9"/>
        <v>535</v>
      </c>
      <c r="I34">
        <f t="shared" si="3"/>
        <v>55522</v>
      </c>
    </row>
    <row r="35" spans="1:9" x14ac:dyDescent="0.25">
      <c r="A35" s="1">
        <v>44746</v>
      </c>
      <c r="B35">
        <v>21</v>
      </c>
      <c r="C35">
        <f t="shared" si="4"/>
        <v>79</v>
      </c>
      <c r="D35">
        <f t="shared" si="5"/>
        <v>72</v>
      </c>
      <c r="E35">
        <f t="shared" si="6"/>
        <v>107</v>
      </c>
      <c r="F35">
        <f t="shared" si="7"/>
        <v>553</v>
      </c>
      <c r="G35">
        <f t="shared" si="8"/>
        <v>432</v>
      </c>
      <c r="H35">
        <f t="shared" si="9"/>
        <v>535</v>
      </c>
      <c r="I35">
        <f t="shared" si="3"/>
        <v>57042</v>
      </c>
    </row>
    <row r="36" spans="1:9" x14ac:dyDescent="0.25">
      <c r="A36" s="1">
        <v>44747</v>
      </c>
      <c r="B36">
        <v>25</v>
      </c>
      <c r="C36">
        <f t="shared" si="4"/>
        <v>93</v>
      </c>
      <c r="D36">
        <f t="shared" si="5"/>
        <v>82</v>
      </c>
      <c r="E36">
        <f t="shared" si="6"/>
        <v>124</v>
      </c>
      <c r="F36">
        <f t="shared" si="7"/>
        <v>651</v>
      </c>
      <c r="G36">
        <f t="shared" si="8"/>
        <v>492</v>
      </c>
      <c r="H36">
        <f t="shared" si="9"/>
        <v>620</v>
      </c>
      <c r="I36">
        <f t="shared" si="3"/>
        <v>58805</v>
      </c>
    </row>
    <row r="37" spans="1:9" x14ac:dyDescent="0.25">
      <c r="A37" s="1">
        <v>44748</v>
      </c>
      <c r="B37">
        <v>19</v>
      </c>
      <c r="C37">
        <f t="shared" si="4"/>
        <v>72</v>
      </c>
      <c r="D37">
        <f t="shared" si="5"/>
        <v>68</v>
      </c>
      <c r="E37">
        <f t="shared" si="6"/>
        <v>99</v>
      </c>
      <c r="F37">
        <f t="shared" si="7"/>
        <v>504</v>
      </c>
      <c r="G37">
        <f t="shared" si="8"/>
        <v>408</v>
      </c>
      <c r="H37">
        <f t="shared" si="9"/>
        <v>495</v>
      </c>
      <c r="I37">
        <f t="shared" si="3"/>
        <v>60212</v>
      </c>
    </row>
    <row r="38" spans="1:9" x14ac:dyDescent="0.25">
      <c r="A38" s="1">
        <v>44749</v>
      </c>
      <c r="B38">
        <v>21</v>
      </c>
      <c r="C38">
        <f t="shared" si="4"/>
        <v>79</v>
      </c>
      <c r="D38">
        <f t="shared" si="5"/>
        <v>72</v>
      </c>
      <c r="E38">
        <f t="shared" si="6"/>
        <v>107</v>
      </c>
      <c r="F38">
        <f t="shared" si="7"/>
        <v>553</v>
      </c>
      <c r="G38">
        <f t="shared" si="8"/>
        <v>432</v>
      </c>
      <c r="H38">
        <f t="shared" si="9"/>
        <v>535</v>
      </c>
      <c r="I38">
        <f t="shared" si="3"/>
        <v>61732</v>
      </c>
    </row>
    <row r="39" spans="1:9" x14ac:dyDescent="0.25">
      <c r="A39" s="1">
        <v>44750</v>
      </c>
      <c r="B39">
        <v>24</v>
      </c>
      <c r="C39">
        <f t="shared" si="4"/>
        <v>90</v>
      </c>
      <c r="D39">
        <f t="shared" si="5"/>
        <v>80</v>
      </c>
      <c r="E39">
        <f t="shared" si="6"/>
        <v>120</v>
      </c>
      <c r="F39">
        <f t="shared" si="7"/>
        <v>630</v>
      </c>
      <c r="G39">
        <f t="shared" si="8"/>
        <v>480</v>
      </c>
      <c r="H39">
        <f t="shared" si="9"/>
        <v>600</v>
      </c>
      <c r="I39">
        <f t="shared" si="3"/>
        <v>63442</v>
      </c>
    </row>
    <row r="40" spans="1:9" x14ac:dyDescent="0.25">
      <c r="A40" s="1">
        <v>44751</v>
      </c>
      <c r="B40">
        <v>19</v>
      </c>
      <c r="C40">
        <f t="shared" si="4"/>
        <v>72</v>
      </c>
      <c r="D40">
        <f t="shared" si="5"/>
        <v>68</v>
      </c>
      <c r="E40">
        <f t="shared" si="6"/>
        <v>99</v>
      </c>
      <c r="F40">
        <f t="shared" si="7"/>
        <v>504</v>
      </c>
      <c r="G40">
        <f t="shared" si="8"/>
        <v>408</v>
      </c>
      <c r="H40">
        <f t="shared" si="9"/>
        <v>495</v>
      </c>
      <c r="I40">
        <f t="shared" si="3"/>
        <v>64849</v>
      </c>
    </row>
    <row r="41" spans="1:9" x14ac:dyDescent="0.25">
      <c r="A41" s="1">
        <v>44752</v>
      </c>
      <c r="B41">
        <v>28</v>
      </c>
      <c r="C41">
        <f t="shared" si="4"/>
        <v>103</v>
      </c>
      <c r="D41">
        <f t="shared" si="5"/>
        <v>89</v>
      </c>
      <c r="E41">
        <f t="shared" si="6"/>
        <v>136</v>
      </c>
      <c r="F41">
        <f t="shared" si="7"/>
        <v>721</v>
      </c>
      <c r="G41">
        <f t="shared" si="8"/>
        <v>534</v>
      </c>
      <c r="H41">
        <f t="shared" si="9"/>
        <v>680</v>
      </c>
      <c r="I41">
        <f t="shared" si="3"/>
        <v>66784</v>
      </c>
    </row>
    <row r="42" spans="1:9" x14ac:dyDescent="0.25">
      <c r="A42" s="1">
        <v>44753</v>
      </c>
      <c r="B42">
        <v>27</v>
      </c>
      <c r="C42">
        <f t="shared" si="4"/>
        <v>100</v>
      </c>
      <c r="D42">
        <f t="shared" si="5"/>
        <v>87</v>
      </c>
      <c r="E42">
        <f t="shared" si="6"/>
        <v>132</v>
      </c>
      <c r="F42">
        <f t="shared" si="7"/>
        <v>700</v>
      </c>
      <c r="G42">
        <f t="shared" si="8"/>
        <v>522</v>
      </c>
      <c r="H42">
        <f t="shared" si="9"/>
        <v>660</v>
      </c>
      <c r="I42">
        <f t="shared" si="3"/>
        <v>68666</v>
      </c>
    </row>
    <row r="43" spans="1:9" x14ac:dyDescent="0.25">
      <c r="A43" s="1">
        <v>44754</v>
      </c>
      <c r="B43">
        <v>24</v>
      </c>
      <c r="C43">
        <f t="shared" si="4"/>
        <v>90</v>
      </c>
      <c r="D43">
        <f t="shared" si="5"/>
        <v>80</v>
      </c>
      <c r="E43">
        <f t="shared" si="6"/>
        <v>120</v>
      </c>
      <c r="F43">
        <f t="shared" si="7"/>
        <v>630</v>
      </c>
      <c r="G43">
        <f t="shared" si="8"/>
        <v>480</v>
      </c>
      <c r="H43">
        <f t="shared" si="9"/>
        <v>600</v>
      </c>
      <c r="I43">
        <f t="shared" si="3"/>
        <v>70376</v>
      </c>
    </row>
    <row r="44" spans="1:9" x14ac:dyDescent="0.25">
      <c r="A44" s="1">
        <v>44755</v>
      </c>
      <c r="B44">
        <v>22</v>
      </c>
      <c r="C44">
        <f t="shared" si="4"/>
        <v>83</v>
      </c>
      <c r="D44">
        <f t="shared" si="5"/>
        <v>75</v>
      </c>
      <c r="E44">
        <f t="shared" si="6"/>
        <v>111</v>
      </c>
      <c r="F44">
        <f t="shared" si="7"/>
        <v>581</v>
      </c>
      <c r="G44">
        <f t="shared" si="8"/>
        <v>450</v>
      </c>
      <c r="H44">
        <f t="shared" si="9"/>
        <v>555</v>
      </c>
      <c r="I44">
        <f t="shared" si="3"/>
        <v>71962</v>
      </c>
    </row>
    <row r="45" spans="1:9" x14ac:dyDescent="0.25">
      <c r="A45" s="1">
        <v>44756</v>
      </c>
      <c r="B45">
        <v>17</v>
      </c>
      <c r="C45">
        <f t="shared" si="4"/>
        <v>65</v>
      </c>
      <c r="D45">
        <f t="shared" si="5"/>
        <v>63</v>
      </c>
      <c r="E45">
        <f t="shared" si="6"/>
        <v>91</v>
      </c>
      <c r="F45">
        <f t="shared" si="7"/>
        <v>455</v>
      </c>
      <c r="G45">
        <f t="shared" si="8"/>
        <v>378</v>
      </c>
      <c r="H45">
        <f t="shared" si="9"/>
        <v>455</v>
      </c>
      <c r="I45">
        <f t="shared" si="3"/>
        <v>73250</v>
      </c>
    </row>
    <row r="46" spans="1:9" x14ac:dyDescent="0.25">
      <c r="A46" s="1">
        <v>44757</v>
      </c>
      <c r="B46">
        <v>18</v>
      </c>
      <c r="C46">
        <f t="shared" si="4"/>
        <v>69</v>
      </c>
      <c r="D46">
        <f t="shared" si="5"/>
        <v>65</v>
      </c>
      <c r="E46">
        <f t="shared" si="6"/>
        <v>95</v>
      </c>
      <c r="F46">
        <f t="shared" si="7"/>
        <v>483</v>
      </c>
      <c r="G46">
        <f t="shared" si="8"/>
        <v>390</v>
      </c>
      <c r="H46">
        <f t="shared" si="9"/>
        <v>475</v>
      </c>
      <c r="I46">
        <f t="shared" si="3"/>
        <v>74598</v>
      </c>
    </row>
    <row r="47" spans="1:9" x14ac:dyDescent="0.25">
      <c r="A47" s="1">
        <v>44758</v>
      </c>
      <c r="B47">
        <v>23</v>
      </c>
      <c r="C47">
        <f t="shared" si="4"/>
        <v>86</v>
      </c>
      <c r="D47">
        <f t="shared" si="5"/>
        <v>77</v>
      </c>
      <c r="E47">
        <f t="shared" si="6"/>
        <v>115</v>
      </c>
      <c r="F47">
        <f t="shared" si="7"/>
        <v>602</v>
      </c>
      <c r="G47">
        <f t="shared" si="8"/>
        <v>462</v>
      </c>
      <c r="H47">
        <f t="shared" si="9"/>
        <v>575</v>
      </c>
      <c r="I47">
        <f t="shared" si="3"/>
        <v>76237</v>
      </c>
    </row>
    <row r="48" spans="1:9" x14ac:dyDescent="0.25">
      <c r="A48" s="1">
        <v>44759</v>
      </c>
      <c r="B48">
        <v>23</v>
      </c>
      <c r="C48">
        <f t="shared" si="4"/>
        <v>86</v>
      </c>
      <c r="D48">
        <f t="shared" si="5"/>
        <v>77</v>
      </c>
      <c r="E48">
        <f t="shared" si="6"/>
        <v>115</v>
      </c>
      <c r="F48">
        <f t="shared" si="7"/>
        <v>602</v>
      </c>
      <c r="G48">
        <f t="shared" si="8"/>
        <v>462</v>
      </c>
      <c r="H48">
        <f t="shared" si="9"/>
        <v>575</v>
      </c>
      <c r="I48">
        <f t="shared" si="3"/>
        <v>77876</v>
      </c>
    </row>
    <row r="49" spans="1:9" x14ac:dyDescent="0.25">
      <c r="A49" s="1">
        <v>44760</v>
      </c>
      <c r="B49">
        <v>19</v>
      </c>
      <c r="C49">
        <f t="shared" si="4"/>
        <v>72</v>
      </c>
      <c r="D49">
        <f t="shared" si="5"/>
        <v>68</v>
      </c>
      <c r="E49">
        <f t="shared" si="6"/>
        <v>99</v>
      </c>
      <c r="F49">
        <f t="shared" si="7"/>
        <v>504</v>
      </c>
      <c r="G49">
        <f t="shared" si="8"/>
        <v>408</v>
      </c>
      <c r="H49">
        <f t="shared" si="9"/>
        <v>495</v>
      </c>
      <c r="I49">
        <f t="shared" si="3"/>
        <v>79283</v>
      </c>
    </row>
    <row r="50" spans="1:9" x14ac:dyDescent="0.25">
      <c r="A50" s="1">
        <v>44761</v>
      </c>
      <c r="B50">
        <v>21</v>
      </c>
      <c r="C50">
        <f t="shared" si="4"/>
        <v>79</v>
      </c>
      <c r="D50">
        <f t="shared" si="5"/>
        <v>72</v>
      </c>
      <c r="E50">
        <f t="shared" si="6"/>
        <v>107</v>
      </c>
      <c r="F50">
        <f t="shared" si="7"/>
        <v>553</v>
      </c>
      <c r="G50">
        <f t="shared" si="8"/>
        <v>432</v>
      </c>
      <c r="H50">
        <f t="shared" si="9"/>
        <v>535</v>
      </c>
      <c r="I50">
        <f t="shared" si="3"/>
        <v>80803</v>
      </c>
    </row>
    <row r="51" spans="1:9" x14ac:dyDescent="0.25">
      <c r="A51" s="1">
        <v>44762</v>
      </c>
      <c r="B51">
        <v>25</v>
      </c>
      <c r="C51">
        <f t="shared" si="4"/>
        <v>93</v>
      </c>
      <c r="D51">
        <f t="shared" si="5"/>
        <v>82</v>
      </c>
      <c r="E51">
        <f t="shared" si="6"/>
        <v>124</v>
      </c>
      <c r="F51">
        <f t="shared" si="7"/>
        <v>651</v>
      </c>
      <c r="G51">
        <f t="shared" si="8"/>
        <v>492</v>
      </c>
      <c r="H51">
        <f t="shared" si="9"/>
        <v>620</v>
      </c>
      <c r="I51">
        <f t="shared" si="3"/>
        <v>82566</v>
      </c>
    </row>
    <row r="52" spans="1:9" x14ac:dyDescent="0.25">
      <c r="A52" s="1">
        <v>44763</v>
      </c>
      <c r="B52">
        <v>28</v>
      </c>
      <c r="C52">
        <f t="shared" si="4"/>
        <v>103</v>
      </c>
      <c r="D52">
        <f t="shared" si="5"/>
        <v>89</v>
      </c>
      <c r="E52">
        <f t="shared" si="6"/>
        <v>136</v>
      </c>
      <c r="F52">
        <f t="shared" si="7"/>
        <v>721</v>
      </c>
      <c r="G52">
        <f t="shared" si="8"/>
        <v>534</v>
      </c>
      <c r="H52">
        <f t="shared" si="9"/>
        <v>680</v>
      </c>
      <c r="I52">
        <f t="shared" si="3"/>
        <v>84501</v>
      </c>
    </row>
    <row r="53" spans="1:9" x14ac:dyDescent="0.25">
      <c r="A53" s="1">
        <v>44764</v>
      </c>
      <c r="B53">
        <v>27</v>
      </c>
      <c r="C53">
        <f t="shared" si="4"/>
        <v>100</v>
      </c>
      <c r="D53">
        <f t="shared" si="5"/>
        <v>87</v>
      </c>
      <c r="E53">
        <f t="shared" si="6"/>
        <v>132</v>
      </c>
      <c r="F53">
        <f t="shared" si="7"/>
        <v>700</v>
      </c>
      <c r="G53">
        <f t="shared" si="8"/>
        <v>522</v>
      </c>
      <c r="H53">
        <f t="shared" si="9"/>
        <v>660</v>
      </c>
      <c r="I53">
        <f t="shared" si="3"/>
        <v>86383</v>
      </c>
    </row>
    <row r="54" spans="1:9" x14ac:dyDescent="0.25">
      <c r="A54" s="1">
        <v>44765</v>
      </c>
      <c r="B54">
        <v>23</v>
      </c>
      <c r="C54">
        <f t="shared" si="4"/>
        <v>86</v>
      </c>
      <c r="D54">
        <f t="shared" si="5"/>
        <v>77</v>
      </c>
      <c r="E54">
        <f t="shared" si="6"/>
        <v>115</v>
      </c>
      <c r="F54">
        <f t="shared" si="7"/>
        <v>602</v>
      </c>
      <c r="G54">
        <f t="shared" si="8"/>
        <v>462</v>
      </c>
      <c r="H54">
        <f t="shared" si="9"/>
        <v>575</v>
      </c>
      <c r="I54">
        <f t="shared" si="3"/>
        <v>88022</v>
      </c>
    </row>
    <row r="55" spans="1:9" x14ac:dyDescent="0.25">
      <c r="A55" s="1">
        <v>44766</v>
      </c>
      <c r="B55">
        <v>26</v>
      </c>
      <c r="C55">
        <f t="shared" si="4"/>
        <v>96</v>
      </c>
      <c r="D55">
        <f t="shared" si="5"/>
        <v>84</v>
      </c>
      <c r="E55">
        <f t="shared" si="6"/>
        <v>128</v>
      </c>
      <c r="F55">
        <f t="shared" si="7"/>
        <v>672</v>
      </c>
      <c r="G55">
        <f t="shared" si="8"/>
        <v>504</v>
      </c>
      <c r="H55">
        <f t="shared" si="9"/>
        <v>640</v>
      </c>
      <c r="I55">
        <f t="shared" si="3"/>
        <v>89838</v>
      </c>
    </row>
    <row r="56" spans="1:9" x14ac:dyDescent="0.25">
      <c r="A56" s="1">
        <v>44767</v>
      </c>
      <c r="B56">
        <v>29</v>
      </c>
      <c r="C56">
        <f t="shared" si="4"/>
        <v>107</v>
      </c>
      <c r="D56">
        <f t="shared" si="5"/>
        <v>91</v>
      </c>
      <c r="E56">
        <f t="shared" si="6"/>
        <v>140</v>
      </c>
      <c r="F56">
        <f t="shared" si="7"/>
        <v>749</v>
      </c>
      <c r="G56">
        <f t="shared" si="8"/>
        <v>546</v>
      </c>
      <c r="H56">
        <f t="shared" si="9"/>
        <v>700</v>
      </c>
      <c r="I56">
        <f t="shared" si="3"/>
        <v>91833</v>
      </c>
    </row>
    <row r="57" spans="1:9" x14ac:dyDescent="0.25">
      <c r="A57" s="1">
        <v>44768</v>
      </c>
      <c r="B57">
        <v>26</v>
      </c>
      <c r="C57">
        <f t="shared" si="4"/>
        <v>96</v>
      </c>
      <c r="D57">
        <f t="shared" si="5"/>
        <v>84</v>
      </c>
      <c r="E57">
        <f t="shared" si="6"/>
        <v>128</v>
      </c>
      <c r="F57">
        <f t="shared" si="7"/>
        <v>672</v>
      </c>
      <c r="G57">
        <f t="shared" si="8"/>
        <v>504</v>
      </c>
      <c r="H57">
        <f t="shared" si="9"/>
        <v>640</v>
      </c>
      <c r="I57">
        <f t="shared" si="3"/>
        <v>93649</v>
      </c>
    </row>
    <row r="58" spans="1:9" x14ac:dyDescent="0.25">
      <c r="A58" s="1">
        <v>44769</v>
      </c>
      <c r="B58">
        <v>27</v>
      </c>
      <c r="C58">
        <f t="shared" si="4"/>
        <v>100</v>
      </c>
      <c r="D58">
        <f t="shared" si="5"/>
        <v>87</v>
      </c>
      <c r="E58">
        <f t="shared" si="6"/>
        <v>132</v>
      </c>
      <c r="F58">
        <f t="shared" si="7"/>
        <v>700</v>
      </c>
      <c r="G58">
        <f t="shared" si="8"/>
        <v>522</v>
      </c>
      <c r="H58">
        <f t="shared" si="9"/>
        <v>660</v>
      </c>
      <c r="I58">
        <f t="shared" si="3"/>
        <v>95531</v>
      </c>
    </row>
    <row r="59" spans="1:9" x14ac:dyDescent="0.25">
      <c r="A59" s="1">
        <v>44770</v>
      </c>
      <c r="B59">
        <v>24</v>
      </c>
      <c r="C59">
        <f t="shared" si="4"/>
        <v>90</v>
      </c>
      <c r="D59">
        <f t="shared" si="5"/>
        <v>80</v>
      </c>
      <c r="E59">
        <f t="shared" si="6"/>
        <v>120</v>
      </c>
      <c r="F59">
        <f t="shared" si="7"/>
        <v>630</v>
      </c>
      <c r="G59">
        <f t="shared" si="8"/>
        <v>480</v>
      </c>
      <c r="H59">
        <f t="shared" si="9"/>
        <v>600</v>
      </c>
      <c r="I59">
        <f t="shared" si="3"/>
        <v>97241</v>
      </c>
    </row>
    <row r="60" spans="1:9" x14ac:dyDescent="0.25">
      <c r="A60" s="1">
        <v>44771</v>
      </c>
      <c r="B60">
        <v>26</v>
      </c>
      <c r="C60">
        <f t="shared" si="4"/>
        <v>96</v>
      </c>
      <c r="D60">
        <f t="shared" si="5"/>
        <v>84</v>
      </c>
      <c r="E60">
        <f t="shared" si="6"/>
        <v>128</v>
      </c>
      <c r="F60">
        <f t="shared" si="7"/>
        <v>672</v>
      </c>
      <c r="G60">
        <f t="shared" si="8"/>
        <v>504</v>
      </c>
      <c r="H60">
        <f t="shared" si="9"/>
        <v>640</v>
      </c>
      <c r="I60">
        <f t="shared" si="3"/>
        <v>99057</v>
      </c>
    </row>
    <row r="61" spans="1:9" x14ac:dyDescent="0.25">
      <c r="A61" s="1">
        <v>44772</v>
      </c>
      <c r="B61">
        <v>25</v>
      </c>
      <c r="C61">
        <f t="shared" si="4"/>
        <v>93</v>
      </c>
      <c r="D61">
        <f t="shared" si="5"/>
        <v>82</v>
      </c>
      <c r="E61">
        <f t="shared" si="6"/>
        <v>124</v>
      </c>
      <c r="F61">
        <f t="shared" si="7"/>
        <v>651</v>
      </c>
      <c r="G61">
        <f t="shared" si="8"/>
        <v>492</v>
      </c>
      <c r="H61">
        <f t="shared" si="9"/>
        <v>620</v>
      </c>
      <c r="I61">
        <f t="shared" si="3"/>
        <v>100820</v>
      </c>
    </row>
    <row r="62" spans="1:9" x14ac:dyDescent="0.25">
      <c r="A62" s="1">
        <v>44773</v>
      </c>
      <c r="B62">
        <v>24</v>
      </c>
      <c r="C62">
        <f t="shared" si="4"/>
        <v>90</v>
      </c>
      <c r="D62">
        <f t="shared" si="5"/>
        <v>80</v>
      </c>
      <c r="E62">
        <f t="shared" si="6"/>
        <v>120</v>
      </c>
      <c r="F62">
        <f t="shared" si="7"/>
        <v>630</v>
      </c>
      <c r="G62">
        <f t="shared" si="8"/>
        <v>480</v>
      </c>
      <c r="H62">
        <f t="shared" si="9"/>
        <v>600</v>
      </c>
      <c r="I62">
        <f t="shared" si="3"/>
        <v>102530</v>
      </c>
    </row>
    <row r="63" spans="1:9" x14ac:dyDescent="0.25">
      <c r="A63" s="1">
        <v>44774</v>
      </c>
      <c r="B63">
        <v>22</v>
      </c>
      <c r="C63">
        <f t="shared" si="4"/>
        <v>83</v>
      </c>
      <c r="D63">
        <f t="shared" si="5"/>
        <v>75</v>
      </c>
      <c r="E63">
        <f t="shared" si="6"/>
        <v>111</v>
      </c>
      <c r="F63">
        <f t="shared" si="7"/>
        <v>581</v>
      </c>
      <c r="G63">
        <f t="shared" si="8"/>
        <v>450</v>
      </c>
      <c r="H63">
        <f t="shared" si="9"/>
        <v>555</v>
      </c>
      <c r="I63">
        <f t="shared" si="3"/>
        <v>104116</v>
      </c>
    </row>
    <row r="64" spans="1:9" x14ac:dyDescent="0.25">
      <c r="A64" s="1">
        <v>44775</v>
      </c>
      <c r="B64">
        <v>19</v>
      </c>
      <c r="C64">
        <f t="shared" si="4"/>
        <v>72</v>
      </c>
      <c r="D64">
        <f t="shared" si="5"/>
        <v>68</v>
      </c>
      <c r="E64">
        <f t="shared" si="6"/>
        <v>99</v>
      </c>
      <c r="F64">
        <f t="shared" si="7"/>
        <v>504</v>
      </c>
      <c r="G64">
        <f t="shared" si="8"/>
        <v>408</v>
      </c>
      <c r="H64">
        <f t="shared" si="9"/>
        <v>495</v>
      </c>
      <c r="I64">
        <f t="shared" si="3"/>
        <v>105523</v>
      </c>
    </row>
    <row r="65" spans="1:9" x14ac:dyDescent="0.25">
      <c r="A65" s="1">
        <v>44776</v>
      </c>
      <c r="B65">
        <v>21</v>
      </c>
      <c r="C65">
        <f t="shared" si="4"/>
        <v>79</v>
      </c>
      <c r="D65">
        <f t="shared" si="5"/>
        <v>72</v>
      </c>
      <c r="E65">
        <f t="shared" si="6"/>
        <v>107</v>
      </c>
      <c r="F65">
        <f t="shared" si="7"/>
        <v>553</v>
      </c>
      <c r="G65">
        <f t="shared" si="8"/>
        <v>432</v>
      </c>
      <c r="H65">
        <f t="shared" si="9"/>
        <v>535</v>
      </c>
      <c r="I65">
        <f t="shared" si="3"/>
        <v>107043</v>
      </c>
    </row>
    <row r="66" spans="1:9" x14ac:dyDescent="0.25">
      <c r="A66" s="1">
        <v>44777</v>
      </c>
      <c r="B66">
        <v>26</v>
      </c>
      <c r="C66">
        <f t="shared" si="4"/>
        <v>96</v>
      </c>
      <c r="D66">
        <f t="shared" si="5"/>
        <v>84</v>
      </c>
      <c r="E66">
        <f t="shared" si="6"/>
        <v>128</v>
      </c>
      <c r="F66">
        <f t="shared" si="7"/>
        <v>672</v>
      </c>
      <c r="G66">
        <f t="shared" si="8"/>
        <v>504</v>
      </c>
      <c r="H66">
        <f t="shared" si="9"/>
        <v>640</v>
      </c>
      <c r="I66">
        <f t="shared" si="3"/>
        <v>108859</v>
      </c>
    </row>
    <row r="67" spans="1:9" x14ac:dyDescent="0.25">
      <c r="A67" s="1">
        <v>44778</v>
      </c>
      <c r="B67">
        <v>19</v>
      </c>
      <c r="C67">
        <f t="shared" si="4"/>
        <v>72</v>
      </c>
      <c r="D67">
        <f t="shared" si="5"/>
        <v>68</v>
      </c>
      <c r="E67">
        <f t="shared" si="6"/>
        <v>99</v>
      </c>
      <c r="F67">
        <f t="shared" si="7"/>
        <v>504</v>
      </c>
      <c r="G67">
        <f t="shared" si="8"/>
        <v>408</v>
      </c>
      <c r="H67">
        <f t="shared" si="9"/>
        <v>495</v>
      </c>
      <c r="I67">
        <f t="shared" ref="I67:I93" si="10">SUM(F67:H67)+I66</f>
        <v>110266</v>
      </c>
    </row>
    <row r="68" spans="1:9" x14ac:dyDescent="0.25">
      <c r="A68" s="1">
        <v>44779</v>
      </c>
      <c r="B68">
        <v>21</v>
      </c>
      <c r="C68">
        <f t="shared" ref="C68:C93" si="11">ROUNDDOWN($C$2 * (1 + (1/13)*((B68-24)/2)),0)</f>
        <v>79</v>
      </c>
      <c r="D68">
        <f t="shared" ref="D68:D93" si="12">ROUNDDOWN($D$2 * (1 + (1/17)*((B68-24)/2)),0)</f>
        <v>72</v>
      </c>
      <c r="E68">
        <f t="shared" ref="E68:E93" si="13">ROUNDDOWN($E$2 * (1 + (2/29)*((B68-24)/2)),0)</f>
        <v>107</v>
      </c>
      <c r="F68">
        <f t="shared" si="7"/>
        <v>553</v>
      </c>
      <c r="G68">
        <f t="shared" si="8"/>
        <v>432</v>
      </c>
      <c r="H68">
        <f t="shared" si="9"/>
        <v>535</v>
      </c>
      <c r="I68">
        <f t="shared" si="10"/>
        <v>111786</v>
      </c>
    </row>
    <row r="69" spans="1:9" x14ac:dyDescent="0.25">
      <c r="A69" s="1">
        <v>44780</v>
      </c>
      <c r="B69">
        <v>23</v>
      </c>
      <c r="C69">
        <f t="shared" si="11"/>
        <v>86</v>
      </c>
      <c r="D69">
        <f t="shared" si="12"/>
        <v>77</v>
      </c>
      <c r="E69">
        <f t="shared" si="13"/>
        <v>115</v>
      </c>
      <c r="F69">
        <f t="shared" si="7"/>
        <v>602</v>
      </c>
      <c r="G69">
        <f t="shared" si="8"/>
        <v>462</v>
      </c>
      <c r="H69">
        <f t="shared" si="9"/>
        <v>575</v>
      </c>
      <c r="I69">
        <f t="shared" si="10"/>
        <v>113425</v>
      </c>
    </row>
    <row r="70" spans="1:9" x14ac:dyDescent="0.25">
      <c r="A70" s="1">
        <v>44781</v>
      </c>
      <c r="B70">
        <v>27</v>
      </c>
      <c r="C70">
        <f t="shared" si="11"/>
        <v>100</v>
      </c>
      <c r="D70">
        <f t="shared" si="12"/>
        <v>87</v>
      </c>
      <c r="E70">
        <f t="shared" si="13"/>
        <v>132</v>
      </c>
      <c r="F70">
        <f t="shared" si="7"/>
        <v>700</v>
      </c>
      <c r="G70">
        <f t="shared" si="8"/>
        <v>522</v>
      </c>
      <c r="H70">
        <f t="shared" si="9"/>
        <v>660</v>
      </c>
      <c r="I70">
        <f t="shared" si="10"/>
        <v>115307</v>
      </c>
    </row>
    <row r="71" spans="1:9" x14ac:dyDescent="0.25">
      <c r="A71" s="1">
        <v>44782</v>
      </c>
      <c r="B71">
        <v>20</v>
      </c>
      <c r="C71">
        <f t="shared" si="11"/>
        <v>76</v>
      </c>
      <c r="D71">
        <f t="shared" si="12"/>
        <v>70</v>
      </c>
      <c r="E71">
        <f t="shared" si="13"/>
        <v>103</v>
      </c>
      <c r="F71">
        <f t="shared" si="7"/>
        <v>532</v>
      </c>
      <c r="G71">
        <f t="shared" si="8"/>
        <v>420</v>
      </c>
      <c r="H71">
        <f t="shared" si="9"/>
        <v>515</v>
      </c>
      <c r="I71">
        <f t="shared" si="10"/>
        <v>116774</v>
      </c>
    </row>
    <row r="72" spans="1:9" x14ac:dyDescent="0.25">
      <c r="A72" s="1">
        <v>44783</v>
      </c>
      <c r="B72">
        <v>18</v>
      </c>
      <c r="C72">
        <f t="shared" si="11"/>
        <v>69</v>
      </c>
      <c r="D72">
        <f t="shared" si="12"/>
        <v>65</v>
      </c>
      <c r="E72">
        <f t="shared" si="13"/>
        <v>95</v>
      </c>
      <c r="F72">
        <f t="shared" si="7"/>
        <v>483</v>
      </c>
      <c r="G72">
        <f t="shared" si="8"/>
        <v>390</v>
      </c>
      <c r="H72">
        <f t="shared" si="9"/>
        <v>475</v>
      </c>
      <c r="I72">
        <f t="shared" si="10"/>
        <v>118122</v>
      </c>
    </row>
    <row r="73" spans="1:9" x14ac:dyDescent="0.25">
      <c r="A73" s="1">
        <v>44784</v>
      </c>
      <c r="B73">
        <v>17</v>
      </c>
      <c r="C73">
        <f t="shared" si="11"/>
        <v>65</v>
      </c>
      <c r="D73">
        <f t="shared" si="12"/>
        <v>63</v>
      </c>
      <c r="E73">
        <f t="shared" si="13"/>
        <v>91</v>
      </c>
      <c r="F73">
        <f t="shared" si="7"/>
        <v>455</v>
      </c>
      <c r="G73">
        <f t="shared" si="8"/>
        <v>378</v>
      </c>
      <c r="H73">
        <f t="shared" si="9"/>
        <v>455</v>
      </c>
      <c r="I73">
        <f t="shared" si="10"/>
        <v>119410</v>
      </c>
    </row>
    <row r="74" spans="1:9" x14ac:dyDescent="0.25">
      <c r="A74" s="1">
        <v>44785</v>
      </c>
      <c r="B74">
        <v>19</v>
      </c>
      <c r="C74">
        <f t="shared" si="11"/>
        <v>72</v>
      </c>
      <c r="D74">
        <f t="shared" si="12"/>
        <v>68</v>
      </c>
      <c r="E74">
        <f t="shared" si="13"/>
        <v>99</v>
      </c>
      <c r="F74">
        <f t="shared" ref="F74:F93" si="14">C74*L$3</f>
        <v>504</v>
      </c>
      <c r="G74">
        <f t="shared" ref="G74:G93" si="15">D74*M$3</f>
        <v>408</v>
      </c>
      <c r="H74">
        <f t="shared" ref="H74:H93" si="16">E74*N$3</f>
        <v>495</v>
      </c>
      <c r="I74">
        <f t="shared" si="10"/>
        <v>120817</v>
      </c>
    </row>
    <row r="75" spans="1:9" x14ac:dyDescent="0.25">
      <c r="A75" s="1">
        <v>44786</v>
      </c>
      <c r="B75">
        <v>26</v>
      </c>
      <c r="C75">
        <f t="shared" si="11"/>
        <v>96</v>
      </c>
      <c r="D75">
        <f t="shared" si="12"/>
        <v>84</v>
      </c>
      <c r="E75">
        <f t="shared" si="13"/>
        <v>128</v>
      </c>
      <c r="F75">
        <f t="shared" si="14"/>
        <v>672</v>
      </c>
      <c r="G75">
        <f t="shared" si="15"/>
        <v>504</v>
      </c>
      <c r="H75">
        <f t="shared" si="16"/>
        <v>640</v>
      </c>
      <c r="I75">
        <f t="shared" si="10"/>
        <v>122633</v>
      </c>
    </row>
    <row r="76" spans="1:9" x14ac:dyDescent="0.25">
      <c r="A76" s="1">
        <v>44787</v>
      </c>
      <c r="B76">
        <v>21</v>
      </c>
      <c r="C76">
        <f t="shared" si="11"/>
        <v>79</v>
      </c>
      <c r="D76">
        <f t="shared" si="12"/>
        <v>72</v>
      </c>
      <c r="E76">
        <f t="shared" si="13"/>
        <v>107</v>
      </c>
      <c r="F76">
        <f t="shared" si="14"/>
        <v>553</v>
      </c>
      <c r="G76">
        <f t="shared" si="15"/>
        <v>432</v>
      </c>
      <c r="H76">
        <f t="shared" si="16"/>
        <v>535</v>
      </c>
      <c r="I76">
        <f t="shared" si="10"/>
        <v>124153</v>
      </c>
    </row>
    <row r="77" spans="1:9" x14ac:dyDescent="0.25">
      <c r="A77" s="1">
        <v>44788</v>
      </c>
      <c r="B77">
        <v>19</v>
      </c>
      <c r="C77">
        <f t="shared" si="11"/>
        <v>72</v>
      </c>
      <c r="D77">
        <f t="shared" si="12"/>
        <v>68</v>
      </c>
      <c r="E77">
        <f t="shared" si="13"/>
        <v>99</v>
      </c>
      <c r="F77">
        <f t="shared" si="14"/>
        <v>504</v>
      </c>
      <c r="G77">
        <f t="shared" si="15"/>
        <v>408</v>
      </c>
      <c r="H77">
        <f t="shared" si="16"/>
        <v>495</v>
      </c>
      <c r="I77">
        <f t="shared" si="10"/>
        <v>125560</v>
      </c>
    </row>
    <row r="78" spans="1:9" x14ac:dyDescent="0.25">
      <c r="A78" s="1">
        <v>44789</v>
      </c>
      <c r="B78">
        <v>19</v>
      </c>
      <c r="C78">
        <f t="shared" si="11"/>
        <v>72</v>
      </c>
      <c r="D78">
        <f t="shared" si="12"/>
        <v>68</v>
      </c>
      <c r="E78">
        <f t="shared" si="13"/>
        <v>99</v>
      </c>
      <c r="F78">
        <f t="shared" si="14"/>
        <v>504</v>
      </c>
      <c r="G78">
        <f t="shared" si="15"/>
        <v>408</v>
      </c>
      <c r="H78">
        <f t="shared" si="16"/>
        <v>495</v>
      </c>
      <c r="I78">
        <f t="shared" si="10"/>
        <v>126967</v>
      </c>
    </row>
    <row r="79" spans="1:9" x14ac:dyDescent="0.25">
      <c r="A79" s="1">
        <v>44790</v>
      </c>
      <c r="B79">
        <v>21</v>
      </c>
      <c r="C79">
        <f t="shared" si="11"/>
        <v>79</v>
      </c>
      <c r="D79">
        <f t="shared" si="12"/>
        <v>72</v>
      </c>
      <c r="E79">
        <f t="shared" si="13"/>
        <v>107</v>
      </c>
      <c r="F79">
        <f t="shared" si="14"/>
        <v>553</v>
      </c>
      <c r="G79">
        <f t="shared" si="15"/>
        <v>432</v>
      </c>
      <c r="H79">
        <f t="shared" si="16"/>
        <v>535</v>
      </c>
      <c r="I79">
        <f t="shared" si="10"/>
        <v>128487</v>
      </c>
    </row>
    <row r="80" spans="1:9" x14ac:dyDescent="0.25">
      <c r="A80" s="1">
        <v>44791</v>
      </c>
      <c r="B80">
        <v>21</v>
      </c>
      <c r="C80">
        <f t="shared" si="11"/>
        <v>79</v>
      </c>
      <c r="D80">
        <f t="shared" si="12"/>
        <v>72</v>
      </c>
      <c r="E80">
        <f t="shared" si="13"/>
        <v>107</v>
      </c>
      <c r="F80">
        <f t="shared" si="14"/>
        <v>553</v>
      </c>
      <c r="G80">
        <f t="shared" si="15"/>
        <v>432</v>
      </c>
      <c r="H80">
        <f t="shared" si="16"/>
        <v>535</v>
      </c>
      <c r="I80">
        <f t="shared" si="10"/>
        <v>130007</v>
      </c>
    </row>
    <row r="81" spans="1:9" x14ac:dyDescent="0.25">
      <c r="A81" s="1">
        <v>44792</v>
      </c>
      <c r="B81">
        <v>24</v>
      </c>
      <c r="C81">
        <f t="shared" si="11"/>
        <v>90</v>
      </c>
      <c r="D81">
        <f t="shared" si="12"/>
        <v>80</v>
      </c>
      <c r="E81">
        <f t="shared" si="13"/>
        <v>120</v>
      </c>
      <c r="F81">
        <f t="shared" si="14"/>
        <v>630</v>
      </c>
      <c r="G81">
        <f t="shared" si="15"/>
        <v>480</v>
      </c>
      <c r="H81">
        <f t="shared" si="16"/>
        <v>600</v>
      </c>
      <c r="I81">
        <f t="shared" si="10"/>
        <v>131717</v>
      </c>
    </row>
    <row r="82" spans="1:9" x14ac:dyDescent="0.25">
      <c r="A82" s="1">
        <v>44793</v>
      </c>
      <c r="B82">
        <v>26</v>
      </c>
      <c r="C82">
        <f t="shared" si="11"/>
        <v>96</v>
      </c>
      <c r="D82">
        <f t="shared" si="12"/>
        <v>84</v>
      </c>
      <c r="E82">
        <f t="shared" si="13"/>
        <v>128</v>
      </c>
      <c r="F82">
        <f t="shared" si="14"/>
        <v>672</v>
      </c>
      <c r="G82">
        <f t="shared" si="15"/>
        <v>504</v>
      </c>
      <c r="H82">
        <f t="shared" si="16"/>
        <v>640</v>
      </c>
      <c r="I82">
        <f t="shared" si="10"/>
        <v>133533</v>
      </c>
    </row>
    <row r="83" spans="1:9" x14ac:dyDescent="0.25">
      <c r="A83" s="1">
        <v>44794</v>
      </c>
      <c r="B83">
        <v>23</v>
      </c>
      <c r="C83">
        <f t="shared" si="11"/>
        <v>86</v>
      </c>
      <c r="D83">
        <f t="shared" si="12"/>
        <v>77</v>
      </c>
      <c r="E83">
        <f t="shared" si="13"/>
        <v>115</v>
      </c>
      <c r="F83">
        <f t="shared" si="14"/>
        <v>602</v>
      </c>
      <c r="G83">
        <f t="shared" si="15"/>
        <v>462</v>
      </c>
      <c r="H83">
        <f t="shared" si="16"/>
        <v>575</v>
      </c>
      <c r="I83">
        <f t="shared" si="10"/>
        <v>135172</v>
      </c>
    </row>
    <row r="84" spans="1:9" x14ac:dyDescent="0.25">
      <c r="A84" s="1">
        <v>44795</v>
      </c>
      <c r="B84">
        <v>23</v>
      </c>
      <c r="C84">
        <f t="shared" si="11"/>
        <v>86</v>
      </c>
      <c r="D84">
        <f t="shared" si="12"/>
        <v>77</v>
      </c>
      <c r="E84">
        <f t="shared" si="13"/>
        <v>115</v>
      </c>
      <c r="F84">
        <f t="shared" si="14"/>
        <v>602</v>
      </c>
      <c r="G84">
        <f t="shared" si="15"/>
        <v>462</v>
      </c>
      <c r="H84">
        <f t="shared" si="16"/>
        <v>575</v>
      </c>
      <c r="I84">
        <f t="shared" si="10"/>
        <v>136811</v>
      </c>
    </row>
    <row r="85" spans="1:9" x14ac:dyDescent="0.25">
      <c r="A85" s="1">
        <v>44796</v>
      </c>
      <c r="B85">
        <v>24</v>
      </c>
      <c r="C85">
        <f t="shared" si="11"/>
        <v>90</v>
      </c>
      <c r="D85">
        <f t="shared" si="12"/>
        <v>80</v>
      </c>
      <c r="E85">
        <f t="shared" si="13"/>
        <v>120</v>
      </c>
      <c r="F85">
        <f t="shared" si="14"/>
        <v>630</v>
      </c>
      <c r="G85">
        <f t="shared" si="15"/>
        <v>480</v>
      </c>
      <c r="H85">
        <f t="shared" si="16"/>
        <v>600</v>
      </c>
      <c r="I85">
        <f t="shared" si="10"/>
        <v>138521</v>
      </c>
    </row>
    <row r="86" spans="1:9" x14ac:dyDescent="0.25">
      <c r="A86" s="1">
        <v>44797</v>
      </c>
      <c r="B86">
        <v>26</v>
      </c>
      <c r="C86">
        <f t="shared" si="11"/>
        <v>96</v>
      </c>
      <c r="D86">
        <f t="shared" si="12"/>
        <v>84</v>
      </c>
      <c r="E86">
        <f t="shared" si="13"/>
        <v>128</v>
      </c>
      <c r="F86">
        <f t="shared" si="14"/>
        <v>672</v>
      </c>
      <c r="G86">
        <f t="shared" si="15"/>
        <v>504</v>
      </c>
      <c r="H86">
        <f t="shared" si="16"/>
        <v>640</v>
      </c>
      <c r="I86">
        <f t="shared" si="10"/>
        <v>140337</v>
      </c>
    </row>
    <row r="87" spans="1:9" x14ac:dyDescent="0.25">
      <c r="A87" s="1">
        <v>44798</v>
      </c>
      <c r="B87">
        <v>28</v>
      </c>
      <c r="C87">
        <f t="shared" si="11"/>
        <v>103</v>
      </c>
      <c r="D87">
        <f t="shared" si="12"/>
        <v>89</v>
      </c>
      <c r="E87">
        <f t="shared" si="13"/>
        <v>136</v>
      </c>
      <c r="F87">
        <f t="shared" si="14"/>
        <v>721</v>
      </c>
      <c r="G87">
        <f t="shared" si="15"/>
        <v>534</v>
      </c>
      <c r="H87">
        <f t="shared" si="16"/>
        <v>680</v>
      </c>
      <c r="I87">
        <f t="shared" si="10"/>
        <v>142272</v>
      </c>
    </row>
    <row r="88" spans="1:9" x14ac:dyDescent="0.25">
      <c r="A88" s="1">
        <v>44799</v>
      </c>
      <c r="B88">
        <v>32</v>
      </c>
      <c r="C88">
        <f t="shared" si="11"/>
        <v>117</v>
      </c>
      <c r="D88">
        <f t="shared" si="12"/>
        <v>98</v>
      </c>
      <c r="E88">
        <f t="shared" si="13"/>
        <v>153</v>
      </c>
      <c r="F88">
        <f t="shared" si="14"/>
        <v>819</v>
      </c>
      <c r="G88">
        <f t="shared" si="15"/>
        <v>588</v>
      </c>
      <c r="H88">
        <f t="shared" si="16"/>
        <v>765</v>
      </c>
      <c r="I88">
        <f t="shared" si="10"/>
        <v>144444</v>
      </c>
    </row>
    <row r="89" spans="1:9" x14ac:dyDescent="0.25">
      <c r="A89" s="1">
        <v>44800</v>
      </c>
      <c r="B89">
        <v>26</v>
      </c>
      <c r="C89">
        <f t="shared" si="11"/>
        <v>96</v>
      </c>
      <c r="D89">
        <f t="shared" si="12"/>
        <v>84</v>
      </c>
      <c r="E89">
        <f t="shared" si="13"/>
        <v>128</v>
      </c>
      <c r="F89">
        <f t="shared" si="14"/>
        <v>672</v>
      </c>
      <c r="G89">
        <f t="shared" si="15"/>
        <v>504</v>
      </c>
      <c r="H89">
        <f t="shared" si="16"/>
        <v>640</v>
      </c>
      <c r="I89">
        <f t="shared" si="10"/>
        <v>146260</v>
      </c>
    </row>
    <row r="90" spans="1:9" x14ac:dyDescent="0.25">
      <c r="A90" s="1">
        <v>44801</v>
      </c>
      <c r="B90">
        <v>32</v>
      </c>
      <c r="C90">
        <f t="shared" si="11"/>
        <v>117</v>
      </c>
      <c r="D90">
        <f t="shared" si="12"/>
        <v>98</v>
      </c>
      <c r="E90">
        <f t="shared" si="13"/>
        <v>153</v>
      </c>
      <c r="F90">
        <f t="shared" si="14"/>
        <v>819</v>
      </c>
      <c r="G90">
        <f t="shared" si="15"/>
        <v>588</v>
      </c>
      <c r="H90">
        <f t="shared" si="16"/>
        <v>765</v>
      </c>
      <c r="I90">
        <f t="shared" si="10"/>
        <v>148432</v>
      </c>
    </row>
    <row r="91" spans="1:9" x14ac:dyDescent="0.25">
      <c r="A91" s="1">
        <v>44802</v>
      </c>
      <c r="B91">
        <v>23</v>
      </c>
      <c r="C91">
        <f t="shared" si="11"/>
        <v>86</v>
      </c>
      <c r="D91">
        <f t="shared" si="12"/>
        <v>77</v>
      </c>
      <c r="E91">
        <f t="shared" si="13"/>
        <v>115</v>
      </c>
      <c r="F91">
        <f t="shared" si="14"/>
        <v>602</v>
      </c>
      <c r="G91">
        <f t="shared" si="15"/>
        <v>462</v>
      </c>
      <c r="H91">
        <f t="shared" si="16"/>
        <v>575</v>
      </c>
      <c r="I91">
        <f t="shared" si="10"/>
        <v>150071</v>
      </c>
    </row>
    <row r="92" spans="1:9" x14ac:dyDescent="0.25">
      <c r="A92" s="1">
        <v>44803</v>
      </c>
      <c r="B92">
        <v>22</v>
      </c>
      <c r="C92">
        <f t="shared" si="11"/>
        <v>83</v>
      </c>
      <c r="D92">
        <f t="shared" si="12"/>
        <v>75</v>
      </c>
      <c r="E92">
        <f t="shared" si="13"/>
        <v>111</v>
      </c>
      <c r="F92">
        <f t="shared" si="14"/>
        <v>581</v>
      </c>
      <c r="G92">
        <f t="shared" si="15"/>
        <v>450</v>
      </c>
      <c r="H92">
        <f t="shared" si="16"/>
        <v>555</v>
      </c>
      <c r="I92">
        <f t="shared" si="10"/>
        <v>151657</v>
      </c>
    </row>
    <row r="93" spans="1:9" x14ac:dyDescent="0.25">
      <c r="A93" s="1">
        <v>44804</v>
      </c>
      <c r="B93">
        <v>25</v>
      </c>
      <c r="C93">
        <f t="shared" si="11"/>
        <v>93</v>
      </c>
      <c r="D93">
        <f t="shared" si="12"/>
        <v>82</v>
      </c>
      <c r="E93">
        <f t="shared" si="13"/>
        <v>124</v>
      </c>
      <c r="F93">
        <f t="shared" si="14"/>
        <v>651</v>
      </c>
      <c r="G93">
        <f t="shared" si="15"/>
        <v>492</v>
      </c>
      <c r="H93">
        <f t="shared" si="16"/>
        <v>620</v>
      </c>
      <c r="I93">
        <f t="shared" si="10"/>
        <v>153420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BD05-AD00-49B4-AAD8-BF075517D6D4}">
  <dimension ref="A1:R124"/>
  <sheetViews>
    <sheetView tabSelected="1" topLeftCell="A94" workbookViewId="0">
      <selection activeCell="L102" sqref="L102"/>
    </sheetView>
  </sheetViews>
  <sheetFormatPr defaultRowHeight="15" x14ac:dyDescent="0.25"/>
  <cols>
    <col min="2" max="2" width="10.140625" bestFit="1" customWidth="1"/>
    <col min="3" max="3" width="12.42578125" bestFit="1" customWidth="1"/>
    <col min="5" max="5" width="10.140625" bestFit="1" customWidth="1"/>
    <col min="12" max="12" width="10.140625" bestFit="1" customWidth="1"/>
    <col min="14" max="15" width="10" bestFit="1" customWidth="1"/>
    <col min="16" max="19" width="11.7109375" bestFit="1" customWidth="1"/>
  </cols>
  <sheetData>
    <row r="1" spans="2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18" x14ac:dyDescent="0.25">
      <c r="B2" s="1">
        <v>44713</v>
      </c>
      <c r="C2">
        <v>24</v>
      </c>
      <c r="D2">
        <v>90</v>
      </c>
      <c r="E2">
        <v>80</v>
      </c>
      <c r="F2">
        <v>120</v>
      </c>
      <c r="G2">
        <f>D2*M$3</f>
        <v>750.6</v>
      </c>
      <c r="H2">
        <f>E2*N$3</f>
        <v>587.20000000000005</v>
      </c>
      <c r="I2">
        <f>F2*O$3</f>
        <v>760.8</v>
      </c>
      <c r="L2" t="s">
        <v>19</v>
      </c>
      <c r="M2" t="s">
        <v>7</v>
      </c>
      <c r="N2" t="s">
        <v>6</v>
      </c>
      <c r="O2" t="s">
        <v>5</v>
      </c>
    </row>
    <row r="3" spans="2:18" x14ac:dyDescent="0.25">
      <c r="B3" s="1">
        <v>44714</v>
      </c>
      <c r="C3">
        <v>25</v>
      </c>
      <c r="D3">
        <f>ROUNDDOWN($D$2 * (1 + (1/13)*((C3-24)/2)),0)</f>
        <v>93</v>
      </c>
      <c r="E3">
        <f>ROUNDDOWN($E$2 * (1 + (1/17)*((C3-24)/2)),0)</f>
        <v>82</v>
      </c>
      <c r="F3">
        <f>ROUNDDOWN($F$2 * (1 + (2/29)*((C3-24)/2)),0)</f>
        <v>124</v>
      </c>
      <c r="G3">
        <f t="shared" ref="G3:I18" si="0">D3*M$3</f>
        <v>775.62</v>
      </c>
      <c r="H3">
        <f t="shared" si="0"/>
        <v>601.88</v>
      </c>
      <c r="I3">
        <f t="shared" si="0"/>
        <v>786.16</v>
      </c>
      <c r="M3">
        <f>7+L102</f>
        <v>8.34</v>
      </c>
      <c r="N3">
        <f>6+L102</f>
        <v>7.34</v>
      </c>
      <c r="O3">
        <f>5+L102</f>
        <v>6.34</v>
      </c>
    </row>
    <row r="4" spans="2:18" x14ac:dyDescent="0.25">
      <c r="B4" s="1">
        <v>44715</v>
      </c>
      <c r="C4">
        <v>27</v>
      </c>
      <c r="D4">
        <f t="shared" ref="D4:D67" si="1">ROUNDDOWN($D$2 * (1 + (1/13)*((C4-24)/2)),0)</f>
        <v>100</v>
      </c>
      <c r="E4">
        <f t="shared" ref="E4:E67" si="2">ROUNDDOWN($E$2 * (1 + (1/17)*((C4-24)/2)),0)</f>
        <v>87</v>
      </c>
      <c r="F4">
        <f t="shared" ref="F4:F67" si="3">ROUNDDOWN($F$2 * (1 + (2/29)*((C4-24)/2)),0)</f>
        <v>132</v>
      </c>
      <c r="G4">
        <f t="shared" si="0"/>
        <v>834</v>
      </c>
      <c r="H4">
        <f t="shared" si="0"/>
        <v>638.58000000000004</v>
      </c>
      <c r="I4">
        <f t="shared" si="0"/>
        <v>836.88</v>
      </c>
      <c r="N4" s="4"/>
      <c r="O4" s="4"/>
      <c r="P4" s="4"/>
    </row>
    <row r="5" spans="2:18" x14ac:dyDescent="0.25">
      <c r="B5" s="1">
        <v>44716</v>
      </c>
      <c r="C5">
        <v>27</v>
      </c>
      <c r="D5">
        <f t="shared" si="1"/>
        <v>100</v>
      </c>
      <c r="E5">
        <f t="shared" si="2"/>
        <v>87</v>
      </c>
      <c r="F5">
        <f t="shared" si="3"/>
        <v>132</v>
      </c>
      <c r="G5">
        <f t="shared" si="0"/>
        <v>834</v>
      </c>
      <c r="H5">
        <f t="shared" si="0"/>
        <v>638.58000000000004</v>
      </c>
      <c r="I5">
        <f t="shared" si="0"/>
        <v>836.88</v>
      </c>
    </row>
    <row r="6" spans="2:18" x14ac:dyDescent="0.25">
      <c r="B6" s="1">
        <v>44717</v>
      </c>
      <c r="C6">
        <v>27</v>
      </c>
      <c r="D6">
        <f t="shared" si="1"/>
        <v>100</v>
      </c>
      <c r="E6">
        <f t="shared" si="2"/>
        <v>87</v>
      </c>
      <c r="F6">
        <f t="shared" si="3"/>
        <v>132</v>
      </c>
      <c r="G6">
        <f t="shared" si="0"/>
        <v>834</v>
      </c>
      <c r="H6">
        <f t="shared" si="0"/>
        <v>638.58000000000004</v>
      </c>
      <c r="I6">
        <f t="shared" si="0"/>
        <v>836.88</v>
      </c>
    </row>
    <row r="7" spans="2:18" x14ac:dyDescent="0.25">
      <c r="B7" s="1">
        <v>44718</v>
      </c>
      <c r="C7">
        <v>22</v>
      </c>
      <c r="D7">
        <f t="shared" si="1"/>
        <v>83</v>
      </c>
      <c r="E7">
        <f t="shared" si="2"/>
        <v>75</v>
      </c>
      <c r="F7">
        <f t="shared" si="3"/>
        <v>111</v>
      </c>
      <c r="G7">
        <f t="shared" si="0"/>
        <v>692.22</v>
      </c>
      <c r="H7">
        <f t="shared" si="0"/>
        <v>550.5</v>
      </c>
      <c r="I7">
        <f t="shared" si="0"/>
        <v>703.74</v>
      </c>
    </row>
    <row r="8" spans="2:18" x14ac:dyDescent="0.25">
      <c r="B8" s="1">
        <v>44719</v>
      </c>
      <c r="C8">
        <v>25</v>
      </c>
      <c r="D8">
        <f t="shared" si="1"/>
        <v>93</v>
      </c>
      <c r="E8">
        <f t="shared" si="2"/>
        <v>82</v>
      </c>
      <c r="F8">
        <f t="shared" si="3"/>
        <v>124</v>
      </c>
      <c r="G8">
        <f t="shared" si="0"/>
        <v>775.62</v>
      </c>
      <c r="H8">
        <f t="shared" si="0"/>
        <v>601.88</v>
      </c>
      <c r="I8">
        <f t="shared" si="0"/>
        <v>786.16</v>
      </c>
    </row>
    <row r="9" spans="2:18" x14ac:dyDescent="0.25">
      <c r="B9" s="1">
        <v>44720</v>
      </c>
      <c r="C9">
        <v>25</v>
      </c>
      <c r="D9">
        <f t="shared" si="1"/>
        <v>93</v>
      </c>
      <c r="E9">
        <f t="shared" si="2"/>
        <v>82</v>
      </c>
      <c r="F9">
        <f t="shared" si="3"/>
        <v>124</v>
      </c>
      <c r="G9">
        <f t="shared" si="0"/>
        <v>775.62</v>
      </c>
      <c r="H9">
        <f t="shared" si="0"/>
        <v>601.88</v>
      </c>
      <c r="I9">
        <f t="shared" si="0"/>
        <v>786.16</v>
      </c>
    </row>
    <row r="10" spans="2:18" x14ac:dyDescent="0.25">
      <c r="B10" s="1">
        <v>44721</v>
      </c>
      <c r="C10">
        <v>21</v>
      </c>
      <c r="D10">
        <f t="shared" si="1"/>
        <v>79</v>
      </c>
      <c r="E10">
        <f t="shared" si="2"/>
        <v>72</v>
      </c>
      <c r="F10">
        <f t="shared" si="3"/>
        <v>107</v>
      </c>
      <c r="G10">
        <f t="shared" si="0"/>
        <v>658.86</v>
      </c>
      <c r="H10">
        <f t="shared" si="0"/>
        <v>528.48</v>
      </c>
      <c r="I10">
        <f t="shared" si="0"/>
        <v>678.38</v>
      </c>
    </row>
    <row r="11" spans="2:18" x14ac:dyDescent="0.25">
      <c r="B11" s="1">
        <v>44722</v>
      </c>
      <c r="C11">
        <v>21</v>
      </c>
      <c r="D11">
        <f t="shared" si="1"/>
        <v>79</v>
      </c>
      <c r="E11">
        <f t="shared" si="2"/>
        <v>72</v>
      </c>
      <c r="F11">
        <f t="shared" si="3"/>
        <v>107</v>
      </c>
      <c r="G11">
        <f t="shared" si="0"/>
        <v>658.86</v>
      </c>
      <c r="H11">
        <f t="shared" si="0"/>
        <v>528.48</v>
      </c>
      <c r="I11">
        <f t="shared" si="0"/>
        <v>678.38</v>
      </c>
      <c r="P11" s="5"/>
      <c r="Q11" s="6"/>
      <c r="R11" s="7"/>
    </row>
    <row r="12" spans="2:18" x14ac:dyDescent="0.25">
      <c r="B12" s="1">
        <v>44723</v>
      </c>
      <c r="C12">
        <v>19</v>
      </c>
      <c r="D12">
        <f t="shared" si="1"/>
        <v>72</v>
      </c>
      <c r="E12">
        <f t="shared" si="2"/>
        <v>68</v>
      </c>
      <c r="F12">
        <f t="shared" si="3"/>
        <v>99</v>
      </c>
      <c r="G12">
        <f t="shared" si="0"/>
        <v>600.48</v>
      </c>
      <c r="H12">
        <f t="shared" si="0"/>
        <v>499.12</v>
      </c>
      <c r="I12">
        <f t="shared" si="0"/>
        <v>627.66</v>
      </c>
      <c r="P12" s="8"/>
      <c r="Q12" s="9"/>
      <c r="R12" s="10"/>
    </row>
    <row r="13" spans="2:18" x14ac:dyDescent="0.25">
      <c r="B13" s="1">
        <v>44724</v>
      </c>
      <c r="C13">
        <v>19</v>
      </c>
      <c r="D13">
        <f t="shared" si="1"/>
        <v>72</v>
      </c>
      <c r="E13">
        <f t="shared" si="2"/>
        <v>68</v>
      </c>
      <c r="F13">
        <f t="shared" si="3"/>
        <v>99</v>
      </c>
      <c r="G13">
        <f t="shared" si="0"/>
        <v>600.48</v>
      </c>
      <c r="H13">
        <f t="shared" si="0"/>
        <v>499.12</v>
      </c>
      <c r="I13">
        <f t="shared" si="0"/>
        <v>627.66</v>
      </c>
      <c r="P13" s="8"/>
      <c r="Q13" s="9"/>
      <c r="R13" s="10"/>
    </row>
    <row r="14" spans="2:18" x14ac:dyDescent="0.25">
      <c r="B14" s="1">
        <v>44725</v>
      </c>
      <c r="C14">
        <v>15</v>
      </c>
      <c r="D14">
        <f t="shared" si="1"/>
        <v>58</v>
      </c>
      <c r="E14">
        <f t="shared" si="2"/>
        <v>58</v>
      </c>
      <c r="F14">
        <f t="shared" si="3"/>
        <v>82</v>
      </c>
      <c r="G14">
        <f t="shared" si="0"/>
        <v>483.71999999999997</v>
      </c>
      <c r="H14">
        <f t="shared" si="0"/>
        <v>425.71999999999997</v>
      </c>
      <c r="I14">
        <f t="shared" si="0"/>
        <v>519.88</v>
      </c>
      <c r="P14" s="8"/>
      <c r="Q14" s="9"/>
      <c r="R14" s="10"/>
    </row>
    <row r="15" spans="2:18" x14ac:dyDescent="0.25">
      <c r="B15" s="1">
        <v>44726</v>
      </c>
      <c r="C15">
        <v>21</v>
      </c>
      <c r="D15">
        <f t="shared" si="1"/>
        <v>79</v>
      </c>
      <c r="E15">
        <f t="shared" si="2"/>
        <v>72</v>
      </c>
      <c r="F15">
        <f t="shared" si="3"/>
        <v>107</v>
      </c>
      <c r="G15">
        <f t="shared" si="0"/>
        <v>658.86</v>
      </c>
      <c r="H15">
        <f t="shared" si="0"/>
        <v>528.48</v>
      </c>
      <c r="I15">
        <f t="shared" si="0"/>
        <v>678.38</v>
      </c>
      <c r="P15" s="8"/>
      <c r="Q15" s="9"/>
      <c r="R15" s="10"/>
    </row>
    <row r="16" spans="2:18" x14ac:dyDescent="0.25">
      <c r="B16" s="1">
        <v>44727</v>
      </c>
      <c r="C16">
        <v>23</v>
      </c>
      <c r="D16">
        <f t="shared" si="1"/>
        <v>86</v>
      </c>
      <c r="E16">
        <f t="shared" si="2"/>
        <v>77</v>
      </c>
      <c r="F16">
        <f t="shared" si="3"/>
        <v>115</v>
      </c>
      <c r="G16">
        <f t="shared" si="0"/>
        <v>717.24</v>
      </c>
      <c r="H16">
        <f t="shared" si="0"/>
        <v>565.17999999999995</v>
      </c>
      <c r="I16">
        <f t="shared" si="0"/>
        <v>729.1</v>
      </c>
      <c r="P16" s="8"/>
      <c r="Q16" s="9"/>
      <c r="R16" s="10"/>
    </row>
    <row r="17" spans="2:18" x14ac:dyDescent="0.25">
      <c r="B17" s="1">
        <v>44728</v>
      </c>
      <c r="C17">
        <v>23</v>
      </c>
      <c r="D17">
        <f t="shared" si="1"/>
        <v>86</v>
      </c>
      <c r="E17">
        <f t="shared" si="2"/>
        <v>77</v>
      </c>
      <c r="F17">
        <f t="shared" si="3"/>
        <v>115</v>
      </c>
      <c r="G17">
        <f t="shared" si="0"/>
        <v>717.24</v>
      </c>
      <c r="H17">
        <f t="shared" si="0"/>
        <v>565.17999999999995</v>
      </c>
      <c r="I17">
        <f t="shared" si="0"/>
        <v>729.1</v>
      </c>
      <c r="P17" s="8"/>
      <c r="Q17" s="9"/>
      <c r="R17" s="10"/>
    </row>
    <row r="18" spans="2:18" x14ac:dyDescent="0.25">
      <c r="B18" s="1">
        <v>44729</v>
      </c>
      <c r="C18">
        <v>16</v>
      </c>
      <c r="D18">
        <f t="shared" si="1"/>
        <v>62</v>
      </c>
      <c r="E18">
        <f t="shared" si="2"/>
        <v>61</v>
      </c>
      <c r="F18">
        <f t="shared" si="3"/>
        <v>86</v>
      </c>
      <c r="G18">
        <f t="shared" si="0"/>
        <v>517.08000000000004</v>
      </c>
      <c r="H18">
        <f t="shared" si="0"/>
        <v>447.74</v>
      </c>
      <c r="I18">
        <f t="shared" si="0"/>
        <v>545.24</v>
      </c>
      <c r="P18" s="8"/>
      <c r="Q18" s="9"/>
      <c r="R18" s="10"/>
    </row>
    <row r="19" spans="2:18" x14ac:dyDescent="0.25">
      <c r="B19" s="1">
        <v>44730</v>
      </c>
      <c r="C19">
        <v>21</v>
      </c>
      <c r="D19">
        <f t="shared" si="1"/>
        <v>79</v>
      </c>
      <c r="E19">
        <f t="shared" si="2"/>
        <v>72</v>
      </c>
      <c r="F19">
        <f t="shared" si="3"/>
        <v>107</v>
      </c>
      <c r="G19">
        <f t="shared" ref="G19:I82" si="4">D19*M$3</f>
        <v>658.86</v>
      </c>
      <c r="H19">
        <f t="shared" si="4"/>
        <v>528.48</v>
      </c>
      <c r="I19">
        <f t="shared" si="4"/>
        <v>678.38</v>
      </c>
      <c r="P19" s="8"/>
      <c r="Q19" s="9"/>
      <c r="R19" s="10"/>
    </row>
    <row r="20" spans="2:18" x14ac:dyDescent="0.25">
      <c r="B20" s="1">
        <v>44731</v>
      </c>
      <c r="C20">
        <v>22</v>
      </c>
      <c r="D20">
        <f t="shared" si="1"/>
        <v>83</v>
      </c>
      <c r="E20">
        <f t="shared" si="2"/>
        <v>75</v>
      </c>
      <c r="F20">
        <f t="shared" si="3"/>
        <v>111</v>
      </c>
      <c r="G20">
        <f t="shared" si="4"/>
        <v>692.22</v>
      </c>
      <c r="H20">
        <f t="shared" si="4"/>
        <v>550.5</v>
      </c>
      <c r="I20">
        <f t="shared" si="4"/>
        <v>703.74</v>
      </c>
      <c r="P20" s="8"/>
      <c r="Q20" s="9"/>
      <c r="R20" s="10"/>
    </row>
    <row r="21" spans="2:18" x14ac:dyDescent="0.25">
      <c r="B21" s="1">
        <v>44732</v>
      </c>
      <c r="C21">
        <v>22</v>
      </c>
      <c r="D21">
        <f t="shared" si="1"/>
        <v>83</v>
      </c>
      <c r="E21">
        <f t="shared" si="2"/>
        <v>75</v>
      </c>
      <c r="F21">
        <f t="shared" si="3"/>
        <v>111</v>
      </c>
      <c r="G21">
        <f t="shared" si="4"/>
        <v>692.22</v>
      </c>
      <c r="H21">
        <f t="shared" si="4"/>
        <v>550.5</v>
      </c>
      <c r="I21">
        <f t="shared" si="4"/>
        <v>703.74</v>
      </c>
      <c r="P21" s="8"/>
      <c r="Q21" s="9"/>
      <c r="R21" s="10"/>
    </row>
    <row r="22" spans="2:18" x14ac:dyDescent="0.25">
      <c r="B22" s="1">
        <v>44733</v>
      </c>
      <c r="C22">
        <v>22</v>
      </c>
      <c r="D22">
        <f t="shared" si="1"/>
        <v>83</v>
      </c>
      <c r="E22">
        <f t="shared" si="2"/>
        <v>75</v>
      </c>
      <c r="F22">
        <f t="shared" si="3"/>
        <v>111</v>
      </c>
      <c r="G22">
        <f t="shared" si="4"/>
        <v>692.22</v>
      </c>
      <c r="H22">
        <f t="shared" si="4"/>
        <v>550.5</v>
      </c>
      <c r="I22">
        <f t="shared" si="4"/>
        <v>703.74</v>
      </c>
      <c r="P22" s="8"/>
      <c r="Q22" s="9"/>
      <c r="R22" s="10"/>
    </row>
    <row r="23" spans="2:18" x14ac:dyDescent="0.25">
      <c r="B23" s="1">
        <v>44734</v>
      </c>
      <c r="C23">
        <v>28</v>
      </c>
      <c r="D23">
        <f t="shared" si="1"/>
        <v>103</v>
      </c>
      <c r="E23">
        <f t="shared" si="2"/>
        <v>89</v>
      </c>
      <c r="F23">
        <f t="shared" si="3"/>
        <v>136</v>
      </c>
      <c r="G23">
        <f t="shared" si="4"/>
        <v>859.02</v>
      </c>
      <c r="H23">
        <f t="shared" si="4"/>
        <v>653.26</v>
      </c>
      <c r="I23">
        <f t="shared" si="4"/>
        <v>862.24</v>
      </c>
      <c r="P23" s="8"/>
      <c r="Q23" s="9"/>
      <c r="R23" s="10"/>
    </row>
    <row r="24" spans="2:18" x14ac:dyDescent="0.25">
      <c r="B24" s="1">
        <v>44735</v>
      </c>
      <c r="C24">
        <v>31</v>
      </c>
      <c r="D24">
        <f t="shared" si="1"/>
        <v>114</v>
      </c>
      <c r="E24">
        <f t="shared" si="2"/>
        <v>96</v>
      </c>
      <c r="F24">
        <f t="shared" si="3"/>
        <v>148</v>
      </c>
      <c r="G24">
        <f t="shared" si="4"/>
        <v>950.76</v>
      </c>
      <c r="H24">
        <f t="shared" si="4"/>
        <v>704.64</v>
      </c>
      <c r="I24">
        <f t="shared" si="4"/>
        <v>938.31999999999994</v>
      </c>
      <c r="P24" s="8"/>
      <c r="Q24" s="9"/>
      <c r="R24" s="10"/>
    </row>
    <row r="25" spans="2:18" x14ac:dyDescent="0.25">
      <c r="B25" s="1">
        <v>44736</v>
      </c>
      <c r="C25">
        <v>33</v>
      </c>
      <c r="D25">
        <f t="shared" si="1"/>
        <v>121</v>
      </c>
      <c r="E25">
        <f t="shared" si="2"/>
        <v>101</v>
      </c>
      <c r="F25">
        <f t="shared" si="3"/>
        <v>157</v>
      </c>
      <c r="G25">
        <f t="shared" si="4"/>
        <v>1009.14</v>
      </c>
      <c r="H25">
        <f t="shared" si="4"/>
        <v>741.34</v>
      </c>
      <c r="I25">
        <f t="shared" si="4"/>
        <v>995.38</v>
      </c>
      <c r="P25" s="8"/>
      <c r="Q25" s="9"/>
      <c r="R25" s="10"/>
    </row>
    <row r="26" spans="2:18" x14ac:dyDescent="0.25">
      <c r="B26" s="1">
        <v>44737</v>
      </c>
      <c r="C26">
        <v>33</v>
      </c>
      <c r="D26">
        <f t="shared" si="1"/>
        <v>121</v>
      </c>
      <c r="E26">
        <f t="shared" si="2"/>
        <v>101</v>
      </c>
      <c r="F26">
        <f t="shared" si="3"/>
        <v>157</v>
      </c>
      <c r="G26">
        <f t="shared" si="4"/>
        <v>1009.14</v>
      </c>
      <c r="H26">
        <f t="shared" si="4"/>
        <v>741.34</v>
      </c>
      <c r="I26">
        <f t="shared" si="4"/>
        <v>995.38</v>
      </c>
      <c r="P26" s="8"/>
      <c r="Q26" s="9"/>
      <c r="R26" s="10"/>
    </row>
    <row r="27" spans="2:18" x14ac:dyDescent="0.25">
      <c r="B27" s="1">
        <v>44738</v>
      </c>
      <c r="C27">
        <v>23</v>
      </c>
      <c r="D27">
        <f t="shared" si="1"/>
        <v>86</v>
      </c>
      <c r="E27">
        <f t="shared" si="2"/>
        <v>77</v>
      </c>
      <c r="F27">
        <f t="shared" si="3"/>
        <v>115</v>
      </c>
      <c r="G27">
        <f t="shared" si="4"/>
        <v>717.24</v>
      </c>
      <c r="H27">
        <f t="shared" si="4"/>
        <v>565.17999999999995</v>
      </c>
      <c r="I27">
        <f t="shared" si="4"/>
        <v>729.1</v>
      </c>
      <c r="L27" s="1"/>
      <c r="P27" s="8"/>
      <c r="Q27" s="9"/>
      <c r="R27" s="10"/>
    </row>
    <row r="28" spans="2:18" x14ac:dyDescent="0.25">
      <c r="B28" s="1">
        <v>44739</v>
      </c>
      <c r="C28">
        <v>23</v>
      </c>
      <c r="D28">
        <f t="shared" si="1"/>
        <v>86</v>
      </c>
      <c r="E28">
        <f t="shared" si="2"/>
        <v>77</v>
      </c>
      <c r="F28">
        <f t="shared" si="3"/>
        <v>115</v>
      </c>
      <c r="G28">
        <f t="shared" si="4"/>
        <v>717.24</v>
      </c>
      <c r="H28">
        <f t="shared" si="4"/>
        <v>565.17999999999995</v>
      </c>
      <c r="I28">
        <f t="shared" si="4"/>
        <v>729.1</v>
      </c>
      <c r="P28" s="11"/>
      <c r="Q28" s="12"/>
      <c r="R28" s="13"/>
    </row>
    <row r="29" spans="2:18" x14ac:dyDescent="0.25">
      <c r="B29" s="1">
        <v>44740</v>
      </c>
      <c r="C29">
        <v>19</v>
      </c>
      <c r="D29">
        <f t="shared" si="1"/>
        <v>72</v>
      </c>
      <c r="E29">
        <f t="shared" si="2"/>
        <v>68</v>
      </c>
      <c r="F29">
        <f t="shared" si="3"/>
        <v>99</v>
      </c>
      <c r="G29">
        <f t="shared" si="4"/>
        <v>600.48</v>
      </c>
      <c r="H29">
        <f t="shared" si="4"/>
        <v>499.12</v>
      </c>
      <c r="I29">
        <f t="shared" si="4"/>
        <v>627.66</v>
      </c>
    </row>
    <row r="30" spans="2:18" x14ac:dyDescent="0.25">
      <c r="B30" s="1">
        <v>44741</v>
      </c>
      <c r="C30">
        <v>24</v>
      </c>
      <c r="D30">
        <f t="shared" si="1"/>
        <v>90</v>
      </c>
      <c r="E30">
        <f t="shared" si="2"/>
        <v>80</v>
      </c>
      <c r="F30">
        <f t="shared" si="3"/>
        <v>120</v>
      </c>
      <c r="G30">
        <f t="shared" si="4"/>
        <v>750.6</v>
      </c>
      <c r="H30">
        <f t="shared" si="4"/>
        <v>587.20000000000005</v>
      </c>
      <c r="I30">
        <f t="shared" si="4"/>
        <v>760.8</v>
      </c>
    </row>
    <row r="31" spans="2:18" x14ac:dyDescent="0.25">
      <c r="B31" s="1">
        <v>44742</v>
      </c>
      <c r="C31">
        <v>25</v>
      </c>
      <c r="D31">
        <f t="shared" si="1"/>
        <v>93</v>
      </c>
      <c r="E31">
        <f t="shared" si="2"/>
        <v>82</v>
      </c>
      <c r="F31">
        <f t="shared" si="3"/>
        <v>124</v>
      </c>
      <c r="G31">
        <f t="shared" si="4"/>
        <v>775.62</v>
      </c>
      <c r="H31">
        <f t="shared" si="4"/>
        <v>601.88</v>
      </c>
      <c r="I31">
        <f t="shared" si="4"/>
        <v>786.16</v>
      </c>
    </row>
    <row r="32" spans="2:18" x14ac:dyDescent="0.25">
      <c r="B32" s="1">
        <v>44743</v>
      </c>
      <c r="C32">
        <v>27</v>
      </c>
      <c r="D32">
        <f t="shared" si="1"/>
        <v>100</v>
      </c>
      <c r="E32">
        <f t="shared" si="2"/>
        <v>87</v>
      </c>
      <c r="F32">
        <f t="shared" si="3"/>
        <v>132</v>
      </c>
      <c r="G32">
        <f t="shared" si="4"/>
        <v>834</v>
      </c>
      <c r="H32">
        <f t="shared" si="4"/>
        <v>638.58000000000004</v>
      </c>
      <c r="I32">
        <f t="shared" si="4"/>
        <v>836.88</v>
      </c>
    </row>
    <row r="33" spans="2:9" x14ac:dyDescent="0.25">
      <c r="B33" s="1">
        <v>44744</v>
      </c>
      <c r="C33">
        <v>27</v>
      </c>
      <c r="D33">
        <f t="shared" si="1"/>
        <v>100</v>
      </c>
      <c r="E33">
        <f t="shared" si="2"/>
        <v>87</v>
      </c>
      <c r="F33">
        <f t="shared" si="3"/>
        <v>132</v>
      </c>
      <c r="G33">
        <f t="shared" si="4"/>
        <v>834</v>
      </c>
      <c r="H33">
        <f t="shared" si="4"/>
        <v>638.58000000000004</v>
      </c>
      <c r="I33">
        <f t="shared" si="4"/>
        <v>836.88</v>
      </c>
    </row>
    <row r="34" spans="2:9" x14ac:dyDescent="0.25">
      <c r="B34" s="1">
        <v>44745</v>
      </c>
      <c r="C34">
        <v>21</v>
      </c>
      <c r="D34">
        <f t="shared" si="1"/>
        <v>79</v>
      </c>
      <c r="E34">
        <f t="shared" si="2"/>
        <v>72</v>
      </c>
      <c r="F34">
        <f t="shared" si="3"/>
        <v>107</v>
      </c>
      <c r="G34">
        <f t="shared" si="4"/>
        <v>658.86</v>
      </c>
      <c r="H34">
        <f t="shared" si="4"/>
        <v>528.48</v>
      </c>
      <c r="I34">
        <f t="shared" si="4"/>
        <v>678.38</v>
      </c>
    </row>
    <row r="35" spans="2:9" x14ac:dyDescent="0.25">
      <c r="B35" s="1">
        <v>44746</v>
      </c>
      <c r="C35">
        <v>21</v>
      </c>
      <c r="D35">
        <f t="shared" si="1"/>
        <v>79</v>
      </c>
      <c r="E35">
        <f t="shared" si="2"/>
        <v>72</v>
      </c>
      <c r="F35">
        <f t="shared" si="3"/>
        <v>107</v>
      </c>
      <c r="G35">
        <f t="shared" si="4"/>
        <v>658.86</v>
      </c>
      <c r="H35">
        <f t="shared" si="4"/>
        <v>528.48</v>
      </c>
      <c r="I35">
        <f t="shared" si="4"/>
        <v>678.38</v>
      </c>
    </row>
    <row r="36" spans="2:9" x14ac:dyDescent="0.25">
      <c r="B36" s="1">
        <v>44747</v>
      </c>
      <c r="C36">
        <v>25</v>
      </c>
      <c r="D36">
        <f t="shared" si="1"/>
        <v>93</v>
      </c>
      <c r="E36">
        <f t="shared" si="2"/>
        <v>82</v>
      </c>
      <c r="F36">
        <f t="shared" si="3"/>
        <v>124</v>
      </c>
      <c r="G36">
        <f t="shared" si="4"/>
        <v>775.62</v>
      </c>
      <c r="H36">
        <f t="shared" si="4"/>
        <v>601.88</v>
      </c>
      <c r="I36">
        <f t="shared" si="4"/>
        <v>786.16</v>
      </c>
    </row>
    <row r="37" spans="2:9" x14ac:dyDescent="0.25">
      <c r="B37" s="1">
        <v>44748</v>
      </c>
      <c r="C37">
        <v>19</v>
      </c>
      <c r="D37">
        <f t="shared" si="1"/>
        <v>72</v>
      </c>
      <c r="E37">
        <f t="shared" si="2"/>
        <v>68</v>
      </c>
      <c r="F37">
        <f t="shared" si="3"/>
        <v>99</v>
      </c>
      <c r="G37">
        <f t="shared" si="4"/>
        <v>600.48</v>
      </c>
      <c r="H37">
        <f t="shared" si="4"/>
        <v>499.12</v>
      </c>
      <c r="I37">
        <f t="shared" si="4"/>
        <v>627.66</v>
      </c>
    </row>
    <row r="38" spans="2:9" x14ac:dyDescent="0.25">
      <c r="B38" s="1">
        <v>44749</v>
      </c>
      <c r="C38">
        <v>21</v>
      </c>
      <c r="D38">
        <f t="shared" si="1"/>
        <v>79</v>
      </c>
      <c r="E38">
        <f t="shared" si="2"/>
        <v>72</v>
      </c>
      <c r="F38">
        <f t="shared" si="3"/>
        <v>107</v>
      </c>
      <c r="G38">
        <f t="shared" si="4"/>
        <v>658.86</v>
      </c>
      <c r="H38">
        <f t="shared" si="4"/>
        <v>528.48</v>
      </c>
      <c r="I38">
        <f t="shared" si="4"/>
        <v>678.38</v>
      </c>
    </row>
    <row r="39" spans="2:9" x14ac:dyDescent="0.25">
      <c r="B39" s="1">
        <v>44750</v>
      </c>
      <c r="C39">
        <v>24</v>
      </c>
      <c r="D39">
        <f t="shared" si="1"/>
        <v>90</v>
      </c>
      <c r="E39">
        <f t="shared" si="2"/>
        <v>80</v>
      </c>
      <c r="F39">
        <f t="shared" si="3"/>
        <v>120</v>
      </c>
      <c r="G39">
        <f t="shared" si="4"/>
        <v>750.6</v>
      </c>
      <c r="H39">
        <f t="shared" si="4"/>
        <v>587.20000000000005</v>
      </c>
      <c r="I39">
        <f t="shared" si="4"/>
        <v>760.8</v>
      </c>
    </row>
    <row r="40" spans="2:9" x14ac:dyDescent="0.25">
      <c r="B40" s="1">
        <v>44751</v>
      </c>
      <c r="C40">
        <v>19</v>
      </c>
      <c r="D40">
        <f t="shared" si="1"/>
        <v>72</v>
      </c>
      <c r="E40">
        <f t="shared" si="2"/>
        <v>68</v>
      </c>
      <c r="F40">
        <f t="shared" si="3"/>
        <v>99</v>
      </c>
      <c r="G40">
        <f t="shared" si="4"/>
        <v>600.48</v>
      </c>
      <c r="H40">
        <f t="shared" si="4"/>
        <v>499.12</v>
      </c>
      <c r="I40">
        <f t="shared" si="4"/>
        <v>627.66</v>
      </c>
    </row>
    <row r="41" spans="2:9" x14ac:dyDescent="0.25">
      <c r="B41" s="1">
        <v>44752</v>
      </c>
      <c r="C41">
        <v>28</v>
      </c>
      <c r="D41">
        <f t="shared" si="1"/>
        <v>103</v>
      </c>
      <c r="E41">
        <f t="shared" si="2"/>
        <v>89</v>
      </c>
      <c r="F41">
        <f t="shared" si="3"/>
        <v>136</v>
      </c>
      <c r="G41">
        <f t="shared" si="4"/>
        <v>859.02</v>
      </c>
      <c r="H41">
        <f t="shared" si="4"/>
        <v>653.26</v>
      </c>
      <c r="I41">
        <f t="shared" si="4"/>
        <v>862.24</v>
      </c>
    </row>
    <row r="42" spans="2:9" x14ac:dyDescent="0.25">
      <c r="B42" s="1">
        <v>44753</v>
      </c>
      <c r="C42">
        <v>27</v>
      </c>
      <c r="D42">
        <f t="shared" si="1"/>
        <v>100</v>
      </c>
      <c r="E42">
        <f t="shared" si="2"/>
        <v>87</v>
      </c>
      <c r="F42">
        <f t="shared" si="3"/>
        <v>132</v>
      </c>
      <c r="G42">
        <f t="shared" si="4"/>
        <v>834</v>
      </c>
      <c r="H42">
        <f t="shared" si="4"/>
        <v>638.58000000000004</v>
      </c>
      <c r="I42">
        <f t="shared" si="4"/>
        <v>836.88</v>
      </c>
    </row>
    <row r="43" spans="2:9" x14ac:dyDescent="0.25">
      <c r="B43" s="1">
        <v>44754</v>
      </c>
      <c r="C43">
        <v>24</v>
      </c>
      <c r="D43">
        <f t="shared" si="1"/>
        <v>90</v>
      </c>
      <c r="E43">
        <f t="shared" si="2"/>
        <v>80</v>
      </c>
      <c r="F43">
        <f t="shared" si="3"/>
        <v>120</v>
      </c>
      <c r="G43">
        <f t="shared" si="4"/>
        <v>750.6</v>
      </c>
      <c r="H43">
        <f t="shared" si="4"/>
        <v>587.20000000000005</v>
      </c>
      <c r="I43">
        <f t="shared" si="4"/>
        <v>760.8</v>
      </c>
    </row>
    <row r="44" spans="2:9" x14ac:dyDescent="0.25">
      <c r="B44" s="1">
        <v>44755</v>
      </c>
      <c r="C44">
        <v>22</v>
      </c>
      <c r="D44">
        <f t="shared" si="1"/>
        <v>83</v>
      </c>
      <c r="E44">
        <f t="shared" si="2"/>
        <v>75</v>
      </c>
      <c r="F44">
        <f t="shared" si="3"/>
        <v>111</v>
      </c>
      <c r="G44">
        <f t="shared" si="4"/>
        <v>692.22</v>
      </c>
      <c r="H44">
        <f t="shared" si="4"/>
        <v>550.5</v>
      </c>
      <c r="I44">
        <f t="shared" si="4"/>
        <v>703.74</v>
      </c>
    </row>
    <row r="45" spans="2:9" x14ac:dyDescent="0.25">
      <c r="B45" s="1">
        <v>44756</v>
      </c>
      <c r="C45">
        <v>17</v>
      </c>
      <c r="D45">
        <f t="shared" si="1"/>
        <v>65</v>
      </c>
      <c r="E45">
        <f t="shared" si="2"/>
        <v>63</v>
      </c>
      <c r="F45">
        <f t="shared" si="3"/>
        <v>91</v>
      </c>
      <c r="G45">
        <f t="shared" si="4"/>
        <v>542.1</v>
      </c>
      <c r="H45">
        <f t="shared" si="4"/>
        <v>462.42</v>
      </c>
      <c r="I45">
        <f t="shared" si="4"/>
        <v>576.93999999999994</v>
      </c>
    </row>
    <row r="46" spans="2:9" x14ac:dyDescent="0.25">
      <c r="B46" s="1">
        <v>44757</v>
      </c>
      <c r="C46">
        <v>18</v>
      </c>
      <c r="D46">
        <f t="shared" si="1"/>
        <v>69</v>
      </c>
      <c r="E46">
        <f t="shared" si="2"/>
        <v>65</v>
      </c>
      <c r="F46">
        <f t="shared" si="3"/>
        <v>95</v>
      </c>
      <c r="G46">
        <f t="shared" si="4"/>
        <v>575.46</v>
      </c>
      <c r="H46">
        <f t="shared" si="4"/>
        <v>477.09999999999997</v>
      </c>
      <c r="I46">
        <f t="shared" si="4"/>
        <v>602.29999999999995</v>
      </c>
    </row>
    <row r="47" spans="2:9" x14ac:dyDescent="0.25">
      <c r="B47" s="1">
        <v>44758</v>
      </c>
      <c r="C47">
        <v>23</v>
      </c>
      <c r="D47">
        <f t="shared" si="1"/>
        <v>86</v>
      </c>
      <c r="E47">
        <f t="shared" si="2"/>
        <v>77</v>
      </c>
      <c r="F47">
        <f t="shared" si="3"/>
        <v>115</v>
      </c>
      <c r="G47">
        <f t="shared" si="4"/>
        <v>717.24</v>
      </c>
      <c r="H47">
        <f t="shared" si="4"/>
        <v>565.17999999999995</v>
      </c>
      <c r="I47">
        <f t="shared" si="4"/>
        <v>729.1</v>
      </c>
    </row>
    <row r="48" spans="2:9" x14ac:dyDescent="0.25">
      <c r="B48" s="1">
        <v>44759</v>
      </c>
      <c r="C48">
        <v>23</v>
      </c>
      <c r="D48">
        <f t="shared" si="1"/>
        <v>86</v>
      </c>
      <c r="E48">
        <f t="shared" si="2"/>
        <v>77</v>
      </c>
      <c r="F48">
        <f t="shared" si="3"/>
        <v>115</v>
      </c>
      <c r="G48">
        <f t="shared" si="4"/>
        <v>717.24</v>
      </c>
      <c r="H48">
        <f t="shared" si="4"/>
        <v>565.17999999999995</v>
      </c>
      <c r="I48">
        <f t="shared" si="4"/>
        <v>729.1</v>
      </c>
    </row>
    <row r="49" spans="2:9" x14ac:dyDescent="0.25">
      <c r="B49" s="1">
        <v>44760</v>
      </c>
      <c r="C49">
        <v>19</v>
      </c>
      <c r="D49">
        <f t="shared" si="1"/>
        <v>72</v>
      </c>
      <c r="E49">
        <f t="shared" si="2"/>
        <v>68</v>
      </c>
      <c r="F49">
        <f t="shared" si="3"/>
        <v>99</v>
      </c>
      <c r="G49">
        <f t="shared" si="4"/>
        <v>600.48</v>
      </c>
      <c r="H49">
        <f t="shared" si="4"/>
        <v>499.12</v>
      </c>
      <c r="I49">
        <f t="shared" si="4"/>
        <v>627.66</v>
      </c>
    </row>
    <row r="50" spans="2:9" x14ac:dyDescent="0.25">
      <c r="B50" s="1">
        <v>44761</v>
      </c>
      <c r="C50">
        <v>21</v>
      </c>
      <c r="D50">
        <f t="shared" si="1"/>
        <v>79</v>
      </c>
      <c r="E50">
        <f t="shared" si="2"/>
        <v>72</v>
      </c>
      <c r="F50">
        <f t="shared" si="3"/>
        <v>107</v>
      </c>
      <c r="G50">
        <f t="shared" si="4"/>
        <v>658.86</v>
      </c>
      <c r="H50">
        <f t="shared" si="4"/>
        <v>528.48</v>
      </c>
      <c r="I50">
        <f t="shared" si="4"/>
        <v>678.38</v>
      </c>
    </row>
    <row r="51" spans="2:9" x14ac:dyDescent="0.25">
      <c r="B51" s="1">
        <v>44762</v>
      </c>
      <c r="C51">
        <v>25</v>
      </c>
      <c r="D51">
        <f t="shared" si="1"/>
        <v>93</v>
      </c>
      <c r="E51">
        <f t="shared" si="2"/>
        <v>82</v>
      </c>
      <c r="F51">
        <f t="shared" si="3"/>
        <v>124</v>
      </c>
      <c r="G51">
        <f t="shared" si="4"/>
        <v>775.62</v>
      </c>
      <c r="H51">
        <f t="shared" si="4"/>
        <v>601.88</v>
      </c>
      <c r="I51">
        <f t="shared" si="4"/>
        <v>786.16</v>
      </c>
    </row>
    <row r="52" spans="2:9" x14ac:dyDescent="0.25">
      <c r="B52" s="1">
        <v>44763</v>
      </c>
      <c r="C52">
        <v>28</v>
      </c>
      <c r="D52">
        <f t="shared" si="1"/>
        <v>103</v>
      </c>
      <c r="E52">
        <f t="shared" si="2"/>
        <v>89</v>
      </c>
      <c r="F52">
        <f t="shared" si="3"/>
        <v>136</v>
      </c>
      <c r="G52">
        <f t="shared" si="4"/>
        <v>859.02</v>
      </c>
      <c r="H52">
        <f t="shared" si="4"/>
        <v>653.26</v>
      </c>
      <c r="I52">
        <f t="shared" si="4"/>
        <v>862.24</v>
      </c>
    </row>
    <row r="53" spans="2:9" x14ac:dyDescent="0.25">
      <c r="B53" s="1">
        <v>44764</v>
      </c>
      <c r="C53">
        <v>27</v>
      </c>
      <c r="D53">
        <f t="shared" si="1"/>
        <v>100</v>
      </c>
      <c r="E53">
        <f t="shared" si="2"/>
        <v>87</v>
      </c>
      <c r="F53">
        <f t="shared" si="3"/>
        <v>132</v>
      </c>
      <c r="G53">
        <f t="shared" si="4"/>
        <v>834</v>
      </c>
      <c r="H53">
        <f t="shared" si="4"/>
        <v>638.58000000000004</v>
      </c>
      <c r="I53">
        <f t="shared" si="4"/>
        <v>836.88</v>
      </c>
    </row>
    <row r="54" spans="2:9" x14ac:dyDescent="0.25">
      <c r="B54" s="1">
        <v>44765</v>
      </c>
      <c r="C54">
        <v>23</v>
      </c>
      <c r="D54">
        <f t="shared" si="1"/>
        <v>86</v>
      </c>
      <c r="E54">
        <f t="shared" si="2"/>
        <v>77</v>
      </c>
      <c r="F54">
        <f t="shared" si="3"/>
        <v>115</v>
      </c>
      <c r="G54">
        <f t="shared" si="4"/>
        <v>717.24</v>
      </c>
      <c r="H54">
        <f t="shared" si="4"/>
        <v>565.17999999999995</v>
      </c>
      <c r="I54">
        <f t="shared" si="4"/>
        <v>729.1</v>
      </c>
    </row>
    <row r="55" spans="2:9" x14ac:dyDescent="0.25">
      <c r="B55" s="1">
        <v>44766</v>
      </c>
      <c r="C55">
        <v>26</v>
      </c>
      <c r="D55">
        <f t="shared" si="1"/>
        <v>96</v>
      </c>
      <c r="E55">
        <f t="shared" si="2"/>
        <v>84</v>
      </c>
      <c r="F55">
        <f t="shared" si="3"/>
        <v>128</v>
      </c>
      <c r="G55">
        <f t="shared" si="4"/>
        <v>800.64</v>
      </c>
      <c r="H55">
        <f t="shared" si="4"/>
        <v>616.55999999999995</v>
      </c>
      <c r="I55">
        <f t="shared" si="4"/>
        <v>811.52</v>
      </c>
    </row>
    <row r="56" spans="2:9" x14ac:dyDescent="0.25">
      <c r="B56" s="1">
        <v>44767</v>
      </c>
      <c r="C56">
        <v>29</v>
      </c>
      <c r="D56">
        <f t="shared" si="1"/>
        <v>107</v>
      </c>
      <c r="E56">
        <f t="shared" si="2"/>
        <v>91</v>
      </c>
      <c r="F56">
        <f t="shared" si="3"/>
        <v>140</v>
      </c>
      <c r="G56">
        <f t="shared" si="4"/>
        <v>892.38</v>
      </c>
      <c r="H56">
        <f t="shared" si="4"/>
        <v>667.93999999999994</v>
      </c>
      <c r="I56">
        <f t="shared" si="4"/>
        <v>887.6</v>
      </c>
    </row>
    <row r="57" spans="2:9" x14ac:dyDescent="0.25">
      <c r="B57" s="1">
        <v>44768</v>
      </c>
      <c r="C57">
        <v>26</v>
      </c>
      <c r="D57">
        <f t="shared" si="1"/>
        <v>96</v>
      </c>
      <c r="E57">
        <f t="shared" si="2"/>
        <v>84</v>
      </c>
      <c r="F57">
        <f t="shared" si="3"/>
        <v>128</v>
      </c>
      <c r="G57">
        <f t="shared" si="4"/>
        <v>800.64</v>
      </c>
      <c r="H57">
        <f t="shared" si="4"/>
        <v>616.55999999999995</v>
      </c>
      <c r="I57">
        <f t="shared" si="4"/>
        <v>811.52</v>
      </c>
    </row>
    <row r="58" spans="2:9" x14ac:dyDescent="0.25">
      <c r="B58" s="1">
        <v>44769</v>
      </c>
      <c r="C58">
        <v>27</v>
      </c>
      <c r="D58">
        <f t="shared" si="1"/>
        <v>100</v>
      </c>
      <c r="E58">
        <f t="shared" si="2"/>
        <v>87</v>
      </c>
      <c r="F58">
        <f t="shared" si="3"/>
        <v>132</v>
      </c>
      <c r="G58">
        <f t="shared" si="4"/>
        <v>834</v>
      </c>
      <c r="H58">
        <f t="shared" si="4"/>
        <v>638.58000000000004</v>
      </c>
      <c r="I58">
        <f t="shared" si="4"/>
        <v>836.88</v>
      </c>
    </row>
    <row r="59" spans="2:9" x14ac:dyDescent="0.25">
      <c r="B59" s="1">
        <v>44770</v>
      </c>
      <c r="C59">
        <v>24</v>
      </c>
      <c r="D59">
        <f t="shared" si="1"/>
        <v>90</v>
      </c>
      <c r="E59">
        <f t="shared" si="2"/>
        <v>80</v>
      </c>
      <c r="F59">
        <f t="shared" si="3"/>
        <v>120</v>
      </c>
      <c r="G59">
        <f t="shared" si="4"/>
        <v>750.6</v>
      </c>
      <c r="H59">
        <f t="shared" si="4"/>
        <v>587.20000000000005</v>
      </c>
      <c r="I59">
        <f t="shared" si="4"/>
        <v>760.8</v>
      </c>
    </row>
    <row r="60" spans="2:9" x14ac:dyDescent="0.25">
      <c r="B60" s="1">
        <v>44771</v>
      </c>
      <c r="C60">
        <v>26</v>
      </c>
      <c r="D60">
        <f t="shared" si="1"/>
        <v>96</v>
      </c>
      <c r="E60">
        <f t="shared" si="2"/>
        <v>84</v>
      </c>
      <c r="F60">
        <f t="shared" si="3"/>
        <v>128</v>
      </c>
      <c r="G60">
        <f t="shared" si="4"/>
        <v>800.64</v>
      </c>
      <c r="H60">
        <f t="shared" si="4"/>
        <v>616.55999999999995</v>
      </c>
      <c r="I60">
        <f t="shared" si="4"/>
        <v>811.52</v>
      </c>
    </row>
    <row r="61" spans="2:9" x14ac:dyDescent="0.25">
      <c r="B61" s="1">
        <v>44772</v>
      </c>
      <c r="C61">
        <v>25</v>
      </c>
      <c r="D61">
        <f t="shared" si="1"/>
        <v>93</v>
      </c>
      <c r="E61">
        <f t="shared" si="2"/>
        <v>82</v>
      </c>
      <c r="F61">
        <f t="shared" si="3"/>
        <v>124</v>
      </c>
      <c r="G61">
        <f t="shared" si="4"/>
        <v>775.62</v>
      </c>
      <c r="H61">
        <f t="shared" si="4"/>
        <v>601.88</v>
      </c>
      <c r="I61">
        <f t="shared" si="4"/>
        <v>786.16</v>
      </c>
    </row>
    <row r="62" spans="2:9" x14ac:dyDescent="0.25">
      <c r="B62" s="1">
        <v>44773</v>
      </c>
      <c r="C62">
        <v>24</v>
      </c>
      <c r="D62">
        <f t="shared" si="1"/>
        <v>90</v>
      </c>
      <c r="E62">
        <f t="shared" si="2"/>
        <v>80</v>
      </c>
      <c r="F62">
        <f t="shared" si="3"/>
        <v>120</v>
      </c>
      <c r="G62">
        <f t="shared" si="4"/>
        <v>750.6</v>
      </c>
      <c r="H62">
        <f t="shared" si="4"/>
        <v>587.20000000000005</v>
      </c>
      <c r="I62">
        <f t="shared" si="4"/>
        <v>760.8</v>
      </c>
    </row>
    <row r="63" spans="2:9" x14ac:dyDescent="0.25">
      <c r="B63" s="1">
        <v>44774</v>
      </c>
      <c r="C63">
        <v>22</v>
      </c>
      <c r="D63">
        <f t="shared" si="1"/>
        <v>83</v>
      </c>
      <c r="E63">
        <f t="shared" si="2"/>
        <v>75</v>
      </c>
      <c r="F63">
        <f t="shared" si="3"/>
        <v>111</v>
      </c>
      <c r="G63">
        <f t="shared" si="4"/>
        <v>692.22</v>
      </c>
      <c r="H63">
        <f t="shared" si="4"/>
        <v>550.5</v>
      </c>
      <c r="I63">
        <f t="shared" si="4"/>
        <v>703.74</v>
      </c>
    </row>
    <row r="64" spans="2:9" x14ac:dyDescent="0.25">
      <c r="B64" s="1">
        <v>44775</v>
      </c>
      <c r="C64">
        <v>19</v>
      </c>
      <c r="D64">
        <f t="shared" si="1"/>
        <v>72</v>
      </c>
      <c r="E64">
        <f t="shared" si="2"/>
        <v>68</v>
      </c>
      <c r="F64">
        <f t="shared" si="3"/>
        <v>99</v>
      </c>
      <c r="G64">
        <f t="shared" si="4"/>
        <v>600.48</v>
      </c>
      <c r="H64">
        <f t="shared" si="4"/>
        <v>499.12</v>
      </c>
      <c r="I64">
        <f t="shared" si="4"/>
        <v>627.66</v>
      </c>
    </row>
    <row r="65" spans="2:9" x14ac:dyDescent="0.25">
      <c r="B65" s="1">
        <v>44776</v>
      </c>
      <c r="C65">
        <v>21</v>
      </c>
      <c r="D65">
        <f t="shared" si="1"/>
        <v>79</v>
      </c>
      <c r="E65">
        <f t="shared" si="2"/>
        <v>72</v>
      </c>
      <c r="F65">
        <f t="shared" si="3"/>
        <v>107</v>
      </c>
      <c r="G65">
        <f t="shared" si="4"/>
        <v>658.86</v>
      </c>
      <c r="H65">
        <f t="shared" si="4"/>
        <v>528.48</v>
      </c>
      <c r="I65">
        <f t="shared" si="4"/>
        <v>678.38</v>
      </c>
    </row>
    <row r="66" spans="2:9" x14ac:dyDescent="0.25">
      <c r="B66" s="1">
        <v>44777</v>
      </c>
      <c r="C66">
        <v>26</v>
      </c>
      <c r="D66">
        <f t="shared" si="1"/>
        <v>96</v>
      </c>
      <c r="E66">
        <f t="shared" si="2"/>
        <v>84</v>
      </c>
      <c r="F66">
        <f t="shared" si="3"/>
        <v>128</v>
      </c>
      <c r="G66">
        <f t="shared" si="4"/>
        <v>800.64</v>
      </c>
      <c r="H66">
        <f t="shared" si="4"/>
        <v>616.55999999999995</v>
      </c>
      <c r="I66">
        <f t="shared" si="4"/>
        <v>811.52</v>
      </c>
    </row>
    <row r="67" spans="2:9" x14ac:dyDescent="0.25">
      <c r="B67" s="1">
        <v>44778</v>
      </c>
      <c r="C67">
        <v>19</v>
      </c>
      <c r="D67">
        <f t="shared" si="1"/>
        <v>72</v>
      </c>
      <c r="E67">
        <f t="shared" si="2"/>
        <v>68</v>
      </c>
      <c r="F67">
        <f t="shared" si="3"/>
        <v>99</v>
      </c>
      <c r="G67">
        <f t="shared" si="4"/>
        <v>600.48</v>
      </c>
      <c r="H67">
        <f t="shared" si="4"/>
        <v>499.12</v>
      </c>
      <c r="I67">
        <f t="shared" si="4"/>
        <v>627.66</v>
      </c>
    </row>
    <row r="68" spans="2:9" x14ac:dyDescent="0.25">
      <c r="B68" s="1">
        <v>44779</v>
      </c>
      <c r="C68">
        <v>21</v>
      </c>
      <c r="D68">
        <f>ROUNDDOWN($D$2 * (1 + (1/13)*((C68-24)/2)),0)</f>
        <v>79</v>
      </c>
      <c r="E68">
        <f t="shared" ref="E68:E93" si="5">ROUNDDOWN($E$2 * (1 + (1/17)*((C68-24)/2)),0)</f>
        <v>72</v>
      </c>
      <c r="F68">
        <f t="shared" ref="F68:F93" si="6">ROUNDDOWN($F$2 * (1 + (2/29)*((C68-24)/2)),0)</f>
        <v>107</v>
      </c>
      <c r="G68">
        <f t="shared" si="4"/>
        <v>658.86</v>
      </c>
      <c r="H68">
        <f t="shared" si="4"/>
        <v>528.48</v>
      </c>
      <c r="I68">
        <f t="shared" si="4"/>
        <v>678.38</v>
      </c>
    </row>
    <row r="69" spans="2:9" x14ac:dyDescent="0.25">
      <c r="B69" s="1">
        <v>44780</v>
      </c>
      <c r="C69">
        <v>23</v>
      </c>
      <c r="D69">
        <f>ROUNDDOWN($D$2 * (1 + (1/13)*((C69-24)/2)),0)</f>
        <v>86</v>
      </c>
      <c r="E69">
        <f t="shared" si="5"/>
        <v>77</v>
      </c>
      <c r="F69">
        <f t="shared" si="6"/>
        <v>115</v>
      </c>
      <c r="G69">
        <f t="shared" si="4"/>
        <v>717.24</v>
      </c>
      <c r="H69">
        <f t="shared" si="4"/>
        <v>565.17999999999995</v>
      </c>
      <c r="I69">
        <f t="shared" si="4"/>
        <v>729.1</v>
      </c>
    </row>
    <row r="70" spans="2:9" x14ac:dyDescent="0.25">
      <c r="B70" s="1">
        <v>44781</v>
      </c>
      <c r="C70">
        <v>27</v>
      </c>
      <c r="D70">
        <f>ROUNDDOWN($D$2 * (1 + (1/13)*((C70-24)/2)),0)</f>
        <v>100</v>
      </c>
      <c r="E70">
        <f t="shared" si="5"/>
        <v>87</v>
      </c>
      <c r="F70">
        <f t="shared" si="6"/>
        <v>132</v>
      </c>
      <c r="G70">
        <f t="shared" si="4"/>
        <v>834</v>
      </c>
      <c r="H70">
        <f t="shared" si="4"/>
        <v>638.58000000000004</v>
      </c>
      <c r="I70">
        <f t="shared" si="4"/>
        <v>836.88</v>
      </c>
    </row>
    <row r="71" spans="2:9" x14ac:dyDescent="0.25">
      <c r="B71" s="1">
        <v>44782</v>
      </c>
      <c r="C71">
        <v>20</v>
      </c>
      <c r="D71">
        <f>ROUNDDOWN($D$2 * (1 + (1/13)*((C71-24)/2)),0)</f>
        <v>76</v>
      </c>
      <c r="E71">
        <f t="shared" si="5"/>
        <v>70</v>
      </c>
      <c r="F71">
        <f t="shared" si="6"/>
        <v>103</v>
      </c>
      <c r="G71">
        <f t="shared" si="4"/>
        <v>633.84</v>
      </c>
      <c r="H71">
        <f t="shared" si="4"/>
        <v>513.79999999999995</v>
      </c>
      <c r="I71">
        <f t="shared" si="4"/>
        <v>653.02</v>
      </c>
    </row>
    <row r="72" spans="2:9" x14ac:dyDescent="0.25">
      <c r="B72" s="1">
        <v>44783</v>
      </c>
      <c r="C72">
        <v>18</v>
      </c>
      <c r="D72">
        <f>ROUNDDOWN($D$2 * (1 + (1/13)*((C72-24)/2)),0)</f>
        <v>69</v>
      </c>
      <c r="E72">
        <f t="shared" si="5"/>
        <v>65</v>
      </c>
      <c r="F72">
        <f t="shared" si="6"/>
        <v>95</v>
      </c>
      <c r="G72">
        <f t="shared" si="4"/>
        <v>575.46</v>
      </c>
      <c r="H72">
        <f t="shared" si="4"/>
        <v>477.09999999999997</v>
      </c>
      <c r="I72">
        <f t="shared" si="4"/>
        <v>602.29999999999995</v>
      </c>
    </row>
    <row r="73" spans="2:9" x14ac:dyDescent="0.25">
      <c r="B73" s="1">
        <v>44784</v>
      </c>
      <c r="C73">
        <v>17</v>
      </c>
      <c r="D73">
        <f>ROUNDDOWN($D$2 * (1 + (1/13)*((C73-24)/2)),0)</f>
        <v>65</v>
      </c>
      <c r="E73">
        <f t="shared" si="5"/>
        <v>63</v>
      </c>
      <c r="F73">
        <f t="shared" si="6"/>
        <v>91</v>
      </c>
      <c r="G73">
        <f t="shared" si="4"/>
        <v>542.1</v>
      </c>
      <c r="H73">
        <f t="shared" si="4"/>
        <v>462.42</v>
      </c>
      <c r="I73">
        <f t="shared" si="4"/>
        <v>576.93999999999994</v>
      </c>
    </row>
    <row r="74" spans="2:9" x14ac:dyDescent="0.25">
      <c r="B74" s="1">
        <v>44785</v>
      </c>
      <c r="C74">
        <v>19</v>
      </c>
      <c r="D74">
        <f>ROUNDDOWN($D$2 * (1 + (1/13)*((C74-24)/2)),0)</f>
        <v>72</v>
      </c>
      <c r="E74">
        <f t="shared" si="5"/>
        <v>68</v>
      </c>
      <c r="F74">
        <f t="shared" si="6"/>
        <v>99</v>
      </c>
      <c r="G74">
        <f t="shared" si="4"/>
        <v>600.48</v>
      </c>
      <c r="H74">
        <f t="shared" si="4"/>
        <v>499.12</v>
      </c>
      <c r="I74">
        <f t="shared" si="4"/>
        <v>627.66</v>
      </c>
    </row>
    <row r="75" spans="2:9" x14ac:dyDescent="0.25">
      <c r="B75" s="1">
        <v>44786</v>
      </c>
      <c r="C75">
        <v>26</v>
      </c>
      <c r="D75">
        <f>ROUNDDOWN($D$2 * (1 + (1/13)*((C75-24)/2)),0)</f>
        <v>96</v>
      </c>
      <c r="E75">
        <f t="shared" si="5"/>
        <v>84</v>
      </c>
      <c r="F75">
        <f t="shared" si="6"/>
        <v>128</v>
      </c>
      <c r="G75">
        <f t="shared" si="4"/>
        <v>800.64</v>
      </c>
      <c r="H75">
        <f t="shared" si="4"/>
        <v>616.55999999999995</v>
      </c>
      <c r="I75">
        <f t="shared" si="4"/>
        <v>811.52</v>
      </c>
    </row>
    <row r="76" spans="2:9" x14ac:dyDescent="0.25">
      <c r="B76" s="1">
        <v>44787</v>
      </c>
      <c r="C76">
        <v>21</v>
      </c>
      <c r="D76">
        <f>ROUNDDOWN($D$2 * (1 + (1/13)*((C76-24)/2)),0)</f>
        <v>79</v>
      </c>
      <c r="E76">
        <f t="shared" si="5"/>
        <v>72</v>
      </c>
      <c r="F76">
        <f t="shared" si="6"/>
        <v>107</v>
      </c>
      <c r="G76">
        <f t="shared" si="4"/>
        <v>658.86</v>
      </c>
      <c r="H76">
        <f t="shared" si="4"/>
        <v>528.48</v>
      </c>
      <c r="I76">
        <f t="shared" si="4"/>
        <v>678.38</v>
      </c>
    </row>
    <row r="77" spans="2:9" x14ac:dyDescent="0.25">
      <c r="B77" s="1">
        <v>44788</v>
      </c>
      <c r="C77">
        <v>19</v>
      </c>
      <c r="D77">
        <f>ROUNDDOWN($D$2 * (1 + (1/13)*((C77-24)/2)),0)</f>
        <v>72</v>
      </c>
      <c r="E77">
        <f t="shared" si="5"/>
        <v>68</v>
      </c>
      <c r="F77">
        <f t="shared" si="6"/>
        <v>99</v>
      </c>
      <c r="G77">
        <f t="shared" si="4"/>
        <v>600.48</v>
      </c>
      <c r="H77">
        <f t="shared" si="4"/>
        <v>499.12</v>
      </c>
      <c r="I77">
        <f t="shared" si="4"/>
        <v>627.66</v>
      </c>
    </row>
    <row r="78" spans="2:9" x14ac:dyDescent="0.25">
      <c r="B78" s="1">
        <v>44789</v>
      </c>
      <c r="C78">
        <v>19</v>
      </c>
      <c r="D78">
        <f>ROUNDDOWN($D$2 * (1 + (1/13)*((C78-24)/2)),0)</f>
        <v>72</v>
      </c>
      <c r="E78">
        <f t="shared" si="5"/>
        <v>68</v>
      </c>
      <c r="F78">
        <f t="shared" si="6"/>
        <v>99</v>
      </c>
      <c r="G78">
        <f t="shared" si="4"/>
        <v>600.48</v>
      </c>
      <c r="H78">
        <f t="shared" si="4"/>
        <v>499.12</v>
      </c>
      <c r="I78">
        <f t="shared" si="4"/>
        <v>627.66</v>
      </c>
    </row>
    <row r="79" spans="2:9" x14ac:dyDescent="0.25">
      <c r="B79" s="1">
        <v>44790</v>
      </c>
      <c r="C79">
        <v>21</v>
      </c>
      <c r="D79">
        <f>ROUNDDOWN($D$2 * (1 + (1/13)*((C79-24)/2)),0)</f>
        <v>79</v>
      </c>
      <c r="E79">
        <f t="shared" si="5"/>
        <v>72</v>
      </c>
      <c r="F79">
        <f t="shared" si="6"/>
        <v>107</v>
      </c>
      <c r="G79">
        <f t="shared" si="4"/>
        <v>658.86</v>
      </c>
      <c r="H79">
        <f t="shared" si="4"/>
        <v>528.48</v>
      </c>
      <c r="I79">
        <f t="shared" si="4"/>
        <v>678.38</v>
      </c>
    </row>
    <row r="80" spans="2:9" x14ac:dyDescent="0.25">
      <c r="B80" s="1">
        <v>44791</v>
      </c>
      <c r="C80">
        <v>21</v>
      </c>
      <c r="D80">
        <f>ROUNDDOWN($D$2 * (1 + (1/13)*((C80-24)/2)),0)</f>
        <v>79</v>
      </c>
      <c r="E80">
        <f t="shared" si="5"/>
        <v>72</v>
      </c>
      <c r="F80">
        <f t="shared" si="6"/>
        <v>107</v>
      </c>
      <c r="G80">
        <f t="shared" si="4"/>
        <v>658.86</v>
      </c>
      <c r="H80">
        <f t="shared" si="4"/>
        <v>528.48</v>
      </c>
      <c r="I80">
        <f t="shared" si="4"/>
        <v>678.38</v>
      </c>
    </row>
    <row r="81" spans="1:10" x14ac:dyDescent="0.25">
      <c r="B81" s="1">
        <v>44792</v>
      </c>
      <c r="C81">
        <v>24</v>
      </c>
      <c r="D81">
        <f>ROUNDDOWN($D$2 * (1 + (1/13)*((C81-24)/2)),0)</f>
        <v>90</v>
      </c>
      <c r="E81">
        <f t="shared" si="5"/>
        <v>80</v>
      </c>
      <c r="F81">
        <f t="shared" si="6"/>
        <v>120</v>
      </c>
      <c r="G81">
        <f t="shared" si="4"/>
        <v>750.6</v>
      </c>
      <c r="H81">
        <f t="shared" si="4"/>
        <v>587.20000000000005</v>
      </c>
      <c r="I81">
        <f t="shared" si="4"/>
        <v>760.8</v>
      </c>
    </row>
    <row r="82" spans="1:10" x14ac:dyDescent="0.25">
      <c r="B82" s="1">
        <v>44793</v>
      </c>
      <c r="C82">
        <v>26</v>
      </c>
      <c r="D82">
        <f>ROUNDDOWN($D$2 * (1 + (1/13)*((C82-24)/2)),0)</f>
        <v>96</v>
      </c>
      <c r="E82">
        <f t="shared" si="5"/>
        <v>84</v>
      </c>
      <c r="F82">
        <f t="shared" si="6"/>
        <v>128</v>
      </c>
      <c r="G82">
        <f t="shared" si="4"/>
        <v>800.64</v>
      </c>
      <c r="H82">
        <f t="shared" si="4"/>
        <v>616.55999999999995</v>
      </c>
      <c r="I82">
        <f t="shared" si="4"/>
        <v>811.52</v>
      </c>
    </row>
    <row r="83" spans="1:10" x14ac:dyDescent="0.25">
      <c r="B83" s="1">
        <v>44794</v>
      </c>
      <c r="C83">
        <v>23</v>
      </c>
      <c r="D83">
        <f>ROUNDDOWN($D$2 * (1 + (1/13)*((C83-24)/2)),0)</f>
        <v>86</v>
      </c>
      <c r="E83">
        <f t="shared" si="5"/>
        <v>77</v>
      </c>
      <c r="F83">
        <f t="shared" si="6"/>
        <v>115</v>
      </c>
      <c r="G83">
        <f t="shared" ref="G83:I102" si="7">D83*M$3</f>
        <v>717.24</v>
      </c>
      <c r="H83">
        <f t="shared" si="7"/>
        <v>565.17999999999995</v>
      </c>
      <c r="I83">
        <f t="shared" si="7"/>
        <v>729.1</v>
      </c>
    </row>
    <row r="84" spans="1:10" x14ac:dyDescent="0.25">
      <c r="B84" s="1">
        <v>44795</v>
      </c>
      <c r="C84">
        <v>23</v>
      </c>
      <c r="D84">
        <f>ROUNDDOWN($D$2 * (1 + (1/13)*((C84-24)/2)),0)</f>
        <v>86</v>
      </c>
      <c r="E84">
        <f t="shared" si="5"/>
        <v>77</v>
      </c>
      <c r="F84">
        <f t="shared" si="6"/>
        <v>115</v>
      </c>
      <c r="G84">
        <f t="shared" si="7"/>
        <v>717.24</v>
      </c>
      <c r="H84">
        <f t="shared" si="7"/>
        <v>565.17999999999995</v>
      </c>
      <c r="I84">
        <f t="shared" si="7"/>
        <v>729.1</v>
      </c>
    </row>
    <row r="85" spans="1:10" x14ac:dyDescent="0.25">
      <c r="B85" s="1">
        <v>44796</v>
      </c>
      <c r="C85">
        <v>24</v>
      </c>
      <c r="D85">
        <f>ROUNDDOWN($D$2 * (1 + (1/13)*((C85-24)/2)),0)</f>
        <v>90</v>
      </c>
      <c r="E85">
        <f t="shared" si="5"/>
        <v>80</v>
      </c>
      <c r="F85">
        <f t="shared" si="6"/>
        <v>120</v>
      </c>
      <c r="G85">
        <f t="shared" si="7"/>
        <v>750.6</v>
      </c>
      <c r="H85">
        <f t="shared" si="7"/>
        <v>587.20000000000005</v>
      </c>
      <c r="I85">
        <f t="shared" si="7"/>
        <v>760.8</v>
      </c>
    </row>
    <row r="86" spans="1:10" x14ac:dyDescent="0.25">
      <c r="B86" s="1">
        <v>44797</v>
      </c>
      <c r="C86">
        <v>26</v>
      </c>
      <c r="D86">
        <f>ROUNDDOWN($D$2 * (1 + (1/13)*((C86-24)/2)),0)</f>
        <v>96</v>
      </c>
      <c r="E86">
        <f t="shared" si="5"/>
        <v>84</v>
      </c>
      <c r="F86">
        <f t="shared" si="6"/>
        <v>128</v>
      </c>
      <c r="G86">
        <f t="shared" si="7"/>
        <v>800.64</v>
      </c>
      <c r="H86">
        <f t="shared" si="7"/>
        <v>616.55999999999995</v>
      </c>
      <c r="I86">
        <f t="shared" si="7"/>
        <v>811.52</v>
      </c>
    </row>
    <row r="87" spans="1:10" x14ac:dyDescent="0.25">
      <c r="B87" s="1">
        <v>44798</v>
      </c>
      <c r="C87">
        <v>28</v>
      </c>
      <c r="D87">
        <f>ROUNDDOWN($D$2 * (1 + (1/13)*((C87-24)/2)),0)</f>
        <v>103</v>
      </c>
      <c r="E87">
        <f t="shared" si="5"/>
        <v>89</v>
      </c>
      <c r="F87">
        <f t="shared" si="6"/>
        <v>136</v>
      </c>
      <c r="G87">
        <f t="shared" si="7"/>
        <v>859.02</v>
      </c>
      <c r="H87">
        <f t="shared" si="7"/>
        <v>653.26</v>
      </c>
      <c r="I87">
        <f t="shared" si="7"/>
        <v>862.24</v>
      </c>
    </row>
    <row r="88" spans="1:10" x14ac:dyDescent="0.25">
      <c r="B88" s="1">
        <v>44799</v>
      </c>
      <c r="C88">
        <v>32</v>
      </c>
      <c r="D88">
        <f>ROUNDDOWN($D$2 * (1 + (1/13)*((C88-24)/2)),0)</f>
        <v>117</v>
      </c>
      <c r="E88">
        <f t="shared" si="5"/>
        <v>98</v>
      </c>
      <c r="F88">
        <f t="shared" si="6"/>
        <v>153</v>
      </c>
      <c r="G88">
        <f t="shared" si="7"/>
        <v>975.78</v>
      </c>
      <c r="H88">
        <f t="shared" si="7"/>
        <v>719.31999999999994</v>
      </c>
      <c r="I88">
        <f t="shared" si="7"/>
        <v>970.02</v>
      </c>
    </row>
    <row r="89" spans="1:10" x14ac:dyDescent="0.25">
      <c r="B89" s="1">
        <v>44800</v>
      </c>
      <c r="C89">
        <v>26</v>
      </c>
      <c r="D89">
        <f>ROUNDDOWN($D$2 * (1 + (1/13)*((C89-24)/2)),0)</f>
        <v>96</v>
      </c>
      <c r="E89">
        <f t="shared" si="5"/>
        <v>84</v>
      </c>
      <c r="F89">
        <f t="shared" si="6"/>
        <v>128</v>
      </c>
      <c r="G89">
        <f t="shared" si="7"/>
        <v>800.64</v>
      </c>
      <c r="H89">
        <f t="shared" si="7"/>
        <v>616.55999999999995</v>
      </c>
      <c r="I89">
        <f t="shared" si="7"/>
        <v>811.52</v>
      </c>
    </row>
    <row r="90" spans="1:10" x14ac:dyDescent="0.25">
      <c r="B90" s="1">
        <v>44801</v>
      </c>
      <c r="C90">
        <v>32</v>
      </c>
      <c r="D90">
        <f>ROUNDDOWN($D$2 * (1 + (1/13)*((C90-24)/2)),0)</f>
        <v>117</v>
      </c>
      <c r="E90">
        <f t="shared" si="5"/>
        <v>98</v>
      </c>
      <c r="F90">
        <f t="shared" si="6"/>
        <v>153</v>
      </c>
      <c r="G90">
        <f t="shared" si="7"/>
        <v>975.78</v>
      </c>
      <c r="H90">
        <f t="shared" si="7"/>
        <v>719.31999999999994</v>
      </c>
      <c r="I90">
        <f t="shared" si="7"/>
        <v>970.02</v>
      </c>
    </row>
    <row r="91" spans="1:10" x14ac:dyDescent="0.25">
      <c r="B91" s="1">
        <v>44802</v>
      </c>
      <c r="C91">
        <v>23</v>
      </c>
      <c r="D91">
        <f>ROUNDDOWN($D$2 * (1 + (1/13)*((C91-24)/2)),0)</f>
        <v>86</v>
      </c>
      <c r="E91">
        <f t="shared" si="5"/>
        <v>77</v>
      </c>
      <c r="F91">
        <f t="shared" si="6"/>
        <v>115</v>
      </c>
      <c r="G91">
        <f t="shared" si="7"/>
        <v>717.24</v>
      </c>
      <c r="H91">
        <f t="shared" si="7"/>
        <v>565.17999999999995</v>
      </c>
      <c r="I91">
        <f t="shared" si="7"/>
        <v>729.1</v>
      </c>
    </row>
    <row r="92" spans="1:10" x14ac:dyDescent="0.25">
      <c r="B92" s="1">
        <v>44803</v>
      </c>
      <c r="C92">
        <v>22</v>
      </c>
      <c r="D92">
        <f>ROUNDDOWN($D$2 * (1 + (1/13)*((C92-24)/2)),0)</f>
        <v>83</v>
      </c>
      <c r="E92">
        <f t="shared" si="5"/>
        <v>75</v>
      </c>
      <c r="F92">
        <f t="shared" si="6"/>
        <v>111</v>
      </c>
      <c r="G92">
        <f t="shared" si="7"/>
        <v>692.22</v>
      </c>
      <c r="H92">
        <f t="shared" si="7"/>
        <v>550.5</v>
      </c>
      <c r="I92">
        <f t="shared" si="7"/>
        <v>703.74</v>
      </c>
    </row>
    <row r="93" spans="1:10" x14ac:dyDescent="0.25">
      <c r="B93" s="17">
        <v>44804</v>
      </c>
      <c r="C93" s="3">
        <v>25</v>
      </c>
      <c r="D93" s="3">
        <f>ROUNDDOWN($D$2 * (1 + (1/13)*((C93-24)/2)),0)</f>
        <v>93</v>
      </c>
      <c r="E93" s="3">
        <f t="shared" si="5"/>
        <v>82</v>
      </c>
      <c r="F93" s="3">
        <f t="shared" si="6"/>
        <v>124</v>
      </c>
      <c r="G93" s="3">
        <f t="shared" si="7"/>
        <v>775.62</v>
      </c>
      <c r="H93" s="3">
        <f t="shared" si="7"/>
        <v>601.88</v>
      </c>
      <c r="I93" s="3">
        <f t="shared" si="7"/>
        <v>786.16</v>
      </c>
      <c r="J93" t="s">
        <v>18</v>
      </c>
    </row>
    <row r="94" spans="1:10" x14ac:dyDescent="0.25">
      <c r="A94">
        <v>1</v>
      </c>
      <c r="B94" s="1">
        <v>44805</v>
      </c>
      <c r="C94">
        <v>23</v>
      </c>
      <c r="D94">
        <f>ROUNDDOWN($D$2 * (1 + (1/13)*((C94-24)/2)),0)</f>
        <v>86</v>
      </c>
      <c r="E94">
        <f t="shared" ref="E94:E106" si="8">ROUNDDOWN($E$2 * (1 + (1/17)*((C94-24)/2)),0)</f>
        <v>77</v>
      </c>
      <c r="F94">
        <f t="shared" ref="F94:F106" si="9">ROUNDDOWN($F$2 * (1 + (2/29)*((C94-24)/2)),0)</f>
        <v>115</v>
      </c>
      <c r="G94">
        <f t="shared" ref="G94:G106" si="10">D94*M$3</f>
        <v>717.24</v>
      </c>
      <c r="H94">
        <f t="shared" ref="H94:H106" si="11">E94*N$3</f>
        <v>565.17999999999995</v>
      </c>
      <c r="I94">
        <f t="shared" ref="I94:I106" si="12">F94*O$3</f>
        <v>729.1</v>
      </c>
      <c r="J94">
        <f>SUM(G94:I94)</f>
        <v>2011.52</v>
      </c>
    </row>
    <row r="95" spans="1:10" x14ac:dyDescent="0.25">
      <c r="A95">
        <v>2</v>
      </c>
      <c r="B95" s="1">
        <v>44806</v>
      </c>
      <c r="C95">
        <f>IF(MOD(A95,2)=0,C94,C94-1)</f>
        <v>23</v>
      </c>
      <c r="D95">
        <f>ROUNDDOWN($D$2 * (1 + (1/13)*((C95-24)/2)),0)</f>
        <v>86</v>
      </c>
      <c r="E95">
        <f t="shared" si="8"/>
        <v>77</v>
      </c>
      <c r="F95">
        <f t="shared" si="9"/>
        <v>115</v>
      </c>
      <c r="G95">
        <f t="shared" si="10"/>
        <v>717.24</v>
      </c>
      <c r="H95">
        <f t="shared" si="11"/>
        <v>565.17999999999995</v>
      </c>
      <c r="I95">
        <f t="shared" si="12"/>
        <v>729.1</v>
      </c>
      <c r="J95">
        <f t="shared" ref="J95:J123" si="13">SUM(G95:I95)</f>
        <v>2011.52</v>
      </c>
    </row>
    <row r="96" spans="1:10" x14ac:dyDescent="0.25">
      <c r="A96">
        <v>3</v>
      </c>
      <c r="B96" s="1">
        <v>44807</v>
      </c>
      <c r="C96">
        <f t="shared" ref="C96:C123" si="14">IF(MOD(A96,2)=0,C95,C95-1)</f>
        <v>22</v>
      </c>
      <c r="D96">
        <f>ROUNDDOWN($D$2 * (1 + (1/13)*((C96-24)/2)),0)</f>
        <v>83</v>
      </c>
      <c r="E96">
        <f t="shared" si="8"/>
        <v>75</v>
      </c>
      <c r="F96">
        <f t="shared" si="9"/>
        <v>111</v>
      </c>
      <c r="G96">
        <f t="shared" si="10"/>
        <v>692.22</v>
      </c>
      <c r="H96">
        <f t="shared" si="11"/>
        <v>550.5</v>
      </c>
      <c r="I96">
        <f t="shared" si="12"/>
        <v>703.74</v>
      </c>
      <c r="J96">
        <f t="shared" si="13"/>
        <v>1946.46</v>
      </c>
    </row>
    <row r="97" spans="1:12" x14ac:dyDescent="0.25">
      <c r="A97">
        <v>4</v>
      </c>
      <c r="B97" s="1">
        <v>44808</v>
      </c>
      <c r="C97">
        <f t="shared" si="14"/>
        <v>22</v>
      </c>
      <c r="D97">
        <f>ROUNDDOWN($D$2 * (1 + (1/13)*((C97-24)/2)),0)</f>
        <v>83</v>
      </c>
      <c r="E97">
        <f t="shared" si="8"/>
        <v>75</v>
      </c>
      <c r="F97">
        <f t="shared" si="9"/>
        <v>111</v>
      </c>
      <c r="G97">
        <f t="shared" si="10"/>
        <v>692.22</v>
      </c>
      <c r="H97">
        <f t="shared" si="11"/>
        <v>550.5</v>
      </c>
      <c r="I97">
        <f t="shared" si="12"/>
        <v>703.74</v>
      </c>
      <c r="J97">
        <f t="shared" si="13"/>
        <v>1946.46</v>
      </c>
    </row>
    <row r="98" spans="1:12" x14ac:dyDescent="0.25">
      <c r="A98">
        <v>5</v>
      </c>
      <c r="B98" s="1">
        <v>44809</v>
      </c>
      <c r="C98">
        <f t="shared" si="14"/>
        <v>21</v>
      </c>
      <c r="D98">
        <f>ROUNDDOWN($D$2 * (1 + (1/13)*((C98-24)/2)),0)</f>
        <v>79</v>
      </c>
      <c r="E98">
        <f t="shared" si="8"/>
        <v>72</v>
      </c>
      <c r="F98">
        <f t="shared" si="9"/>
        <v>107</v>
      </c>
      <c r="G98">
        <f t="shared" si="10"/>
        <v>658.86</v>
      </c>
      <c r="H98">
        <f t="shared" si="11"/>
        <v>528.48</v>
      </c>
      <c r="I98">
        <f t="shared" si="12"/>
        <v>678.38</v>
      </c>
      <c r="J98">
        <f t="shared" si="13"/>
        <v>1865.7200000000003</v>
      </c>
    </row>
    <row r="99" spans="1:12" x14ac:dyDescent="0.25">
      <c r="A99">
        <v>6</v>
      </c>
      <c r="B99" s="1">
        <v>44810</v>
      </c>
      <c r="C99">
        <f t="shared" si="14"/>
        <v>21</v>
      </c>
      <c r="D99">
        <f>ROUNDDOWN($D$2 * (1 + (1/13)*((C99-24)/2)),0)</f>
        <v>79</v>
      </c>
      <c r="E99">
        <f t="shared" si="8"/>
        <v>72</v>
      </c>
      <c r="F99">
        <f t="shared" si="9"/>
        <v>107</v>
      </c>
      <c r="G99">
        <f t="shared" si="10"/>
        <v>658.86</v>
      </c>
      <c r="H99">
        <f t="shared" si="11"/>
        <v>528.48</v>
      </c>
      <c r="I99">
        <f t="shared" si="12"/>
        <v>678.38</v>
      </c>
      <c r="J99">
        <f t="shared" si="13"/>
        <v>1865.7200000000003</v>
      </c>
    </row>
    <row r="100" spans="1:12" x14ac:dyDescent="0.25">
      <c r="A100">
        <v>7</v>
      </c>
      <c r="B100" s="1">
        <v>44811</v>
      </c>
      <c r="C100">
        <f t="shared" si="14"/>
        <v>20</v>
      </c>
      <c r="D100">
        <f>ROUNDDOWN($D$2 * (1 + (1/13)*((C100-24)/2)),0)</f>
        <v>76</v>
      </c>
      <c r="E100">
        <f t="shared" si="8"/>
        <v>70</v>
      </c>
      <c r="F100">
        <f t="shared" si="9"/>
        <v>103</v>
      </c>
      <c r="G100">
        <f t="shared" si="10"/>
        <v>633.84</v>
      </c>
      <c r="H100">
        <f t="shared" si="11"/>
        <v>513.79999999999995</v>
      </c>
      <c r="I100">
        <f t="shared" si="12"/>
        <v>653.02</v>
      </c>
      <c r="J100">
        <f t="shared" si="13"/>
        <v>1800.6599999999999</v>
      </c>
    </row>
    <row r="101" spans="1:12" x14ac:dyDescent="0.25">
      <c r="A101">
        <v>8</v>
      </c>
      <c r="B101" s="1">
        <v>44812</v>
      </c>
      <c r="C101">
        <f t="shared" si="14"/>
        <v>20</v>
      </c>
      <c r="D101">
        <f>ROUNDDOWN($D$2 * (1 + (1/13)*((C101-24)/2)),0)</f>
        <v>76</v>
      </c>
      <c r="E101">
        <f t="shared" si="8"/>
        <v>70</v>
      </c>
      <c r="F101">
        <f t="shared" si="9"/>
        <v>103</v>
      </c>
      <c r="G101">
        <f t="shared" si="10"/>
        <v>633.84</v>
      </c>
      <c r="H101">
        <f t="shared" si="11"/>
        <v>513.79999999999995</v>
      </c>
      <c r="I101">
        <f t="shared" si="12"/>
        <v>653.02</v>
      </c>
      <c r="J101">
        <f t="shared" si="13"/>
        <v>1800.6599999999999</v>
      </c>
    </row>
    <row r="102" spans="1:12" x14ac:dyDescent="0.25">
      <c r="A102">
        <v>9</v>
      </c>
      <c r="B102" s="1">
        <v>44813</v>
      </c>
      <c r="C102">
        <f t="shared" si="14"/>
        <v>19</v>
      </c>
      <c r="D102">
        <f>ROUNDDOWN($D$2 * (1 + (1/13)*((C102-24)/2)),0)</f>
        <v>72</v>
      </c>
      <c r="E102">
        <f t="shared" si="8"/>
        <v>68</v>
      </c>
      <c r="F102">
        <f t="shared" si="9"/>
        <v>99</v>
      </c>
      <c r="G102">
        <f t="shared" si="10"/>
        <v>600.48</v>
      </c>
      <c r="H102">
        <f t="shared" si="11"/>
        <v>499.12</v>
      </c>
      <c r="I102">
        <f t="shared" si="12"/>
        <v>627.66</v>
      </c>
      <c r="J102">
        <f t="shared" si="13"/>
        <v>1727.2599999999998</v>
      </c>
      <c r="L102">
        <v>1.34</v>
      </c>
    </row>
    <row r="103" spans="1:12" x14ac:dyDescent="0.25">
      <c r="A103">
        <v>10</v>
      </c>
      <c r="B103" s="1">
        <v>44814</v>
      </c>
      <c r="C103">
        <f t="shared" si="14"/>
        <v>19</v>
      </c>
      <c r="D103">
        <f>ROUNDDOWN($D$2 * (1 + (1/13)*((C103-24)/2)),0)</f>
        <v>72</v>
      </c>
      <c r="E103">
        <f t="shared" si="8"/>
        <v>68</v>
      </c>
      <c r="F103">
        <f t="shared" si="9"/>
        <v>99</v>
      </c>
      <c r="G103">
        <f t="shared" si="10"/>
        <v>600.48</v>
      </c>
      <c r="H103">
        <f t="shared" si="11"/>
        <v>499.12</v>
      </c>
      <c r="I103">
        <f t="shared" si="12"/>
        <v>627.66</v>
      </c>
      <c r="J103">
        <f t="shared" si="13"/>
        <v>1727.2599999999998</v>
      </c>
    </row>
    <row r="104" spans="1:12" x14ac:dyDescent="0.25">
      <c r="A104">
        <v>11</v>
      </c>
      <c r="B104" s="1">
        <v>44815</v>
      </c>
      <c r="C104">
        <f t="shared" si="14"/>
        <v>18</v>
      </c>
      <c r="D104">
        <f>ROUNDDOWN($D$2 * (1 + (1/13)*((C104-24)/2)),0)</f>
        <v>69</v>
      </c>
      <c r="E104">
        <f t="shared" si="8"/>
        <v>65</v>
      </c>
      <c r="F104">
        <f t="shared" si="9"/>
        <v>95</v>
      </c>
      <c r="G104">
        <f t="shared" si="10"/>
        <v>575.46</v>
      </c>
      <c r="H104">
        <f t="shared" si="11"/>
        <v>477.09999999999997</v>
      </c>
      <c r="I104">
        <f t="shared" si="12"/>
        <v>602.29999999999995</v>
      </c>
      <c r="J104">
        <f t="shared" si="13"/>
        <v>1654.86</v>
      </c>
    </row>
    <row r="105" spans="1:12" x14ac:dyDescent="0.25">
      <c r="A105">
        <v>12</v>
      </c>
      <c r="B105" s="1">
        <v>44816</v>
      </c>
      <c r="C105">
        <f t="shared" si="14"/>
        <v>18</v>
      </c>
      <c r="D105">
        <f>ROUNDDOWN($D$2 * (1 + (1/13)*((C105-24)/2)),0)</f>
        <v>69</v>
      </c>
      <c r="E105">
        <f t="shared" si="8"/>
        <v>65</v>
      </c>
      <c r="F105">
        <f t="shared" si="9"/>
        <v>95</v>
      </c>
      <c r="G105">
        <f t="shared" si="10"/>
        <v>575.46</v>
      </c>
      <c r="H105">
        <f t="shared" si="11"/>
        <v>477.09999999999997</v>
      </c>
      <c r="I105">
        <f t="shared" si="12"/>
        <v>602.29999999999995</v>
      </c>
      <c r="J105">
        <f t="shared" si="13"/>
        <v>1654.86</v>
      </c>
    </row>
    <row r="106" spans="1:12" x14ac:dyDescent="0.25">
      <c r="A106">
        <v>13</v>
      </c>
      <c r="B106" s="1">
        <v>44817</v>
      </c>
      <c r="C106">
        <f t="shared" si="14"/>
        <v>17</v>
      </c>
      <c r="D106">
        <f>ROUNDDOWN($D$2 * (1 + (1/13)*((C106-24)/2)),0)</f>
        <v>65</v>
      </c>
      <c r="E106">
        <f t="shared" si="8"/>
        <v>63</v>
      </c>
      <c r="F106">
        <f t="shared" si="9"/>
        <v>91</v>
      </c>
      <c r="G106">
        <f t="shared" si="10"/>
        <v>542.1</v>
      </c>
      <c r="H106">
        <f t="shared" si="11"/>
        <v>462.42</v>
      </c>
      <c r="I106">
        <f t="shared" si="12"/>
        <v>576.93999999999994</v>
      </c>
      <c r="J106">
        <f t="shared" si="13"/>
        <v>1581.46</v>
      </c>
    </row>
    <row r="107" spans="1:12" x14ac:dyDescent="0.25">
      <c r="A107">
        <v>14</v>
      </c>
      <c r="B107" s="1">
        <v>44818</v>
      </c>
      <c r="C107">
        <f t="shared" si="14"/>
        <v>17</v>
      </c>
      <c r="D107">
        <f>ROUNDDOWN($D$2 * (1 + (1/13)*((C107-24)/2)),0)</f>
        <v>65</v>
      </c>
      <c r="E107">
        <f t="shared" ref="E107:E122" si="15">ROUNDDOWN($E$2 * (1 + (1/17)*((C107-24)/2)),0)</f>
        <v>63</v>
      </c>
      <c r="F107">
        <f t="shared" ref="F107:F122" si="16">ROUNDDOWN($F$2 * (1 + (2/29)*((C107-24)/2)),0)</f>
        <v>91</v>
      </c>
      <c r="G107">
        <f t="shared" ref="G107:G122" si="17">D107*M$3</f>
        <v>542.1</v>
      </c>
      <c r="H107">
        <f t="shared" ref="H107:H122" si="18">E107*N$3</f>
        <v>462.42</v>
      </c>
      <c r="I107">
        <f t="shared" ref="I107:I122" si="19">F107*O$3</f>
        <v>576.93999999999994</v>
      </c>
      <c r="J107">
        <f t="shared" si="13"/>
        <v>1581.46</v>
      </c>
    </row>
    <row r="108" spans="1:12" x14ac:dyDescent="0.25">
      <c r="A108">
        <v>15</v>
      </c>
      <c r="B108" s="1">
        <v>44819</v>
      </c>
      <c r="C108">
        <f t="shared" si="14"/>
        <v>16</v>
      </c>
      <c r="D108">
        <f>ROUNDDOWN($D$2 * (1 + (1/13)*((C108-24)/2)),0)</f>
        <v>62</v>
      </c>
      <c r="E108">
        <f t="shared" si="15"/>
        <v>61</v>
      </c>
      <c r="F108">
        <f t="shared" si="16"/>
        <v>86</v>
      </c>
      <c r="G108">
        <f t="shared" si="17"/>
        <v>517.08000000000004</v>
      </c>
      <c r="H108">
        <f t="shared" si="18"/>
        <v>447.74</v>
      </c>
      <c r="I108">
        <f t="shared" si="19"/>
        <v>545.24</v>
      </c>
      <c r="J108">
        <f t="shared" si="13"/>
        <v>1510.06</v>
      </c>
    </row>
    <row r="109" spans="1:12" x14ac:dyDescent="0.25">
      <c r="A109">
        <v>16</v>
      </c>
      <c r="B109" s="1">
        <v>44820</v>
      </c>
      <c r="C109">
        <f t="shared" si="14"/>
        <v>16</v>
      </c>
      <c r="D109">
        <f>ROUNDDOWN($D$2 * (1 + (1/13)*((C109-24)/2)),0)</f>
        <v>62</v>
      </c>
      <c r="E109">
        <f t="shared" si="15"/>
        <v>61</v>
      </c>
      <c r="F109">
        <f t="shared" si="16"/>
        <v>86</v>
      </c>
      <c r="G109">
        <f t="shared" si="17"/>
        <v>517.08000000000004</v>
      </c>
      <c r="H109">
        <f t="shared" si="18"/>
        <v>447.74</v>
      </c>
      <c r="I109">
        <f t="shared" si="19"/>
        <v>545.24</v>
      </c>
      <c r="J109">
        <f t="shared" si="13"/>
        <v>1510.06</v>
      </c>
    </row>
    <row r="110" spans="1:12" x14ac:dyDescent="0.25">
      <c r="A110">
        <v>17</v>
      </c>
      <c r="B110" s="1">
        <v>44821</v>
      </c>
      <c r="C110">
        <f t="shared" si="14"/>
        <v>15</v>
      </c>
      <c r="D110">
        <f>ROUNDDOWN($D$2 * (1 + (1/13)*((C110-24)/2)),0)</f>
        <v>58</v>
      </c>
      <c r="E110">
        <f t="shared" si="15"/>
        <v>58</v>
      </c>
      <c r="F110">
        <f t="shared" si="16"/>
        <v>82</v>
      </c>
      <c r="G110">
        <f t="shared" si="17"/>
        <v>483.71999999999997</v>
      </c>
      <c r="H110">
        <f t="shared" si="18"/>
        <v>425.71999999999997</v>
      </c>
      <c r="I110">
        <f t="shared" si="19"/>
        <v>519.88</v>
      </c>
      <c r="J110">
        <f t="shared" si="13"/>
        <v>1429.32</v>
      </c>
    </row>
    <row r="111" spans="1:12" x14ac:dyDescent="0.25">
      <c r="A111">
        <v>18</v>
      </c>
      <c r="B111" s="1">
        <v>44822</v>
      </c>
      <c r="C111">
        <f t="shared" si="14"/>
        <v>15</v>
      </c>
      <c r="D111">
        <f>ROUNDDOWN($D$2 * (1 + (1/13)*((C111-24)/2)),0)</f>
        <v>58</v>
      </c>
      <c r="E111">
        <f t="shared" si="15"/>
        <v>58</v>
      </c>
      <c r="F111">
        <f t="shared" si="16"/>
        <v>82</v>
      </c>
      <c r="G111">
        <f t="shared" si="17"/>
        <v>483.71999999999997</v>
      </c>
      <c r="H111">
        <f t="shared" si="18"/>
        <v>425.71999999999997</v>
      </c>
      <c r="I111">
        <f t="shared" si="19"/>
        <v>519.88</v>
      </c>
      <c r="J111">
        <f t="shared" si="13"/>
        <v>1429.32</v>
      </c>
    </row>
    <row r="112" spans="1:12" x14ac:dyDescent="0.25">
      <c r="A112">
        <v>19</v>
      </c>
      <c r="B112" s="1">
        <v>44823</v>
      </c>
      <c r="C112">
        <f t="shared" si="14"/>
        <v>14</v>
      </c>
      <c r="D112">
        <f>ROUNDDOWN($D$2 * (1 + (1/13)*((C112-24)/2)),0)</f>
        <v>55</v>
      </c>
      <c r="E112">
        <f t="shared" si="15"/>
        <v>56</v>
      </c>
      <c r="F112">
        <f t="shared" si="16"/>
        <v>78</v>
      </c>
      <c r="G112">
        <f t="shared" si="17"/>
        <v>458.7</v>
      </c>
      <c r="H112">
        <f t="shared" si="18"/>
        <v>411.03999999999996</v>
      </c>
      <c r="I112">
        <f t="shared" si="19"/>
        <v>494.52</v>
      </c>
      <c r="J112">
        <f t="shared" si="13"/>
        <v>1364.26</v>
      </c>
    </row>
    <row r="113" spans="1:10" x14ac:dyDescent="0.25">
      <c r="A113">
        <v>20</v>
      </c>
      <c r="B113" s="1">
        <v>44824</v>
      </c>
      <c r="C113">
        <f t="shared" si="14"/>
        <v>14</v>
      </c>
      <c r="D113">
        <f>ROUNDDOWN($D$2 * (1 + (1/13)*((C113-24)/2)),0)</f>
        <v>55</v>
      </c>
      <c r="E113">
        <f t="shared" si="15"/>
        <v>56</v>
      </c>
      <c r="F113">
        <f t="shared" si="16"/>
        <v>78</v>
      </c>
      <c r="G113">
        <f t="shared" si="17"/>
        <v>458.7</v>
      </c>
      <c r="H113">
        <f t="shared" si="18"/>
        <v>411.03999999999996</v>
      </c>
      <c r="I113">
        <f t="shared" si="19"/>
        <v>494.52</v>
      </c>
      <c r="J113">
        <f t="shared" si="13"/>
        <v>1364.26</v>
      </c>
    </row>
    <row r="114" spans="1:10" x14ac:dyDescent="0.25">
      <c r="A114">
        <v>21</v>
      </c>
      <c r="B114" s="1">
        <v>44825</v>
      </c>
      <c r="C114">
        <f t="shared" si="14"/>
        <v>13</v>
      </c>
      <c r="D114">
        <f>ROUNDDOWN($D$2 * (1 + (1/13)*((C114-24)/2)),0)</f>
        <v>51</v>
      </c>
      <c r="E114">
        <f t="shared" si="15"/>
        <v>54</v>
      </c>
      <c r="F114">
        <f t="shared" si="16"/>
        <v>74</v>
      </c>
      <c r="G114">
        <f t="shared" si="17"/>
        <v>425.34</v>
      </c>
      <c r="H114">
        <f t="shared" si="18"/>
        <v>396.36</v>
      </c>
      <c r="I114">
        <f t="shared" si="19"/>
        <v>469.15999999999997</v>
      </c>
      <c r="J114">
        <f t="shared" si="13"/>
        <v>1290.8600000000001</v>
      </c>
    </row>
    <row r="115" spans="1:10" x14ac:dyDescent="0.25">
      <c r="A115">
        <v>22</v>
      </c>
      <c r="B115" s="1">
        <v>44826</v>
      </c>
      <c r="C115">
        <f t="shared" si="14"/>
        <v>13</v>
      </c>
      <c r="D115">
        <f>ROUNDDOWN($D$2 * (1 + (1/13)*((C115-24)/2)),0)</f>
        <v>51</v>
      </c>
      <c r="E115">
        <f t="shared" si="15"/>
        <v>54</v>
      </c>
      <c r="F115">
        <f t="shared" si="16"/>
        <v>74</v>
      </c>
      <c r="G115">
        <f t="shared" si="17"/>
        <v>425.34</v>
      </c>
      <c r="H115">
        <f t="shared" si="18"/>
        <v>396.36</v>
      </c>
      <c r="I115">
        <f t="shared" si="19"/>
        <v>469.15999999999997</v>
      </c>
      <c r="J115">
        <f t="shared" si="13"/>
        <v>1290.8600000000001</v>
      </c>
    </row>
    <row r="116" spans="1:10" x14ac:dyDescent="0.25">
      <c r="A116">
        <v>23</v>
      </c>
      <c r="B116" s="1">
        <v>44827</v>
      </c>
      <c r="C116">
        <f t="shared" si="14"/>
        <v>12</v>
      </c>
      <c r="D116">
        <f>ROUNDDOWN($D$2 * (1 + (1/13)*((C116-24)/2)),0)</f>
        <v>48</v>
      </c>
      <c r="E116">
        <f t="shared" si="15"/>
        <v>51</v>
      </c>
      <c r="F116">
        <f t="shared" si="16"/>
        <v>70</v>
      </c>
      <c r="G116">
        <f t="shared" si="17"/>
        <v>400.32</v>
      </c>
      <c r="H116">
        <f t="shared" si="18"/>
        <v>374.34</v>
      </c>
      <c r="I116">
        <f t="shared" si="19"/>
        <v>443.8</v>
      </c>
      <c r="J116">
        <f t="shared" si="13"/>
        <v>1218.46</v>
      </c>
    </row>
    <row r="117" spans="1:10" x14ac:dyDescent="0.25">
      <c r="A117">
        <v>24</v>
      </c>
      <c r="B117" s="1">
        <v>44828</v>
      </c>
      <c r="C117">
        <f t="shared" si="14"/>
        <v>12</v>
      </c>
      <c r="D117">
        <f>ROUNDDOWN($D$2 * (1 + (1/13)*((C117-24)/2)),0)</f>
        <v>48</v>
      </c>
      <c r="E117">
        <f t="shared" si="15"/>
        <v>51</v>
      </c>
      <c r="F117">
        <f t="shared" si="16"/>
        <v>70</v>
      </c>
      <c r="G117">
        <f t="shared" si="17"/>
        <v>400.32</v>
      </c>
      <c r="H117">
        <f t="shared" si="18"/>
        <v>374.34</v>
      </c>
      <c r="I117">
        <f t="shared" si="19"/>
        <v>443.8</v>
      </c>
      <c r="J117">
        <f t="shared" si="13"/>
        <v>1218.46</v>
      </c>
    </row>
    <row r="118" spans="1:10" x14ac:dyDescent="0.25">
      <c r="A118">
        <v>25</v>
      </c>
      <c r="B118" s="1">
        <v>44829</v>
      </c>
      <c r="C118">
        <f t="shared" si="14"/>
        <v>11</v>
      </c>
      <c r="D118">
        <f>ROUNDDOWN($D$2 * (1 + (1/13)*((C118-24)/2)),0)</f>
        <v>45</v>
      </c>
      <c r="E118">
        <f t="shared" si="15"/>
        <v>49</v>
      </c>
      <c r="F118">
        <f t="shared" si="16"/>
        <v>66</v>
      </c>
      <c r="G118">
        <f t="shared" si="17"/>
        <v>375.3</v>
      </c>
      <c r="H118">
        <f t="shared" si="18"/>
        <v>359.65999999999997</v>
      </c>
      <c r="I118">
        <f t="shared" si="19"/>
        <v>418.44</v>
      </c>
      <c r="J118">
        <f t="shared" si="13"/>
        <v>1153.4000000000001</v>
      </c>
    </row>
    <row r="119" spans="1:10" x14ac:dyDescent="0.25">
      <c r="A119">
        <v>26</v>
      </c>
      <c r="B119" s="1">
        <v>44830</v>
      </c>
      <c r="C119">
        <f t="shared" si="14"/>
        <v>11</v>
      </c>
      <c r="D119">
        <f>ROUNDDOWN($D$2 * (1 + (1/13)*((C119-24)/2)),0)</f>
        <v>45</v>
      </c>
      <c r="E119">
        <f t="shared" si="15"/>
        <v>49</v>
      </c>
      <c r="F119">
        <f t="shared" si="16"/>
        <v>66</v>
      </c>
      <c r="G119">
        <f t="shared" si="17"/>
        <v>375.3</v>
      </c>
      <c r="H119">
        <f t="shared" si="18"/>
        <v>359.65999999999997</v>
      </c>
      <c r="I119">
        <f t="shared" si="19"/>
        <v>418.44</v>
      </c>
      <c r="J119">
        <f t="shared" si="13"/>
        <v>1153.4000000000001</v>
      </c>
    </row>
    <row r="120" spans="1:10" x14ac:dyDescent="0.25">
      <c r="A120">
        <v>27</v>
      </c>
      <c r="B120" s="1">
        <v>44831</v>
      </c>
      <c r="C120">
        <f t="shared" si="14"/>
        <v>10</v>
      </c>
      <c r="D120">
        <f>ROUNDDOWN($D$2 * (1 + (1/13)*((C120-24)/2)),0)</f>
        <v>41</v>
      </c>
      <c r="E120">
        <f t="shared" si="15"/>
        <v>47</v>
      </c>
      <c r="F120">
        <f t="shared" si="16"/>
        <v>62</v>
      </c>
      <c r="G120">
        <f t="shared" si="17"/>
        <v>341.94</v>
      </c>
      <c r="H120">
        <f t="shared" si="18"/>
        <v>344.98</v>
      </c>
      <c r="I120">
        <f t="shared" si="19"/>
        <v>393.08</v>
      </c>
      <c r="J120">
        <f t="shared" si="13"/>
        <v>1080</v>
      </c>
    </row>
    <row r="121" spans="1:10" x14ac:dyDescent="0.25">
      <c r="A121">
        <v>28</v>
      </c>
      <c r="B121" s="1">
        <v>44832</v>
      </c>
      <c r="C121">
        <f t="shared" si="14"/>
        <v>10</v>
      </c>
      <c r="D121">
        <f>ROUNDDOWN($D$2 * (1 + (1/13)*((C121-24)/2)),0)</f>
        <v>41</v>
      </c>
      <c r="E121">
        <f t="shared" si="15"/>
        <v>47</v>
      </c>
      <c r="F121">
        <f t="shared" si="16"/>
        <v>62</v>
      </c>
      <c r="G121">
        <f t="shared" si="17"/>
        <v>341.94</v>
      </c>
      <c r="H121">
        <f t="shared" si="18"/>
        <v>344.98</v>
      </c>
      <c r="I121">
        <f t="shared" si="19"/>
        <v>393.08</v>
      </c>
      <c r="J121">
        <f t="shared" si="13"/>
        <v>1080</v>
      </c>
    </row>
    <row r="122" spans="1:10" x14ac:dyDescent="0.25">
      <c r="A122">
        <v>29</v>
      </c>
      <c r="B122" s="1">
        <v>44833</v>
      </c>
      <c r="C122">
        <f t="shared" si="14"/>
        <v>9</v>
      </c>
      <c r="D122">
        <f>ROUNDDOWN($D$2 * (1 + (1/13)*((C122-24)/2)),0)</f>
        <v>38</v>
      </c>
      <c r="E122">
        <f t="shared" si="15"/>
        <v>44</v>
      </c>
      <c r="F122">
        <f t="shared" si="16"/>
        <v>57</v>
      </c>
      <c r="G122">
        <f t="shared" si="17"/>
        <v>316.92</v>
      </c>
      <c r="H122">
        <f t="shared" si="18"/>
        <v>322.95999999999998</v>
      </c>
      <c r="I122">
        <f t="shared" si="19"/>
        <v>361.38</v>
      </c>
      <c r="J122">
        <f t="shared" si="13"/>
        <v>1001.26</v>
      </c>
    </row>
    <row r="123" spans="1:10" x14ac:dyDescent="0.25">
      <c r="A123">
        <v>30</v>
      </c>
      <c r="B123" s="1">
        <v>44834</v>
      </c>
      <c r="C123">
        <f t="shared" si="14"/>
        <v>9</v>
      </c>
      <c r="D123">
        <f>ROUNDDOWN($D$2 * (1 + (1/13)*((C123-24)/2)),0)</f>
        <v>38</v>
      </c>
      <c r="E123">
        <f>ROUNDDOWN($E$2 * (1 + (1/17)*((C123-24)/2)),0)</f>
        <v>44</v>
      </c>
      <c r="F123">
        <f>ROUNDDOWN($F$2 * (1 + (2/29)*((C123-24)/2)),0)</f>
        <v>57</v>
      </c>
      <c r="G123">
        <f t="shared" ref="G123" si="20">D123*M$3</f>
        <v>316.92</v>
      </c>
      <c r="H123">
        <f t="shared" ref="H123" si="21">E123*N$3</f>
        <v>322.95999999999998</v>
      </c>
      <c r="I123">
        <f t="shared" ref="I123" si="22">F123*O$3</f>
        <v>361.38</v>
      </c>
      <c r="J123">
        <f t="shared" si="13"/>
        <v>1001.26</v>
      </c>
    </row>
    <row r="124" spans="1:10" x14ac:dyDescent="0.25">
      <c r="B124" s="1"/>
    </row>
  </sheetData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5" name="Spinner 1">
              <controlPr defaultSize="0" autoPict="0">
                <anchor moveWithCells="1" sizeWithCells="1">
                  <from>
                    <xdr:col>12</xdr:col>
                    <xdr:colOff>533400</xdr:colOff>
                    <xdr:row>11</xdr:row>
                    <xdr:rowOff>38100</xdr:rowOff>
                  </from>
                  <to>
                    <xdr:col>14</xdr:col>
                    <xdr:colOff>247650</xdr:colOff>
                    <xdr:row>15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Nazwane zakresy</vt:lpstr>
      </vt:variant>
      <vt:variant>
        <vt:i4>5</vt:i4>
      </vt:variant>
    </vt:vector>
  </HeadingPairs>
  <TitlesOfParts>
    <vt:vector size="10" baseType="lpstr">
      <vt:lpstr>Dane</vt:lpstr>
      <vt:lpstr>1</vt:lpstr>
      <vt:lpstr>2</vt:lpstr>
      <vt:lpstr>3</vt:lpstr>
      <vt:lpstr>4</vt:lpstr>
      <vt:lpstr>'1'!temperatury</vt:lpstr>
      <vt:lpstr>'2'!temperatury</vt:lpstr>
      <vt:lpstr>'3'!temperatury</vt:lpstr>
      <vt:lpstr>'4'!temperatury</vt:lpstr>
      <vt:lpstr>Dane!temperatury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2024-03-13T10:43:28Z</dcterms:modified>
</cp:coreProperties>
</file>