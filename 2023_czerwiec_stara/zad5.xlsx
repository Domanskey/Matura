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domad\Desktop\2023_czerwiec_stara\"/>
    </mc:Choice>
  </mc:AlternateContent>
  <xr:revisionPtr revIDLastSave="0" documentId="13_ncr:1_{C052A2C1-0AAB-436B-8D36-CED5F53AA494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Symulka" sheetId="1" r:id="rId1"/>
    <sheet name="1" sheetId="3" r:id="rId2"/>
    <sheet name="2" sheetId="4" r:id="rId3"/>
    <sheet name="3" sheetId="5" r:id="rId4"/>
    <sheet name="4" sheetId="6" r:id="rId5"/>
    <sheet name="5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6" i="9" l="1"/>
  <c r="I215" i="9"/>
  <c r="G215" i="9"/>
  <c r="H215" i="9" s="1"/>
  <c r="E215" i="9"/>
  <c r="F215" i="9" s="1"/>
  <c r="B215" i="9"/>
  <c r="N215" i="9" s="1"/>
  <c r="B214" i="9"/>
  <c r="G213" i="9"/>
  <c r="E213" i="9"/>
  <c r="F213" i="9" s="1"/>
  <c r="B213" i="9"/>
  <c r="N213" i="9" s="1"/>
  <c r="B212" i="9"/>
  <c r="N212" i="9" s="1"/>
  <c r="I211" i="9"/>
  <c r="H211" i="9"/>
  <c r="G211" i="9"/>
  <c r="E211" i="9"/>
  <c r="F211" i="9" s="1"/>
  <c r="B211" i="9"/>
  <c r="N211" i="9" s="1"/>
  <c r="B210" i="9"/>
  <c r="G209" i="9"/>
  <c r="E209" i="9"/>
  <c r="B209" i="9"/>
  <c r="N209" i="9" s="1"/>
  <c r="H208" i="9"/>
  <c r="G208" i="9"/>
  <c r="I208" i="9" s="1"/>
  <c r="F208" i="9"/>
  <c r="E208" i="9"/>
  <c r="B208" i="9"/>
  <c r="N208" i="9" s="1"/>
  <c r="E207" i="9"/>
  <c r="F207" i="9" s="1"/>
  <c r="B207" i="9"/>
  <c r="N207" i="9" s="1"/>
  <c r="I206" i="9"/>
  <c r="B206" i="9"/>
  <c r="G206" i="9" s="1"/>
  <c r="H206" i="9" s="1"/>
  <c r="B205" i="9"/>
  <c r="N204" i="9"/>
  <c r="H204" i="9"/>
  <c r="G204" i="9"/>
  <c r="I204" i="9" s="1"/>
  <c r="B204" i="9"/>
  <c r="G203" i="9"/>
  <c r="H203" i="9" s="1"/>
  <c r="E203" i="9"/>
  <c r="F203" i="9" s="1"/>
  <c r="B203" i="9"/>
  <c r="N203" i="9" s="1"/>
  <c r="N202" i="9"/>
  <c r="B202" i="9"/>
  <c r="G201" i="9"/>
  <c r="E201" i="9"/>
  <c r="F201" i="9" s="1"/>
  <c r="B201" i="9"/>
  <c r="N201" i="9" s="1"/>
  <c r="B200" i="9"/>
  <c r="N200" i="9" s="1"/>
  <c r="I199" i="9"/>
  <c r="H199" i="9"/>
  <c r="G199" i="9"/>
  <c r="E199" i="9"/>
  <c r="F199" i="9" s="1"/>
  <c r="B199" i="9"/>
  <c r="N199" i="9" s="1"/>
  <c r="N198" i="9"/>
  <c r="B198" i="9"/>
  <c r="G197" i="9"/>
  <c r="F197" i="9"/>
  <c r="E197" i="9"/>
  <c r="B197" i="9"/>
  <c r="N197" i="9" s="1"/>
  <c r="H196" i="9"/>
  <c r="G196" i="9"/>
  <c r="I196" i="9" s="1"/>
  <c r="F196" i="9"/>
  <c r="E196" i="9"/>
  <c r="B196" i="9"/>
  <c r="N196" i="9" s="1"/>
  <c r="E195" i="9"/>
  <c r="B195" i="9"/>
  <c r="N195" i="9" s="1"/>
  <c r="B194" i="9"/>
  <c r="G194" i="9" s="1"/>
  <c r="N193" i="9"/>
  <c r="B193" i="9"/>
  <c r="B192" i="9"/>
  <c r="G191" i="9"/>
  <c r="H191" i="9" s="1"/>
  <c r="E191" i="9"/>
  <c r="F191" i="9" s="1"/>
  <c r="B191" i="9"/>
  <c r="N191" i="9" s="1"/>
  <c r="N190" i="9"/>
  <c r="F190" i="9"/>
  <c r="E190" i="9"/>
  <c r="B190" i="9"/>
  <c r="G189" i="9"/>
  <c r="E189" i="9"/>
  <c r="F189" i="9" s="1"/>
  <c r="B189" i="9"/>
  <c r="N189" i="9" s="1"/>
  <c r="B188" i="9"/>
  <c r="N188" i="9" s="1"/>
  <c r="I187" i="9"/>
  <c r="H187" i="9"/>
  <c r="G187" i="9"/>
  <c r="E187" i="9"/>
  <c r="F187" i="9" s="1"/>
  <c r="B187" i="9"/>
  <c r="N187" i="9" s="1"/>
  <c r="P187" i="9" s="1"/>
  <c r="N186" i="9"/>
  <c r="B186" i="9"/>
  <c r="G185" i="9"/>
  <c r="F185" i="9"/>
  <c r="E185" i="9"/>
  <c r="B185" i="9"/>
  <c r="N185" i="9" s="1"/>
  <c r="H184" i="9"/>
  <c r="G184" i="9"/>
  <c r="I184" i="9" s="1"/>
  <c r="F184" i="9"/>
  <c r="E184" i="9"/>
  <c r="B184" i="9"/>
  <c r="N184" i="9" s="1"/>
  <c r="B183" i="9"/>
  <c r="N182" i="9"/>
  <c r="I182" i="9"/>
  <c r="H182" i="9"/>
  <c r="E182" i="9"/>
  <c r="F182" i="9" s="1"/>
  <c r="B182" i="9"/>
  <c r="G182" i="9" s="1"/>
  <c r="N181" i="9"/>
  <c r="B181" i="9"/>
  <c r="P180" i="9"/>
  <c r="O180" i="9"/>
  <c r="N180" i="9"/>
  <c r="G180" i="9"/>
  <c r="B180" i="9"/>
  <c r="H179" i="9"/>
  <c r="G179" i="9"/>
  <c r="I179" i="9" s="1"/>
  <c r="E179" i="9"/>
  <c r="F179" i="9" s="1"/>
  <c r="B179" i="9"/>
  <c r="N179" i="9" s="1"/>
  <c r="B178" i="9"/>
  <c r="G177" i="9"/>
  <c r="F177" i="9"/>
  <c r="E177" i="9"/>
  <c r="B177" i="9"/>
  <c r="N177" i="9" s="1"/>
  <c r="N176" i="9"/>
  <c r="B176" i="9"/>
  <c r="H175" i="9"/>
  <c r="G175" i="9"/>
  <c r="I175" i="9" s="1"/>
  <c r="E175" i="9"/>
  <c r="F175" i="9" s="1"/>
  <c r="B175" i="9"/>
  <c r="N175" i="9" s="1"/>
  <c r="N174" i="9"/>
  <c r="B174" i="9"/>
  <c r="N173" i="9"/>
  <c r="P173" i="9" s="1"/>
  <c r="G173" i="9"/>
  <c r="F173" i="9"/>
  <c r="E173" i="9"/>
  <c r="B173" i="9"/>
  <c r="G172" i="9"/>
  <c r="F172" i="9"/>
  <c r="E172" i="9"/>
  <c r="B172" i="9"/>
  <c r="N172" i="9" s="1"/>
  <c r="N171" i="9"/>
  <c r="E171" i="9"/>
  <c r="F171" i="9" s="1"/>
  <c r="B171" i="9"/>
  <c r="N170" i="9"/>
  <c r="G170" i="9"/>
  <c r="F170" i="9"/>
  <c r="E170" i="9"/>
  <c r="B170" i="9"/>
  <c r="B169" i="9"/>
  <c r="N168" i="9"/>
  <c r="H168" i="9"/>
  <c r="G168" i="9"/>
  <c r="I168" i="9" s="1"/>
  <c r="F168" i="9"/>
  <c r="E168" i="9"/>
  <c r="B168" i="9"/>
  <c r="G167" i="9"/>
  <c r="H167" i="9" s="1"/>
  <c r="E167" i="9"/>
  <c r="B167" i="9"/>
  <c r="N167" i="9" s="1"/>
  <c r="B166" i="9"/>
  <c r="I165" i="9"/>
  <c r="H165" i="9"/>
  <c r="G165" i="9"/>
  <c r="E165" i="9"/>
  <c r="F165" i="9" s="1"/>
  <c r="B165" i="9"/>
  <c r="N165" i="9" s="1"/>
  <c r="B164" i="9"/>
  <c r="G163" i="9"/>
  <c r="E163" i="9"/>
  <c r="F163" i="9" s="1"/>
  <c r="B163" i="9"/>
  <c r="N163" i="9" s="1"/>
  <c r="B162" i="9"/>
  <c r="B161" i="9"/>
  <c r="G160" i="9"/>
  <c r="E160" i="9"/>
  <c r="B160" i="9"/>
  <c r="N160" i="9" s="1"/>
  <c r="N159" i="9"/>
  <c r="B159" i="9"/>
  <c r="N158" i="9"/>
  <c r="I158" i="9"/>
  <c r="H158" i="9"/>
  <c r="G158" i="9"/>
  <c r="F158" i="9"/>
  <c r="E158" i="9"/>
  <c r="B158" i="9"/>
  <c r="N157" i="9"/>
  <c r="G157" i="9"/>
  <c r="B157" i="9"/>
  <c r="N156" i="9"/>
  <c r="G156" i="9"/>
  <c r="F156" i="9"/>
  <c r="E156" i="9"/>
  <c r="B156" i="9"/>
  <c r="H155" i="9"/>
  <c r="G155" i="9"/>
  <c r="I155" i="9" s="1"/>
  <c r="F155" i="9"/>
  <c r="E155" i="9"/>
  <c r="B155" i="9"/>
  <c r="N155" i="9" s="1"/>
  <c r="N154" i="9"/>
  <c r="B154" i="9"/>
  <c r="G154" i="9" s="1"/>
  <c r="E153" i="9"/>
  <c r="B153" i="9"/>
  <c r="N153" i="9" s="1"/>
  <c r="B152" i="9"/>
  <c r="G151" i="9"/>
  <c r="E151" i="9"/>
  <c r="F151" i="9" s="1"/>
  <c r="B151" i="9"/>
  <c r="N151" i="9" s="1"/>
  <c r="G150" i="9"/>
  <c r="E150" i="9"/>
  <c r="F150" i="9" s="1"/>
  <c r="B150" i="9"/>
  <c r="N150" i="9" s="1"/>
  <c r="I149" i="9"/>
  <c r="H149" i="9"/>
  <c r="G149" i="9"/>
  <c r="E149" i="9"/>
  <c r="F149" i="9" s="1"/>
  <c r="B149" i="9"/>
  <c r="N149" i="9" s="1"/>
  <c r="N148" i="9"/>
  <c r="I148" i="9"/>
  <c r="E148" i="9"/>
  <c r="F148" i="9" s="1"/>
  <c r="B148" i="9"/>
  <c r="G148" i="9" s="1"/>
  <c r="H148" i="9" s="1"/>
  <c r="B147" i="9"/>
  <c r="G146" i="9"/>
  <c r="B146" i="9"/>
  <c r="E146" i="9" s="1"/>
  <c r="O145" i="9"/>
  <c r="N145" i="9"/>
  <c r="P145" i="9" s="1"/>
  <c r="E145" i="9"/>
  <c r="F145" i="9" s="1"/>
  <c r="B145" i="9"/>
  <c r="I144" i="9"/>
  <c r="H144" i="9"/>
  <c r="G144" i="9"/>
  <c r="F144" i="9"/>
  <c r="E144" i="9"/>
  <c r="B144" i="9"/>
  <c r="N144" i="9" s="1"/>
  <c r="N143" i="9"/>
  <c r="B143" i="9"/>
  <c r="N142" i="9"/>
  <c r="E142" i="9"/>
  <c r="F142" i="9" s="1"/>
  <c r="B142" i="9"/>
  <c r="I141" i="9"/>
  <c r="H141" i="9"/>
  <c r="G141" i="9"/>
  <c r="B141" i="9"/>
  <c r="E141" i="9" s="1"/>
  <c r="F141" i="9" s="1"/>
  <c r="N140" i="9"/>
  <c r="B140" i="9"/>
  <c r="N139" i="9"/>
  <c r="I139" i="9"/>
  <c r="H139" i="9"/>
  <c r="G139" i="9"/>
  <c r="E139" i="9"/>
  <c r="B139" i="9"/>
  <c r="G138" i="9"/>
  <c r="B138" i="9"/>
  <c r="H137" i="9"/>
  <c r="G137" i="9"/>
  <c r="I137" i="9" s="1"/>
  <c r="F137" i="9"/>
  <c r="E137" i="9"/>
  <c r="B137" i="9"/>
  <c r="N137" i="9" s="1"/>
  <c r="N136" i="9"/>
  <c r="I136" i="9"/>
  <c r="H136" i="9"/>
  <c r="E136" i="9"/>
  <c r="F136" i="9" s="1"/>
  <c r="B136" i="9"/>
  <c r="G136" i="9" s="1"/>
  <c r="N135" i="9"/>
  <c r="G135" i="9"/>
  <c r="B135" i="9"/>
  <c r="E135" i="9" s="1"/>
  <c r="F135" i="9" s="1"/>
  <c r="G134" i="9"/>
  <c r="H134" i="9" s="1"/>
  <c r="F134" i="9"/>
  <c r="B134" i="9"/>
  <c r="E134" i="9" s="1"/>
  <c r="N133" i="9"/>
  <c r="E133" i="9"/>
  <c r="F133" i="9" s="1"/>
  <c r="B133" i="9"/>
  <c r="G132" i="9"/>
  <c r="E132" i="9"/>
  <c r="B132" i="9"/>
  <c r="N132" i="9" s="1"/>
  <c r="N131" i="9"/>
  <c r="B131" i="9"/>
  <c r="N130" i="9"/>
  <c r="G130" i="9"/>
  <c r="I130" i="9" s="1"/>
  <c r="F130" i="9"/>
  <c r="E130" i="9"/>
  <c r="B130" i="9"/>
  <c r="G129" i="9"/>
  <c r="H129" i="9" s="1"/>
  <c r="B129" i="9"/>
  <c r="E129" i="9" s="1"/>
  <c r="F129" i="9" s="1"/>
  <c r="N128" i="9"/>
  <c r="E128" i="9"/>
  <c r="F128" i="9" s="1"/>
  <c r="B128" i="9"/>
  <c r="G127" i="9"/>
  <c r="I127" i="9" s="1"/>
  <c r="B127" i="9"/>
  <c r="N126" i="9"/>
  <c r="B126" i="9"/>
  <c r="E126" i="9" s="1"/>
  <c r="F126" i="9" s="1"/>
  <c r="I125" i="9"/>
  <c r="G125" i="9"/>
  <c r="H125" i="9" s="1"/>
  <c r="E125" i="9"/>
  <c r="B125" i="9"/>
  <c r="N125" i="9" s="1"/>
  <c r="N124" i="9"/>
  <c r="G124" i="9"/>
  <c r="I124" i="9" s="1"/>
  <c r="E124" i="9"/>
  <c r="F124" i="9" s="1"/>
  <c r="B124" i="9"/>
  <c r="H123" i="9"/>
  <c r="G123" i="9"/>
  <c r="I123" i="9" s="1"/>
  <c r="B123" i="9"/>
  <c r="I122" i="9"/>
  <c r="H122" i="9"/>
  <c r="G122" i="9"/>
  <c r="F122" i="9"/>
  <c r="E122" i="9"/>
  <c r="B122" i="9"/>
  <c r="N122" i="9" s="1"/>
  <c r="I121" i="9"/>
  <c r="H121" i="9"/>
  <c r="F121" i="9"/>
  <c r="E121" i="9"/>
  <c r="B121" i="9"/>
  <c r="G121" i="9" s="1"/>
  <c r="I120" i="9"/>
  <c r="H120" i="9"/>
  <c r="G120" i="9"/>
  <c r="B120" i="9"/>
  <c r="B119" i="9"/>
  <c r="G118" i="9"/>
  <c r="I118" i="9" s="1"/>
  <c r="E118" i="9"/>
  <c r="B118" i="9"/>
  <c r="N118" i="9" s="1"/>
  <c r="B117" i="9"/>
  <c r="E116" i="9"/>
  <c r="F116" i="9" s="1"/>
  <c r="B116" i="9"/>
  <c r="I115" i="9"/>
  <c r="H115" i="9"/>
  <c r="G115" i="9"/>
  <c r="B115" i="9"/>
  <c r="B114" i="9"/>
  <c r="G113" i="9"/>
  <c r="H113" i="9" s="1"/>
  <c r="F113" i="9"/>
  <c r="E113" i="9"/>
  <c r="B113" i="9"/>
  <c r="N113" i="9" s="1"/>
  <c r="N112" i="9"/>
  <c r="B112" i="9"/>
  <c r="I111" i="9"/>
  <c r="H111" i="9"/>
  <c r="G111" i="9"/>
  <c r="E111" i="9"/>
  <c r="B111" i="9"/>
  <c r="N111" i="9" s="1"/>
  <c r="N110" i="9"/>
  <c r="I110" i="9"/>
  <c r="H110" i="9"/>
  <c r="E110" i="9"/>
  <c r="F110" i="9" s="1"/>
  <c r="B110" i="9"/>
  <c r="G110" i="9" s="1"/>
  <c r="N109" i="9"/>
  <c r="G109" i="9"/>
  <c r="I109" i="9" s="1"/>
  <c r="F109" i="9"/>
  <c r="B109" i="9"/>
  <c r="E109" i="9" s="1"/>
  <c r="I108" i="9"/>
  <c r="H108" i="9"/>
  <c r="G108" i="9"/>
  <c r="F108" i="9"/>
  <c r="E108" i="9"/>
  <c r="B108" i="9"/>
  <c r="N108" i="9" s="1"/>
  <c r="N107" i="9"/>
  <c r="B107" i="9"/>
  <c r="H106" i="9"/>
  <c r="G106" i="9"/>
  <c r="I106" i="9" s="1"/>
  <c r="F106" i="9"/>
  <c r="E106" i="9"/>
  <c r="B106" i="9"/>
  <c r="N106" i="9" s="1"/>
  <c r="N105" i="9"/>
  <c r="B105" i="9"/>
  <c r="G104" i="9"/>
  <c r="I104" i="9" s="1"/>
  <c r="E104" i="9"/>
  <c r="B104" i="9"/>
  <c r="G103" i="9"/>
  <c r="B103" i="9"/>
  <c r="N102" i="9"/>
  <c r="B102" i="9"/>
  <c r="I101" i="9"/>
  <c r="G101" i="9"/>
  <c r="H101" i="9" s="1"/>
  <c r="E101" i="9"/>
  <c r="F101" i="9" s="1"/>
  <c r="B101" i="9"/>
  <c r="N101" i="9" s="1"/>
  <c r="N100" i="9"/>
  <c r="G100" i="9"/>
  <c r="E100" i="9"/>
  <c r="F100" i="9" s="1"/>
  <c r="B100" i="9"/>
  <c r="H99" i="9"/>
  <c r="G99" i="9"/>
  <c r="I99" i="9" s="1"/>
  <c r="F99" i="9"/>
  <c r="E99" i="9"/>
  <c r="B99" i="9"/>
  <c r="N99" i="9" s="1"/>
  <c r="B98" i="9"/>
  <c r="B97" i="9"/>
  <c r="O96" i="9"/>
  <c r="H96" i="9"/>
  <c r="G96" i="9"/>
  <c r="I96" i="9" s="1"/>
  <c r="E96" i="9"/>
  <c r="F96" i="9" s="1"/>
  <c r="B96" i="9"/>
  <c r="N96" i="9" s="1"/>
  <c r="P96" i="9" s="1"/>
  <c r="B95" i="9"/>
  <c r="I94" i="9"/>
  <c r="H94" i="9"/>
  <c r="G94" i="9"/>
  <c r="E94" i="9"/>
  <c r="F94" i="9" s="1"/>
  <c r="B94" i="9"/>
  <c r="N94" i="9" s="1"/>
  <c r="B93" i="9"/>
  <c r="N93" i="9" s="1"/>
  <c r="B92" i="9"/>
  <c r="G91" i="9"/>
  <c r="B91" i="9"/>
  <c r="B90" i="9"/>
  <c r="B89" i="9"/>
  <c r="I88" i="9"/>
  <c r="G88" i="9"/>
  <c r="H88" i="9" s="1"/>
  <c r="F88" i="9"/>
  <c r="E88" i="9"/>
  <c r="B88" i="9"/>
  <c r="N88" i="9" s="1"/>
  <c r="B87" i="9"/>
  <c r="B86" i="9"/>
  <c r="B85" i="9"/>
  <c r="E84" i="9"/>
  <c r="F84" i="9" s="1"/>
  <c r="B84" i="9"/>
  <c r="N83" i="9"/>
  <c r="I83" i="9"/>
  <c r="G83" i="9"/>
  <c r="H83" i="9" s="1"/>
  <c r="B83" i="9"/>
  <c r="E83" i="9" s="1"/>
  <c r="P82" i="9"/>
  <c r="N82" i="9"/>
  <c r="O82" i="9" s="1"/>
  <c r="E82" i="9"/>
  <c r="F82" i="9" s="1"/>
  <c r="B82" i="9"/>
  <c r="G82" i="9" s="1"/>
  <c r="G81" i="9"/>
  <c r="H81" i="9" s="1"/>
  <c r="E81" i="9"/>
  <c r="F81" i="9" s="1"/>
  <c r="B81" i="9"/>
  <c r="N81" i="9" s="1"/>
  <c r="N80" i="9"/>
  <c r="I80" i="9"/>
  <c r="E80" i="9"/>
  <c r="F80" i="9" s="1"/>
  <c r="B80" i="9"/>
  <c r="G80" i="9" s="1"/>
  <c r="H80" i="9" s="1"/>
  <c r="N79" i="9"/>
  <c r="I79" i="9"/>
  <c r="E79" i="9"/>
  <c r="F79" i="9" s="1"/>
  <c r="B79" i="9"/>
  <c r="G79" i="9" s="1"/>
  <c r="H79" i="9" s="1"/>
  <c r="N78" i="9"/>
  <c r="I78" i="9"/>
  <c r="G78" i="9"/>
  <c r="H78" i="9" s="1"/>
  <c r="B78" i="9"/>
  <c r="E78" i="9" s="1"/>
  <c r="F78" i="9" s="1"/>
  <c r="N77" i="9"/>
  <c r="H77" i="9"/>
  <c r="G77" i="9"/>
  <c r="I77" i="9" s="1"/>
  <c r="E77" i="9"/>
  <c r="F77" i="9" s="1"/>
  <c r="B77" i="9"/>
  <c r="N76" i="9"/>
  <c r="I76" i="9"/>
  <c r="H76" i="9"/>
  <c r="G76" i="9"/>
  <c r="E76" i="9"/>
  <c r="B76" i="9"/>
  <c r="P75" i="9"/>
  <c r="N75" i="9"/>
  <c r="O75" i="9" s="1"/>
  <c r="G75" i="9"/>
  <c r="B75" i="9"/>
  <c r="G74" i="9"/>
  <c r="H74" i="9" s="1"/>
  <c r="F74" i="9"/>
  <c r="E74" i="9"/>
  <c r="B74" i="9"/>
  <c r="N74" i="9" s="1"/>
  <c r="E73" i="9"/>
  <c r="F73" i="9" s="1"/>
  <c r="B73" i="9"/>
  <c r="B72" i="9"/>
  <c r="N71" i="9"/>
  <c r="G71" i="9"/>
  <c r="F71" i="9"/>
  <c r="E71" i="9"/>
  <c r="B71" i="9"/>
  <c r="G70" i="9"/>
  <c r="I70" i="9" s="1"/>
  <c r="E70" i="9"/>
  <c r="F70" i="9" s="1"/>
  <c r="B70" i="9"/>
  <c r="B69" i="9"/>
  <c r="B68" i="9"/>
  <c r="I67" i="9"/>
  <c r="H67" i="9"/>
  <c r="G67" i="9"/>
  <c r="B67" i="9"/>
  <c r="E67" i="9" s="1"/>
  <c r="F67" i="9" s="1"/>
  <c r="B66" i="9"/>
  <c r="N65" i="9"/>
  <c r="G65" i="9"/>
  <c r="F65" i="9"/>
  <c r="E65" i="9"/>
  <c r="B65" i="9"/>
  <c r="G64" i="9"/>
  <c r="B64" i="9"/>
  <c r="E63" i="9"/>
  <c r="F63" i="9" s="1"/>
  <c r="B63" i="9"/>
  <c r="B62" i="9"/>
  <c r="N61" i="9"/>
  <c r="P61" i="9" s="1"/>
  <c r="I61" i="9"/>
  <c r="F61" i="9"/>
  <c r="E61" i="9"/>
  <c r="B61" i="9"/>
  <c r="G61" i="9" s="1"/>
  <c r="H61" i="9" s="1"/>
  <c r="B60" i="9"/>
  <c r="N59" i="9"/>
  <c r="E59" i="9"/>
  <c r="F59" i="9" s="1"/>
  <c r="B59" i="9"/>
  <c r="N58" i="9"/>
  <c r="I58" i="9"/>
  <c r="H58" i="9"/>
  <c r="E58" i="9"/>
  <c r="F58" i="9" s="1"/>
  <c r="B58" i="9"/>
  <c r="G58" i="9" s="1"/>
  <c r="I57" i="9"/>
  <c r="H57" i="9"/>
  <c r="E57" i="9"/>
  <c r="F57" i="9" s="1"/>
  <c r="B57" i="9"/>
  <c r="G57" i="9" s="1"/>
  <c r="N56" i="9"/>
  <c r="F56" i="9"/>
  <c r="E56" i="9"/>
  <c r="B56" i="9"/>
  <c r="G56" i="9" s="1"/>
  <c r="G55" i="9"/>
  <c r="I55" i="9" s="1"/>
  <c r="B55" i="9"/>
  <c r="N55" i="9" s="1"/>
  <c r="P54" i="9"/>
  <c r="I54" i="9"/>
  <c r="H54" i="9"/>
  <c r="G54" i="9"/>
  <c r="E54" i="9"/>
  <c r="F54" i="9" s="1"/>
  <c r="B54" i="9"/>
  <c r="N54" i="9" s="1"/>
  <c r="O54" i="9" s="1"/>
  <c r="H53" i="9"/>
  <c r="E53" i="9"/>
  <c r="F53" i="9" s="1"/>
  <c r="B53" i="9"/>
  <c r="G53" i="9" s="1"/>
  <c r="I53" i="9" s="1"/>
  <c r="N52" i="9"/>
  <c r="F52" i="9"/>
  <c r="B52" i="9"/>
  <c r="E52" i="9" s="1"/>
  <c r="G51" i="9"/>
  <c r="B51" i="9"/>
  <c r="N51" i="9" s="1"/>
  <c r="G50" i="9"/>
  <c r="I50" i="9" s="1"/>
  <c r="B50" i="9"/>
  <c r="N50" i="9" s="1"/>
  <c r="N49" i="9"/>
  <c r="G49" i="9"/>
  <c r="H49" i="9" s="1"/>
  <c r="E49" i="9"/>
  <c r="F49" i="9" s="1"/>
  <c r="B49" i="9"/>
  <c r="E48" i="9"/>
  <c r="B48" i="9"/>
  <c r="G48" i="9" s="1"/>
  <c r="H48" i="9" s="1"/>
  <c r="N47" i="9"/>
  <c r="P47" i="9" s="1"/>
  <c r="G47" i="9"/>
  <c r="I47" i="9" s="1"/>
  <c r="E47" i="9"/>
  <c r="F47" i="9" s="1"/>
  <c r="B47" i="9"/>
  <c r="G46" i="9"/>
  <c r="I46" i="9" s="1"/>
  <c r="E46" i="9"/>
  <c r="F46" i="9" s="1"/>
  <c r="B46" i="9"/>
  <c r="N46" i="9" s="1"/>
  <c r="N45" i="9"/>
  <c r="I45" i="9"/>
  <c r="F45" i="9"/>
  <c r="E45" i="9"/>
  <c r="B45" i="9"/>
  <c r="G45" i="9" s="1"/>
  <c r="H45" i="9" s="1"/>
  <c r="N44" i="9"/>
  <c r="G44" i="9"/>
  <c r="I44" i="9" s="1"/>
  <c r="B44" i="9"/>
  <c r="E44" i="9" s="1"/>
  <c r="F44" i="9" s="1"/>
  <c r="H43" i="9"/>
  <c r="G43" i="9"/>
  <c r="I43" i="9" s="1"/>
  <c r="B43" i="9"/>
  <c r="N43" i="9" s="1"/>
  <c r="I42" i="9"/>
  <c r="H42" i="9"/>
  <c r="G42" i="9"/>
  <c r="F42" i="9"/>
  <c r="E42" i="9"/>
  <c r="B42" i="9"/>
  <c r="N42" i="9" s="1"/>
  <c r="N41" i="9"/>
  <c r="E41" i="9"/>
  <c r="B41" i="9"/>
  <c r="G41" i="9" s="1"/>
  <c r="I41" i="9" s="1"/>
  <c r="G40" i="9"/>
  <c r="F40" i="9"/>
  <c r="B40" i="9"/>
  <c r="E40" i="9" s="1"/>
  <c r="N39" i="9"/>
  <c r="H39" i="9"/>
  <c r="G39" i="9"/>
  <c r="I39" i="9" s="1"/>
  <c r="B39" i="9"/>
  <c r="I38" i="9"/>
  <c r="G38" i="9"/>
  <c r="H38" i="9" s="1"/>
  <c r="E38" i="9"/>
  <c r="F38" i="9" s="1"/>
  <c r="B38" i="9"/>
  <c r="N38" i="9" s="1"/>
  <c r="F37" i="9"/>
  <c r="E37" i="9"/>
  <c r="B37" i="9"/>
  <c r="G37" i="9" s="1"/>
  <c r="N36" i="9"/>
  <c r="I36" i="9"/>
  <c r="G36" i="9"/>
  <c r="H36" i="9" s="1"/>
  <c r="F36" i="9"/>
  <c r="E36" i="9"/>
  <c r="B36" i="9"/>
  <c r="N35" i="9"/>
  <c r="B35" i="9"/>
  <c r="G34" i="9"/>
  <c r="E34" i="9"/>
  <c r="B34" i="9"/>
  <c r="N34" i="9" s="1"/>
  <c r="I33" i="9"/>
  <c r="H33" i="9"/>
  <c r="E33" i="9"/>
  <c r="F33" i="9" s="1"/>
  <c r="B33" i="9"/>
  <c r="G33" i="9" s="1"/>
  <c r="F32" i="9"/>
  <c r="E32" i="9"/>
  <c r="B32" i="9"/>
  <c r="G32" i="9" s="1"/>
  <c r="N31" i="9"/>
  <c r="H31" i="9"/>
  <c r="G31" i="9"/>
  <c r="I31" i="9" s="1"/>
  <c r="F31" i="9"/>
  <c r="B31" i="9"/>
  <c r="E31" i="9" s="1"/>
  <c r="I30" i="9"/>
  <c r="H30" i="9"/>
  <c r="G30" i="9"/>
  <c r="F30" i="9"/>
  <c r="E30" i="9"/>
  <c r="B30" i="9"/>
  <c r="N30" i="9" s="1"/>
  <c r="H29" i="9"/>
  <c r="B29" i="9"/>
  <c r="G29" i="9" s="1"/>
  <c r="I29" i="9" s="1"/>
  <c r="I28" i="9"/>
  <c r="G28" i="9"/>
  <c r="H28" i="9" s="1"/>
  <c r="E28" i="9"/>
  <c r="F28" i="9" s="1"/>
  <c r="B28" i="9"/>
  <c r="N28" i="9" s="1"/>
  <c r="B27" i="9"/>
  <c r="E27" i="9" s="1"/>
  <c r="O26" i="9"/>
  <c r="N26" i="9"/>
  <c r="P26" i="9" s="1"/>
  <c r="H26" i="9"/>
  <c r="G26" i="9"/>
  <c r="I26" i="9" s="1"/>
  <c r="E26" i="9"/>
  <c r="F26" i="9" s="1"/>
  <c r="B26" i="9"/>
  <c r="B25" i="9"/>
  <c r="E24" i="9"/>
  <c r="F24" i="9" s="1"/>
  <c r="B24" i="9"/>
  <c r="N24" i="9" s="1"/>
  <c r="G23" i="9"/>
  <c r="I23" i="9" s="1"/>
  <c r="B23" i="9"/>
  <c r="E23" i="9" s="1"/>
  <c r="F23" i="9" s="1"/>
  <c r="G22" i="9"/>
  <c r="I22" i="9" s="1"/>
  <c r="E22" i="9"/>
  <c r="F22" i="9" s="1"/>
  <c r="B22" i="9"/>
  <c r="N22" i="9" s="1"/>
  <c r="N21" i="9"/>
  <c r="H21" i="9"/>
  <c r="E21" i="9"/>
  <c r="F21" i="9" s="1"/>
  <c r="B21" i="9"/>
  <c r="G21" i="9" s="1"/>
  <c r="I21" i="9" s="1"/>
  <c r="B20" i="9"/>
  <c r="F19" i="9"/>
  <c r="B19" i="9"/>
  <c r="E19" i="9" s="1"/>
  <c r="H18" i="9"/>
  <c r="G18" i="9"/>
  <c r="I18" i="9" s="1"/>
  <c r="E18" i="9"/>
  <c r="F18" i="9" s="1"/>
  <c r="B18" i="9"/>
  <c r="N18" i="9" s="1"/>
  <c r="N17" i="9"/>
  <c r="I17" i="9"/>
  <c r="H17" i="9"/>
  <c r="E17" i="9"/>
  <c r="F17" i="9" s="1"/>
  <c r="B17" i="9"/>
  <c r="G17" i="9" s="1"/>
  <c r="N16" i="9"/>
  <c r="G16" i="9"/>
  <c r="H16" i="9" s="1"/>
  <c r="E16" i="9"/>
  <c r="F16" i="9" s="1"/>
  <c r="B16" i="9"/>
  <c r="B15" i="9"/>
  <c r="E14" i="9"/>
  <c r="F14" i="9" s="1"/>
  <c r="B14" i="9"/>
  <c r="N14" i="9" s="1"/>
  <c r="N13" i="9"/>
  <c r="H13" i="9"/>
  <c r="G13" i="9"/>
  <c r="I13" i="9" s="1"/>
  <c r="E13" i="9"/>
  <c r="B13" i="9"/>
  <c r="G12" i="9"/>
  <c r="H12" i="9" s="1"/>
  <c r="B12" i="9"/>
  <c r="E12" i="9" s="1"/>
  <c r="F12" i="9" s="1"/>
  <c r="N11" i="9"/>
  <c r="B11" i="9"/>
  <c r="G11" i="9" s="1"/>
  <c r="I10" i="9"/>
  <c r="G10" i="9"/>
  <c r="H10" i="9" s="1"/>
  <c r="E10" i="9"/>
  <c r="F10" i="9" s="1"/>
  <c r="B10" i="9"/>
  <c r="N10" i="9" s="1"/>
  <c r="E9" i="9"/>
  <c r="F9" i="9" s="1"/>
  <c r="B9" i="9"/>
  <c r="G9" i="9" s="1"/>
  <c r="I9" i="9" s="1"/>
  <c r="N8" i="9"/>
  <c r="G8" i="9"/>
  <c r="I8" i="9" s="1"/>
  <c r="E8" i="9"/>
  <c r="F8" i="9" s="1"/>
  <c r="B8" i="9"/>
  <c r="N7" i="9"/>
  <c r="G7" i="9"/>
  <c r="I7" i="9" s="1"/>
  <c r="B7" i="9"/>
  <c r="N6" i="9"/>
  <c r="G6" i="9"/>
  <c r="I6" i="9" s="1"/>
  <c r="B6" i="9"/>
  <c r="B5" i="9"/>
  <c r="E4" i="9"/>
  <c r="F4" i="9" s="1"/>
  <c r="B4" i="9"/>
  <c r="N4" i="9" s="1"/>
  <c r="K3" i="9"/>
  <c r="H3" i="9"/>
  <c r="G3" i="9"/>
  <c r="B3" i="9"/>
  <c r="E3" i="9" s="1"/>
  <c r="F3" i="9" s="1"/>
  <c r="X38" i="6"/>
  <c r="X36" i="6"/>
  <c r="X34" i="6"/>
  <c r="T7" i="3"/>
  <c r="T3" i="3"/>
  <c r="E216" i="6"/>
  <c r="B216" i="6"/>
  <c r="N216" i="6" s="1"/>
  <c r="B215" i="6"/>
  <c r="N214" i="6"/>
  <c r="I214" i="6"/>
  <c r="H214" i="6"/>
  <c r="G214" i="6"/>
  <c r="B214" i="6"/>
  <c r="N213" i="6"/>
  <c r="G213" i="6"/>
  <c r="H213" i="6" s="1"/>
  <c r="B213" i="6"/>
  <c r="N212" i="6"/>
  <c r="G212" i="6"/>
  <c r="E212" i="6"/>
  <c r="F212" i="6" s="1"/>
  <c r="B212" i="6"/>
  <c r="N211" i="6"/>
  <c r="B211" i="6"/>
  <c r="N210" i="6"/>
  <c r="G210" i="6"/>
  <c r="H210" i="6" s="1"/>
  <c r="B210" i="6"/>
  <c r="E210" i="6" s="1"/>
  <c r="F210" i="6" s="1"/>
  <c r="N209" i="6"/>
  <c r="B209" i="6"/>
  <c r="B208" i="6"/>
  <c r="B207" i="6"/>
  <c r="G206" i="6"/>
  <c r="E206" i="6"/>
  <c r="F206" i="6" s="1"/>
  <c r="B206" i="6"/>
  <c r="N206" i="6" s="1"/>
  <c r="I205" i="6"/>
  <c r="H205" i="6"/>
  <c r="G205" i="6"/>
  <c r="E205" i="6"/>
  <c r="F205" i="6" s="1"/>
  <c r="B205" i="6"/>
  <c r="N205" i="6" s="1"/>
  <c r="E204" i="6"/>
  <c r="F204" i="6" s="1"/>
  <c r="B204" i="6"/>
  <c r="N204" i="6" s="1"/>
  <c r="N203" i="6"/>
  <c r="B203" i="6"/>
  <c r="N202" i="6"/>
  <c r="B202" i="6"/>
  <c r="H201" i="6"/>
  <c r="G201" i="6"/>
  <c r="I201" i="6" s="1"/>
  <c r="B201" i="6"/>
  <c r="N201" i="6" s="1"/>
  <c r="N200" i="6"/>
  <c r="I200" i="6"/>
  <c r="G200" i="6"/>
  <c r="H200" i="6" s="1"/>
  <c r="B200" i="6"/>
  <c r="B199" i="6"/>
  <c r="B198" i="6"/>
  <c r="B197" i="6"/>
  <c r="N197" i="6" s="1"/>
  <c r="E196" i="6"/>
  <c r="F196" i="6" s="1"/>
  <c r="B196" i="6"/>
  <c r="B195" i="6"/>
  <c r="O194" i="6"/>
  <c r="G194" i="6"/>
  <c r="F194" i="6"/>
  <c r="E194" i="6"/>
  <c r="B194" i="6"/>
  <c r="N194" i="6" s="1"/>
  <c r="P194" i="6" s="1"/>
  <c r="I193" i="6"/>
  <c r="H193" i="6"/>
  <c r="G193" i="6"/>
  <c r="E193" i="6"/>
  <c r="F193" i="6" s="1"/>
  <c r="B193" i="6"/>
  <c r="N193" i="6" s="1"/>
  <c r="E192" i="6"/>
  <c r="F192" i="6" s="1"/>
  <c r="B192" i="6"/>
  <c r="N192" i="6" s="1"/>
  <c r="N191" i="6"/>
  <c r="B191" i="6"/>
  <c r="N190" i="6"/>
  <c r="B190" i="6"/>
  <c r="N189" i="6"/>
  <c r="B189" i="6"/>
  <c r="B188" i="6"/>
  <c r="B187" i="6"/>
  <c r="N186" i="6"/>
  <c r="B186" i="6"/>
  <c r="N185" i="6"/>
  <c r="I185" i="6"/>
  <c r="G185" i="6"/>
  <c r="H185" i="6" s="1"/>
  <c r="E185" i="6"/>
  <c r="F185" i="6" s="1"/>
  <c r="B185" i="6"/>
  <c r="N184" i="6"/>
  <c r="H184" i="6"/>
  <c r="G184" i="6"/>
  <c r="I184" i="6" s="1"/>
  <c r="E184" i="6"/>
  <c r="F184" i="6" s="1"/>
  <c r="B184" i="6"/>
  <c r="B183" i="6"/>
  <c r="H182" i="6"/>
  <c r="G182" i="6"/>
  <c r="I182" i="6" s="1"/>
  <c r="F182" i="6"/>
  <c r="E182" i="6"/>
  <c r="B182" i="6"/>
  <c r="N182" i="6" s="1"/>
  <c r="H181" i="6"/>
  <c r="E181" i="6"/>
  <c r="B181" i="6"/>
  <c r="G181" i="6" s="1"/>
  <c r="I181" i="6" s="1"/>
  <c r="O180" i="6"/>
  <c r="E180" i="6"/>
  <c r="F180" i="6" s="1"/>
  <c r="B180" i="6"/>
  <c r="N180" i="6" s="1"/>
  <c r="P180" i="6" s="1"/>
  <c r="N179" i="6"/>
  <c r="B179" i="6"/>
  <c r="B178" i="6"/>
  <c r="N177" i="6"/>
  <c r="B177" i="6"/>
  <c r="B176" i="6"/>
  <c r="B175" i="6"/>
  <c r="N174" i="6"/>
  <c r="B174" i="6"/>
  <c r="N173" i="6"/>
  <c r="G173" i="6"/>
  <c r="E173" i="6"/>
  <c r="F173" i="6" s="1"/>
  <c r="B173" i="6"/>
  <c r="N172" i="6"/>
  <c r="H172" i="6"/>
  <c r="G172" i="6"/>
  <c r="I172" i="6" s="1"/>
  <c r="E172" i="6"/>
  <c r="F172" i="6" s="1"/>
  <c r="B172" i="6"/>
  <c r="G171" i="6"/>
  <c r="F171" i="6"/>
  <c r="E171" i="6"/>
  <c r="B171" i="6"/>
  <c r="G170" i="6"/>
  <c r="I170" i="6" s="1"/>
  <c r="F170" i="6"/>
  <c r="E170" i="6"/>
  <c r="B170" i="6"/>
  <c r="N170" i="6" s="1"/>
  <c r="H169" i="6"/>
  <c r="E169" i="6"/>
  <c r="F169" i="6" s="1"/>
  <c r="B169" i="6"/>
  <c r="G169" i="6" s="1"/>
  <c r="I169" i="6" s="1"/>
  <c r="E168" i="6"/>
  <c r="F168" i="6" s="1"/>
  <c r="B168" i="6"/>
  <c r="N168" i="6" s="1"/>
  <c r="N167" i="6"/>
  <c r="B167" i="6"/>
  <c r="B166" i="6"/>
  <c r="N165" i="6"/>
  <c r="B165" i="6"/>
  <c r="B164" i="6"/>
  <c r="N163" i="6"/>
  <c r="E163" i="6"/>
  <c r="F163" i="6" s="1"/>
  <c r="B163" i="6"/>
  <c r="G162" i="6"/>
  <c r="E162" i="6"/>
  <c r="F162" i="6" s="1"/>
  <c r="B162" i="6"/>
  <c r="N161" i="6"/>
  <c r="I161" i="6"/>
  <c r="H161" i="6"/>
  <c r="G161" i="6"/>
  <c r="E161" i="6"/>
  <c r="F161" i="6" s="1"/>
  <c r="B161" i="6"/>
  <c r="B160" i="6"/>
  <c r="O159" i="6"/>
  <c r="N159" i="6"/>
  <c r="P159" i="6" s="1"/>
  <c r="B159" i="6"/>
  <c r="G159" i="6" s="1"/>
  <c r="I159" i="6" s="1"/>
  <c r="G158" i="6"/>
  <c r="E158" i="6"/>
  <c r="F158" i="6" s="1"/>
  <c r="B158" i="6"/>
  <c r="N158" i="6" s="1"/>
  <c r="H157" i="6"/>
  <c r="F157" i="6"/>
  <c r="E157" i="6"/>
  <c r="B157" i="6"/>
  <c r="G157" i="6" s="1"/>
  <c r="I157" i="6" s="1"/>
  <c r="N156" i="6"/>
  <c r="I156" i="6"/>
  <c r="H156" i="6"/>
  <c r="F156" i="6"/>
  <c r="E156" i="6"/>
  <c r="B156" i="6"/>
  <c r="G156" i="6" s="1"/>
  <c r="N155" i="6"/>
  <c r="I155" i="6"/>
  <c r="H155" i="6"/>
  <c r="G155" i="6"/>
  <c r="B155" i="6"/>
  <c r="E155" i="6" s="1"/>
  <c r="F155" i="6" s="1"/>
  <c r="N154" i="6"/>
  <c r="B154" i="6"/>
  <c r="N153" i="6"/>
  <c r="G153" i="6"/>
  <c r="E153" i="6"/>
  <c r="B153" i="6"/>
  <c r="P152" i="6"/>
  <c r="O152" i="6"/>
  <c r="I152" i="6"/>
  <c r="G152" i="6"/>
  <c r="H152" i="6" s="1"/>
  <c r="B152" i="6"/>
  <c r="N152" i="6" s="1"/>
  <c r="N151" i="6"/>
  <c r="B151" i="6"/>
  <c r="G150" i="6"/>
  <c r="B150" i="6"/>
  <c r="N149" i="6"/>
  <c r="G149" i="6"/>
  <c r="I149" i="6" s="1"/>
  <c r="E149" i="6"/>
  <c r="F149" i="6" s="1"/>
  <c r="B149" i="6"/>
  <c r="B148" i="6"/>
  <c r="G147" i="6"/>
  <c r="H147" i="6" s="1"/>
  <c r="E147" i="6"/>
  <c r="F147" i="6" s="1"/>
  <c r="B147" i="6"/>
  <c r="N147" i="6" s="1"/>
  <c r="N146" i="6"/>
  <c r="I146" i="6"/>
  <c r="B146" i="6"/>
  <c r="G146" i="6" s="1"/>
  <c r="H146" i="6" s="1"/>
  <c r="N145" i="6"/>
  <c r="O145" i="6" s="1"/>
  <c r="H145" i="6"/>
  <c r="G145" i="6"/>
  <c r="I145" i="6" s="1"/>
  <c r="E145" i="6"/>
  <c r="F145" i="6" s="1"/>
  <c r="B145" i="6"/>
  <c r="N144" i="6"/>
  <c r="G144" i="6"/>
  <c r="F144" i="6"/>
  <c r="B144" i="6"/>
  <c r="E144" i="6" s="1"/>
  <c r="N143" i="6"/>
  <c r="E143" i="6"/>
  <c r="F143" i="6" s="1"/>
  <c r="B143" i="6"/>
  <c r="G142" i="6"/>
  <c r="H142" i="6" s="1"/>
  <c r="E142" i="6"/>
  <c r="F142" i="6" s="1"/>
  <c r="B142" i="6"/>
  <c r="N142" i="6" s="1"/>
  <c r="N141" i="6"/>
  <c r="I141" i="6"/>
  <c r="E141" i="6"/>
  <c r="F141" i="6" s="1"/>
  <c r="B141" i="6"/>
  <c r="G141" i="6" s="1"/>
  <c r="H141" i="6" s="1"/>
  <c r="N140" i="6"/>
  <c r="I140" i="6"/>
  <c r="H140" i="6"/>
  <c r="G140" i="6"/>
  <c r="B140" i="6"/>
  <c r="H139" i="6"/>
  <c r="G139" i="6"/>
  <c r="I139" i="6" s="1"/>
  <c r="E139" i="6"/>
  <c r="B139" i="6"/>
  <c r="N139" i="6" s="1"/>
  <c r="B138" i="6"/>
  <c r="N137" i="6"/>
  <c r="H137" i="6"/>
  <c r="G137" i="6"/>
  <c r="I137" i="6" s="1"/>
  <c r="B137" i="6"/>
  <c r="E137" i="6" s="1"/>
  <c r="F137" i="6" s="1"/>
  <c r="N136" i="6"/>
  <c r="B136" i="6"/>
  <c r="N135" i="6"/>
  <c r="H135" i="6"/>
  <c r="G135" i="6"/>
  <c r="I135" i="6" s="1"/>
  <c r="B135" i="6"/>
  <c r="G134" i="6"/>
  <c r="H134" i="6" s="1"/>
  <c r="F134" i="6"/>
  <c r="E134" i="6"/>
  <c r="B134" i="6"/>
  <c r="N134" i="6" s="1"/>
  <c r="B133" i="6"/>
  <c r="B132" i="6"/>
  <c r="P131" i="6"/>
  <c r="N131" i="6"/>
  <c r="O131" i="6" s="1"/>
  <c r="I131" i="6"/>
  <c r="H131" i="6"/>
  <c r="G131" i="6"/>
  <c r="E131" i="6"/>
  <c r="F131" i="6" s="1"/>
  <c r="B131" i="6"/>
  <c r="N130" i="6"/>
  <c r="B130" i="6"/>
  <c r="E129" i="6"/>
  <c r="F129" i="6" s="1"/>
  <c r="B129" i="6"/>
  <c r="G128" i="6"/>
  <c r="B128" i="6"/>
  <c r="H127" i="6"/>
  <c r="G127" i="6"/>
  <c r="I127" i="6" s="1"/>
  <c r="F127" i="6"/>
  <c r="E127" i="6"/>
  <c r="B127" i="6"/>
  <c r="N127" i="6" s="1"/>
  <c r="B126" i="6"/>
  <c r="B125" i="6"/>
  <c r="P124" i="6"/>
  <c r="N124" i="6"/>
  <c r="O124" i="6" s="1"/>
  <c r="H124" i="6"/>
  <c r="G124" i="6"/>
  <c r="I124" i="6" s="1"/>
  <c r="F124" i="6"/>
  <c r="B124" i="6"/>
  <c r="E124" i="6" s="1"/>
  <c r="N123" i="6"/>
  <c r="B123" i="6"/>
  <c r="G122" i="6"/>
  <c r="E122" i="6"/>
  <c r="F122" i="6" s="1"/>
  <c r="B122" i="6"/>
  <c r="G121" i="6"/>
  <c r="I121" i="6" s="1"/>
  <c r="B121" i="6"/>
  <c r="E121" i="6" s="1"/>
  <c r="F121" i="6" s="1"/>
  <c r="I120" i="6"/>
  <c r="G120" i="6"/>
  <c r="H120" i="6" s="1"/>
  <c r="E120" i="6"/>
  <c r="F120" i="6" s="1"/>
  <c r="B120" i="6"/>
  <c r="N120" i="6" s="1"/>
  <c r="E119" i="6"/>
  <c r="F119" i="6" s="1"/>
  <c r="B119" i="6"/>
  <c r="G119" i="6" s="1"/>
  <c r="B118" i="6"/>
  <c r="B117" i="6"/>
  <c r="N116" i="6"/>
  <c r="G116" i="6"/>
  <c r="I116" i="6" s="1"/>
  <c r="B116" i="6"/>
  <c r="N115" i="6"/>
  <c r="E115" i="6"/>
  <c r="F115" i="6" s="1"/>
  <c r="B115" i="6"/>
  <c r="G114" i="6"/>
  <c r="H114" i="6" s="1"/>
  <c r="E114" i="6"/>
  <c r="F114" i="6" s="1"/>
  <c r="B114" i="6"/>
  <c r="N114" i="6" s="1"/>
  <c r="N113" i="6"/>
  <c r="B113" i="6"/>
  <c r="G113" i="6" s="1"/>
  <c r="I113" i="6" s="1"/>
  <c r="I112" i="6"/>
  <c r="G112" i="6"/>
  <c r="H112" i="6" s="1"/>
  <c r="E112" i="6"/>
  <c r="F112" i="6" s="1"/>
  <c r="B112" i="6"/>
  <c r="N112" i="6" s="1"/>
  <c r="N111" i="6"/>
  <c r="B111" i="6"/>
  <c r="N110" i="6"/>
  <c r="B110" i="6"/>
  <c r="H109" i="6"/>
  <c r="G109" i="6"/>
  <c r="I109" i="6" s="1"/>
  <c r="B109" i="6"/>
  <c r="E109" i="6" s="1"/>
  <c r="F109" i="6" s="1"/>
  <c r="E108" i="6"/>
  <c r="F108" i="6" s="1"/>
  <c r="B108" i="6"/>
  <c r="N108" i="6" s="1"/>
  <c r="N107" i="6"/>
  <c r="I107" i="6"/>
  <c r="B107" i="6"/>
  <c r="G107" i="6" s="1"/>
  <c r="H107" i="6" s="1"/>
  <c r="N106" i="6"/>
  <c r="B106" i="6"/>
  <c r="E106" i="6" s="1"/>
  <c r="F106" i="6" s="1"/>
  <c r="N105" i="6"/>
  <c r="B105" i="6"/>
  <c r="G105" i="6" s="1"/>
  <c r="I105" i="6" s="1"/>
  <c r="N104" i="6"/>
  <c r="I104" i="6"/>
  <c r="H104" i="6"/>
  <c r="G104" i="6"/>
  <c r="B104" i="6"/>
  <c r="N103" i="6"/>
  <c r="O103" i="6" s="1"/>
  <c r="G103" i="6"/>
  <c r="F103" i="6"/>
  <c r="E103" i="6"/>
  <c r="B103" i="6"/>
  <c r="G102" i="6"/>
  <c r="H102" i="6" s="1"/>
  <c r="F102" i="6"/>
  <c r="E102" i="6"/>
  <c r="B102" i="6"/>
  <c r="N102" i="6" s="1"/>
  <c r="N101" i="6"/>
  <c r="H101" i="6"/>
  <c r="E101" i="6"/>
  <c r="F101" i="6" s="1"/>
  <c r="B101" i="6"/>
  <c r="G101" i="6" s="1"/>
  <c r="I101" i="6" s="1"/>
  <c r="H100" i="6"/>
  <c r="G100" i="6"/>
  <c r="I100" i="6" s="1"/>
  <c r="F100" i="6"/>
  <c r="E100" i="6"/>
  <c r="B100" i="6"/>
  <c r="N100" i="6" s="1"/>
  <c r="N99" i="6"/>
  <c r="B99" i="6"/>
  <c r="F98" i="6"/>
  <c r="E98" i="6"/>
  <c r="B98" i="6"/>
  <c r="G97" i="6"/>
  <c r="I97" i="6" s="1"/>
  <c r="B97" i="6"/>
  <c r="E97" i="6" s="1"/>
  <c r="N96" i="6"/>
  <c r="B96" i="6"/>
  <c r="B95" i="6"/>
  <c r="N94" i="6"/>
  <c r="G94" i="6"/>
  <c r="H94" i="6" s="1"/>
  <c r="F94" i="6"/>
  <c r="E94" i="6"/>
  <c r="B94" i="6"/>
  <c r="N93" i="6"/>
  <c r="I93" i="6"/>
  <c r="H93" i="6"/>
  <c r="G93" i="6"/>
  <c r="B93" i="6"/>
  <c r="E93" i="6" s="1"/>
  <c r="F93" i="6" s="1"/>
  <c r="B92" i="6"/>
  <c r="G91" i="6"/>
  <c r="E91" i="6"/>
  <c r="F91" i="6" s="1"/>
  <c r="B91" i="6"/>
  <c r="N91" i="6" s="1"/>
  <c r="N90" i="6"/>
  <c r="H90" i="6"/>
  <c r="G90" i="6"/>
  <c r="I90" i="6" s="1"/>
  <c r="B90" i="6"/>
  <c r="E90" i="6" s="1"/>
  <c r="E89" i="6"/>
  <c r="F89" i="6" s="1"/>
  <c r="B89" i="6"/>
  <c r="N89" i="6" s="1"/>
  <c r="I88" i="6"/>
  <c r="G88" i="6"/>
  <c r="H88" i="6" s="1"/>
  <c r="E88" i="6"/>
  <c r="F88" i="6" s="1"/>
  <c r="B88" i="6"/>
  <c r="N88" i="6" s="1"/>
  <c r="N87" i="6"/>
  <c r="I87" i="6"/>
  <c r="H87" i="6"/>
  <c r="E87" i="6"/>
  <c r="F87" i="6" s="1"/>
  <c r="B87" i="6"/>
  <c r="G87" i="6" s="1"/>
  <c r="N86" i="6"/>
  <c r="I86" i="6"/>
  <c r="B86" i="6"/>
  <c r="G86" i="6" s="1"/>
  <c r="H86" i="6" s="1"/>
  <c r="N85" i="6"/>
  <c r="G85" i="6"/>
  <c r="B85" i="6"/>
  <c r="E85" i="6" s="1"/>
  <c r="F85" i="6" s="1"/>
  <c r="G84" i="6"/>
  <c r="I84" i="6" s="1"/>
  <c r="B84" i="6"/>
  <c r="E84" i="6" s="1"/>
  <c r="F84" i="6" s="1"/>
  <c r="E83" i="6"/>
  <c r="B83" i="6"/>
  <c r="G82" i="6"/>
  <c r="H82" i="6" s="1"/>
  <c r="E82" i="6"/>
  <c r="F82" i="6" s="1"/>
  <c r="B82" i="6"/>
  <c r="N82" i="6" s="1"/>
  <c r="N81" i="6"/>
  <c r="B81" i="6"/>
  <c r="H80" i="6"/>
  <c r="G80" i="6"/>
  <c r="I80" i="6" s="1"/>
  <c r="E80" i="6"/>
  <c r="F80" i="6" s="1"/>
  <c r="B80" i="6"/>
  <c r="N80" i="6" s="1"/>
  <c r="B79" i="6"/>
  <c r="N78" i="6"/>
  <c r="G78" i="6"/>
  <c r="E78" i="6"/>
  <c r="F78" i="6" s="1"/>
  <c r="B78" i="6"/>
  <c r="B77" i="6"/>
  <c r="N76" i="6"/>
  <c r="G76" i="6"/>
  <c r="E76" i="6"/>
  <c r="B76" i="6"/>
  <c r="I75" i="6"/>
  <c r="G75" i="6"/>
  <c r="H75" i="6" s="1"/>
  <c r="F75" i="6"/>
  <c r="E75" i="6"/>
  <c r="B75" i="6"/>
  <c r="N75" i="6" s="1"/>
  <c r="I74" i="6"/>
  <c r="E74" i="6"/>
  <c r="F74" i="6" s="1"/>
  <c r="B74" i="6"/>
  <c r="G74" i="6" s="1"/>
  <c r="H74" i="6" s="1"/>
  <c r="N73" i="6"/>
  <c r="G73" i="6"/>
  <c r="H73" i="6" s="1"/>
  <c r="E73" i="6"/>
  <c r="F73" i="6" s="1"/>
  <c r="B73" i="6"/>
  <c r="N72" i="6"/>
  <c r="I72" i="6"/>
  <c r="G72" i="6"/>
  <c r="H72" i="6" s="1"/>
  <c r="E72" i="6"/>
  <c r="F72" i="6" s="1"/>
  <c r="B72" i="6"/>
  <c r="N71" i="6"/>
  <c r="B71" i="6"/>
  <c r="G70" i="6"/>
  <c r="B70" i="6"/>
  <c r="H69" i="6"/>
  <c r="G69" i="6"/>
  <c r="I69" i="6" s="1"/>
  <c r="B69" i="6"/>
  <c r="E69" i="6" s="1"/>
  <c r="O68" i="6"/>
  <c r="H68" i="6"/>
  <c r="G68" i="6"/>
  <c r="I68" i="6" s="1"/>
  <c r="F68" i="6"/>
  <c r="E68" i="6"/>
  <c r="B68" i="6"/>
  <c r="N68" i="6" s="1"/>
  <c r="P68" i="6" s="1"/>
  <c r="G67" i="6"/>
  <c r="E67" i="6"/>
  <c r="F67" i="6" s="1"/>
  <c r="B67" i="6"/>
  <c r="N67" i="6" s="1"/>
  <c r="I66" i="6"/>
  <c r="H66" i="6"/>
  <c r="G66" i="6"/>
  <c r="F66" i="6"/>
  <c r="E66" i="6"/>
  <c r="B66" i="6"/>
  <c r="N66" i="6" s="1"/>
  <c r="B65" i="6"/>
  <c r="N65" i="6" s="1"/>
  <c r="G64" i="6"/>
  <c r="I64" i="6" s="1"/>
  <c r="B64" i="6"/>
  <c r="E64" i="6" s="1"/>
  <c r="F64" i="6" s="1"/>
  <c r="B63" i="6"/>
  <c r="B62" i="6"/>
  <c r="E62" i="6" s="1"/>
  <c r="G61" i="6"/>
  <c r="H61" i="6" s="1"/>
  <c r="E61" i="6"/>
  <c r="F61" i="6" s="1"/>
  <c r="B61" i="6"/>
  <c r="N61" i="6" s="1"/>
  <c r="N60" i="6"/>
  <c r="B60" i="6"/>
  <c r="I59" i="6"/>
  <c r="G59" i="6"/>
  <c r="H59" i="6" s="1"/>
  <c r="E59" i="6"/>
  <c r="F59" i="6" s="1"/>
  <c r="B59" i="6"/>
  <c r="N59" i="6" s="1"/>
  <c r="N58" i="6"/>
  <c r="B58" i="6"/>
  <c r="G57" i="6"/>
  <c r="I57" i="6" s="1"/>
  <c r="E57" i="6"/>
  <c r="F57" i="6" s="1"/>
  <c r="B57" i="6"/>
  <c r="N57" i="6" s="1"/>
  <c r="N56" i="6"/>
  <c r="B56" i="6"/>
  <c r="G55" i="6"/>
  <c r="E55" i="6"/>
  <c r="B55" i="6"/>
  <c r="N55" i="6" s="1"/>
  <c r="I54" i="6"/>
  <c r="H54" i="6"/>
  <c r="G54" i="6"/>
  <c r="F54" i="6"/>
  <c r="E54" i="6"/>
  <c r="B54" i="6"/>
  <c r="N54" i="6" s="1"/>
  <c r="N53" i="6"/>
  <c r="E53" i="6"/>
  <c r="F53" i="6" s="1"/>
  <c r="B53" i="6"/>
  <c r="G52" i="6"/>
  <c r="I52" i="6" s="1"/>
  <c r="B52" i="6"/>
  <c r="E52" i="6" s="1"/>
  <c r="F52" i="6" s="1"/>
  <c r="N51" i="6"/>
  <c r="B51" i="6"/>
  <c r="G50" i="6"/>
  <c r="I50" i="6" s="1"/>
  <c r="E50" i="6"/>
  <c r="F50" i="6" s="1"/>
  <c r="B50" i="6"/>
  <c r="N50" i="6" s="1"/>
  <c r="I49" i="6"/>
  <c r="G49" i="6"/>
  <c r="H49" i="6" s="1"/>
  <c r="E49" i="6"/>
  <c r="F49" i="6" s="1"/>
  <c r="B49" i="6"/>
  <c r="N49" i="6" s="1"/>
  <c r="E48" i="6"/>
  <c r="B48" i="6"/>
  <c r="G48" i="6" s="1"/>
  <c r="O47" i="6"/>
  <c r="G47" i="6"/>
  <c r="I47" i="6" s="1"/>
  <c r="E47" i="6"/>
  <c r="F47" i="6" s="1"/>
  <c r="B47" i="6"/>
  <c r="N47" i="6" s="1"/>
  <c r="P47" i="6" s="1"/>
  <c r="B46" i="6"/>
  <c r="I45" i="6"/>
  <c r="G45" i="6"/>
  <c r="H45" i="6" s="1"/>
  <c r="E45" i="6"/>
  <c r="F45" i="6" s="1"/>
  <c r="B45" i="6"/>
  <c r="N45" i="6" s="1"/>
  <c r="B44" i="6"/>
  <c r="H43" i="6"/>
  <c r="G43" i="6"/>
  <c r="I43" i="6" s="1"/>
  <c r="F43" i="6"/>
  <c r="E43" i="6"/>
  <c r="B43" i="6"/>
  <c r="N43" i="6" s="1"/>
  <c r="I42" i="6"/>
  <c r="H42" i="6"/>
  <c r="G42" i="6"/>
  <c r="F42" i="6"/>
  <c r="E42" i="6"/>
  <c r="B42" i="6"/>
  <c r="N42" i="6" s="1"/>
  <c r="N41" i="6"/>
  <c r="I41" i="6"/>
  <c r="E41" i="6"/>
  <c r="B41" i="6"/>
  <c r="G41" i="6" s="1"/>
  <c r="H41" i="6" s="1"/>
  <c r="F40" i="6"/>
  <c r="B40" i="6"/>
  <c r="E40" i="6" s="1"/>
  <c r="G39" i="6"/>
  <c r="B39" i="6"/>
  <c r="N39" i="6" s="1"/>
  <c r="N38" i="6"/>
  <c r="G38" i="6"/>
  <c r="B38" i="6"/>
  <c r="B37" i="6"/>
  <c r="G37" i="6" s="1"/>
  <c r="H37" i="6" s="1"/>
  <c r="N36" i="6"/>
  <c r="G36" i="6"/>
  <c r="E36" i="6"/>
  <c r="F36" i="6" s="1"/>
  <c r="B36" i="6"/>
  <c r="H35" i="6"/>
  <c r="G35" i="6"/>
  <c r="I35" i="6" s="1"/>
  <c r="F35" i="6"/>
  <c r="E35" i="6"/>
  <c r="B35" i="6"/>
  <c r="N35" i="6" s="1"/>
  <c r="N34" i="6"/>
  <c r="G34" i="6"/>
  <c r="I34" i="6" s="1"/>
  <c r="E34" i="6"/>
  <c r="B34" i="6"/>
  <c r="B33" i="6"/>
  <c r="G33" i="6" s="1"/>
  <c r="H33" i="6" s="1"/>
  <c r="N32" i="6"/>
  <c r="B32" i="6"/>
  <c r="G31" i="6"/>
  <c r="B31" i="6"/>
  <c r="E31" i="6" s="1"/>
  <c r="F31" i="6" s="1"/>
  <c r="B30" i="6"/>
  <c r="G29" i="6"/>
  <c r="I29" i="6" s="1"/>
  <c r="E29" i="6"/>
  <c r="F29" i="6" s="1"/>
  <c r="B29" i="6"/>
  <c r="N29" i="6" s="1"/>
  <c r="G28" i="6"/>
  <c r="H28" i="6" s="1"/>
  <c r="E28" i="6"/>
  <c r="F28" i="6" s="1"/>
  <c r="B28" i="6"/>
  <c r="N28" i="6" s="1"/>
  <c r="E27" i="6"/>
  <c r="B27" i="6"/>
  <c r="G27" i="6" s="1"/>
  <c r="H26" i="6"/>
  <c r="G26" i="6"/>
  <c r="I26" i="6" s="1"/>
  <c r="E26" i="6"/>
  <c r="F26" i="6" s="1"/>
  <c r="B26" i="6"/>
  <c r="N26" i="6" s="1"/>
  <c r="H25" i="6"/>
  <c r="G25" i="6"/>
  <c r="I25" i="6" s="1"/>
  <c r="F25" i="6"/>
  <c r="E25" i="6"/>
  <c r="B25" i="6"/>
  <c r="N25" i="6" s="1"/>
  <c r="I24" i="6"/>
  <c r="H24" i="6"/>
  <c r="G24" i="6"/>
  <c r="F24" i="6"/>
  <c r="E24" i="6"/>
  <c r="B24" i="6"/>
  <c r="N24" i="6" s="1"/>
  <c r="B23" i="6"/>
  <c r="G23" i="6" s="1"/>
  <c r="I22" i="6"/>
  <c r="G22" i="6"/>
  <c r="H22" i="6" s="1"/>
  <c r="F22" i="6"/>
  <c r="E22" i="6"/>
  <c r="B22" i="6"/>
  <c r="N22" i="6" s="1"/>
  <c r="B21" i="6"/>
  <c r="G21" i="6" s="1"/>
  <c r="H21" i="6" s="1"/>
  <c r="B20" i="6"/>
  <c r="G19" i="6"/>
  <c r="B19" i="6"/>
  <c r="E19" i="6" s="1"/>
  <c r="F19" i="6" s="1"/>
  <c r="B18" i="6"/>
  <c r="G17" i="6"/>
  <c r="I17" i="6" s="1"/>
  <c r="E17" i="6"/>
  <c r="F17" i="6" s="1"/>
  <c r="B17" i="6"/>
  <c r="N17" i="6" s="1"/>
  <c r="G16" i="6"/>
  <c r="H16" i="6" s="1"/>
  <c r="E16" i="6"/>
  <c r="F16" i="6" s="1"/>
  <c r="B16" i="6"/>
  <c r="N16" i="6" s="1"/>
  <c r="E15" i="6"/>
  <c r="F15" i="6" s="1"/>
  <c r="B15" i="6"/>
  <c r="G15" i="6" s="1"/>
  <c r="H14" i="6"/>
  <c r="G14" i="6"/>
  <c r="I14" i="6" s="1"/>
  <c r="E14" i="6"/>
  <c r="F14" i="6" s="1"/>
  <c r="B14" i="6"/>
  <c r="N14" i="6" s="1"/>
  <c r="H13" i="6"/>
  <c r="G13" i="6"/>
  <c r="I13" i="6" s="1"/>
  <c r="E13" i="6"/>
  <c r="B13" i="6"/>
  <c r="N13" i="6" s="1"/>
  <c r="I12" i="6"/>
  <c r="H12" i="6"/>
  <c r="G12" i="6"/>
  <c r="F12" i="6"/>
  <c r="E12" i="6"/>
  <c r="B12" i="6"/>
  <c r="N12" i="6" s="1"/>
  <c r="B11" i="6"/>
  <c r="G11" i="6" s="1"/>
  <c r="I10" i="6"/>
  <c r="G10" i="6"/>
  <c r="H10" i="6" s="1"/>
  <c r="F10" i="6"/>
  <c r="E10" i="6"/>
  <c r="B10" i="6"/>
  <c r="N10" i="6" s="1"/>
  <c r="B9" i="6"/>
  <c r="G9" i="6" s="1"/>
  <c r="H9" i="6" s="1"/>
  <c r="B8" i="6"/>
  <c r="N8" i="6" s="1"/>
  <c r="G7" i="6"/>
  <c r="B7" i="6"/>
  <c r="E7" i="6" s="1"/>
  <c r="F7" i="6" s="1"/>
  <c r="B6" i="6"/>
  <c r="G5" i="6"/>
  <c r="E5" i="6"/>
  <c r="F5" i="6" s="1"/>
  <c r="B5" i="6"/>
  <c r="N5" i="6" s="1"/>
  <c r="J4" i="6"/>
  <c r="K4" i="6" s="1"/>
  <c r="G4" i="6"/>
  <c r="H4" i="6" s="1"/>
  <c r="E4" i="6"/>
  <c r="F4" i="6" s="1"/>
  <c r="B4" i="6"/>
  <c r="N4" i="6" s="1"/>
  <c r="K3" i="6"/>
  <c r="B3" i="6"/>
  <c r="G216" i="5"/>
  <c r="I216" i="5" s="1"/>
  <c r="E216" i="5"/>
  <c r="B216" i="5"/>
  <c r="N216" i="5" s="1"/>
  <c r="I215" i="5"/>
  <c r="G215" i="5"/>
  <c r="H215" i="5" s="1"/>
  <c r="F215" i="5"/>
  <c r="B215" i="5"/>
  <c r="E215" i="5" s="1"/>
  <c r="B214" i="5"/>
  <c r="G213" i="5"/>
  <c r="B213" i="5"/>
  <c r="N212" i="5"/>
  <c r="B212" i="5"/>
  <c r="E211" i="5"/>
  <c r="F211" i="5" s="1"/>
  <c r="B211" i="5"/>
  <c r="N210" i="5"/>
  <c r="B210" i="5"/>
  <c r="G209" i="5"/>
  <c r="H209" i="5" s="1"/>
  <c r="E209" i="5"/>
  <c r="B209" i="5"/>
  <c r="N209" i="5" s="1"/>
  <c r="B208" i="5"/>
  <c r="N208" i="5" s="1"/>
  <c r="N207" i="5"/>
  <c r="B207" i="5"/>
  <c r="I206" i="5"/>
  <c r="G206" i="5"/>
  <c r="H206" i="5" s="1"/>
  <c r="F206" i="5"/>
  <c r="E206" i="5"/>
  <c r="B206" i="5"/>
  <c r="N206" i="5" s="1"/>
  <c r="B205" i="5"/>
  <c r="G204" i="5"/>
  <c r="I204" i="5" s="1"/>
  <c r="E204" i="5"/>
  <c r="F204" i="5" s="1"/>
  <c r="B204" i="5"/>
  <c r="N204" i="5" s="1"/>
  <c r="I203" i="5"/>
  <c r="G203" i="5"/>
  <c r="H203" i="5" s="1"/>
  <c r="B203" i="5"/>
  <c r="E203" i="5" s="1"/>
  <c r="F203" i="5" s="1"/>
  <c r="N202" i="5"/>
  <c r="B202" i="5"/>
  <c r="B201" i="5"/>
  <c r="B200" i="5"/>
  <c r="B199" i="5"/>
  <c r="N198" i="5"/>
  <c r="B198" i="5"/>
  <c r="G198" i="5" s="1"/>
  <c r="G197" i="5"/>
  <c r="E197" i="5"/>
  <c r="F197" i="5" s="1"/>
  <c r="B197" i="5"/>
  <c r="N197" i="5" s="1"/>
  <c r="N196" i="5"/>
  <c r="I196" i="5"/>
  <c r="B196" i="5"/>
  <c r="G196" i="5" s="1"/>
  <c r="H196" i="5" s="1"/>
  <c r="N195" i="5"/>
  <c r="G195" i="5"/>
  <c r="B195" i="5"/>
  <c r="E195" i="5" s="1"/>
  <c r="G194" i="5"/>
  <c r="H194" i="5" s="1"/>
  <c r="B194" i="5"/>
  <c r="E194" i="5" s="1"/>
  <c r="F194" i="5" s="1"/>
  <c r="N193" i="5"/>
  <c r="B193" i="5"/>
  <c r="H192" i="5"/>
  <c r="G192" i="5"/>
  <c r="I192" i="5" s="1"/>
  <c r="F192" i="5"/>
  <c r="E192" i="5"/>
  <c r="B192" i="5"/>
  <c r="N192" i="5" s="1"/>
  <c r="I191" i="5"/>
  <c r="G191" i="5"/>
  <c r="H191" i="5" s="1"/>
  <c r="F191" i="5"/>
  <c r="E191" i="5"/>
  <c r="B191" i="5"/>
  <c r="N191" i="5" s="1"/>
  <c r="N190" i="5"/>
  <c r="B190" i="5"/>
  <c r="N189" i="5"/>
  <c r="B189" i="5"/>
  <c r="E189" i="5" s="1"/>
  <c r="F189" i="5" s="1"/>
  <c r="N188" i="5"/>
  <c r="G188" i="5"/>
  <c r="B188" i="5"/>
  <c r="N187" i="5"/>
  <c r="G187" i="5"/>
  <c r="B187" i="5"/>
  <c r="N186" i="5"/>
  <c r="E186" i="5"/>
  <c r="F186" i="5" s="1"/>
  <c r="B186" i="5"/>
  <c r="G186" i="5" s="1"/>
  <c r="G185" i="5"/>
  <c r="E185" i="5"/>
  <c r="F185" i="5" s="1"/>
  <c r="B185" i="5"/>
  <c r="N185" i="5" s="1"/>
  <c r="N184" i="5"/>
  <c r="I184" i="5"/>
  <c r="E184" i="5"/>
  <c r="F184" i="5" s="1"/>
  <c r="B184" i="5"/>
  <c r="G184" i="5" s="1"/>
  <c r="H184" i="5" s="1"/>
  <c r="N183" i="5"/>
  <c r="G183" i="5"/>
  <c r="B183" i="5"/>
  <c r="E183" i="5" s="1"/>
  <c r="F183" i="5" s="1"/>
  <c r="G182" i="5"/>
  <c r="B182" i="5"/>
  <c r="E182" i="5" s="1"/>
  <c r="F182" i="5" s="1"/>
  <c r="N181" i="5"/>
  <c r="B181" i="5"/>
  <c r="P180" i="5"/>
  <c r="H180" i="5"/>
  <c r="G180" i="5"/>
  <c r="I180" i="5" s="1"/>
  <c r="F180" i="5"/>
  <c r="E180" i="5"/>
  <c r="B180" i="5"/>
  <c r="N180" i="5" s="1"/>
  <c r="O180" i="5" s="1"/>
  <c r="G179" i="5"/>
  <c r="F179" i="5"/>
  <c r="E179" i="5"/>
  <c r="B179" i="5"/>
  <c r="N179" i="5" s="1"/>
  <c r="B178" i="5"/>
  <c r="N177" i="5"/>
  <c r="B177" i="5"/>
  <c r="B176" i="5"/>
  <c r="N175" i="5"/>
  <c r="E175" i="5"/>
  <c r="F175" i="5" s="1"/>
  <c r="B175" i="5"/>
  <c r="N174" i="5"/>
  <c r="E174" i="5"/>
  <c r="B174" i="5"/>
  <c r="P173" i="5"/>
  <c r="I173" i="5"/>
  <c r="G173" i="5"/>
  <c r="H173" i="5" s="1"/>
  <c r="E173" i="5"/>
  <c r="F173" i="5" s="1"/>
  <c r="B173" i="5"/>
  <c r="N173" i="5" s="1"/>
  <c r="O173" i="5" s="1"/>
  <c r="E172" i="5"/>
  <c r="F172" i="5" s="1"/>
  <c r="B172" i="5"/>
  <c r="N171" i="5"/>
  <c r="H171" i="5"/>
  <c r="G171" i="5"/>
  <c r="I171" i="5" s="1"/>
  <c r="E171" i="5"/>
  <c r="F171" i="5" s="1"/>
  <c r="B171" i="5"/>
  <c r="G170" i="5"/>
  <c r="H170" i="5" s="1"/>
  <c r="B170" i="5"/>
  <c r="E170" i="5" s="1"/>
  <c r="F170" i="5" s="1"/>
  <c r="N169" i="5"/>
  <c r="B169" i="5"/>
  <c r="N168" i="5"/>
  <c r="G168" i="5"/>
  <c r="E168" i="5"/>
  <c r="F168" i="5" s="1"/>
  <c r="B168" i="5"/>
  <c r="I167" i="5"/>
  <c r="G167" i="5"/>
  <c r="H167" i="5" s="1"/>
  <c r="E167" i="5"/>
  <c r="B167" i="5"/>
  <c r="N167" i="5" s="1"/>
  <c r="B166" i="5"/>
  <c r="B165" i="5"/>
  <c r="N164" i="5"/>
  <c r="B164" i="5"/>
  <c r="E164" i="5" s="1"/>
  <c r="F164" i="5" s="1"/>
  <c r="B163" i="5"/>
  <c r="N162" i="5"/>
  <c r="G162" i="5"/>
  <c r="E162" i="5"/>
  <c r="F162" i="5" s="1"/>
  <c r="B162" i="5"/>
  <c r="G161" i="5"/>
  <c r="H161" i="5" s="1"/>
  <c r="E161" i="5"/>
  <c r="F161" i="5" s="1"/>
  <c r="B161" i="5"/>
  <c r="N161" i="5" s="1"/>
  <c r="N160" i="5"/>
  <c r="I160" i="5"/>
  <c r="B160" i="5"/>
  <c r="G160" i="5" s="1"/>
  <c r="H160" i="5" s="1"/>
  <c r="N159" i="5"/>
  <c r="O159" i="5" s="1"/>
  <c r="B159" i="5"/>
  <c r="B158" i="5"/>
  <c r="N157" i="5"/>
  <c r="G157" i="5"/>
  <c r="B157" i="5"/>
  <c r="B156" i="5"/>
  <c r="G155" i="5"/>
  <c r="E155" i="5"/>
  <c r="F155" i="5" s="1"/>
  <c r="B155" i="5"/>
  <c r="N155" i="5" s="1"/>
  <c r="N154" i="5"/>
  <c r="B154" i="5"/>
  <c r="N153" i="5"/>
  <c r="G153" i="5"/>
  <c r="B153" i="5"/>
  <c r="B152" i="5"/>
  <c r="N151" i="5"/>
  <c r="G151" i="5"/>
  <c r="B151" i="5"/>
  <c r="N150" i="5"/>
  <c r="I150" i="5"/>
  <c r="H150" i="5"/>
  <c r="G150" i="5"/>
  <c r="F150" i="5"/>
  <c r="E150" i="5"/>
  <c r="B150" i="5"/>
  <c r="N149" i="5"/>
  <c r="I149" i="5"/>
  <c r="G149" i="5"/>
  <c r="H149" i="5" s="1"/>
  <c r="E149" i="5"/>
  <c r="F149" i="5" s="1"/>
  <c r="B149" i="5"/>
  <c r="B148" i="5"/>
  <c r="H147" i="5"/>
  <c r="G147" i="5"/>
  <c r="I147" i="5" s="1"/>
  <c r="E147" i="5"/>
  <c r="F147" i="5" s="1"/>
  <c r="B147" i="5"/>
  <c r="N147" i="5" s="1"/>
  <c r="N146" i="5"/>
  <c r="H146" i="5"/>
  <c r="E146" i="5"/>
  <c r="B146" i="5"/>
  <c r="G146" i="5" s="1"/>
  <c r="I146" i="5" s="1"/>
  <c r="O145" i="5"/>
  <c r="G145" i="5"/>
  <c r="F145" i="5"/>
  <c r="E145" i="5"/>
  <c r="B145" i="5"/>
  <c r="N145" i="5" s="1"/>
  <c r="P145" i="5" s="1"/>
  <c r="B144" i="5"/>
  <c r="H143" i="5"/>
  <c r="G143" i="5"/>
  <c r="I143" i="5" s="1"/>
  <c r="F143" i="5"/>
  <c r="E143" i="5"/>
  <c r="B143" i="5"/>
  <c r="N143" i="5" s="1"/>
  <c r="B142" i="5"/>
  <c r="B141" i="5"/>
  <c r="B140" i="5"/>
  <c r="I139" i="5"/>
  <c r="G139" i="5"/>
  <c r="H139" i="5" s="1"/>
  <c r="E139" i="5"/>
  <c r="B139" i="5"/>
  <c r="N139" i="5" s="1"/>
  <c r="B138" i="5"/>
  <c r="N137" i="5"/>
  <c r="I137" i="5"/>
  <c r="G137" i="5"/>
  <c r="H137" i="5" s="1"/>
  <c r="B137" i="5"/>
  <c r="E137" i="5" s="1"/>
  <c r="F137" i="5" s="1"/>
  <c r="N136" i="5"/>
  <c r="B136" i="5"/>
  <c r="I135" i="5"/>
  <c r="H135" i="5"/>
  <c r="G135" i="5"/>
  <c r="F135" i="5"/>
  <c r="E135" i="5"/>
  <c r="B135" i="5"/>
  <c r="N135" i="5" s="1"/>
  <c r="B134" i="5"/>
  <c r="N133" i="5"/>
  <c r="G133" i="5"/>
  <c r="B133" i="5"/>
  <c r="B132" i="5"/>
  <c r="G131" i="5"/>
  <c r="H131" i="5" s="1"/>
  <c r="E131" i="5"/>
  <c r="F131" i="5" s="1"/>
  <c r="B131" i="5"/>
  <c r="N131" i="5" s="1"/>
  <c r="B130" i="5"/>
  <c r="H129" i="5"/>
  <c r="G129" i="5"/>
  <c r="I129" i="5" s="1"/>
  <c r="E129" i="5"/>
  <c r="F129" i="5" s="1"/>
  <c r="B129" i="5"/>
  <c r="N129" i="5" s="1"/>
  <c r="B128" i="5"/>
  <c r="H127" i="5"/>
  <c r="G127" i="5"/>
  <c r="I127" i="5" s="1"/>
  <c r="F127" i="5"/>
  <c r="E127" i="5"/>
  <c r="B127" i="5"/>
  <c r="N127" i="5" s="1"/>
  <c r="H126" i="5"/>
  <c r="B126" i="5"/>
  <c r="G126" i="5" s="1"/>
  <c r="I126" i="5" s="1"/>
  <c r="H125" i="5"/>
  <c r="G125" i="5"/>
  <c r="I125" i="5" s="1"/>
  <c r="E125" i="5"/>
  <c r="B125" i="5"/>
  <c r="N125" i="5" s="1"/>
  <c r="I124" i="5"/>
  <c r="H124" i="5"/>
  <c r="G124" i="5"/>
  <c r="F124" i="5"/>
  <c r="E124" i="5"/>
  <c r="B124" i="5"/>
  <c r="N124" i="5" s="1"/>
  <c r="O124" i="5" s="1"/>
  <c r="N123" i="5"/>
  <c r="B123" i="5"/>
  <c r="N122" i="5"/>
  <c r="G122" i="5"/>
  <c r="B122" i="5"/>
  <c r="B121" i="5"/>
  <c r="N120" i="5"/>
  <c r="E120" i="5"/>
  <c r="F120" i="5" s="1"/>
  <c r="B120" i="5"/>
  <c r="N119" i="5"/>
  <c r="G119" i="5"/>
  <c r="H119" i="5" s="1"/>
  <c r="E119" i="5"/>
  <c r="F119" i="5" s="1"/>
  <c r="B119" i="5"/>
  <c r="N118" i="5"/>
  <c r="E118" i="5"/>
  <c r="B118" i="5"/>
  <c r="G118" i="5" s="1"/>
  <c r="O117" i="5"/>
  <c r="G117" i="5"/>
  <c r="H117" i="5" s="1"/>
  <c r="E117" i="5"/>
  <c r="F117" i="5" s="1"/>
  <c r="B117" i="5"/>
  <c r="N117" i="5" s="1"/>
  <c r="P117" i="5" s="1"/>
  <c r="B116" i="5"/>
  <c r="G115" i="5"/>
  <c r="E115" i="5"/>
  <c r="F115" i="5" s="1"/>
  <c r="B115" i="5"/>
  <c r="N115" i="5" s="1"/>
  <c r="N114" i="5"/>
  <c r="I114" i="5"/>
  <c r="H114" i="5"/>
  <c r="B114" i="5"/>
  <c r="G114" i="5" s="1"/>
  <c r="N113" i="5"/>
  <c r="F113" i="5"/>
  <c r="E113" i="5"/>
  <c r="B113" i="5"/>
  <c r="G113" i="5" s="1"/>
  <c r="I113" i="5" s="1"/>
  <c r="I112" i="5"/>
  <c r="G112" i="5"/>
  <c r="H112" i="5" s="1"/>
  <c r="F112" i="5"/>
  <c r="E112" i="5"/>
  <c r="B112" i="5"/>
  <c r="N112" i="5" s="1"/>
  <c r="B111" i="5"/>
  <c r="B110" i="5"/>
  <c r="G109" i="5"/>
  <c r="B109" i="5"/>
  <c r="E109" i="5" s="1"/>
  <c r="F109" i="5" s="1"/>
  <c r="I108" i="5"/>
  <c r="G108" i="5"/>
  <c r="H108" i="5" s="1"/>
  <c r="B108" i="5"/>
  <c r="N108" i="5" s="1"/>
  <c r="N107" i="5"/>
  <c r="H107" i="5"/>
  <c r="G107" i="5"/>
  <c r="I107" i="5" s="1"/>
  <c r="B107" i="5"/>
  <c r="E107" i="5" s="1"/>
  <c r="F107" i="5" s="1"/>
  <c r="B106" i="5"/>
  <c r="N106" i="5" s="1"/>
  <c r="B105" i="5"/>
  <c r="I104" i="5"/>
  <c r="G104" i="5"/>
  <c r="H104" i="5" s="1"/>
  <c r="B104" i="5"/>
  <c r="E104" i="5" s="1"/>
  <c r="B103" i="5"/>
  <c r="G102" i="5"/>
  <c r="E102" i="5"/>
  <c r="F102" i="5" s="1"/>
  <c r="B102" i="5"/>
  <c r="N102" i="5" s="1"/>
  <c r="E101" i="5"/>
  <c r="F101" i="5" s="1"/>
  <c r="B101" i="5"/>
  <c r="G101" i="5" s="1"/>
  <c r="G100" i="5"/>
  <c r="E100" i="5"/>
  <c r="F100" i="5" s="1"/>
  <c r="B100" i="5"/>
  <c r="N100" i="5" s="1"/>
  <c r="E99" i="5"/>
  <c r="F99" i="5" s="1"/>
  <c r="B99" i="5"/>
  <c r="G99" i="5" s="1"/>
  <c r="I99" i="5" s="1"/>
  <c r="H98" i="5"/>
  <c r="G98" i="5"/>
  <c r="I98" i="5" s="1"/>
  <c r="E98" i="5"/>
  <c r="F98" i="5" s="1"/>
  <c r="B98" i="5"/>
  <c r="N98" i="5" s="1"/>
  <c r="B97" i="5"/>
  <c r="G97" i="5" s="1"/>
  <c r="B96" i="5"/>
  <c r="I95" i="5"/>
  <c r="H95" i="5"/>
  <c r="G95" i="5"/>
  <c r="B95" i="5"/>
  <c r="E95" i="5" s="1"/>
  <c r="F95" i="5" s="1"/>
  <c r="B94" i="5"/>
  <c r="B93" i="5"/>
  <c r="N92" i="5"/>
  <c r="B92" i="5"/>
  <c r="B91" i="5"/>
  <c r="G90" i="5"/>
  <c r="H90" i="5" s="1"/>
  <c r="E90" i="5"/>
  <c r="B90" i="5"/>
  <c r="N90" i="5" s="1"/>
  <c r="O89" i="5"/>
  <c r="N89" i="5"/>
  <c r="P89" i="5" s="1"/>
  <c r="E89" i="5"/>
  <c r="F89" i="5" s="1"/>
  <c r="B89" i="5"/>
  <c r="G89" i="5" s="1"/>
  <c r="H88" i="5"/>
  <c r="G88" i="5"/>
  <c r="I88" i="5" s="1"/>
  <c r="E88" i="5"/>
  <c r="F88" i="5" s="1"/>
  <c r="B88" i="5"/>
  <c r="N88" i="5" s="1"/>
  <c r="F87" i="5"/>
  <c r="E87" i="5"/>
  <c r="B87" i="5"/>
  <c r="G87" i="5" s="1"/>
  <c r="I87" i="5" s="1"/>
  <c r="H86" i="5"/>
  <c r="G86" i="5"/>
  <c r="I86" i="5" s="1"/>
  <c r="E86" i="5"/>
  <c r="F86" i="5" s="1"/>
  <c r="B86" i="5"/>
  <c r="N86" i="5" s="1"/>
  <c r="I85" i="5"/>
  <c r="H85" i="5"/>
  <c r="G85" i="5"/>
  <c r="B85" i="5"/>
  <c r="E85" i="5" s="1"/>
  <c r="F85" i="5" s="1"/>
  <c r="N84" i="5"/>
  <c r="B84" i="5"/>
  <c r="N83" i="5"/>
  <c r="G83" i="5"/>
  <c r="I83" i="5" s="1"/>
  <c r="B83" i="5"/>
  <c r="B82" i="5"/>
  <c r="B81" i="5"/>
  <c r="N80" i="5"/>
  <c r="B80" i="5"/>
  <c r="N79" i="5"/>
  <c r="B79" i="5"/>
  <c r="I78" i="5"/>
  <c r="H78" i="5"/>
  <c r="G78" i="5"/>
  <c r="E78" i="5"/>
  <c r="F78" i="5" s="1"/>
  <c r="B78" i="5"/>
  <c r="N78" i="5" s="1"/>
  <c r="N77" i="5"/>
  <c r="G77" i="5"/>
  <c r="B77" i="5"/>
  <c r="E77" i="5" s="1"/>
  <c r="F77" i="5" s="1"/>
  <c r="G76" i="5"/>
  <c r="I76" i="5" s="1"/>
  <c r="E76" i="5"/>
  <c r="B76" i="5"/>
  <c r="N76" i="5" s="1"/>
  <c r="H75" i="5"/>
  <c r="F75" i="5"/>
  <c r="E75" i="5"/>
  <c r="B75" i="5"/>
  <c r="G75" i="5" s="1"/>
  <c r="I75" i="5" s="1"/>
  <c r="H74" i="5"/>
  <c r="G74" i="5"/>
  <c r="I74" i="5" s="1"/>
  <c r="E74" i="5"/>
  <c r="F74" i="5" s="1"/>
  <c r="B74" i="5"/>
  <c r="N74" i="5" s="1"/>
  <c r="I73" i="5"/>
  <c r="H73" i="5"/>
  <c r="G73" i="5"/>
  <c r="F73" i="5"/>
  <c r="E73" i="5"/>
  <c r="B73" i="5"/>
  <c r="N73" i="5" s="1"/>
  <c r="N72" i="5"/>
  <c r="B72" i="5"/>
  <c r="N71" i="5"/>
  <c r="B71" i="5"/>
  <c r="N70" i="5"/>
  <c r="B70" i="5"/>
  <c r="N69" i="5"/>
  <c r="B69" i="5"/>
  <c r="B68" i="5"/>
  <c r="G68" i="5" s="1"/>
  <c r="B67" i="5"/>
  <c r="G67" i="5" s="1"/>
  <c r="B66" i="5"/>
  <c r="N65" i="5"/>
  <c r="B65" i="5"/>
  <c r="G64" i="5"/>
  <c r="I64" i="5" s="1"/>
  <c r="E64" i="5"/>
  <c r="F64" i="5" s="1"/>
  <c r="B64" i="5"/>
  <c r="N64" i="5" s="1"/>
  <c r="B63" i="5"/>
  <c r="G63" i="5" s="1"/>
  <c r="I63" i="5" s="1"/>
  <c r="N62" i="5"/>
  <c r="G62" i="5"/>
  <c r="I62" i="5" s="1"/>
  <c r="E62" i="5"/>
  <c r="B62" i="5"/>
  <c r="G61" i="5"/>
  <c r="B61" i="5"/>
  <c r="E61" i="5" s="1"/>
  <c r="F61" i="5" s="1"/>
  <c r="B60" i="5"/>
  <c r="N60" i="5" s="1"/>
  <c r="B59" i="5"/>
  <c r="G58" i="5"/>
  <c r="I58" i="5" s="1"/>
  <c r="B58" i="5"/>
  <c r="E58" i="5" s="1"/>
  <c r="F58" i="5" s="1"/>
  <c r="B57" i="5"/>
  <c r="I56" i="5"/>
  <c r="G56" i="5"/>
  <c r="H56" i="5" s="1"/>
  <c r="E56" i="5"/>
  <c r="F56" i="5" s="1"/>
  <c r="B56" i="5"/>
  <c r="N56" i="5" s="1"/>
  <c r="B55" i="5"/>
  <c r="G55" i="5" s="1"/>
  <c r="H55" i="5" s="1"/>
  <c r="G54" i="5"/>
  <c r="B54" i="5"/>
  <c r="G53" i="5"/>
  <c r="B53" i="5"/>
  <c r="E53" i="5" s="1"/>
  <c r="F53" i="5" s="1"/>
  <c r="E52" i="5"/>
  <c r="F52" i="5" s="1"/>
  <c r="B52" i="5"/>
  <c r="G51" i="5"/>
  <c r="I51" i="5" s="1"/>
  <c r="E51" i="5"/>
  <c r="F51" i="5" s="1"/>
  <c r="B51" i="5"/>
  <c r="N51" i="5" s="1"/>
  <c r="B50" i="5"/>
  <c r="G50" i="5" s="1"/>
  <c r="H49" i="5"/>
  <c r="G49" i="5"/>
  <c r="I49" i="5" s="1"/>
  <c r="E49" i="5"/>
  <c r="F49" i="5" s="1"/>
  <c r="B49" i="5"/>
  <c r="N49" i="5" s="1"/>
  <c r="B48" i="5"/>
  <c r="G48" i="5" s="1"/>
  <c r="I48" i="5" s="1"/>
  <c r="B47" i="5"/>
  <c r="G46" i="5"/>
  <c r="B46" i="5"/>
  <c r="E46" i="5" s="1"/>
  <c r="F46" i="5" s="1"/>
  <c r="B45" i="5"/>
  <c r="I44" i="5"/>
  <c r="G44" i="5"/>
  <c r="H44" i="5" s="1"/>
  <c r="E44" i="5"/>
  <c r="F44" i="5" s="1"/>
  <c r="B44" i="5"/>
  <c r="N44" i="5" s="1"/>
  <c r="B43" i="5"/>
  <c r="B42" i="5"/>
  <c r="G41" i="5"/>
  <c r="I41" i="5" s="1"/>
  <c r="B41" i="5"/>
  <c r="E41" i="5" s="1"/>
  <c r="E40" i="5"/>
  <c r="F40" i="5" s="1"/>
  <c r="B40" i="5"/>
  <c r="G39" i="5"/>
  <c r="I39" i="5" s="1"/>
  <c r="E39" i="5"/>
  <c r="F39" i="5" s="1"/>
  <c r="B39" i="5"/>
  <c r="N39" i="5" s="1"/>
  <c r="B38" i="5"/>
  <c r="G38" i="5" s="1"/>
  <c r="H37" i="5"/>
  <c r="G37" i="5"/>
  <c r="I37" i="5" s="1"/>
  <c r="F37" i="5"/>
  <c r="E37" i="5"/>
  <c r="B37" i="5"/>
  <c r="N37" i="5" s="1"/>
  <c r="B36" i="5"/>
  <c r="G36" i="5" s="1"/>
  <c r="I36" i="5" s="1"/>
  <c r="N35" i="5"/>
  <c r="B35" i="5"/>
  <c r="G34" i="5"/>
  <c r="I34" i="5" s="1"/>
  <c r="B34" i="5"/>
  <c r="E34" i="5" s="1"/>
  <c r="N33" i="5"/>
  <c r="P33" i="5" s="1"/>
  <c r="B33" i="5"/>
  <c r="I32" i="5"/>
  <c r="H32" i="5"/>
  <c r="G32" i="5"/>
  <c r="F32" i="5"/>
  <c r="E32" i="5"/>
  <c r="B32" i="5"/>
  <c r="N32" i="5" s="1"/>
  <c r="N31" i="5"/>
  <c r="B31" i="5"/>
  <c r="N30" i="5"/>
  <c r="G30" i="5"/>
  <c r="I30" i="5" s="1"/>
  <c r="F30" i="5"/>
  <c r="E30" i="5"/>
  <c r="B30" i="5"/>
  <c r="I29" i="5"/>
  <c r="G29" i="5"/>
  <c r="H29" i="5" s="1"/>
  <c r="B29" i="5"/>
  <c r="E29" i="5" s="1"/>
  <c r="F29" i="5" s="1"/>
  <c r="B28" i="5"/>
  <c r="G27" i="5"/>
  <c r="I27" i="5" s="1"/>
  <c r="E27" i="5"/>
  <c r="B27" i="5"/>
  <c r="N27" i="5" s="1"/>
  <c r="E26" i="5"/>
  <c r="F26" i="5" s="1"/>
  <c r="B26" i="5"/>
  <c r="G26" i="5" s="1"/>
  <c r="I25" i="5"/>
  <c r="H25" i="5"/>
  <c r="G25" i="5"/>
  <c r="F25" i="5"/>
  <c r="E25" i="5"/>
  <c r="B25" i="5"/>
  <c r="N25" i="5" s="1"/>
  <c r="B24" i="5"/>
  <c r="B23" i="5"/>
  <c r="N23" i="5" s="1"/>
  <c r="B22" i="5"/>
  <c r="E22" i="5" s="1"/>
  <c r="F22" i="5" s="1"/>
  <c r="N21" i="5"/>
  <c r="H21" i="5"/>
  <c r="G21" i="5"/>
  <c r="I21" i="5" s="1"/>
  <c r="B21" i="5"/>
  <c r="B20" i="5"/>
  <c r="G20" i="5" s="1"/>
  <c r="H19" i="5"/>
  <c r="G19" i="5"/>
  <c r="I19" i="5" s="1"/>
  <c r="E19" i="5"/>
  <c r="F19" i="5" s="1"/>
  <c r="B19" i="5"/>
  <c r="N19" i="5" s="1"/>
  <c r="B18" i="5"/>
  <c r="G18" i="5" s="1"/>
  <c r="B17" i="5"/>
  <c r="H16" i="5"/>
  <c r="G16" i="5"/>
  <c r="I16" i="5" s="1"/>
  <c r="B16" i="5"/>
  <c r="E16" i="5" s="1"/>
  <c r="F16" i="5" s="1"/>
  <c r="B15" i="5"/>
  <c r="I14" i="5"/>
  <c r="G14" i="5"/>
  <c r="H14" i="5" s="1"/>
  <c r="F14" i="5"/>
  <c r="E14" i="5"/>
  <c r="B14" i="5"/>
  <c r="N14" i="5" s="1"/>
  <c r="B13" i="5"/>
  <c r="G13" i="5" s="1"/>
  <c r="B12" i="5"/>
  <c r="G11" i="5"/>
  <c r="I11" i="5" s="1"/>
  <c r="B11" i="5"/>
  <c r="E11" i="5" s="1"/>
  <c r="F11" i="5" s="1"/>
  <c r="E10" i="5"/>
  <c r="F10" i="5" s="1"/>
  <c r="B10" i="5"/>
  <c r="G9" i="5"/>
  <c r="I9" i="5" s="1"/>
  <c r="E9" i="5"/>
  <c r="F9" i="5" s="1"/>
  <c r="B9" i="5"/>
  <c r="N9" i="5" s="1"/>
  <c r="B8" i="5"/>
  <c r="G8" i="5" s="1"/>
  <c r="H7" i="5"/>
  <c r="G7" i="5"/>
  <c r="I7" i="5" s="1"/>
  <c r="E7" i="5"/>
  <c r="F7" i="5" s="1"/>
  <c r="B7" i="5"/>
  <c r="N7" i="5" s="1"/>
  <c r="E6" i="5"/>
  <c r="B6" i="5"/>
  <c r="G6" i="5" s="1"/>
  <c r="B5" i="5"/>
  <c r="K4" i="5"/>
  <c r="J4" i="5"/>
  <c r="H4" i="5"/>
  <c r="G4" i="5"/>
  <c r="I4" i="5" s="1"/>
  <c r="B4" i="5"/>
  <c r="E4" i="5" s="1"/>
  <c r="F4" i="5" s="1"/>
  <c r="N3" i="5"/>
  <c r="K3" i="5"/>
  <c r="E3" i="5"/>
  <c r="F3" i="5" s="1"/>
  <c r="B3" i="5"/>
  <c r="G3" i="5" s="1"/>
  <c r="B215" i="4"/>
  <c r="N215" i="4" s="1"/>
  <c r="B214" i="4"/>
  <c r="N214" i="4" s="1"/>
  <c r="O214" i="4" s="1"/>
  <c r="B213" i="4"/>
  <c r="N213" i="4" s="1"/>
  <c r="N212" i="4"/>
  <c r="B212" i="4"/>
  <c r="B211" i="4"/>
  <c r="B210" i="4"/>
  <c r="N210" i="4" s="1"/>
  <c r="N209" i="4"/>
  <c r="B209" i="4"/>
  <c r="E209" i="4" s="1"/>
  <c r="F209" i="4" s="1"/>
  <c r="B208" i="4"/>
  <c r="N208" i="4" s="1"/>
  <c r="P207" i="4"/>
  <c r="O207" i="4"/>
  <c r="G207" i="4"/>
  <c r="E207" i="4"/>
  <c r="F207" i="4" s="1"/>
  <c r="B207" i="4"/>
  <c r="N207" i="4" s="1"/>
  <c r="G206" i="4"/>
  <c r="I206" i="4" s="1"/>
  <c r="E206" i="4"/>
  <c r="F206" i="4" s="1"/>
  <c r="B206" i="4"/>
  <c r="N206" i="4" s="1"/>
  <c r="B205" i="4"/>
  <c r="E205" i="4" s="1"/>
  <c r="F205" i="4" s="1"/>
  <c r="N204" i="4"/>
  <c r="B204" i="4"/>
  <c r="E204" i="4" s="1"/>
  <c r="F204" i="4" s="1"/>
  <c r="G203" i="4"/>
  <c r="E203" i="4"/>
  <c r="F203" i="4" s="1"/>
  <c r="B203" i="4"/>
  <c r="N203" i="4" s="1"/>
  <c r="B202" i="4"/>
  <c r="N202" i="4" s="1"/>
  <c r="E201" i="4"/>
  <c r="B201" i="4"/>
  <c r="N201" i="4" s="1"/>
  <c r="B200" i="4"/>
  <c r="B199" i="4"/>
  <c r="G199" i="4" s="1"/>
  <c r="B198" i="4"/>
  <c r="N197" i="4"/>
  <c r="B197" i="4"/>
  <c r="B196" i="4"/>
  <c r="N196" i="4" s="1"/>
  <c r="G195" i="4"/>
  <c r="H195" i="4" s="1"/>
  <c r="E195" i="4"/>
  <c r="F195" i="4" s="1"/>
  <c r="B195" i="4"/>
  <c r="N195" i="4" s="1"/>
  <c r="B194" i="4"/>
  <c r="B193" i="4"/>
  <c r="B192" i="4"/>
  <c r="E192" i="4" s="1"/>
  <c r="F192" i="4" s="1"/>
  <c r="G191" i="4"/>
  <c r="I191" i="4" s="1"/>
  <c r="E191" i="4"/>
  <c r="F191" i="4" s="1"/>
  <c r="B191" i="4"/>
  <c r="N191" i="4" s="1"/>
  <c r="G190" i="4"/>
  <c r="I190" i="4" s="1"/>
  <c r="F190" i="4"/>
  <c r="E190" i="4"/>
  <c r="B190" i="4"/>
  <c r="N190" i="4" s="1"/>
  <c r="B189" i="4"/>
  <c r="N189" i="4" s="1"/>
  <c r="N188" i="4"/>
  <c r="B188" i="4"/>
  <c r="G187" i="4"/>
  <c r="H187" i="4" s="1"/>
  <c r="B187" i="4"/>
  <c r="N187" i="4" s="1"/>
  <c r="B186" i="4"/>
  <c r="N186" i="4" s="1"/>
  <c r="N185" i="4"/>
  <c r="G185" i="4"/>
  <c r="H185" i="4" s="1"/>
  <c r="B185" i="4"/>
  <c r="E185" i="4" s="1"/>
  <c r="F185" i="4" s="1"/>
  <c r="B184" i="4"/>
  <c r="G183" i="4"/>
  <c r="B183" i="4"/>
  <c r="B182" i="4"/>
  <c r="B181" i="4"/>
  <c r="G181" i="4" s="1"/>
  <c r="H181" i="4" s="1"/>
  <c r="B180" i="4"/>
  <c r="E180" i="4" s="1"/>
  <c r="E179" i="4"/>
  <c r="F179" i="4" s="1"/>
  <c r="B179" i="4"/>
  <c r="N179" i="4" s="1"/>
  <c r="P179" i="4" s="1"/>
  <c r="B178" i="4"/>
  <c r="N178" i="4" s="1"/>
  <c r="B177" i="4"/>
  <c r="N177" i="4" s="1"/>
  <c r="B176" i="4"/>
  <c r="N176" i="4" s="1"/>
  <c r="B175" i="4"/>
  <c r="B174" i="4"/>
  <c r="G173" i="4"/>
  <c r="H173" i="4" s="1"/>
  <c r="B173" i="4"/>
  <c r="B172" i="4"/>
  <c r="B171" i="4"/>
  <c r="B170" i="4"/>
  <c r="B169" i="4"/>
  <c r="G168" i="4"/>
  <c r="E168" i="4"/>
  <c r="F168" i="4" s="1"/>
  <c r="B168" i="4"/>
  <c r="E167" i="4"/>
  <c r="F167" i="4" s="1"/>
  <c r="B167" i="4"/>
  <c r="N167" i="4" s="1"/>
  <c r="B166" i="4"/>
  <c r="N166" i="4" s="1"/>
  <c r="P165" i="4"/>
  <c r="O165" i="4"/>
  <c r="E165" i="4"/>
  <c r="F165" i="4" s="1"/>
  <c r="B165" i="4"/>
  <c r="N165" i="4" s="1"/>
  <c r="B164" i="4"/>
  <c r="B163" i="4"/>
  <c r="B162" i="4"/>
  <c r="E161" i="4"/>
  <c r="F161" i="4" s="1"/>
  <c r="B161" i="4"/>
  <c r="B160" i="4"/>
  <c r="E160" i="4" s="1"/>
  <c r="F160" i="4" s="1"/>
  <c r="B159" i="4"/>
  <c r="N158" i="4"/>
  <c r="P158" i="4" s="1"/>
  <c r="G158" i="4"/>
  <c r="H158" i="4" s="1"/>
  <c r="B158" i="4"/>
  <c r="E158" i="4" s="1"/>
  <c r="F158" i="4" s="1"/>
  <c r="G157" i="4"/>
  <c r="E157" i="4"/>
  <c r="F157" i="4" s="1"/>
  <c r="B157" i="4"/>
  <c r="N157" i="4" s="1"/>
  <c r="B156" i="4"/>
  <c r="E156" i="4" s="1"/>
  <c r="F156" i="4" s="1"/>
  <c r="B155" i="4"/>
  <c r="E155" i="4" s="1"/>
  <c r="F155" i="4" s="1"/>
  <c r="G154" i="4"/>
  <c r="I154" i="4" s="1"/>
  <c r="E154" i="4"/>
  <c r="F154" i="4" s="1"/>
  <c r="B154" i="4"/>
  <c r="N154" i="4" s="1"/>
  <c r="B153" i="4"/>
  <c r="N153" i="4" s="1"/>
  <c r="B152" i="4"/>
  <c r="B151" i="4"/>
  <c r="N150" i="4"/>
  <c r="E150" i="4"/>
  <c r="F150" i="4" s="1"/>
  <c r="B150" i="4"/>
  <c r="G150" i="4" s="1"/>
  <c r="B149" i="4"/>
  <c r="B148" i="4"/>
  <c r="G148" i="4" s="1"/>
  <c r="N147" i="4"/>
  <c r="G147" i="4"/>
  <c r="H147" i="4" s="1"/>
  <c r="E147" i="4"/>
  <c r="F147" i="4" s="1"/>
  <c r="B147" i="4"/>
  <c r="B146" i="4"/>
  <c r="N146" i="4" s="1"/>
  <c r="E145" i="4"/>
  <c r="B145" i="4"/>
  <c r="N145" i="4" s="1"/>
  <c r="B144" i="4"/>
  <c r="N144" i="4" s="1"/>
  <c r="O144" i="4" s="1"/>
  <c r="B143" i="4"/>
  <c r="B142" i="4"/>
  <c r="N142" i="4" s="1"/>
  <c r="B141" i="4"/>
  <c r="B140" i="4"/>
  <c r="N140" i="4" s="1"/>
  <c r="B139" i="4"/>
  <c r="B138" i="4"/>
  <c r="N137" i="4"/>
  <c r="P137" i="4" s="1"/>
  <c r="B137" i="4"/>
  <c r="E137" i="4" s="1"/>
  <c r="F137" i="4" s="1"/>
  <c r="B136" i="4"/>
  <c r="N136" i="4" s="1"/>
  <c r="B135" i="4"/>
  <c r="G135" i="4" s="1"/>
  <c r="N134" i="4"/>
  <c r="G134" i="4"/>
  <c r="H134" i="4" s="1"/>
  <c r="E134" i="4"/>
  <c r="F134" i="4" s="1"/>
  <c r="B134" i="4"/>
  <c r="B133" i="4"/>
  <c r="B132" i="4"/>
  <c r="G132" i="4" s="1"/>
  <c r="B131" i="4"/>
  <c r="N131" i="4" s="1"/>
  <c r="B130" i="4"/>
  <c r="G130" i="4" s="1"/>
  <c r="I130" i="4" s="1"/>
  <c r="E129" i="4"/>
  <c r="F129" i="4" s="1"/>
  <c r="B129" i="4"/>
  <c r="N129" i="4" s="1"/>
  <c r="N128" i="4"/>
  <c r="B128" i="4"/>
  <c r="B127" i="4"/>
  <c r="N127" i="4" s="1"/>
  <c r="G126" i="4"/>
  <c r="B126" i="4"/>
  <c r="E126" i="4" s="1"/>
  <c r="F126" i="4" s="1"/>
  <c r="N125" i="4"/>
  <c r="G125" i="4"/>
  <c r="E125" i="4"/>
  <c r="F125" i="4" s="1"/>
  <c r="B125" i="4"/>
  <c r="B124" i="4"/>
  <c r="B123" i="4"/>
  <c r="N123" i="4" s="1"/>
  <c r="P123" i="4" s="1"/>
  <c r="E122" i="4"/>
  <c r="F122" i="4" s="1"/>
  <c r="B122" i="4"/>
  <c r="N122" i="4" s="1"/>
  <c r="N121" i="4"/>
  <c r="I121" i="4"/>
  <c r="H121" i="4"/>
  <c r="G121" i="4"/>
  <c r="E121" i="4"/>
  <c r="F121" i="4" s="1"/>
  <c r="B121" i="4"/>
  <c r="B120" i="4"/>
  <c r="N120" i="4" s="1"/>
  <c r="N119" i="4"/>
  <c r="B119" i="4"/>
  <c r="B118" i="4"/>
  <c r="I117" i="4"/>
  <c r="H117" i="4"/>
  <c r="G117" i="4"/>
  <c r="E117" i="4"/>
  <c r="B117" i="4"/>
  <c r="N117" i="4" s="1"/>
  <c r="B116" i="4"/>
  <c r="B115" i="4"/>
  <c r="B114" i="4"/>
  <c r="N114" i="4" s="1"/>
  <c r="B113" i="4"/>
  <c r="B112" i="4"/>
  <c r="N112" i="4" s="1"/>
  <c r="N111" i="4"/>
  <c r="B111" i="4"/>
  <c r="E111" i="4" s="1"/>
  <c r="F111" i="4" s="1"/>
  <c r="B110" i="4"/>
  <c r="N110" i="4" s="1"/>
  <c r="B109" i="4"/>
  <c r="B108" i="4"/>
  <c r="G108" i="4" s="1"/>
  <c r="N107" i="4"/>
  <c r="F107" i="4"/>
  <c r="B107" i="4"/>
  <c r="E107" i="4" s="1"/>
  <c r="B106" i="4"/>
  <c r="N106" i="4" s="1"/>
  <c r="N105" i="4"/>
  <c r="G105" i="4"/>
  <c r="I105" i="4" s="1"/>
  <c r="B105" i="4"/>
  <c r="E105" i="4" s="1"/>
  <c r="F105" i="4" s="1"/>
  <c r="G104" i="4"/>
  <c r="E104" i="4"/>
  <c r="F104" i="4" s="1"/>
  <c r="B104" i="4"/>
  <c r="N104" i="4" s="1"/>
  <c r="B103" i="4"/>
  <c r="G103" i="4" s="1"/>
  <c r="I103" i="4" s="1"/>
  <c r="B102" i="4"/>
  <c r="G102" i="4" s="1"/>
  <c r="B101" i="4"/>
  <c r="E100" i="4"/>
  <c r="F100" i="4" s="1"/>
  <c r="B100" i="4"/>
  <c r="N100" i="4" s="1"/>
  <c r="B99" i="4"/>
  <c r="G99" i="4" s="1"/>
  <c r="I99" i="4" s="1"/>
  <c r="B98" i="4"/>
  <c r="E98" i="4" s="1"/>
  <c r="F98" i="4" s="1"/>
  <c r="N97" i="4"/>
  <c r="B97" i="4"/>
  <c r="B96" i="4"/>
  <c r="P95" i="4"/>
  <c r="G95" i="4"/>
  <c r="H95" i="4" s="1"/>
  <c r="E95" i="4"/>
  <c r="F95" i="4" s="1"/>
  <c r="B95" i="4"/>
  <c r="N95" i="4" s="1"/>
  <c r="O95" i="4" s="1"/>
  <c r="B94" i="4"/>
  <c r="B93" i="4"/>
  <c r="B92" i="4"/>
  <c r="N92" i="4" s="1"/>
  <c r="G91" i="4"/>
  <c r="B91" i="4"/>
  <c r="N91" i="4" s="1"/>
  <c r="I90" i="4"/>
  <c r="H90" i="4"/>
  <c r="G90" i="4"/>
  <c r="E90" i="4"/>
  <c r="F90" i="4" s="1"/>
  <c r="B90" i="4"/>
  <c r="N90" i="4" s="1"/>
  <c r="B89" i="4"/>
  <c r="G89" i="4" s="1"/>
  <c r="B88" i="4"/>
  <c r="E88" i="4" s="1"/>
  <c r="F88" i="4" s="1"/>
  <c r="B87" i="4"/>
  <c r="E87" i="4" s="1"/>
  <c r="F87" i="4" s="1"/>
  <c r="B86" i="4"/>
  <c r="B85" i="4"/>
  <c r="N84" i="4"/>
  <c r="B84" i="4"/>
  <c r="E84" i="4" s="1"/>
  <c r="F84" i="4" s="1"/>
  <c r="B83" i="4"/>
  <c r="N83" i="4" s="1"/>
  <c r="B82" i="4"/>
  <c r="G82" i="4" s="1"/>
  <c r="H82" i="4" s="1"/>
  <c r="G81" i="4"/>
  <c r="B81" i="4"/>
  <c r="N81" i="4" s="1"/>
  <c r="B80" i="4"/>
  <c r="B79" i="4"/>
  <c r="E79" i="4" s="1"/>
  <c r="F79" i="4" s="1"/>
  <c r="G78" i="4"/>
  <c r="B78" i="4"/>
  <c r="N78" i="4" s="1"/>
  <c r="B77" i="4"/>
  <c r="B76" i="4"/>
  <c r="G75" i="4"/>
  <c r="I75" i="4" s="1"/>
  <c r="B75" i="4"/>
  <c r="E75" i="4" s="1"/>
  <c r="B74" i="4"/>
  <c r="N74" i="4" s="1"/>
  <c r="N73" i="4"/>
  <c r="B73" i="4"/>
  <c r="E73" i="4" s="1"/>
  <c r="F73" i="4" s="1"/>
  <c r="B72" i="4"/>
  <c r="E72" i="4" s="1"/>
  <c r="F72" i="4" s="1"/>
  <c r="B71" i="4"/>
  <c r="B70" i="4"/>
  <c r="G70" i="4" s="1"/>
  <c r="I69" i="4"/>
  <c r="B69" i="4"/>
  <c r="G69" i="4" s="1"/>
  <c r="H69" i="4" s="1"/>
  <c r="B68" i="4"/>
  <c r="E68" i="4" s="1"/>
  <c r="G67" i="4"/>
  <c r="I67" i="4" s="1"/>
  <c r="E67" i="4"/>
  <c r="F67" i="4" s="1"/>
  <c r="B67" i="4"/>
  <c r="N67" i="4" s="1"/>
  <c r="B66" i="4"/>
  <c r="N66" i="4" s="1"/>
  <c r="B65" i="4"/>
  <c r="N65" i="4" s="1"/>
  <c r="B64" i="4"/>
  <c r="G63" i="4"/>
  <c r="I63" i="4" s="1"/>
  <c r="B63" i="4"/>
  <c r="N63" i="4" s="1"/>
  <c r="B62" i="4"/>
  <c r="B61" i="4"/>
  <c r="N60" i="4"/>
  <c r="G60" i="4"/>
  <c r="F60" i="4"/>
  <c r="B60" i="4"/>
  <c r="E60" i="4" s="1"/>
  <c r="N59" i="4"/>
  <c r="G59" i="4"/>
  <c r="H59" i="4" s="1"/>
  <c r="E59" i="4"/>
  <c r="F59" i="4" s="1"/>
  <c r="B59" i="4"/>
  <c r="B58" i="4"/>
  <c r="B57" i="4"/>
  <c r="N57" i="4" s="1"/>
  <c r="G56" i="4"/>
  <c r="H56" i="4" s="1"/>
  <c r="B56" i="4"/>
  <c r="N56" i="4" s="1"/>
  <c r="B55" i="4"/>
  <c r="G55" i="4" s="1"/>
  <c r="G54" i="4"/>
  <c r="H54" i="4" s="1"/>
  <c r="B54" i="4"/>
  <c r="N54" i="4" s="1"/>
  <c r="B53" i="4"/>
  <c r="B52" i="4"/>
  <c r="N52" i="4" s="1"/>
  <c r="B51" i="4"/>
  <c r="E51" i="4" s="1"/>
  <c r="F51" i="4" s="1"/>
  <c r="B50" i="4"/>
  <c r="E50" i="4" s="1"/>
  <c r="F50" i="4" s="1"/>
  <c r="I49" i="4"/>
  <c r="H49" i="4"/>
  <c r="B49" i="4"/>
  <c r="G49" i="4" s="1"/>
  <c r="B48" i="4"/>
  <c r="E48" i="4" s="1"/>
  <c r="F48" i="4" s="1"/>
  <c r="B47" i="4"/>
  <c r="G47" i="4" s="1"/>
  <c r="I47" i="4" s="1"/>
  <c r="N46" i="4"/>
  <c r="B46" i="4"/>
  <c r="E46" i="4" s="1"/>
  <c r="F46" i="4" s="1"/>
  <c r="N45" i="4"/>
  <c r="E45" i="4"/>
  <c r="F45" i="4" s="1"/>
  <c r="B45" i="4"/>
  <c r="G45" i="4" s="1"/>
  <c r="B44" i="4"/>
  <c r="N44" i="4" s="1"/>
  <c r="B43" i="4"/>
  <c r="E43" i="4" s="1"/>
  <c r="F43" i="4" s="1"/>
  <c r="B42" i="4"/>
  <c r="N42" i="4" s="1"/>
  <c r="B41" i="4"/>
  <c r="B40" i="4"/>
  <c r="N40" i="4" s="1"/>
  <c r="B39" i="4"/>
  <c r="G39" i="4" s="1"/>
  <c r="H39" i="4" s="1"/>
  <c r="N38" i="4"/>
  <c r="G38" i="4"/>
  <c r="H38" i="4" s="1"/>
  <c r="B38" i="4"/>
  <c r="B37" i="4"/>
  <c r="G37" i="4" s="1"/>
  <c r="B36" i="4"/>
  <c r="N36" i="4" s="1"/>
  <c r="B35" i="4"/>
  <c r="N35" i="4" s="1"/>
  <c r="B34" i="4"/>
  <c r="B33" i="4"/>
  <c r="N33" i="4" s="1"/>
  <c r="B32" i="4"/>
  <c r="B31" i="4"/>
  <c r="N31" i="4" s="1"/>
  <c r="B30" i="4"/>
  <c r="E30" i="4" s="1"/>
  <c r="F30" i="4" s="1"/>
  <c r="B29" i="4"/>
  <c r="E29" i="4" s="1"/>
  <c r="F29" i="4" s="1"/>
  <c r="B28" i="4"/>
  <c r="N28" i="4" s="1"/>
  <c r="B27" i="4"/>
  <c r="N26" i="4"/>
  <c r="B26" i="4"/>
  <c r="B25" i="4"/>
  <c r="E25" i="4" s="1"/>
  <c r="F25" i="4" s="1"/>
  <c r="B24" i="4"/>
  <c r="N24" i="4" s="1"/>
  <c r="B23" i="4"/>
  <c r="N23" i="4" s="1"/>
  <c r="B22" i="4"/>
  <c r="G22" i="4" s="1"/>
  <c r="B21" i="4"/>
  <c r="N21" i="4" s="1"/>
  <c r="B20" i="4"/>
  <c r="N20" i="4" s="1"/>
  <c r="N19" i="4"/>
  <c r="G19" i="4"/>
  <c r="I19" i="4" s="1"/>
  <c r="B19" i="4"/>
  <c r="E19" i="4" s="1"/>
  <c r="B18" i="4"/>
  <c r="E18" i="4" s="1"/>
  <c r="F18" i="4" s="1"/>
  <c r="E17" i="4"/>
  <c r="F17" i="4" s="1"/>
  <c r="B17" i="4"/>
  <c r="B16" i="4"/>
  <c r="N16" i="4" s="1"/>
  <c r="B15" i="4"/>
  <c r="N15" i="4" s="1"/>
  <c r="B14" i="4"/>
  <c r="N14" i="4" s="1"/>
  <c r="B13" i="4"/>
  <c r="G13" i="4" s="1"/>
  <c r="I13" i="4" s="1"/>
  <c r="G12" i="4"/>
  <c r="E12" i="4"/>
  <c r="B12" i="4"/>
  <c r="N12" i="4" s="1"/>
  <c r="B11" i="4"/>
  <c r="N11" i="4" s="1"/>
  <c r="B10" i="4"/>
  <c r="G10" i="4" s="1"/>
  <c r="B9" i="4"/>
  <c r="N9" i="4" s="1"/>
  <c r="N8" i="4"/>
  <c r="B8" i="4"/>
  <c r="B7" i="4"/>
  <c r="N7" i="4" s="1"/>
  <c r="G6" i="4"/>
  <c r="F6" i="4"/>
  <c r="B6" i="4"/>
  <c r="E6" i="4" s="1"/>
  <c r="B5" i="4"/>
  <c r="E5" i="4" s="1"/>
  <c r="P4" i="4"/>
  <c r="E4" i="4"/>
  <c r="F4" i="4" s="1"/>
  <c r="B4" i="4"/>
  <c r="N4" i="4" s="1"/>
  <c r="O4" i="4" s="1"/>
  <c r="B3" i="4"/>
  <c r="N3" i="4" s="1"/>
  <c r="N2" i="4"/>
  <c r="K2" i="4"/>
  <c r="B2" i="4"/>
  <c r="E2" i="4" s="1"/>
  <c r="F2" i="4" s="1"/>
  <c r="G216" i="3"/>
  <c r="I216" i="3" s="1"/>
  <c r="B216" i="3"/>
  <c r="E216" i="3" s="1"/>
  <c r="B215" i="3"/>
  <c r="G214" i="3"/>
  <c r="I214" i="3" s="1"/>
  <c r="E214" i="3"/>
  <c r="F214" i="3" s="1"/>
  <c r="B214" i="3"/>
  <c r="N214" i="3" s="1"/>
  <c r="B213" i="3"/>
  <c r="G213" i="3" s="1"/>
  <c r="G212" i="3"/>
  <c r="I212" i="3" s="1"/>
  <c r="F212" i="3"/>
  <c r="E212" i="3"/>
  <c r="B212" i="3"/>
  <c r="N212" i="3" s="1"/>
  <c r="I211" i="3"/>
  <c r="H211" i="3"/>
  <c r="G211" i="3"/>
  <c r="E211" i="3"/>
  <c r="F211" i="3" s="1"/>
  <c r="B211" i="3"/>
  <c r="N211" i="3" s="1"/>
  <c r="B210" i="3"/>
  <c r="G209" i="3"/>
  <c r="I209" i="3" s="1"/>
  <c r="E209" i="3"/>
  <c r="B209" i="3"/>
  <c r="N209" i="3" s="1"/>
  <c r="B208" i="3"/>
  <c r="G207" i="3"/>
  <c r="F207" i="3"/>
  <c r="E207" i="3"/>
  <c r="B207" i="3"/>
  <c r="N207" i="3" s="1"/>
  <c r="B206" i="3"/>
  <c r="G206" i="3" s="1"/>
  <c r="H206" i="3" s="1"/>
  <c r="B205" i="3"/>
  <c r="G204" i="3"/>
  <c r="I204" i="3" s="1"/>
  <c r="B204" i="3"/>
  <c r="E204" i="3" s="1"/>
  <c r="F204" i="3" s="1"/>
  <c r="B203" i="3"/>
  <c r="G202" i="3"/>
  <c r="E202" i="3"/>
  <c r="B202" i="3"/>
  <c r="N202" i="3" s="1"/>
  <c r="B201" i="3"/>
  <c r="G201" i="3" s="1"/>
  <c r="G200" i="3"/>
  <c r="I200" i="3" s="1"/>
  <c r="E200" i="3"/>
  <c r="F200" i="3" s="1"/>
  <c r="B200" i="3"/>
  <c r="N200" i="3" s="1"/>
  <c r="I199" i="3"/>
  <c r="H199" i="3"/>
  <c r="G199" i="3"/>
  <c r="E199" i="3"/>
  <c r="F199" i="3" s="1"/>
  <c r="B199" i="3"/>
  <c r="N199" i="3" s="1"/>
  <c r="B198" i="3"/>
  <c r="G197" i="3"/>
  <c r="I197" i="3" s="1"/>
  <c r="F197" i="3"/>
  <c r="E197" i="3"/>
  <c r="B197" i="3"/>
  <c r="N197" i="3" s="1"/>
  <c r="B196" i="3"/>
  <c r="G195" i="3"/>
  <c r="E195" i="3"/>
  <c r="B195" i="3"/>
  <c r="N195" i="3" s="1"/>
  <c r="B194" i="3"/>
  <c r="G194" i="3" s="1"/>
  <c r="H194" i="3" s="1"/>
  <c r="N193" i="3"/>
  <c r="B193" i="3"/>
  <c r="G192" i="3"/>
  <c r="I192" i="3" s="1"/>
  <c r="B192" i="3"/>
  <c r="E192" i="3" s="1"/>
  <c r="F192" i="3" s="1"/>
  <c r="N191" i="3"/>
  <c r="B191" i="3"/>
  <c r="G190" i="3"/>
  <c r="I190" i="3" s="1"/>
  <c r="E190" i="3"/>
  <c r="F190" i="3" s="1"/>
  <c r="B190" i="3"/>
  <c r="N190" i="3" s="1"/>
  <c r="B189" i="3"/>
  <c r="G189" i="3" s="1"/>
  <c r="G188" i="3"/>
  <c r="I188" i="3" s="1"/>
  <c r="E188" i="3"/>
  <c r="B188" i="3"/>
  <c r="N188" i="3" s="1"/>
  <c r="I187" i="3"/>
  <c r="H187" i="3"/>
  <c r="G187" i="3"/>
  <c r="E187" i="3"/>
  <c r="F187" i="3" s="1"/>
  <c r="B187" i="3"/>
  <c r="N187" i="3" s="1"/>
  <c r="N186" i="3"/>
  <c r="B186" i="3"/>
  <c r="G185" i="3"/>
  <c r="I185" i="3" s="1"/>
  <c r="F185" i="3"/>
  <c r="E185" i="3"/>
  <c r="B185" i="3"/>
  <c r="N185" i="3" s="1"/>
  <c r="N184" i="3"/>
  <c r="B184" i="3"/>
  <c r="G183" i="3"/>
  <c r="E183" i="3"/>
  <c r="F183" i="3" s="1"/>
  <c r="B183" i="3"/>
  <c r="N183" i="3" s="1"/>
  <c r="I182" i="3"/>
  <c r="B182" i="3"/>
  <c r="G182" i="3" s="1"/>
  <c r="H182" i="3" s="1"/>
  <c r="B181" i="3"/>
  <c r="H180" i="3"/>
  <c r="G180" i="3"/>
  <c r="I180" i="3" s="1"/>
  <c r="B180" i="3"/>
  <c r="E180" i="3" s="1"/>
  <c r="F180" i="3" s="1"/>
  <c r="B179" i="3"/>
  <c r="G178" i="3"/>
  <c r="I178" i="3" s="1"/>
  <c r="F178" i="3"/>
  <c r="E178" i="3"/>
  <c r="B178" i="3"/>
  <c r="N178" i="3" s="1"/>
  <c r="B177" i="3"/>
  <c r="G177" i="3" s="1"/>
  <c r="G176" i="3"/>
  <c r="I176" i="3" s="1"/>
  <c r="F176" i="3"/>
  <c r="E176" i="3"/>
  <c r="B176" i="3"/>
  <c r="N176" i="3" s="1"/>
  <c r="I175" i="3"/>
  <c r="H175" i="3"/>
  <c r="G175" i="3"/>
  <c r="E175" i="3"/>
  <c r="F175" i="3" s="1"/>
  <c r="B175" i="3"/>
  <c r="N175" i="3" s="1"/>
  <c r="B174" i="3"/>
  <c r="G173" i="3"/>
  <c r="I173" i="3" s="1"/>
  <c r="F173" i="3"/>
  <c r="E173" i="3"/>
  <c r="B173" i="3"/>
  <c r="N173" i="3" s="1"/>
  <c r="N172" i="3"/>
  <c r="B172" i="3"/>
  <c r="G171" i="3"/>
  <c r="I171" i="3" s="1"/>
  <c r="E171" i="3"/>
  <c r="F171" i="3" s="1"/>
  <c r="B171" i="3"/>
  <c r="N171" i="3" s="1"/>
  <c r="I170" i="3"/>
  <c r="B170" i="3"/>
  <c r="G170" i="3" s="1"/>
  <c r="H170" i="3" s="1"/>
  <c r="N169" i="3"/>
  <c r="E169" i="3"/>
  <c r="F169" i="3" s="1"/>
  <c r="B169" i="3"/>
  <c r="G168" i="3"/>
  <c r="I168" i="3" s="1"/>
  <c r="B168" i="3"/>
  <c r="E168" i="3" s="1"/>
  <c r="F168" i="3" s="1"/>
  <c r="N167" i="3"/>
  <c r="B167" i="3"/>
  <c r="G166" i="3"/>
  <c r="I166" i="3" s="1"/>
  <c r="E166" i="3"/>
  <c r="F166" i="3" s="1"/>
  <c r="B166" i="3"/>
  <c r="N166" i="3" s="1"/>
  <c r="B165" i="3"/>
  <c r="G164" i="3"/>
  <c r="F164" i="3"/>
  <c r="E164" i="3"/>
  <c r="B164" i="3"/>
  <c r="N164" i="3" s="1"/>
  <c r="I163" i="3"/>
  <c r="H163" i="3"/>
  <c r="G163" i="3"/>
  <c r="E163" i="3"/>
  <c r="F163" i="3" s="1"/>
  <c r="B163" i="3"/>
  <c r="N163" i="3" s="1"/>
  <c r="B162" i="3"/>
  <c r="G161" i="3"/>
  <c r="I161" i="3" s="1"/>
  <c r="F161" i="3"/>
  <c r="E161" i="3"/>
  <c r="B161" i="3"/>
  <c r="N161" i="3" s="1"/>
  <c r="N160" i="3"/>
  <c r="B160" i="3"/>
  <c r="P159" i="3"/>
  <c r="O159" i="3"/>
  <c r="G159" i="3"/>
  <c r="I159" i="3" s="1"/>
  <c r="E159" i="3"/>
  <c r="F159" i="3" s="1"/>
  <c r="B159" i="3"/>
  <c r="N159" i="3" s="1"/>
  <c r="B158" i="3"/>
  <c r="G158" i="3" s="1"/>
  <c r="I158" i="3" s="1"/>
  <c r="B157" i="3"/>
  <c r="N156" i="3"/>
  <c r="B156" i="3"/>
  <c r="E156" i="3" s="1"/>
  <c r="F156" i="3" s="1"/>
  <c r="N155" i="3"/>
  <c r="B155" i="3"/>
  <c r="N154" i="3"/>
  <c r="B154" i="3"/>
  <c r="G153" i="3"/>
  <c r="I153" i="3" s="1"/>
  <c r="E153" i="3"/>
  <c r="B153" i="3"/>
  <c r="N153" i="3" s="1"/>
  <c r="H152" i="3"/>
  <c r="E152" i="3"/>
  <c r="F152" i="3" s="1"/>
  <c r="B152" i="3"/>
  <c r="G152" i="3" s="1"/>
  <c r="I152" i="3" s="1"/>
  <c r="B151" i="3"/>
  <c r="H150" i="3"/>
  <c r="G150" i="3"/>
  <c r="I150" i="3" s="1"/>
  <c r="B150" i="3"/>
  <c r="E150" i="3" s="1"/>
  <c r="F150" i="3" s="1"/>
  <c r="B149" i="3"/>
  <c r="G148" i="3"/>
  <c r="I148" i="3" s="1"/>
  <c r="F148" i="3"/>
  <c r="E148" i="3"/>
  <c r="B148" i="3"/>
  <c r="N148" i="3" s="1"/>
  <c r="I147" i="3"/>
  <c r="B147" i="3"/>
  <c r="G147" i="3" s="1"/>
  <c r="H147" i="3" s="1"/>
  <c r="B146" i="3"/>
  <c r="G145" i="3"/>
  <c r="I145" i="3" s="1"/>
  <c r="E145" i="3"/>
  <c r="F145" i="3" s="1"/>
  <c r="B145" i="3"/>
  <c r="N145" i="3" s="1"/>
  <c r="B144" i="3"/>
  <c r="G143" i="3"/>
  <c r="E143" i="3"/>
  <c r="F143" i="3" s="1"/>
  <c r="B143" i="3"/>
  <c r="N143" i="3" s="1"/>
  <c r="B142" i="3"/>
  <c r="G142" i="3" s="1"/>
  <c r="G141" i="3"/>
  <c r="I141" i="3" s="1"/>
  <c r="E141" i="3"/>
  <c r="F141" i="3" s="1"/>
  <c r="B141" i="3"/>
  <c r="N141" i="3" s="1"/>
  <c r="I140" i="3"/>
  <c r="E140" i="3"/>
  <c r="F140" i="3" s="1"/>
  <c r="B140" i="3"/>
  <c r="G140" i="3" s="1"/>
  <c r="H140" i="3" s="1"/>
  <c r="B139" i="3"/>
  <c r="H138" i="3"/>
  <c r="G138" i="3"/>
  <c r="I138" i="3" s="1"/>
  <c r="F138" i="3"/>
  <c r="B138" i="3"/>
  <c r="E138" i="3" s="1"/>
  <c r="B137" i="3"/>
  <c r="G136" i="3"/>
  <c r="F136" i="3"/>
  <c r="E136" i="3"/>
  <c r="B136" i="3"/>
  <c r="N136" i="3" s="1"/>
  <c r="B135" i="3"/>
  <c r="G135" i="3" s="1"/>
  <c r="H135" i="3" s="1"/>
  <c r="N134" i="3"/>
  <c r="B134" i="3"/>
  <c r="G133" i="3"/>
  <c r="E133" i="3"/>
  <c r="F133" i="3" s="1"/>
  <c r="B133" i="3"/>
  <c r="N133" i="3" s="1"/>
  <c r="B132" i="3"/>
  <c r="B131" i="3"/>
  <c r="N131" i="3" s="1"/>
  <c r="N130" i="3"/>
  <c r="G130" i="3"/>
  <c r="B130" i="3"/>
  <c r="E130" i="3" s="1"/>
  <c r="F130" i="3" s="1"/>
  <c r="G129" i="3"/>
  <c r="E129" i="3"/>
  <c r="F129" i="3" s="1"/>
  <c r="B129" i="3"/>
  <c r="N129" i="3" s="1"/>
  <c r="H128" i="3"/>
  <c r="E128" i="3"/>
  <c r="F128" i="3" s="1"/>
  <c r="B128" i="3"/>
  <c r="G128" i="3" s="1"/>
  <c r="I128" i="3" s="1"/>
  <c r="N127" i="3"/>
  <c r="B127" i="3"/>
  <c r="G127" i="3" s="1"/>
  <c r="I126" i="3"/>
  <c r="G126" i="3"/>
  <c r="H126" i="3" s="1"/>
  <c r="B126" i="3"/>
  <c r="E126" i="3" s="1"/>
  <c r="F126" i="3" s="1"/>
  <c r="N125" i="3"/>
  <c r="B125" i="3"/>
  <c r="P124" i="3"/>
  <c r="I124" i="3"/>
  <c r="H124" i="3"/>
  <c r="G124" i="3"/>
  <c r="E124" i="3"/>
  <c r="F124" i="3" s="1"/>
  <c r="B124" i="3"/>
  <c r="N124" i="3" s="1"/>
  <c r="O124" i="3" s="1"/>
  <c r="N123" i="3"/>
  <c r="I123" i="3"/>
  <c r="B123" i="3"/>
  <c r="G123" i="3" s="1"/>
  <c r="H123" i="3" s="1"/>
  <c r="N122" i="3"/>
  <c r="G122" i="3"/>
  <c r="B122" i="3"/>
  <c r="E122" i="3" s="1"/>
  <c r="F122" i="3" s="1"/>
  <c r="I121" i="3"/>
  <c r="H121" i="3"/>
  <c r="G121" i="3"/>
  <c r="E121" i="3"/>
  <c r="F121" i="3" s="1"/>
  <c r="B121" i="3"/>
  <c r="N121" i="3" s="1"/>
  <c r="N120" i="3"/>
  <c r="B120" i="3"/>
  <c r="N119" i="3"/>
  <c r="I119" i="3"/>
  <c r="G119" i="3"/>
  <c r="H119" i="3" s="1"/>
  <c r="B119" i="3"/>
  <c r="E119" i="3" s="1"/>
  <c r="F119" i="3" s="1"/>
  <c r="N118" i="3"/>
  <c r="B118" i="3"/>
  <c r="E118" i="3" s="1"/>
  <c r="H117" i="3"/>
  <c r="G117" i="3"/>
  <c r="I117" i="3" s="1"/>
  <c r="E117" i="3"/>
  <c r="F117" i="3" s="1"/>
  <c r="B117" i="3"/>
  <c r="N117" i="3" s="1"/>
  <c r="I116" i="3"/>
  <c r="H116" i="3"/>
  <c r="G116" i="3"/>
  <c r="E116" i="3"/>
  <c r="F116" i="3" s="1"/>
  <c r="B116" i="3"/>
  <c r="N116" i="3" s="1"/>
  <c r="B115" i="3"/>
  <c r="B114" i="3"/>
  <c r="B113" i="3"/>
  <c r="N112" i="3"/>
  <c r="I112" i="3"/>
  <c r="G112" i="3"/>
  <c r="H112" i="3" s="1"/>
  <c r="E112" i="3"/>
  <c r="F112" i="3" s="1"/>
  <c r="B112" i="3"/>
  <c r="N111" i="3"/>
  <c r="G111" i="3"/>
  <c r="H111" i="3" s="1"/>
  <c r="E111" i="3"/>
  <c r="B111" i="3"/>
  <c r="B110" i="3"/>
  <c r="B109" i="3"/>
  <c r="G108" i="3"/>
  <c r="I108" i="3" s="1"/>
  <c r="F108" i="3"/>
  <c r="E108" i="3"/>
  <c r="B108" i="3"/>
  <c r="N108" i="3" s="1"/>
  <c r="B107" i="3"/>
  <c r="G107" i="3" s="1"/>
  <c r="I106" i="3"/>
  <c r="G106" i="3"/>
  <c r="H106" i="3" s="1"/>
  <c r="E106" i="3"/>
  <c r="F106" i="3" s="1"/>
  <c r="B106" i="3"/>
  <c r="N106" i="3" s="1"/>
  <c r="B105" i="3"/>
  <c r="G104" i="3"/>
  <c r="B104" i="3"/>
  <c r="I103" i="3"/>
  <c r="H103" i="3"/>
  <c r="G103" i="3"/>
  <c r="B103" i="3"/>
  <c r="E103" i="3" s="1"/>
  <c r="F103" i="3" s="1"/>
  <c r="B102" i="3"/>
  <c r="G101" i="3"/>
  <c r="F101" i="3"/>
  <c r="E101" i="3"/>
  <c r="B101" i="3"/>
  <c r="N101" i="3" s="1"/>
  <c r="I100" i="3"/>
  <c r="B100" i="3"/>
  <c r="G100" i="3" s="1"/>
  <c r="H100" i="3" s="1"/>
  <c r="N99" i="3"/>
  <c r="B99" i="3"/>
  <c r="G98" i="3"/>
  <c r="F98" i="3"/>
  <c r="E98" i="3"/>
  <c r="B98" i="3"/>
  <c r="N98" i="3" s="1"/>
  <c r="N97" i="3"/>
  <c r="B97" i="3"/>
  <c r="G96" i="3"/>
  <c r="I96" i="3" s="1"/>
  <c r="E96" i="3"/>
  <c r="F96" i="3" s="1"/>
  <c r="B96" i="3"/>
  <c r="N96" i="3" s="1"/>
  <c r="B95" i="3"/>
  <c r="G95" i="3" s="1"/>
  <c r="I94" i="3"/>
  <c r="G94" i="3"/>
  <c r="H94" i="3" s="1"/>
  <c r="F94" i="3"/>
  <c r="E94" i="3"/>
  <c r="B94" i="3"/>
  <c r="N94" i="3" s="1"/>
  <c r="N93" i="3"/>
  <c r="B93" i="3"/>
  <c r="G92" i="3"/>
  <c r="B92" i="3"/>
  <c r="I91" i="3"/>
  <c r="G91" i="3"/>
  <c r="H91" i="3" s="1"/>
  <c r="F91" i="3"/>
  <c r="B91" i="3"/>
  <c r="E91" i="3" s="1"/>
  <c r="B90" i="3"/>
  <c r="H89" i="3"/>
  <c r="G89" i="3"/>
  <c r="I89" i="3" s="1"/>
  <c r="F89" i="3"/>
  <c r="E89" i="3"/>
  <c r="B89" i="3"/>
  <c r="N89" i="3" s="1"/>
  <c r="O89" i="3" s="1"/>
  <c r="B88" i="3"/>
  <c r="G88" i="3" s="1"/>
  <c r="H88" i="3" s="1"/>
  <c r="N87" i="3"/>
  <c r="B87" i="3"/>
  <c r="G86" i="3"/>
  <c r="F86" i="3"/>
  <c r="E86" i="3"/>
  <c r="B86" i="3"/>
  <c r="N86" i="3" s="1"/>
  <c r="B85" i="3"/>
  <c r="H84" i="3"/>
  <c r="G84" i="3"/>
  <c r="I84" i="3" s="1"/>
  <c r="F84" i="3"/>
  <c r="E84" i="3"/>
  <c r="B84" i="3"/>
  <c r="N84" i="3" s="1"/>
  <c r="N83" i="3"/>
  <c r="B83" i="3"/>
  <c r="H82" i="3"/>
  <c r="G82" i="3"/>
  <c r="I82" i="3" s="1"/>
  <c r="F82" i="3"/>
  <c r="E82" i="3"/>
  <c r="B82" i="3"/>
  <c r="N82" i="3" s="1"/>
  <c r="B81" i="3"/>
  <c r="B80" i="3"/>
  <c r="I79" i="3"/>
  <c r="H79" i="3"/>
  <c r="G79" i="3"/>
  <c r="B79" i="3"/>
  <c r="E79" i="3" s="1"/>
  <c r="F79" i="3" s="1"/>
  <c r="N78" i="3"/>
  <c r="E78" i="3"/>
  <c r="F78" i="3" s="1"/>
  <c r="B78" i="3"/>
  <c r="H77" i="3"/>
  <c r="G77" i="3"/>
  <c r="I77" i="3" s="1"/>
  <c r="F77" i="3"/>
  <c r="E77" i="3"/>
  <c r="B77" i="3"/>
  <c r="N77" i="3" s="1"/>
  <c r="N76" i="3"/>
  <c r="I76" i="3"/>
  <c r="E76" i="3"/>
  <c r="B76" i="3"/>
  <c r="G76" i="3" s="1"/>
  <c r="H76" i="3" s="1"/>
  <c r="P75" i="3"/>
  <c r="O75" i="3"/>
  <c r="N75" i="3"/>
  <c r="G75" i="3"/>
  <c r="E75" i="3"/>
  <c r="F75" i="3" s="1"/>
  <c r="B75" i="3"/>
  <c r="I74" i="3"/>
  <c r="G74" i="3"/>
  <c r="H74" i="3" s="1"/>
  <c r="B74" i="3"/>
  <c r="E74" i="3" s="1"/>
  <c r="F74" i="3" s="1"/>
  <c r="E73" i="3"/>
  <c r="F73" i="3" s="1"/>
  <c r="B73" i="3"/>
  <c r="N72" i="3"/>
  <c r="H72" i="3"/>
  <c r="G72" i="3"/>
  <c r="I72" i="3" s="1"/>
  <c r="F72" i="3"/>
  <c r="E72" i="3"/>
  <c r="B72" i="3"/>
  <c r="F71" i="3"/>
  <c r="E71" i="3"/>
  <c r="B71" i="3"/>
  <c r="G71" i="3" s="1"/>
  <c r="E70" i="3"/>
  <c r="F70" i="3" s="1"/>
  <c r="B70" i="3"/>
  <c r="N69" i="3"/>
  <c r="B69" i="3"/>
  <c r="G68" i="3"/>
  <c r="H68" i="3" s="1"/>
  <c r="B68" i="3"/>
  <c r="N67" i="3"/>
  <c r="B67" i="3"/>
  <c r="G66" i="3"/>
  <c r="E66" i="3"/>
  <c r="F66" i="3" s="1"/>
  <c r="B66" i="3"/>
  <c r="N66" i="3" s="1"/>
  <c r="G65" i="3"/>
  <c r="I65" i="3" s="1"/>
  <c r="F65" i="3"/>
  <c r="E65" i="3"/>
  <c r="B65" i="3"/>
  <c r="N65" i="3" s="1"/>
  <c r="I64" i="3"/>
  <c r="E64" i="3"/>
  <c r="F64" i="3" s="1"/>
  <c r="B64" i="3"/>
  <c r="G64" i="3" s="1"/>
  <c r="H64" i="3" s="1"/>
  <c r="B63" i="3"/>
  <c r="I62" i="3"/>
  <c r="G62" i="3"/>
  <c r="H62" i="3" s="1"/>
  <c r="B62" i="3"/>
  <c r="E62" i="3" s="1"/>
  <c r="B61" i="3"/>
  <c r="G60" i="3"/>
  <c r="E60" i="3"/>
  <c r="F60" i="3" s="1"/>
  <c r="B60" i="3"/>
  <c r="N60" i="3" s="1"/>
  <c r="B59" i="3"/>
  <c r="G59" i="3" s="1"/>
  <c r="E58" i="3"/>
  <c r="F58" i="3" s="1"/>
  <c r="B58" i="3"/>
  <c r="N57" i="3"/>
  <c r="B57" i="3"/>
  <c r="B56" i="3"/>
  <c r="N55" i="3"/>
  <c r="B55" i="3"/>
  <c r="G54" i="3"/>
  <c r="E54" i="3"/>
  <c r="F54" i="3" s="1"/>
  <c r="B54" i="3"/>
  <c r="N54" i="3" s="1"/>
  <c r="F53" i="3"/>
  <c r="E53" i="3"/>
  <c r="B53" i="3"/>
  <c r="N53" i="3" s="1"/>
  <c r="E52" i="3"/>
  <c r="F52" i="3" s="1"/>
  <c r="B52" i="3"/>
  <c r="G52" i="3" s="1"/>
  <c r="I52" i="3" s="1"/>
  <c r="N51" i="3"/>
  <c r="B51" i="3"/>
  <c r="I50" i="3"/>
  <c r="H50" i="3"/>
  <c r="G50" i="3"/>
  <c r="F50" i="3"/>
  <c r="B50" i="3"/>
  <c r="E50" i="3" s="1"/>
  <c r="B49" i="3"/>
  <c r="G48" i="3"/>
  <c r="E48" i="3"/>
  <c r="B48" i="3"/>
  <c r="N48" i="3" s="1"/>
  <c r="B47" i="3"/>
  <c r="G47" i="3" s="1"/>
  <c r="H47" i="3" s="1"/>
  <c r="N46" i="3"/>
  <c r="E46" i="3"/>
  <c r="F46" i="3" s="1"/>
  <c r="B46" i="3"/>
  <c r="G45" i="3"/>
  <c r="I45" i="3" s="1"/>
  <c r="B45" i="3"/>
  <c r="E45" i="3" s="1"/>
  <c r="F45" i="3" s="1"/>
  <c r="B44" i="3"/>
  <c r="N43" i="3"/>
  <c r="B43" i="3"/>
  <c r="G42" i="3"/>
  <c r="E42" i="3"/>
  <c r="F42" i="3" s="1"/>
  <c r="B42" i="3"/>
  <c r="N42" i="3" s="1"/>
  <c r="G41" i="3"/>
  <c r="I41" i="3" s="1"/>
  <c r="E41" i="3"/>
  <c r="B41" i="3"/>
  <c r="N41" i="3" s="1"/>
  <c r="B40" i="3"/>
  <c r="G40" i="3" s="1"/>
  <c r="E39" i="3"/>
  <c r="F39" i="3" s="1"/>
  <c r="B39" i="3"/>
  <c r="N39" i="3" s="1"/>
  <c r="I38" i="3"/>
  <c r="H38" i="3"/>
  <c r="G38" i="3"/>
  <c r="B38" i="3"/>
  <c r="E38" i="3" s="1"/>
  <c r="F38" i="3" s="1"/>
  <c r="B37" i="3"/>
  <c r="G36" i="3"/>
  <c r="F36" i="3"/>
  <c r="E36" i="3"/>
  <c r="B36" i="3"/>
  <c r="N36" i="3" s="1"/>
  <c r="B35" i="3"/>
  <c r="G35" i="3" s="1"/>
  <c r="H34" i="3"/>
  <c r="G34" i="3"/>
  <c r="I34" i="3" s="1"/>
  <c r="E34" i="3"/>
  <c r="B34" i="3"/>
  <c r="N34" i="3" s="1"/>
  <c r="B33" i="3"/>
  <c r="G33" i="3" s="1"/>
  <c r="B32" i="3"/>
  <c r="I31" i="3"/>
  <c r="H31" i="3"/>
  <c r="G31" i="3"/>
  <c r="B31" i="3"/>
  <c r="E31" i="3" s="1"/>
  <c r="F31" i="3" s="1"/>
  <c r="N30" i="3"/>
  <c r="B30" i="3"/>
  <c r="G29" i="3"/>
  <c r="I29" i="3" s="1"/>
  <c r="F29" i="3"/>
  <c r="E29" i="3"/>
  <c r="B29" i="3"/>
  <c r="N29" i="3" s="1"/>
  <c r="B28" i="3"/>
  <c r="G28" i="3" s="1"/>
  <c r="E27" i="3"/>
  <c r="B27" i="3"/>
  <c r="N27" i="3" s="1"/>
  <c r="I26" i="3"/>
  <c r="H26" i="3"/>
  <c r="G26" i="3"/>
  <c r="B26" i="3"/>
  <c r="E26" i="3" s="1"/>
  <c r="F26" i="3" s="1"/>
  <c r="B25" i="3"/>
  <c r="G24" i="3"/>
  <c r="F24" i="3"/>
  <c r="E24" i="3"/>
  <c r="B24" i="3"/>
  <c r="N24" i="3" s="1"/>
  <c r="B23" i="3"/>
  <c r="G23" i="3" s="1"/>
  <c r="H22" i="3"/>
  <c r="G22" i="3"/>
  <c r="I22" i="3" s="1"/>
  <c r="E22" i="3"/>
  <c r="F22" i="3" s="1"/>
  <c r="B22" i="3"/>
  <c r="N22" i="3" s="1"/>
  <c r="B21" i="3"/>
  <c r="G21" i="3" s="1"/>
  <c r="B20" i="3"/>
  <c r="I19" i="3"/>
  <c r="H19" i="3"/>
  <c r="G19" i="3"/>
  <c r="B19" i="3"/>
  <c r="E19" i="3" s="1"/>
  <c r="F19" i="3" s="1"/>
  <c r="B18" i="3"/>
  <c r="G17" i="3"/>
  <c r="I17" i="3" s="1"/>
  <c r="F17" i="3"/>
  <c r="E17" i="3"/>
  <c r="B17" i="3"/>
  <c r="N17" i="3" s="1"/>
  <c r="B16" i="3"/>
  <c r="G16" i="3" s="1"/>
  <c r="E15" i="3"/>
  <c r="F15" i="3" s="1"/>
  <c r="B15" i="3"/>
  <c r="N15" i="3" s="1"/>
  <c r="I14" i="3"/>
  <c r="H14" i="3"/>
  <c r="G14" i="3"/>
  <c r="B14" i="3"/>
  <c r="E14" i="3" s="1"/>
  <c r="F14" i="3" s="1"/>
  <c r="B13" i="3"/>
  <c r="G12" i="3"/>
  <c r="I12" i="3" s="1"/>
  <c r="F12" i="3"/>
  <c r="E12" i="3"/>
  <c r="B12" i="3"/>
  <c r="N12" i="3" s="1"/>
  <c r="B11" i="3"/>
  <c r="G11" i="3" s="1"/>
  <c r="H10" i="3"/>
  <c r="G10" i="3"/>
  <c r="I10" i="3" s="1"/>
  <c r="E10" i="3"/>
  <c r="F10" i="3" s="1"/>
  <c r="B10" i="3"/>
  <c r="N10" i="3" s="1"/>
  <c r="B9" i="3"/>
  <c r="G9" i="3" s="1"/>
  <c r="B8" i="3"/>
  <c r="I7" i="3"/>
  <c r="H7" i="3"/>
  <c r="G7" i="3"/>
  <c r="B7" i="3"/>
  <c r="E7" i="3" s="1"/>
  <c r="F7" i="3" s="1"/>
  <c r="B6" i="3"/>
  <c r="N6" i="3" s="1"/>
  <c r="G5" i="3"/>
  <c r="F5" i="3"/>
  <c r="E5" i="3"/>
  <c r="B5" i="3"/>
  <c r="N5" i="3" s="1"/>
  <c r="K4" i="3"/>
  <c r="J4" i="3"/>
  <c r="B4" i="3"/>
  <c r="G4" i="3" s="1"/>
  <c r="K3" i="3"/>
  <c r="B3" i="3"/>
  <c r="J7" i="1"/>
  <c r="J8" i="1"/>
  <c r="J4" i="1"/>
  <c r="J5" i="1"/>
  <c r="K4" i="1"/>
  <c r="K5" i="1"/>
  <c r="K3" i="1"/>
  <c r="P4" i="1"/>
  <c r="P5" i="1"/>
  <c r="P12" i="1"/>
  <c r="P19" i="1"/>
  <c r="P26" i="1"/>
  <c r="P33" i="1"/>
  <c r="P40" i="1"/>
  <c r="P47" i="1"/>
  <c r="P54" i="1"/>
  <c r="P61" i="1"/>
  <c r="P68" i="1"/>
  <c r="P75" i="1"/>
  <c r="P82" i="1"/>
  <c r="P89" i="1"/>
  <c r="P96" i="1"/>
  <c r="P103" i="1"/>
  <c r="P110" i="1"/>
  <c r="P117" i="1"/>
  <c r="P124" i="1"/>
  <c r="P131" i="1"/>
  <c r="P138" i="1"/>
  <c r="P145" i="1"/>
  <c r="P152" i="1"/>
  <c r="P159" i="1"/>
  <c r="P166" i="1"/>
  <c r="P173" i="1"/>
  <c r="P180" i="1"/>
  <c r="P187" i="1"/>
  <c r="P194" i="1"/>
  <c r="P201" i="1"/>
  <c r="P208" i="1"/>
  <c r="P215" i="1"/>
  <c r="P3" i="1"/>
  <c r="F4" i="1"/>
  <c r="F5" i="1"/>
  <c r="F7" i="1"/>
  <c r="F8" i="1"/>
  <c r="F9" i="1"/>
  <c r="F10" i="1"/>
  <c r="F11" i="1"/>
  <c r="F12" i="1"/>
  <c r="F14" i="1"/>
  <c r="F15" i="1"/>
  <c r="F16" i="1"/>
  <c r="F17" i="1"/>
  <c r="F18" i="1"/>
  <c r="F19" i="1"/>
  <c r="F21" i="1"/>
  <c r="F22" i="1"/>
  <c r="F23" i="1"/>
  <c r="F24" i="1"/>
  <c r="F25" i="1"/>
  <c r="F26" i="1"/>
  <c r="F28" i="1"/>
  <c r="F29" i="1"/>
  <c r="F30" i="1"/>
  <c r="F31" i="1"/>
  <c r="F32" i="1"/>
  <c r="F33" i="1"/>
  <c r="F35" i="1"/>
  <c r="F36" i="1"/>
  <c r="F37" i="1"/>
  <c r="F38" i="1"/>
  <c r="F39" i="1"/>
  <c r="F40" i="1"/>
  <c r="F42" i="1"/>
  <c r="F43" i="1"/>
  <c r="F44" i="1"/>
  <c r="F45" i="1"/>
  <c r="F46" i="1"/>
  <c r="F47" i="1"/>
  <c r="F49" i="1"/>
  <c r="F50" i="1"/>
  <c r="F51" i="1"/>
  <c r="F52" i="1"/>
  <c r="F53" i="1"/>
  <c r="F54" i="1"/>
  <c r="F56" i="1"/>
  <c r="F57" i="1"/>
  <c r="F58" i="1"/>
  <c r="F59" i="1"/>
  <c r="F60" i="1"/>
  <c r="F61" i="1"/>
  <c r="F63" i="1"/>
  <c r="F64" i="1"/>
  <c r="F65" i="1"/>
  <c r="F66" i="1"/>
  <c r="F67" i="1"/>
  <c r="F68" i="1"/>
  <c r="F70" i="1"/>
  <c r="F71" i="1"/>
  <c r="F72" i="1"/>
  <c r="F73" i="1"/>
  <c r="F74" i="1"/>
  <c r="F75" i="1"/>
  <c r="F77" i="1"/>
  <c r="F78" i="1"/>
  <c r="F79" i="1"/>
  <c r="F80" i="1"/>
  <c r="F81" i="1"/>
  <c r="F82" i="1"/>
  <c r="F84" i="1"/>
  <c r="F85" i="1"/>
  <c r="F86" i="1"/>
  <c r="F87" i="1"/>
  <c r="F88" i="1"/>
  <c r="F89" i="1"/>
  <c r="F91" i="1"/>
  <c r="F92" i="1"/>
  <c r="F93" i="1"/>
  <c r="F94" i="1"/>
  <c r="F95" i="1"/>
  <c r="F96" i="1"/>
  <c r="F98" i="1"/>
  <c r="F99" i="1"/>
  <c r="F100" i="1"/>
  <c r="F101" i="1"/>
  <c r="F102" i="1"/>
  <c r="F103" i="1"/>
  <c r="F105" i="1"/>
  <c r="F106" i="1"/>
  <c r="F107" i="1"/>
  <c r="F108" i="1"/>
  <c r="F109" i="1"/>
  <c r="F110" i="1"/>
  <c r="F112" i="1"/>
  <c r="F113" i="1"/>
  <c r="F114" i="1"/>
  <c r="F115" i="1"/>
  <c r="F116" i="1"/>
  <c r="F117" i="1"/>
  <c r="F119" i="1"/>
  <c r="F120" i="1"/>
  <c r="F121" i="1"/>
  <c r="F122" i="1"/>
  <c r="F123" i="1"/>
  <c r="F124" i="1"/>
  <c r="F126" i="1"/>
  <c r="F127" i="1"/>
  <c r="F128" i="1"/>
  <c r="F129" i="1"/>
  <c r="F130" i="1"/>
  <c r="F131" i="1"/>
  <c r="F133" i="1"/>
  <c r="F134" i="1"/>
  <c r="F135" i="1"/>
  <c r="F136" i="1"/>
  <c r="F137" i="1"/>
  <c r="F138" i="1"/>
  <c r="F140" i="1"/>
  <c r="F141" i="1"/>
  <c r="F142" i="1"/>
  <c r="F143" i="1"/>
  <c r="F144" i="1"/>
  <c r="F145" i="1"/>
  <c r="F147" i="1"/>
  <c r="F148" i="1"/>
  <c r="F149" i="1"/>
  <c r="F150" i="1"/>
  <c r="F151" i="1"/>
  <c r="F152" i="1"/>
  <c r="F154" i="1"/>
  <c r="F155" i="1"/>
  <c r="F156" i="1"/>
  <c r="F157" i="1"/>
  <c r="F158" i="1"/>
  <c r="F159" i="1"/>
  <c r="F161" i="1"/>
  <c r="F162" i="1"/>
  <c r="F163" i="1"/>
  <c r="F164" i="1"/>
  <c r="F165" i="1"/>
  <c r="F166" i="1"/>
  <c r="F168" i="1"/>
  <c r="F169" i="1"/>
  <c r="F170" i="1"/>
  <c r="F171" i="1"/>
  <c r="F172" i="1"/>
  <c r="F173" i="1"/>
  <c r="F175" i="1"/>
  <c r="F176" i="1"/>
  <c r="F177" i="1"/>
  <c r="F178" i="1"/>
  <c r="F179" i="1"/>
  <c r="F180" i="1"/>
  <c r="F182" i="1"/>
  <c r="F183" i="1"/>
  <c r="F184" i="1"/>
  <c r="F185" i="1"/>
  <c r="F186" i="1"/>
  <c r="F187" i="1"/>
  <c r="F189" i="1"/>
  <c r="F190" i="1"/>
  <c r="F191" i="1"/>
  <c r="F192" i="1"/>
  <c r="F193" i="1"/>
  <c r="F194" i="1"/>
  <c r="F196" i="1"/>
  <c r="F197" i="1"/>
  <c r="F198" i="1"/>
  <c r="F199" i="1"/>
  <c r="F200" i="1"/>
  <c r="F201" i="1"/>
  <c r="F203" i="1"/>
  <c r="F204" i="1"/>
  <c r="F205" i="1"/>
  <c r="F206" i="1"/>
  <c r="F207" i="1"/>
  <c r="F208" i="1"/>
  <c r="F210" i="1"/>
  <c r="F211" i="1"/>
  <c r="F212" i="1"/>
  <c r="F213" i="1"/>
  <c r="F214" i="1"/>
  <c r="F215" i="1"/>
  <c r="F3" i="1"/>
  <c r="E5" i="1"/>
  <c r="G5" i="1"/>
  <c r="I5" i="1" s="1"/>
  <c r="H5" i="1"/>
  <c r="N5" i="1"/>
  <c r="O5" i="1"/>
  <c r="E6" i="1"/>
  <c r="G6" i="1"/>
  <c r="H6" i="1"/>
  <c r="I6" i="1"/>
  <c r="N6" i="1"/>
  <c r="E7" i="1"/>
  <c r="G7" i="1"/>
  <c r="N7" i="1"/>
  <c r="E8" i="1"/>
  <c r="G8" i="1"/>
  <c r="I8" i="1" s="1"/>
  <c r="H8" i="1"/>
  <c r="N8" i="1"/>
  <c r="E9" i="1"/>
  <c r="G9" i="1"/>
  <c r="H9" i="1"/>
  <c r="I9" i="1"/>
  <c r="N9" i="1"/>
  <c r="E10" i="1"/>
  <c r="G10" i="1"/>
  <c r="I10" i="1" s="1"/>
  <c r="H10" i="1"/>
  <c r="N10" i="1"/>
  <c r="E11" i="1"/>
  <c r="G11" i="1"/>
  <c r="I11" i="1" s="1"/>
  <c r="H11" i="1"/>
  <c r="N11" i="1"/>
  <c r="E12" i="1"/>
  <c r="G12" i="1"/>
  <c r="H12" i="1"/>
  <c r="I12" i="1"/>
  <c r="N12" i="1"/>
  <c r="O12" i="1"/>
  <c r="E13" i="1"/>
  <c r="G13" i="1"/>
  <c r="N13" i="1"/>
  <c r="E14" i="1"/>
  <c r="G14" i="1"/>
  <c r="I14" i="1" s="1"/>
  <c r="H14" i="1"/>
  <c r="N14" i="1"/>
  <c r="E15" i="1"/>
  <c r="G15" i="1"/>
  <c r="H15" i="1"/>
  <c r="I15" i="1"/>
  <c r="N15" i="1"/>
  <c r="E16" i="1"/>
  <c r="G16" i="1"/>
  <c r="I16" i="1" s="1"/>
  <c r="H16" i="1"/>
  <c r="N16" i="1"/>
  <c r="E17" i="1"/>
  <c r="G17" i="1"/>
  <c r="I17" i="1" s="1"/>
  <c r="H17" i="1"/>
  <c r="N17" i="1"/>
  <c r="E18" i="1"/>
  <c r="G18" i="1"/>
  <c r="H18" i="1"/>
  <c r="I18" i="1"/>
  <c r="N18" i="1"/>
  <c r="E19" i="1"/>
  <c r="G19" i="1"/>
  <c r="N19" i="1"/>
  <c r="E20" i="1"/>
  <c r="G20" i="1"/>
  <c r="I20" i="1" s="1"/>
  <c r="H20" i="1"/>
  <c r="N20" i="1"/>
  <c r="E21" i="1"/>
  <c r="G21" i="1"/>
  <c r="H21" i="1"/>
  <c r="I21" i="1"/>
  <c r="N21" i="1"/>
  <c r="E22" i="1"/>
  <c r="G22" i="1"/>
  <c r="N22" i="1"/>
  <c r="E23" i="1"/>
  <c r="G23" i="1"/>
  <c r="I23" i="1" s="1"/>
  <c r="H23" i="1"/>
  <c r="N23" i="1"/>
  <c r="E24" i="1"/>
  <c r="G24" i="1"/>
  <c r="H24" i="1"/>
  <c r="I24" i="1"/>
  <c r="N24" i="1"/>
  <c r="E25" i="1"/>
  <c r="G25" i="1"/>
  <c r="N25" i="1"/>
  <c r="E26" i="1"/>
  <c r="G26" i="1"/>
  <c r="I26" i="1" s="1"/>
  <c r="H26" i="1"/>
  <c r="N26" i="1"/>
  <c r="O26" i="1"/>
  <c r="E27" i="1"/>
  <c r="G27" i="1"/>
  <c r="H27" i="1"/>
  <c r="I27" i="1"/>
  <c r="N27" i="1"/>
  <c r="E28" i="1"/>
  <c r="G28" i="1"/>
  <c r="I28" i="1" s="1"/>
  <c r="H28" i="1"/>
  <c r="N28" i="1"/>
  <c r="E29" i="1"/>
  <c r="G29" i="1"/>
  <c r="H29" i="1"/>
  <c r="I29" i="1"/>
  <c r="N29" i="1"/>
  <c r="E30" i="1"/>
  <c r="G30" i="1"/>
  <c r="H30" i="1"/>
  <c r="I30" i="1"/>
  <c r="N30" i="1"/>
  <c r="E31" i="1"/>
  <c r="G31" i="1"/>
  <c r="N31" i="1"/>
  <c r="E32" i="1"/>
  <c r="G32" i="1"/>
  <c r="I32" i="1" s="1"/>
  <c r="H32" i="1"/>
  <c r="N32" i="1"/>
  <c r="E33" i="1"/>
  <c r="G33" i="1"/>
  <c r="H33" i="1"/>
  <c r="I33" i="1"/>
  <c r="N33" i="1"/>
  <c r="O33" i="1"/>
  <c r="E34" i="1"/>
  <c r="G34" i="1"/>
  <c r="I34" i="1" s="1"/>
  <c r="H34" i="1"/>
  <c r="N34" i="1"/>
  <c r="E35" i="1"/>
  <c r="G35" i="1"/>
  <c r="H35" i="1"/>
  <c r="I35" i="1"/>
  <c r="N35" i="1"/>
  <c r="E36" i="1"/>
  <c r="G36" i="1"/>
  <c r="H36" i="1"/>
  <c r="I36" i="1"/>
  <c r="N36" i="1"/>
  <c r="E37" i="1"/>
  <c r="G37" i="1"/>
  <c r="N37" i="1"/>
  <c r="E38" i="1"/>
  <c r="G38" i="1"/>
  <c r="I38" i="1" s="1"/>
  <c r="H38" i="1"/>
  <c r="N38" i="1"/>
  <c r="E39" i="1"/>
  <c r="G39" i="1"/>
  <c r="H39" i="1"/>
  <c r="I39" i="1"/>
  <c r="N39" i="1"/>
  <c r="E40" i="1"/>
  <c r="G40" i="1"/>
  <c r="I40" i="1" s="1"/>
  <c r="H40" i="1"/>
  <c r="N40" i="1"/>
  <c r="E41" i="1"/>
  <c r="G41" i="1"/>
  <c r="H41" i="1"/>
  <c r="I41" i="1"/>
  <c r="N41" i="1"/>
  <c r="E42" i="1"/>
  <c r="G42" i="1"/>
  <c r="H42" i="1"/>
  <c r="I42" i="1"/>
  <c r="N42" i="1"/>
  <c r="E43" i="1"/>
  <c r="G43" i="1"/>
  <c r="N43" i="1"/>
  <c r="E44" i="1"/>
  <c r="G44" i="1"/>
  <c r="I44" i="1" s="1"/>
  <c r="H44" i="1"/>
  <c r="N44" i="1"/>
  <c r="E45" i="1"/>
  <c r="G45" i="1"/>
  <c r="H45" i="1"/>
  <c r="I45" i="1"/>
  <c r="N45" i="1"/>
  <c r="E46" i="1"/>
  <c r="G46" i="1"/>
  <c r="N46" i="1"/>
  <c r="E47" i="1"/>
  <c r="G47" i="1"/>
  <c r="H47" i="1"/>
  <c r="I47" i="1"/>
  <c r="N47" i="1"/>
  <c r="O47" i="1"/>
  <c r="E48" i="1"/>
  <c r="G48" i="1"/>
  <c r="H48" i="1"/>
  <c r="I48" i="1"/>
  <c r="N48" i="1"/>
  <c r="E49" i="1"/>
  <c r="G49" i="1"/>
  <c r="N49" i="1"/>
  <c r="E50" i="1"/>
  <c r="G50" i="1"/>
  <c r="I50" i="1" s="1"/>
  <c r="H50" i="1"/>
  <c r="N50" i="1"/>
  <c r="E51" i="1"/>
  <c r="G51" i="1"/>
  <c r="H51" i="1"/>
  <c r="I51" i="1"/>
  <c r="N51" i="1"/>
  <c r="E52" i="1"/>
  <c r="G52" i="1"/>
  <c r="I52" i="1" s="1"/>
  <c r="H52" i="1"/>
  <c r="N52" i="1"/>
  <c r="E53" i="1"/>
  <c r="G53" i="1"/>
  <c r="I53" i="1" s="1"/>
  <c r="H53" i="1"/>
  <c r="N53" i="1"/>
  <c r="E54" i="1"/>
  <c r="G54" i="1"/>
  <c r="H54" i="1"/>
  <c r="I54" i="1"/>
  <c r="N54" i="1"/>
  <c r="O54" i="1"/>
  <c r="E55" i="1"/>
  <c r="G55" i="1"/>
  <c r="N55" i="1"/>
  <c r="E56" i="1"/>
  <c r="G56" i="1"/>
  <c r="I56" i="1" s="1"/>
  <c r="H56" i="1"/>
  <c r="N56" i="1"/>
  <c r="E57" i="1"/>
  <c r="G57" i="1"/>
  <c r="H57" i="1"/>
  <c r="I57" i="1"/>
  <c r="N57" i="1"/>
  <c r="E58" i="1"/>
  <c r="G58" i="1"/>
  <c r="N58" i="1"/>
  <c r="E59" i="1"/>
  <c r="G59" i="1"/>
  <c r="I59" i="1" s="1"/>
  <c r="H59" i="1"/>
  <c r="N59" i="1"/>
  <c r="E60" i="1"/>
  <c r="G60" i="1"/>
  <c r="H60" i="1"/>
  <c r="I60" i="1"/>
  <c r="N60" i="1"/>
  <c r="E61" i="1"/>
  <c r="G61" i="1"/>
  <c r="H61" i="1" s="1"/>
  <c r="I61" i="1"/>
  <c r="N61" i="1"/>
  <c r="E62" i="1"/>
  <c r="G62" i="1"/>
  <c r="I62" i="1" s="1"/>
  <c r="H62" i="1"/>
  <c r="N62" i="1"/>
  <c r="E63" i="1"/>
  <c r="G63" i="1"/>
  <c r="H63" i="1"/>
  <c r="I63" i="1"/>
  <c r="N63" i="1"/>
  <c r="E64" i="1"/>
  <c r="G64" i="1"/>
  <c r="I64" i="1" s="1"/>
  <c r="H64" i="1"/>
  <c r="N64" i="1"/>
  <c r="E65" i="1"/>
  <c r="G65" i="1"/>
  <c r="I65" i="1" s="1"/>
  <c r="H65" i="1"/>
  <c r="N65" i="1"/>
  <c r="E66" i="1"/>
  <c r="G66" i="1"/>
  <c r="H66" i="1"/>
  <c r="I66" i="1"/>
  <c r="N66" i="1"/>
  <c r="E67" i="1"/>
  <c r="G67" i="1"/>
  <c r="N67" i="1"/>
  <c r="E68" i="1"/>
  <c r="G68" i="1"/>
  <c r="I68" i="1" s="1"/>
  <c r="H68" i="1"/>
  <c r="N68" i="1"/>
  <c r="O68" i="1"/>
  <c r="E69" i="1"/>
  <c r="G69" i="1"/>
  <c r="H69" i="1"/>
  <c r="I69" i="1"/>
  <c r="N69" i="1"/>
  <c r="E70" i="1"/>
  <c r="G70" i="1"/>
  <c r="I70" i="1" s="1"/>
  <c r="H70" i="1"/>
  <c r="N70" i="1"/>
  <c r="E71" i="1"/>
  <c r="G71" i="1"/>
  <c r="I71" i="1" s="1"/>
  <c r="H71" i="1"/>
  <c r="N71" i="1"/>
  <c r="E72" i="1"/>
  <c r="G72" i="1"/>
  <c r="H72" i="1"/>
  <c r="I72" i="1"/>
  <c r="N72" i="1"/>
  <c r="E73" i="1"/>
  <c r="G73" i="1"/>
  <c r="N73" i="1"/>
  <c r="E74" i="1"/>
  <c r="G74" i="1"/>
  <c r="I74" i="1" s="1"/>
  <c r="H74" i="1"/>
  <c r="N74" i="1"/>
  <c r="E75" i="1"/>
  <c r="G75" i="1"/>
  <c r="H75" i="1"/>
  <c r="I75" i="1"/>
  <c r="N75" i="1"/>
  <c r="O75" i="1"/>
  <c r="E76" i="1"/>
  <c r="G76" i="1"/>
  <c r="N76" i="1"/>
  <c r="E77" i="1"/>
  <c r="G77" i="1"/>
  <c r="I77" i="1" s="1"/>
  <c r="H77" i="1"/>
  <c r="N77" i="1"/>
  <c r="E78" i="1"/>
  <c r="G78" i="1"/>
  <c r="H78" i="1"/>
  <c r="I78" i="1"/>
  <c r="N78" i="1"/>
  <c r="E79" i="1"/>
  <c r="G79" i="1"/>
  <c r="H79" i="1" s="1"/>
  <c r="I79" i="1"/>
  <c r="N79" i="1"/>
  <c r="E80" i="1"/>
  <c r="G80" i="1"/>
  <c r="N80" i="1"/>
  <c r="E81" i="1"/>
  <c r="G81" i="1"/>
  <c r="H81" i="1"/>
  <c r="I81" i="1"/>
  <c r="N81" i="1"/>
  <c r="E82" i="1"/>
  <c r="G82" i="1"/>
  <c r="I82" i="1" s="1"/>
  <c r="H82" i="1"/>
  <c r="N82" i="1"/>
  <c r="O82" i="1" s="1"/>
  <c r="E83" i="1"/>
  <c r="G83" i="1"/>
  <c r="I83" i="1" s="1"/>
  <c r="H83" i="1"/>
  <c r="N83" i="1"/>
  <c r="E84" i="1"/>
  <c r="G84" i="1"/>
  <c r="H84" i="1"/>
  <c r="I84" i="1"/>
  <c r="N84" i="1"/>
  <c r="E85" i="1"/>
  <c r="G85" i="1"/>
  <c r="H85" i="1" s="1"/>
  <c r="N85" i="1"/>
  <c r="E86" i="1"/>
  <c r="G86" i="1"/>
  <c r="I86" i="1" s="1"/>
  <c r="H86" i="1"/>
  <c r="N86" i="1"/>
  <c r="E87" i="1"/>
  <c r="G87" i="1"/>
  <c r="H87" i="1"/>
  <c r="I87" i="1"/>
  <c r="N87" i="1"/>
  <c r="E88" i="1"/>
  <c r="G88" i="1"/>
  <c r="N88" i="1"/>
  <c r="E89" i="1"/>
  <c r="G89" i="1"/>
  <c r="I89" i="1" s="1"/>
  <c r="H89" i="1"/>
  <c r="N89" i="1"/>
  <c r="E90" i="1"/>
  <c r="G90" i="1"/>
  <c r="H90" i="1"/>
  <c r="I90" i="1"/>
  <c r="N90" i="1"/>
  <c r="E91" i="1"/>
  <c r="G91" i="1"/>
  <c r="H91" i="1"/>
  <c r="I91" i="1"/>
  <c r="N91" i="1"/>
  <c r="E92" i="1"/>
  <c r="G92" i="1"/>
  <c r="N92" i="1"/>
  <c r="E93" i="1"/>
  <c r="G93" i="1"/>
  <c r="H93" i="1"/>
  <c r="I93" i="1"/>
  <c r="N93" i="1"/>
  <c r="E94" i="1"/>
  <c r="G94" i="1"/>
  <c r="N94" i="1"/>
  <c r="E95" i="1"/>
  <c r="G95" i="1"/>
  <c r="I95" i="1" s="1"/>
  <c r="H95" i="1"/>
  <c r="N95" i="1"/>
  <c r="E96" i="1"/>
  <c r="G96" i="1"/>
  <c r="H96" i="1"/>
  <c r="I96" i="1"/>
  <c r="N96" i="1"/>
  <c r="O96" i="1"/>
  <c r="E97" i="1"/>
  <c r="G97" i="1"/>
  <c r="H97" i="1"/>
  <c r="I97" i="1"/>
  <c r="N97" i="1"/>
  <c r="E98" i="1"/>
  <c r="G98" i="1"/>
  <c r="I98" i="1" s="1"/>
  <c r="H98" i="1"/>
  <c r="N98" i="1"/>
  <c r="E99" i="1"/>
  <c r="G99" i="1"/>
  <c r="H99" i="1"/>
  <c r="I99" i="1"/>
  <c r="N99" i="1"/>
  <c r="E100" i="1"/>
  <c r="G100" i="1"/>
  <c r="I100" i="1" s="1"/>
  <c r="H100" i="1"/>
  <c r="N100" i="1"/>
  <c r="E101" i="1"/>
  <c r="G101" i="1"/>
  <c r="I101" i="1" s="1"/>
  <c r="H101" i="1"/>
  <c r="N101" i="1"/>
  <c r="E102" i="1"/>
  <c r="G102" i="1"/>
  <c r="H102" i="1"/>
  <c r="I102" i="1"/>
  <c r="N102" i="1"/>
  <c r="E103" i="1"/>
  <c r="G103" i="1"/>
  <c r="H103" i="1" s="1"/>
  <c r="I103" i="1"/>
  <c r="N103" i="1"/>
  <c r="E104" i="1"/>
  <c r="G104" i="1"/>
  <c r="N104" i="1"/>
  <c r="E105" i="1"/>
  <c r="G105" i="1"/>
  <c r="H105" i="1"/>
  <c r="I105" i="1"/>
  <c r="N105" i="1"/>
  <c r="E106" i="1"/>
  <c r="G106" i="1"/>
  <c r="I106" i="1" s="1"/>
  <c r="H106" i="1"/>
  <c r="N106" i="1"/>
  <c r="E107" i="1"/>
  <c r="G107" i="1"/>
  <c r="N107" i="1"/>
  <c r="E108" i="1"/>
  <c r="G108" i="1"/>
  <c r="H108" i="1"/>
  <c r="I108" i="1"/>
  <c r="N108" i="1"/>
  <c r="E109" i="1"/>
  <c r="G109" i="1"/>
  <c r="H109" i="1"/>
  <c r="I109" i="1"/>
  <c r="N109" i="1"/>
  <c r="E110" i="1"/>
  <c r="G110" i="1"/>
  <c r="H110" i="1"/>
  <c r="I110" i="1"/>
  <c r="N110" i="1"/>
  <c r="O110" i="1"/>
  <c r="E111" i="1"/>
  <c r="G111" i="1"/>
  <c r="N111" i="1"/>
  <c r="E112" i="1"/>
  <c r="G112" i="1"/>
  <c r="H112" i="1"/>
  <c r="I112" i="1"/>
  <c r="N112" i="1"/>
  <c r="E113" i="1"/>
  <c r="G113" i="1"/>
  <c r="H113" i="1" s="1"/>
  <c r="N113" i="1"/>
  <c r="E114" i="1"/>
  <c r="G114" i="1"/>
  <c r="I114" i="1" s="1"/>
  <c r="H114" i="1"/>
  <c r="N114" i="1"/>
  <c r="E115" i="1"/>
  <c r="G115" i="1"/>
  <c r="H115" i="1"/>
  <c r="I115" i="1"/>
  <c r="N115" i="1"/>
  <c r="E116" i="1"/>
  <c r="G116" i="1"/>
  <c r="H116" i="1" s="1"/>
  <c r="I116" i="1"/>
  <c r="N116" i="1"/>
  <c r="E117" i="1"/>
  <c r="G117" i="1"/>
  <c r="N117" i="1"/>
  <c r="E118" i="1"/>
  <c r="G118" i="1"/>
  <c r="H118" i="1"/>
  <c r="I118" i="1"/>
  <c r="N118" i="1"/>
  <c r="E119" i="1"/>
  <c r="G119" i="1"/>
  <c r="I119" i="1" s="1"/>
  <c r="N119" i="1"/>
  <c r="E120" i="1"/>
  <c r="G120" i="1"/>
  <c r="I120" i="1" s="1"/>
  <c r="N120" i="1"/>
  <c r="E121" i="1"/>
  <c r="G121" i="1"/>
  <c r="H121" i="1"/>
  <c r="I121" i="1"/>
  <c r="N121" i="1"/>
  <c r="E122" i="1"/>
  <c r="G122" i="1"/>
  <c r="H122" i="1"/>
  <c r="I122" i="1"/>
  <c r="N122" i="1"/>
  <c r="E123" i="1"/>
  <c r="G123" i="1"/>
  <c r="N123" i="1"/>
  <c r="E124" i="1"/>
  <c r="G124" i="1"/>
  <c r="H124" i="1"/>
  <c r="I124" i="1"/>
  <c r="N124" i="1"/>
  <c r="O124" i="1"/>
  <c r="E125" i="1"/>
  <c r="G125" i="1"/>
  <c r="H125" i="1"/>
  <c r="I125" i="1"/>
  <c r="N125" i="1"/>
  <c r="E126" i="1"/>
  <c r="G126" i="1"/>
  <c r="N126" i="1"/>
  <c r="E127" i="1"/>
  <c r="G127" i="1"/>
  <c r="H127" i="1"/>
  <c r="I127" i="1"/>
  <c r="N127" i="1"/>
  <c r="E128" i="1"/>
  <c r="G128" i="1"/>
  <c r="I128" i="1" s="1"/>
  <c r="H128" i="1"/>
  <c r="N128" i="1"/>
  <c r="E129" i="1"/>
  <c r="G129" i="1"/>
  <c r="N129" i="1"/>
  <c r="E130" i="1"/>
  <c r="G130" i="1"/>
  <c r="H130" i="1"/>
  <c r="I130" i="1"/>
  <c r="N130" i="1"/>
  <c r="E131" i="1"/>
  <c r="G131" i="1"/>
  <c r="N131" i="1"/>
  <c r="O131" i="1"/>
  <c r="E132" i="1"/>
  <c r="G132" i="1"/>
  <c r="I132" i="1" s="1"/>
  <c r="H132" i="1"/>
  <c r="N132" i="1"/>
  <c r="E133" i="1"/>
  <c r="G133" i="1"/>
  <c r="H133" i="1"/>
  <c r="I133" i="1"/>
  <c r="N133" i="1"/>
  <c r="E134" i="1"/>
  <c r="G134" i="1"/>
  <c r="N134" i="1"/>
  <c r="E135" i="1"/>
  <c r="G135" i="1"/>
  <c r="I135" i="1" s="1"/>
  <c r="H135" i="1"/>
  <c r="N135" i="1"/>
  <c r="E136" i="1"/>
  <c r="G136" i="1"/>
  <c r="H136" i="1"/>
  <c r="I136" i="1"/>
  <c r="N136" i="1"/>
  <c r="E137" i="1"/>
  <c r="G137" i="1"/>
  <c r="I137" i="1" s="1"/>
  <c r="N137" i="1"/>
  <c r="E138" i="1"/>
  <c r="G138" i="1"/>
  <c r="H138" i="1" s="1"/>
  <c r="I138" i="1"/>
  <c r="N138" i="1"/>
  <c r="O138" i="1"/>
  <c r="E139" i="1"/>
  <c r="G139" i="1"/>
  <c r="H139" i="1" s="1"/>
  <c r="I139" i="1"/>
  <c r="N139" i="1"/>
  <c r="E140" i="1"/>
  <c r="G140" i="1"/>
  <c r="N140" i="1"/>
  <c r="E141" i="1"/>
  <c r="G141" i="1"/>
  <c r="I141" i="1" s="1"/>
  <c r="H141" i="1"/>
  <c r="N141" i="1"/>
  <c r="E142" i="1"/>
  <c r="G142" i="1"/>
  <c r="H142" i="1"/>
  <c r="I142" i="1"/>
  <c r="N142" i="1"/>
  <c r="E143" i="1"/>
  <c r="G143" i="1"/>
  <c r="I143" i="1" s="1"/>
  <c r="N143" i="1"/>
  <c r="E144" i="1"/>
  <c r="G144" i="1"/>
  <c r="H144" i="1" s="1"/>
  <c r="I144" i="1"/>
  <c r="N144" i="1"/>
  <c r="E145" i="1"/>
  <c r="G145" i="1"/>
  <c r="H145" i="1" s="1"/>
  <c r="I145" i="1"/>
  <c r="N145" i="1"/>
  <c r="O145" i="1"/>
  <c r="E146" i="1"/>
  <c r="G146" i="1"/>
  <c r="I146" i="1" s="1"/>
  <c r="H146" i="1"/>
  <c r="N146" i="1"/>
  <c r="E147" i="1"/>
  <c r="G147" i="1"/>
  <c r="I147" i="1" s="1"/>
  <c r="H147" i="1"/>
  <c r="N147" i="1"/>
  <c r="E148" i="1"/>
  <c r="G148" i="1"/>
  <c r="H148" i="1"/>
  <c r="I148" i="1"/>
  <c r="N148" i="1"/>
  <c r="E149" i="1"/>
  <c r="G149" i="1"/>
  <c r="H149" i="1" s="1"/>
  <c r="I149" i="1"/>
  <c r="N149" i="1"/>
  <c r="E150" i="1"/>
  <c r="G150" i="1"/>
  <c r="H150" i="1" s="1"/>
  <c r="I150" i="1"/>
  <c r="N150" i="1"/>
  <c r="E151" i="1"/>
  <c r="G151" i="1"/>
  <c r="H151" i="1" s="1"/>
  <c r="N151" i="1"/>
  <c r="E152" i="1"/>
  <c r="G152" i="1"/>
  <c r="I152" i="1" s="1"/>
  <c r="H152" i="1"/>
  <c r="N152" i="1"/>
  <c r="O152" i="1" s="1"/>
  <c r="E153" i="1"/>
  <c r="G153" i="1"/>
  <c r="I153" i="1" s="1"/>
  <c r="H153" i="1"/>
  <c r="N153" i="1"/>
  <c r="E154" i="1"/>
  <c r="G154" i="1"/>
  <c r="H154" i="1"/>
  <c r="I154" i="1"/>
  <c r="N154" i="1"/>
  <c r="E155" i="1"/>
  <c r="G155" i="1"/>
  <c r="H155" i="1" s="1"/>
  <c r="N155" i="1"/>
  <c r="E156" i="1"/>
  <c r="G156" i="1"/>
  <c r="H156" i="1" s="1"/>
  <c r="I156" i="1"/>
  <c r="N156" i="1"/>
  <c r="E157" i="1"/>
  <c r="G157" i="1"/>
  <c r="H157" i="1"/>
  <c r="I157" i="1"/>
  <c r="N157" i="1"/>
  <c r="E158" i="1"/>
  <c r="G158" i="1"/>
  <c r="I158" i="1" s="1"/>
  <c r="H158" i="1"/>
  <c r="N158" i="1"/>
  <c r="E159" i="1"/>
  <c r="G159" i="1"/>
  <c r="I159" i="1" s="1"/>
  <c r="H159" i="1"/>
  <c r="N159" i="1"/>
  <c r="O159" i="1" s="1"/>
  <c r="E160" i="1"/>
  <c r="G160" i="1"/>
  <c r="H160" i="1"/>
  <c r="I160" i="1"/>
  <c r="N160" i="1"/>
  <c r="E161" i="1"/>
  <c r="G161" i="1"/>
  <c r="H161" i="1" s="1"/>
  <c r="N161" i="1"/>
  <c r="E162" i="1"/>
  <c r="G162" i="1"/>
  <c r="N162" i="1"/>
  <c r="E163" i="1"/>
  <c r="G163" i="1"/>
  <c r="H163" i="1" s="1"/>
  <c r="N163" i="1"/>
  <c r="E164" i="1"/>
  <c r="G164" i="1"/>
  <c r="N164" i="1"/>
  <c r="E165" i="1"/>
  <c r="G165" i="1"/>
  <c r="I165" i="1" s="1"/>
  <c r="H165" i="1"/>
  <c r="N165" i="1"/>
  <c r="E166" i="1"/>
  <c r="G166" i="1"/>
  <c r="H166" i="1"/>
  <c r="I166" i="1"/>
  <c r="N166" i="1"/>
  <c r="O166" i="1"/>
  <c r="E167" i="1"/>
  <c r="G167" i="1"/>
  <c r="H167" i="1"/>
  <c r="I167" i="1"/>
  <c r="N167" i="1"/>
  <c r="E168" i="1"/>
  <c r="G168" i="1"/>
  <c r="H168" i="1" s="1"/>
  <c r="I168" i="1"/>
  <c r="N168" i="1"/>
  <c r="E169" i="1"/>
  <c r="G169" i="1"/>
  <c r="H169" i="1"/>
  <c r="I169" i="1"/>
  <c r="N169" i="1"/>
  <c r="E170" i="1"/>
  <c r="G170" i="1"/>
  <c r="H170" i="1"/>
  <c r="I170" i="1"/>
  <c r="N170" i="1"/>
  <c r="E171" i="1"/>
  <c r="G171" i="1"/>
  <c r="I171" i="1" s="1"/>
  <c r="H171" i="1"/>
  <c r="N171" i="1"/>
  <c r="E172" i="1"/>
  <c r="G172" i="1"/>
  <c r="H172" i="1"/>
  <c r="I172" i="1"/>
  <c r="N172" i="1"/>
  <c r="E173" i="1"/>
  <c r="G173" i="1"/>
  <c r="H173" i="1" s="1"/>
  <c r="I173" i="1"/>
  <c r="N173" i="1"/>
  <c r="O173" i="1"/>
  <c r="E174" i="1"/>
  <c r="G174" i="1"/>
  <c r="H174" i="1" s="1"/>
  <c r="N174" i="1"/>
  <c r="E175" i="1"/>
  <c r="G175" i="1"/>
  <c r="I175" i="1" s="1"/>
  <c r="H175" i="1"/>
  <c r="N175" i="1"/>
  <c r="E176" i="1"/>
  <c r="G176" i="1"/>
  <c r="H176" i="1" s="1"/>
  <c r="I176" i="1"/>
  <c r="N176" i="1"/>
  <c r="E177" i="1"/>
  <c r="G177" i="1"/>
  <c r="N177" i="1"/>
  <c r="E178" i="1"/>
  <c r="G178" i="1"/>
  <c r="H178" i="1"/>
  <c r="I178" i="1"/>
  <c r="N178" i="1"/>
  <c r="E179" i="1"/>
  <c r="G179" i="1"/>
  <c r="H179" i="1" s="1"/>
  <c r="I179" i="1"/>
  <c r="N179" i="1"/>
  <c r="E180" i="1"/>
  <c r="G180" i="1"/>
  <c r="H180" i="1" s="1"/>
  <c r="I180" i="1"/>
  <c r="N180" i="1"/>
  <c r="E181" i="1"/>
  <c r="G181" i="1"/>
  <c r="I181" i="1" s="1"/>
  <c r="H181" i="1"/>
  <c r="N181" i="1"/>
  <c r="E182" i="1"/>
  <c r="G182" i="1"/>
  <c r="H182" i="1" s="1"/>
  <c r="I182" i="1"/>
  <c r="N182" i="1"/>
  <c r="E183" i="1"/>
  <c r="G183" i="1"/>
  <c r="N183" i="1"/>
  <c r="E184" i="1"/>
  <c r="G184" i="1"/>
  <c r="H184" i="1"/>
  <c r="I184" i="1"/>
  <c r="N184" i="1"/>
  <c r="E185" i="1"/>
  <c r="G185" i="1"/>
  <c r="H185" i="1" s="1"/>
  <c r="N185" i="1"/>
  <c r="E186" i="1"/>
  <c r="G186" i="1"/>
  <c r="H186" i="1" s="1"/>
  <c r="I186" i="1"/>
  <c r="N186" i="1"/>
  <c r="E187" i="1"/>
  <c r="G187" i="1"/>
  <c r="H187" i="1"/>
  <c r="I187" i="1"/>
  <c r="N187" i="1"/>
  <c r="O187" i="1"/>
  <c r="E188" i="1"/>
  <c r="G188" i="1"/>
  <c r="H188" i="1"/>
  <c r="I188" i="1"/>
  <c r="N188" i="1"/>
  <c r="E189" i="1"/>
  <c r="G189" i="1"/>
  <c r="I189" i="1" s="1"/>
  <c r="H189" i="1"/>
  <c r="N189" i="1"/>
  <c r="E190" i="1"/>
  <c r="G190" i="1"/>
  <c r="H190" i="1"/>
  <c r="I190" i="1"/>
  <c r="N190" i="1"/>
  <c r="E191" i="1"/>
  <c r="G191" i="1"/>
  <c r="H191" i="1" s="1"/>
  <c r="I191" i="1"/>
  <c r="N191" i="1"/>
  <c r="E192" i="1"/>
  <c r="G192" i="1"/>
  <c r="H192" i="1" s="1"/>
  <c r="I192" i="1"/>
  <c r="N192" i="1"/>
  <c r="E193" i="1"/>
  <c r="G193" i="1"/>
  <c r="I193" i="1" s="1"/>
  <c r="H193" i="1"/>
  <c r="N193" i="1"/>
  <c r="E194" i="1"/>
  <c r="G194" i="1"/>
  <c r="N194" i="1"/>
  <c r="O194" i="1"/>
  <c r="E195" i="1"/>
  <c r="G195" i="1"/>
  <c r="N195" i="1"/>
  <c r="E196" i="1"/>
  <c r="G196" i="1"/>
  <c r="H196" i="1"/>
  <c r="I196" i="1"/>
  <c r="N196" i="1"/>
  <c r="E197" i="1"/>
  <c r="G197" i="1"/>
  <c r="N197" i="1"/>
  <c r="E198" i="1"/>
  <c r="G198" i="1"/>
  <c r="H198" i="1" s="1"/>
  <c r="I198" i="1"/>
  <c r="N198" i="1"/>
  <c r="E199" i="1"/>
  <c r="G199" i="1"/>
  <c r="H199" i="1"/>
  <c r="I199" i="1"/>
  <c r="N199" i="1"/>
  <c r="E200" i="1"/>
  <c r="G200" i="1"/>
  <c r="H200" i="1"/>
  <c r="I200" i="1"/>
  <c r="N200" i="1"/>
  <c r="E201" i="1"/>
  <c r="G201" i="1"/>
  <c r="I201" i="1" s="1"/>
  <c r="H201" i="1"/>
  <c r="N201" i="1"/>
  <c r="O201" i="1" s="1"/>
  <c r="E202" i="1"/>
  <c r="G202" i="1"/>
  <c r="H202" i="1"/>
  <c r="I202" i="1"/>
  <c r="N202" i="1"/>
  <c r="E203" i="1"/>
  <c r="G203" i="1"/>
  <c r="H203" i="1"/>
  <c r="I203" i="1"/>
  <c r="N203" i="1"/>
  <c r="E204" i="1"/>
  <c r="G204" i="1"/>
  <c r="H204" i="1" s="1"/>
  <c r="I204" i="1"/>
  <c r="N204" i="1"/>
  <c r="E205" i="1"/>
  <c r="G205" i="1"/>
  <c r="H205" i="1"/>
  <c r="I205" i="1"/>
  <c r="N205" i="1"/>
  <c r="E206" i="1"/>
  <c r="G206" i="1"/>
  <c r="H206" i="1"/>
  <c r="I206" i="1"/>
  <c r="N206" i="1"/>
  <c r="E207" i="1"/>
  <c r="G207" i="1"/>
  <c r="I207" i="1" s="1"/>
  <c r="N207" i="1"/>
  <c r="E208" i="1"/>
  <c r="G208" i="1"/>
  <c r="H208" i="1" s="1"/>
  <c r="N208" i="1"/>
  <c r="E209" i="1"/>
  <c r="G209" i="1"/>
  <c r="I209" i="1" s="1"/>
  <c r="H209" i="1"/>
  <c r="N209" i="1"/>
  <c r="E210" i="1"/>
  <c r="G210" i="1"/>
  <c r="H210" i="1" s="1"/>
  <c r="I210" i="1"/>
  <c r="N210" i="1"/>
  <c r="E211" i="1"/>
  <c r="G211" i="1"/>
  <c r="H211" i="1"/>
  <c r="I211" i="1"/>
  <c r="N211" i="1"/>
  <c r="E212" i="1"/>
  <c r="G212" i="1"/>
  <c r="I212" i="1" s="1"/>
  <c r="H212" i="1"/>
  <c r="N212" i="1"/>
  <c r="E213" i="1"/>
  <c r="G213" i="1"/>
  <c r="N213" i="1"/>
  <c r="E214" i="1"/>
  <c r="G214" i="1"/>
  <c r="H214" i="1"/>
  <c r="I214" i="1"/>
  <c r="N214" i="1"/>
  <c r="E215" i="1"/>
  <c r="G215" i="1"/>
  <c r="H215" i="1"/>
  <c r="I215" i="1"/>
  <c r="N215" i="1"/>
  <c r="O215" i="1" s="1"/>
  <c r="E216" i="1"/>
  <c r="G216" i="1"/>
  <c r="H216" i="1" s="1"/>
  <c r="I216" i="1"/>
  <c r="N216" i="1"/>
  <c r="E4" i="1"/>
  <c r="G4" i="1"/>
  <c r="H4" i="1" s="1"/>
  <c r="N4" i="1"/>
  <c r="M3" i="1"/>
  <c r="L3" i="1"/>
  <c r="E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3" i="1"/>
  <c r="G3" i="1" s="1"/>
  <c r="E62" i="9" l="1"/>
  <c r="N62" i="9"/>
  <c r="G62" i="9"/>
  <c r="H40" i="9"/>
  <c r="I40" i="9"/>
  <c r="I49" i="9"/>
  <c r="L3" i="9"/>
  <c r="H23" i="9"/>
  <c r="G89" i="9"/>
  <c r="N89" i="9"/>
  <c r="E89" i="9"/>
  <c r="F89" i="9" s="1"/>
  <c r="G95" i="9"/>
  <c r="N95" i="9"/>
  <c r="E95" i="9"/>
  <c r="F95" i="9" s="1"/>
  <c r="N5" i="9"/>
  <c r="G5" i="9"/>
  <c r="E5" i="9"/>
  <c r="F5" i="9" s="1"/>
  <c r="H50" i="9"/>
  <c r="I56" i="9"/>
  <c r="H56" i="9"/>
  <c r="H64" i="9"/>
  <c r="I64" i="9"/>
  <c r="N25" i="9"/>
  <c r="G25" i="9"/>
  <c r="E25" i="9"/>
  <c r="F25" i="9" s="1"/>
  <c r="I32" i="9"/>
  <c r="H32" i="9"/>
  <c r="I34" i="9"/>
  <c r="H34" i="9"/>
  <c r="I74" i="9"/>
  <c r="E15" i="9"/>
  <c r="F15" i="9" s="1"/>
  <c r="N15" i="9"/>
  <c r="G15" i="9"/>
  <c r="H8" i="9"/>
  <c r="I11" i="9"/>
  <c r="H11" i="9"/>
  <c r="I48" i="9"/>
  <c r="I51" i="9"/>
  <c r="H51" i="9"/>
  <c r="I37" i="9"/>
  <c r="H37" i="9"/>
  <c r="H65" i="9"/>
  <c r="I65" i="9"/>
  <c r="I3" i="9"/>
  <c r="M3" i="9" s="1"/>
  <c r="N20" i="9"/>
  <c r="G20" i="9"/>
  <c r="E20" i="9"/>
  <c r="E72" i="9"/>
  <c r="F72" i="9" s="1"/>
  <c r="G72" i="9"/>
  <c r="N72" i="9"/>
  <c r="G14" i="9"/>
  <c r="G19" i="9"/>
  <c r="G24" i="9"/>
  <c r="N27" i="9"/>
  <c r="N32" i="9"/>
  <c r="E35" i="9"/>
  <c r="F35" i="9" s="1"/>
  <c r="N37" i="9"/>
  <c r="H41" i="9"/>
  <c r="G52" i="9"/>
  <c r="N57" i="9"/>
  <c r="G86" i="9"/>
  <c r="E86" i="9"/>
  <c r="F86" i="9" s="1"/>
  <c r="N86" i="9"/>
  <c r="H124" i="9"/>
  <c r="I135" i="9"/>
  <c r="H135" i="9"/>
  <c r="G4" i="9"/>
  <c r="H9" i="9"/>
  <c r="G60" i="9"/>
  <c r="I91" i="9"/>
  <c r="H91" i="9"/>
  <c r="G97" i="9"/>
  <c r="E97" i="9"/>
  <c r="N12" i="9"/>
  <c r="N33" i="9"/>
  <c r="G35" i="9"/>
  <c r="O47" i="9"/>
  <c r="N48" i="9"/>
  <c r="N70" i="9"/>
  <c r="N97" i="9"/>
  <c r="P110" i="9"/>
  <c r="O110" i="9"/>
  <c r="J4" i="9"/>
  <c r="E6" i="9"/>
  <c r="N23" i="9"/>
  <c r="E60" i="9"/>
  <c r="F60" i="9" s="1"/>
  <c r="N3" i="9"/>
  <c r="E11" i="9"/>
  <c r="F11" i="9" s="1"/>
  <c r="N40" i="9"/>
  <c r="N69" i="9"/>
  <c r="G69" i="9"/>
  <c r="E69" i="9"/>
  <c r="I71" i="9"/>
  <c r="H71" i="9"/>
  <c r="N114" i="9"/>
  <c r="E114" i="9"/>
  <c r="F114" i="9" s="1"/>
  <c r="G162" i="9"/>
  <c r="E162" i="9"/>
  <c r="F162" i="9" s="1"/>
  <c r="N162" i="9"/>
  <c r="N29" i="9"/>
  <c r="N68" i="9"/>
  <c r="G68" i="9"/>
  <c r="E85" i="9"/>
  <c r="F85" i="9" s="1"/>
  <c r="N85" i="9"/>
  <c r="E90" i="9"/>
  <c r="N90" i="9"/>
  <c r="G92" i="9"/>
  <c r="N92" i="9"/>
  <c r="E92" i="9"/>
  <c r="F92" i="9" s="1"/>
  <c r="G98" i="9"/>
  <c r="E98" i="9"/>
  <c r="F98" i="9" s="1"/>
  <c r="H6" i="9"/>
  <c r="E7" i="9"/>
  <c r="F7" i="9" s="1"/>
  <c r="N9" i="9"/>
  <c r="I16" i="9"/>
  <c r="N19" i="9"/>
  <c r="G27" i="9"/>
  <c r="E39" i="9"/>
  <c r="F39" i="9" s="1"/>
  <c r="H44" i="9"/>
  <c r="N53" i="9"/>
  <c r="H55" i="9"/>
  <c r="G59" i="9"/>
  <c r="G66" i="9"/>
  <c r="E66" i="9"/>
  <c r="F66" i="9" s="1"/>
  <c r="N66" i="9"/>
  <c r="H70" i="9"/>
  <c r="E75" i="9"/>
  <c r="F75" i="9" s="1"/>
  <c r="G90" i="9"/>
  <c r="G114" i="9"/>
  <c r="E51" i="9"/>
  <c r="F51" i="9" s="1"/>
  <c r="E68" i="9"/>
  <c r="F68" i="9" s="1"/>
  <c r="H75" i="9"/>
  <c r="I75" i="9"/>
  <c r="G85" i="9"/>
  <c r="G87" i="9"/>
  <c r="N87" i="9"/>
  <c r="N98" i="9"/>
  <c r="H7" i="9"/>
  <c r="H22" i="9"/>
  <c r="H46" i="9"/>
  <c r="O61" i="9"/>
  <c r="E64" i="9"/>
  <c r="F64" i="9" s="1"/>
  <c r="N64" i="9"/>
  <c r="N73" i="9"/>
  <c r="G73" i="9"/>
  <c r="I81" i="9"/>
  <c r="N84" i="9"/>
  <c r="G84" i="9"/>
  <c r="E87" i="9"/>
  <c r="F87" i="9" s="1"/>
  <c r="G112" i="9"/>
  <c r="E112" i="9"/>
  <c r="F112" i="9" s="1"/>
  <c r="G119" i="9"/>
  <c r="E119" i="9"/>
  <c r="F119" i="9" s="1"/>
  <c r="N119" i="9"/>
  <c r="G152" i="9"/>
  <c r="N152" i="9"/>
  <c r="E152" i="9"/>
  <c r="F152" i="9" s="1"/>
  <c r="I12" i="9"/>
  <c r="E29" i="9"/>
  <c r="F29" i="9" s="1"/>
  <c r="H47" i="9"/>
  <c r="E50" i="9"/>
  <c r="F50" i="9" s="1"/>
  <c r="N60" i="9"/>
  <c r="N63" i="9"/>
  <c r="G63" i="9"/>
  <c r="E43" i="9"/>
  <c r="F43" i="9" s="1"/>
  <c r="E55" i="9"/>
  <c r="N91" i="9"/>
  <c r="E91" i="9"/>
  <c r="F91" i="9" s="1"/>
  <c r="I100" i="9"/>
  <c r="H100" i="9"/>
  <c r="I103" i="9"/>
  <c r="H103" i="9"/>
  <c r="G105" i="9"/>
  <c r="E105" i="9"/>
  <c r="F105" i="9" s="1"/>
  <c r="I157" i="9"/>
  <c r="H157" i="9"/>
  <c r="E102" i="9"/>
  <c r="F102" i="9" s="1"/>
  <c r="P124" i="9"/>
  <c r="O124" i="9"/>
  <c r="I129" i="9"/>
  <c r="H118" i="9"/>
  <c r="H127" i="9"/>
  <c r="P131" i="9"/>
  <c r="O131" i="9"/>
  <c r="G102" i="9"/>
  <c r="N104" i="9"/>
  <c r="H109" i="9"/>
  <c r="I113" i="9"/>
  <c r="G117" i="9"/>
  <c r="E117" i="9"/>
  <c r="F117" i="9" s="1"/>
  <c r="N117" i="9"/>
  <c r="I146" i="9"/>
  <c r="H146" i="9"/>
  <c r="I180" i="9"/>
  <c r="H180" i="9"/>
  <c r="I150" i="9"/>
  <c r="H150" i="9"/>
  <c r="H177" i="9"/>
  <c r="I177" i="9"/>
  <c r="I167" i="9"/>
  <c r="G178" i="9"/>
  <c r="E178" i="9"/>
  <c r="F178" i="9" s="1"/>
  <c r="I132" i="9"/>
  <c r="H132" i="9"/>
  <c r="G147" i="9"/>
  <c r="E147" i="9"/>
  <c r="F147" i="9" s="1"/>
  <c r="N147" i="9"/>
  <c r="G161" i="9"/>
  <c r="E161" i="9"/>
  <c r="F161" i="9" s="1"/>
  <c r="E93" i="9"/>
  <c r="F93" i="9" s="1"/>
  <c r="G93" i="9"/>
  <c r="H130" i="9"/>
  <c r="I134" i="9"/>
  <c r="N178" i="9"/>
  <c r="I82" i="9"/>
  <c r="H82" i="9"/>
  <c r="H104" i="9"/>
  <c r="N116" i="9"/>
  <c r="G116" i="9"/>
  <c r="G126" i="9"/>
  <c r="G140" i="9"/>
  <c r="E140" i="9"/>
  <c r="F140" i="9" s="1"/>
  <c r="N161" i="9"/>
  <c r="I170" i="9"/>
  <c r="H170" i="9"/>
  <c r="N67" i="9"/>
  <c r="E103" i="9"/>
  <c r="F103" i="9" s="1"/>
  <c r="N103" i="9"/>
  <c r="P159" i="9"/>
  <c r="O159" i="9"/>
  <c r="E115" i="9"/>
  <c r="F115" i="9" s="1"/>
  <c r="N115" i="9"/>
  <c r="E138" i="9"/>
  <c r="F138" i="9" s="1"/>
  <c r="N138" i="9"/>
  <c r="I151" i="9"/>
  <c r="H151" i="9"/>
  <c r="I163" i="9"/>
  <c r="H163" i="9"/>
  <c r="H194" i="9"/>
  <c r="I194" i="9"/>
  <c r="G205" i="9"/>
  <c r="E205" i="9"/>
  <c r="F205" i="9" s="1"/>
  <c r="N205" i="9"/>
  <c r="G107" i="9"/>
  <c r="E107" i="9"/>
  <c r="F107" i="9" s="1"/>
  <c r="I138" i="9"/>
  <c r="H138" i="9"/>
  <c r="I173" i="9"/>
  <c r="H173" i="9"/>
  <c r="I156" i="9"/>
  <c r="H156" i="9"/>
  <c r="I160" i="9"/>
  <c r="H160" i="9"/>
  <c r="I209" i="9"/>
  <c r="H209" i="9"/>
  <c r="N127" i="9"/>
  <c r="G166" i="9"/>
  <c r="N166" i="9"/>
  <c r="E166" i="9"/>
  <c r="F166" i="9" s="1"/>
  <c r="E192" i="9"/>
  <c r="F192" i="9" s="1"/>
  <c r="N192" i="9"/>
  <c r="G192" i="9"/>
  <c r="E120" i="9"/>
  <c r="F120" i="9" s="1"/>
  <c r="N120" i="9"/>
  <c r="E123" i="9"/>
  <c r="F123" i="9" s="1"/>
  <c r="N123" i="9"/>
  <c r="E127" i="9"/>
  <c r="F127" i="9" s="1"/>
  <c r="G143" i="9"/>
  <c r="E143" i="9"/>
  <c r="F143" i="9" s="1"/>
  <c r="E157" i="9"/>
  <c r="F157" i="9" s="1"/>
  <c r="G159" i="9"/>
  <c r="E159" i="9"/>
  <c r="F159" i="9" s="1"/>
  <c r="I172" i="9"/>
  <c r="H172" i="9"/>
  <c r="E169" i="9"/>
  <c r="F169" i="9" s="1"/>
  <c r="N169" i="9"/>
  <c r="G169" i="9"/>
  <c r="G190" i="9"/>
  <c r="G145" i="9"/>
  <c r="G164" i="9"/>
  <c r="E164" i="9"/>
  <c r="F164" i="9" s="1"/>
  <c r="I213" i="9"/>
  <c r="H213" i="9"/>
  <c r="E181" i="9"/>
  <c r="G181" i="9"/>
  <c r="G210" i="9"/>
  <c r="E210" i="9"/>
  <c r="F210" i="9" s="1"/>
  <c r="N210" i="9"/>
  <c r="N121" i="9"/>
  <c r="G133" i="9"/>
  <c r="N164" i="9"/>
  <c r="I189" i="9"/>
  <c r="H189" i="9"/>
  <c r="P208" i="9"/>
  <c r="O208" i="9"/>
  <c r="P215" i="9"/>
  <c r="O215" i="9"/>
  <c r="G128" i="9"/>
  <c r="G131" i="9"/>
  <c r="E131" i="9"/>
  <c r="F131" i="9" s="1"/>
  <c r="G142" i="9"/>
  <c r="I197" i="9"/>
  <c r="H197" i="9"/>
  <c r="P201" i="9"/>
  <c r="O201" i="9"/>
  <c r="I201" i="9"/>
  <c r="H201" i="9"/>
  <c r="N129" i="9"/>
  <c r="N141" i="9"/>
  <c r="O173" i="9"/>
  <c r="N183" i="9"/>
  <c r="G183" i="9"/>
  <c r="I185" i="9"/>
  <c r="H185" i="9"/>
  <c r="G214" i="9"/>
  <c r="N134" i="9"/>
  <c r="N146" i="9"/>
  <c r="I154" i="9"/>
  <c r="H154" i="9"/>
  <c r="G193" i="9"/>
  <c r="E193" i="9"/>
  <c r="F193" i="9" s="1"/>
  <c r="G198" i="9"/>
  <c r="E198" i="9"/>
  <c r="F198" i="9" s="1"/>
  <c r="I203" i="9"/>
  <c r="E214" i="9"/>
  <c r="F214" i="9" s="1"/>
  <c r="E216" i="9"/>
  <c r="N216" i="9"/>
  <c r="G171" i="9"/>
  <c r="G176" i="9"/>
  <c r="E176" i="9"/>
  <c r="F176" i="9" s="1"/>
  <c r="E183" i="9"/>
  <c r="F183" i="9" s="1"/>
  <c r="O187" i="9"/>
  <c r="G202" i="9"/>
  <c r="G216" i="9"/>
  <c r="G153" i="9"/>
  <c r="E154" i="9"/>
  <c r="F154" i="9" s="1"/>
  <c r="G174" i="9"/>
  <c r="E174" i="9"/>
  <c r="E180" i="9"/>
  <c r="F180" i="9" s="1"/>
  <c r="G186" i="9"/>
  <c r="E186" i="9"/>
  <c r="F186" i="9" s="1"/>
  <c r="I191" i="9"/>
  <c r="E202" i="9"/>
  <c r="E204" i="9"/>
  <c r="F204" i="9" s="1"/>
  <c r="N214" i="9"/>
  <c r="E188" i="9"/>
  <c r="E200" i="9"/>
  <c r="F200" i="9" s="1"/>
  <c r="E212" i="9"/>
  <c r="F212" i="9" s="1"/>
  <c r="G195" i="9"/>
  <c r="G207" i="9"/>
  <c r="G188" i="9"/>
  <c r="G200" i="9"/>
  <c r="G212" i="9"/>
  <c r="N194" i="9"/>
  <c r="N206" i="9"/>
  <c r="E194" i="9"/>
  <c r="F194" i="9" s="1"/>
  <c r="E206" i="9"/>
  <c r="F206" i="9" s="1"/>
  <c r="P12" i="6"/>
  <c r="O12" i="6"/>
  <c r="I9" i="6"/>
  <c r="I27" i="6"/>
  <c r="H27" i="6"/>
  <c r="O5" i="6"/>
  <c r="P5" i="6"/>
  <c r="I15" i="6"/>
  <c r="H15" i="6"/>
  <c r="I37" i="6"/>
  <c r="I5" i="6"/>
  <c r="H5" i="6"/>
  <c r="I31" i="6"/>
  <c r="H31" i="6"/>
  <c r="G32" i="6"/>
  <c r="E32" i="6"/>
  <c r="F32" i="6" s="1"/>
  <c r="I38" i="6"/>
  <c r="H38" i="6"/>
  <c r="I19" i="6"/>
  <c r="H19" i="6"/>
  <c r="I23" i="6"/>
  <c r="H23" i="6"/>
  <c r="G3" i="6"/>
  <c r="E3" i="6"/>
  <c r="F3" i="6" s="1"/>
  <c r="N3" i="6"/>
  <c r="G20" i="6"/>
  <c r="E20" i="6"/>
  <c r="N20" i="6"/>
  <c r="I33" i="6"/>
  <c r="I39" i="6"/>
  <c r="H39" i="6"/>
  <c r="I7" i="6"/>
  <c r="H7" i="6"/>
  <c r="I11" i="6"/>
  <c r="H11" i="6"/>
  <c r="P26" i="6"/>
  <c r="O26" i="6"/>
  <c r="G8" i="6"/>
  <c r="E8" i="6"/>
  <c r="F8" i="6" s="1"/>
  <c r="I21" i="6"/>
  <c r="I4" i="6"/>
  <c r="N15" i="6"/>
  <c r="I16" i="6"/>
  <c r="N27" i="6"/>
  <c r="I28" i="6"/>
  <c r="I67" i="6"/>
  <c r="H67" i="6"/>
  <c r="I70" i="6"/>
  <c r="H70" i="6"/>
  <c r="I73" i="6"/>
  <c r="G95" i="6"/>
  <c r="N95" i="6"/>
  <c r="E95" i="6"/>
  <c r="F95" i="6" s="1"/>
  <c r="P110" i="6"/>
  <c r="O110" i="6"/>
  <c r="G40" i="6"/>
  <c r="G46" i="6"/>
  <c r="E46" i="6"/>
  <c r="F46" i="6" s="1"/>
  <c r="N11" i="6"/>
  <c r="H17" i="6"/>
  <c r="N23" i="6"/>
  <c r="H29" i="6"/>
  <c r="H34" i="6"/>
  <c r="H47" i="6"/>
  <c r="G51" i="6"/>
  <c r="E51" i="6"/>
  <c r="F51" i="6" s="1"/>
  <c r="H52" i="6"/>
  <c r="G56" i="6"/>
  <c r="E56" i="6"/>
  <c r="F56" i="6" s="1"/>
  <c r="H57" i="6"/>
  <c r="N48" i="6"/>
  <c r="E65" i="6"/>
  <c r="F65" i="6" s="1"/>
  <c r="H84" i="6"/>
  <c r="G126" i="6"/>
  <c r="N126" i="6"/>
  <c r="E126" i="6"/>
  <c r="F126" i="6" s="1"/>
  <c r="E6" i="6"/>
  <c r="N9" i="6"/>
  <c r="E18" i="6"/>
  <c r="F18" i="6" s="1"/>
  <c r="N21" i="6"/>
  <c r="E30" i="6"/>
  <c r="F30" i="6" s="1"/>
  <c r="N33" i="6"/>
  <c r="N37" i="6"/>
  <c r="I76" i="6"/>
  <c r="H76" i="6"/>
  <c r="H78" i="6"/>
  <c r="I78" i="6"/>
  <c r="P96" i="6"/>
  <c r="O96" i="6"/>
  <c r="G133" i="6"/>
  <c r="E133" i="6"/>
  <c r="F133" i="6" s="1"/>
  <c r="N133" i="6"/>
  <c r="G44" i="6"/>
  <c r="E44" i="6"/>
  <c r="F44" i="6" s="1"/>
  <c r="E11" i="6"/>
  <c r="F11" i="6" s="1"/>
  <c r="E23" i="6"/>
  <c r="F23" i="6" s="1"/>
  <c r="N40" i="6"/>
  <c r="P54" i="6"/>
  <c r="O54" i="6"/>
  <c r="I82" i="6"/>
  <c r="H105" i="6"/>
  <c r="N18" i="6"/>
  <c r="G62" i="6"/>
  <c r="I128" i="6"/>
  <c r="H128" i="6"/>
  <c r="G6" i="6"/>
  <c r="N7" i="6"/>
  <c r="G18" i="6"/>
  <c r="N19" i="6"/>
  <c r="G30" i="6"/>
  <c r="N31" i="6"/>
  <c r="P61" i="6"/>
  <c r="O61" i="6"/>
  <c r="N62" i="6"/>
  <c r="O75" i="6"/>
  <c r="P75" i="6"/>
  <c r="G83" i="6"/>
  <c r="N83" i="6"/>
  <c r="P89" i="6"/>
  <c r="O89" i="6"/>
  <c r="I150" i="6"/>
  <c r="H150" i="6"/>
  <c r="E9" i="6"/>
  <c r="F9" i="6" s="1"/>
  <c r="E21" i="6"/>
  <c r="F21" i="6" s="1"/>
  <c r="E33" i="6"/>
  <c r="F33" i="6" s="1"/>
  <c r="E37" i="6"/>
  <c r="F37" i="6" s="1"/>
  <c r="N46" i="6"/>
  <c r="G53" i="6"/>
  <c r="G58" i="6"/>
  <c r="E58" i="6"/>
  <c r="F58" i="6" s="1"/>
  <c r="N70" i="6"/>
  <c r="G79" i="6"/>
  <c r="E79" i="6"/>
  <c r="F79" i="6" s="1"/>
  <c r="N79" i="6"/>
  <c r="N6" i="6"/>
  <c r="N30" i="6"/>
  <c r="G65" i="6"/>
  <c r="I36" i="6"/>
  <c r="H36" i="6"/>
  <c r="E39" i="6"/>
  <c r="F39" i="6" s="1"/>
  <c r="I48" i="6"/>
  <c r="H48" i="6"/>
  <c r="I55" i="6"/>
  <c r="H55" i="6"/>
  <c r="E77" i="6"/>
  <c r="F77" i="6" s="1"/>
  <c r="N77" i="6"/>
  <c r="G77" i="6"/>
  <c r="I85" i="6"/>
  <c r="H85" i="6"/>
  <c r="G92" i="6"/>
  <c r="E92" i="6"/>
  <c r="F92" i="6" s="1"/>
  <c r="N92" i="6"/>
  <c r="E38" i="6"/>
  <c r="F38" i="6" s="1"/>
  <c r="N44" i="6"/>
  <c r="H50" i="6"/>
  <c r="G60" i="6"/>
  <c r="E60" i="6"/>
  <c r="F60" i="6" s="1"/>
  <c r="I61" i="6"/>
  <c r="H64" i="6"/>
  <c r="E70" i="6"/>
  <c r="F70" i="6" s="1"/>
  <c r="G138" i="6"/>
  <c r="E138" i="6"/>
  <c r="F138" i="6" s="1"/>
  <c r="N138" i="6"/>
  <c r="N63" i="6"/>
  <c r="E118" i="6"/>
  <c r="G118" i="6"/>
  <c r="N118" i="6"/>
  <c r="I122" i="6"/>
  <c r="H122" i="6"/>
  <c r="E63" i="6"/>
  <c r="F63" i="6" s="1"/>
  <c r="E71" i="6"/>
  <c r="F71" i="6" s="1"/>
  <c r="N74" i="6"/>
  <c r="H97" i="6"/>
  <c r="G99" i="6"/>
  <c r="E99" i="6"/>
  <c r="F99" i="6" s="1"/>
  <c r="I102" i="6"/>
  <c r="O201" i="6"/>
  <c r="P201" i="6"/>
  <c r="N69" i="6"/>
  <c r="I119" i="6"/>
  <c r="H119" i="6"/>
  <c r="N187" i="6"/>
  <c r="G187" i="6"/>
  <c r="E187" i="6"/>
  <c r="F187" i="6" s="1"/>
  <c r="N52" i="6"/>
  <c r="G63" i="6"/>
  <c r="N64" i="6"/>
  <c r="G71" i="6"/>
  <c r="I91" i="6"/>
  <c r="H91" i="6"/>
  <c r="E86" i="6"/>
  <c r="F86" i="6" s="1"/>
  <c r="I94" i="6"/>
  <c r="G98" i="6"/>
  <c r="N98" i="6"/>
  <c r="I134" i="6"/>
  <c r="E117" i="6"/>
  <c r="F117" i="6" s="1"/>
  <c r="G117" i="6"/>
  <c r="N117" i="6"/>
  <c r="E128" i="6"/>
  <c r="F128" i="6" s="1"/>
  <c r="N128" i="6"/>
  <c r="G81" i="6"/>
  <c r="E81" i="6"/>
  <c r="F81" i="6" s="1"/>
  <c r="P82" i="6"/>
  <c r="O82" i="6"/>
  <c r="N122" i="6"/>
  <c r="N132" i="6"/>
  <c r="G132" i="6"/>
  <c r="E132" i="6"/>
  <c r="E150" i="6"/>
  <c r="F150" i="6" s="1"/>
  <c r="N150" i="6"/>
  <c r="G89" i="6"/>
  <c r="I103" i="6"/>
  <c r="H103" i="6"/>
  <c r="N148" i="6"/>
  <c r="E148" i="6"/>
  <c r="F148" i="6" s="1"/>
  <c r="G148" i="6"/>
  <c r="H173" i="6"/>
  <c r="I173" i="6"/>
  <c r="G164" i="6"/>
  <c r="E164" i="6"/>
  <c r="F164" i="6" s="1"/>
  <c r="N164" i="6"/>
  <c r="I171" i="6"/>
  <c r="H171" i="6"/>
  <c r="P173" i="6"/>
  <c r="O173" i="6"/>
  <c r="G195" i="6"/>
  <c r="E195" i="6"/>
  <c r="N195" i="6"/>
  <c r="E160" i="6"/>
  <c r="G160" i="6"/>
  <c r="N175" i="6"/>
  <c r="N183" i="6"/>
  <c r="G183" i="6"/>
  <c r="N84" i="6"/>
  <c r="P103" i="6"/>
  <c r="G111" i="6"/>
  <c r="E111" i="6"/>
  <c r="E116" i="6"/>
  <c r="F116" i="6" s="1"/>
  <c r="H121" i="6"/>
  <c r="E125" i="6"/>
  <c r="N125" i="6"/>
  <c r="E136" i="6"/>
  <c r="F136" i="6" s="1"/>
  <c r="G136" i="6"/>
  <c r="I142" i="6"/>
  <c r="E175" i="6"/>
  <c r="F175" i="6" s="1"/>
  <c r="E183" i="6"/>
  <c r="F183" i="6" s="1"/>
  <c r="G199" i="6"/>
  <c r="N199" i="6"/>
  <c r="E105" i="6"/>
  <c r="F105" i="6" s="1"/>
  <c r="N160" i="6"/>
  <c r="I162" i="6"/>
  <c r="H162" i="6"/>
  <c r="G175" i="6"/>
  <c r="E199" i="6"/>
  <c r="F199" i="6" s="1"/>
  <c r="E96" i="6"/>
  <c r="F96" i="6" s="1"/>
  <c r="N97" i="6"/>
  <c r="E107" i="6"/>
  <c r="F107" i="6" s="1"/>
  <c r="E110" i="6"/>
  <c r="F110" i="6" s="1"/>
  <c r="E113" i="6"/>
  <c r="F113" i="6" s="1"/>
  <c r="H116" i="6"/>
  <c r="E130" i="6"/>
  <c r="F130" i="6" s="1"/>
  <c r="P145" i="6"/>
  <c r="I158" i="6"/>
  <c r="H158" i="6"/>
  <c r="H113" i="6"/>
  <c r="G115" i="6"/>
  <c r="G130" i="6"/>
  <c r="I144" i="6"/>
  <c r="H144" i="6"/>
  <c r="E166" i="6"/>
  <c r="F166" i="6" s="1"/>
  <c r="G166" i="6"/>
  <c r="N166" i="6"/>
  <c r="G176" i="6"/>
  <c r="E176" i="6"/>
  <c r="F176" i="6" s="1"/>
  <c r="N176" i="6"/>
  <c r="I213" i="6"/>
  <c r="G96" i="6"/>
  <c r="E104" i="6"/>
  <c r="G106" i="6"/>
  <c r="G110" i="6"/>
  <c r="I114" i="6"/>
  <c r="G123" i="6"/>
  <c r="E123" i="6"/>
  <c r="F123" i="6" s="1"/>
  <c r="G125" i="6"/>
  <c r="N129" i="6"/>
  <c r="G129" i="6"/>
  <c r="E135" i="6"/>
  <c r="F135" i="6" s="1"/>
  <c r="E140" i="6"/>
  <c r="F140" i="6" s="1"/>
  <c r="H149" i="6"/>
  <c r="G108" i="6"/>
  <c r="N109" i="6"/>
  <c r="N121" i="6"/>
  <c r="E178" i="6"/>
  <c r="F178" i="6" s="1"/>
  <c r="G178" i="6"/>
  <c r="N178" i="6"/>
  <c r="I153" i="6"/>
  <c r="H153" i="6"/>
  <c r="N119" i="6"/>
  <c r="G174" i="6"/>
  <c r="E174" i="6"/>
  <c r="G208" i="6"/>
  <c r="N208" i="6"/>
  <c r="I210" i="6"/>
  <c r="E146" i="6"/>
  <c r="I147" i="6"/>
  <c r="E151" i="6"/>
  <c r="F151" i="6" s="1"/>
  <c r="G151" i="6"/>
  <c r="G188" i="6"/>
  <c r="E188" i="6"/>
  <c r="N188" i="6"/>
  <c r="E190" i="6"/>
  <c r="F190" i="6" s="1"/>
  <c r="G190" i="6"/>
  <c r="G196" i="6"/>
  <c r="N196" i="6"/>
  <c r="E208" i="6"/>
  <c r="F208" i="6" s="1"/>
  <c r="G209" i="6"/>
  <c r="E209" i="6"/>
  <c r="G143" i="6"/>
  <c r="N171" i="6"/>
  <c r="I194" i="6"/>
  <c r="H194" i="6"/>
  <c r="E197" i="6"/>
  <c r="F197" i="6" s="1"/>
  <c r="G197" i="6"/>
  <c r="E201" i="6"/>
  <c r="F201" i="6" s="1"/>
  <c r="N162" i="6"/>
  <c r="I206" i="6"/>
  <c r="H206" i="6"/>
  <c r="G186" i="6"/>
  <c r="E202" i="6"/>
  <c r="E211" i="6"/>
  <c r="F211" i="6" s="1"/>
  <c r="H212" i="6"/>
  <c r="I212" i="6"/>
  <c r="E165" i="6"/>
  <c r="F165" i="6" s="1"/>
  <c r="G165" i="6"/>
  <c r="G198" i="6"/>
  <c r="N198" i="6"/>
  <c r="G207" i="6"/>
  <c r="E207" i="6"/>
  <c r="F207" i="6" s="1"/>
  <c r="N207" i="6"/>
  <c r="E154" i="6"/>
  <c r="F154" i="6" s="1"/>
  <c r="G154" i="6"/>
  <c r="E159" i="6"/>
  <c r="F159" i="6" s="1"/>
  <c r="E177" i="6"/>
  <c r="F177" i="6" s="1"/>
  <c r="G177" i="6"/>
  <c r="G202" i="6"/>
  <c r="G211" i="6"/>
  <c r="G215" i="6"/>
  <c r="E215" i="6"/>
  <c r="F215" i="6" s="1"/>
  <c r="N215" i="6"/>
  <c r="E152" i="6"/>
  <c r="F152" i="6" s="1"/>
  <c r="H159" i="6"/>
  <c r="H170" i="6"/>
  <c r="E186" i="6"/>
  <c r="F186" i="6" s="1"/>
  <c r="E189" i="6"/>
  <c r="F189" i="6" s="1"/>
  <c r="G189" i="6"/>
  <c r="E198" i="6"/>
  <c r="F198" i="6" s="1"/>
  <c r="G163" i="6"/>
  <c r="G167" i="6"/>
  <c r="E167" i="6"/>
  <c r="G179" i="6"/>
  <c r="E179" i="6"/>
  <c r="F179" i="6" s="1"/>
  <c r="G191" i="6"/>
  <c r="E191" i="6"/>
  <c r="F191" i="6" s="1"/>
  <c r="E200" i="6"/>
  <c r="F200" i="6" s="1"/>
  <c r="G203" i="6"/>
  <c r="E203" i="6"/>
  <c r="F203" i="6" s="1"/>
  <c r="E213" i="6"/>
  <c r="F213" i="6" s="1"/>
  <c r="E214" i="6"/>
  <c r="F214" i="6" s="1"/>
  <c r="N157" i="6"/>
  <c r="G168" i="6"/>
  <c r="N169" i="6"/>
  <c r="G180" i="6"/>
  <c r="N181" i="6"/>
  <c r="G192" i="6"/>
  <c r="G204" i="6"/>
  <c r="G216" i="6"/>
  <c r="I8" i="5"/>
  <c r="H8" i="5"/>
  <c r="I20" i="5"/>
  <c r="H20" i="5"/>
  <c r="H6" i="5"/>
  <c r="I6" i="5"/>
  <c r="I3" i="5"/>
  <c r="M3" i="5" s="1"/>
  <c r="H3" i="5"/>
  <c r="I18" i="5"/>
  <c r="H18" i="5"/>
  <c r="H13" i="5"/>
  <c r="I13" i="5"/>
  <c r="O19" i="5"/>
  <c r="P19" i="5"/>
  <c r="L3" i="5"/>
  <c r="N5" i="5"/>
  <c r="H11" i="5"/>
  <c r="N17" i="5"/>
  <c r="O33" i="5"/>
  <c r="H41" i="5"/>
  <c r="H133" i="5"/>
  <c r="I133" i="5"/>
  <c r="N10" i="5"/>
  <c r="G24" i="5"/>
  <c r="E24" i="5"/>
  <c r="F24" i="5" s="1"/>
  <c r="I26" i="5"/>
  <c r="H26" i="5"/>
  <c r="G43" i="5"/>
  <c r="E43" i="5"/>
  <c r="F43" i="5" s="1"/>
  <c r="I53" i="5"/>
  <c r="H53" i="5"/>
  <c r="I61" i="5"/>
  <c r="H61" i="5"/>
  <c r="G94" i="5"/>
  <c r="E94" i="5"/>
  <c r="F94" i="5" s="1"/>
  <c r="N94" i="5"/>
  <c r="H9" i="5"/>
  <c r="E12" i="5"/>
  <c r="F12" i="5" s="1"/>
  <c r="N15" i="5"/>
  <c r="G22" i="5"/>
  <c r="E23" i="5"/>
  <c r="F23" i="5" s="1"/>
  <c r="G40" i="5"/>
  <c r="G47" i="5"/>
  <c r="E47" i="5"/>
  <c r="F47" i="5" s="1"/>
  <c r="E5" i="5"/>
  <c r="F5" i="5" s="1"/>
  <c r="N8" i="5"/>
  <c r="E17" i="5"/>
  <c r="F17" i="5" s="1"/>
  <c r="N20" i="5"/>
  <c r="E28" i="5"/>
  <c r="F28" i="5" s="1"/>
  <c r="H30" i="5"/>
  <c r="E54" i="5"/>
  <c r="F54" i="5" s="1"/>
  <c r="I100" i="5"/>
  <c r="H100" i="5"/>
  <c r="G12" i="5"/>
  <c r="N13" i="5"/>
  <c r="G23" i="5"/>
  <c r="I54" i="5"/>
  <c r="H54" i="5"/>
  <c r="I122" i="5"/>
  <c r="H122" i="5"/>
  <c r="G5" i="5"/>
  <c r="N6" i="5"/>
  <c r="E15" i="5"/>
  <c r="F15" i="5" s="1"/>
  <c r="G17" i="5"/>
  <c r="N18" i="5"/>
  <c r="H27" i="5"/>
  <c r="G28" i="5"/>
  <c r="G33" i="5"/>
  <c r="E33" i="5"/>
  <c r="F33" i="5" s="1"/>
  <c r="H34" i="5"/>
  <c r="N43" i="5"/>
  <c r="N47" i="5"/>
  <c r="N54" i="5"/>
  <c r="I97" i="5"/>
  <c r="H97" i="5"/>
  <c r="E8" i="5"/>
  <c r="F8" i="5" s="1"/>
  <c r="G10" i="5"/>
  <c r="N11" i="5"/>
  <c r="E20" i="5"/>
  <c r="I77" i="5"/>
  <c r="H77" i="5"/>
  <c r="N12" i="5"/>
  <c r="N4" i="5"/>
  <c r="E13" i="5"/>
  <c r="G15" i="5"/>
  <c r="N16" i="5"/>
  <c r="H36" i="5"/>
  <c r="N40" i="5"/>
  <c r="E42" i="5"/>
  <c r="F42" i="5" s="1"/>
  <c r="I50" i="5"/>
  <c r="H50" i="5"/>
  <c r="I55" i="5"/>
  <c r="H67" i="5"/>
  <c r="I67" i="5"/>
  <c r="I46" i="5"/>
  <c r="H46" i="5"/>
  <c r="E18" i="5"/>
  <c r="F18" i="5" s="1"/>
  <c r="N28" i="5"/>
  <c r="G42" i="5"/>
  <c r="H48" i="5"/>
  <c r="H102" i="5"/>
  <c r="I102" i="5"/>
  <c r="N22" i="5"/>
  <c r="N26" i="5"/>
  <c r="G31" i="5"/>
  <c r="E31" i="5"/>
  <c r="F31" i="5" s="1"/>
  <c r="G35" i="5"/>
  <c r="E35" i="5"/>
  <c r="F35" i="5" s="1"/>
  <c r="N42" i="5"/>
  <c r="H68" i="5"/>
  <c r="I68" i="5"/>
  <c r="I38" i="5"/>
  <c r="H38" i="5"/>
  <c r="E21" i="5"/>
  <c r="F21" i="5" s="1"/>
  <c r="N24" i="5"/>
  <c r="H39" i="5"/>
  <c r="N59" i="5"/>
  <c r="E82" i="5"/>
  <c r="F82" i="5" s="1"/>
  <c r="N105" i="5"/>
  <c r="N110" i="5"/>
  <c r="G130" i="5"/>
  <c r="N130" i="5"/>
  <c r="N52" i="5"/>
  <c r="H58" i="5"/>
  <c r="N66" i="5"/>
  <c r="N67" i="5"/>
  <c r="H76" i="5"/>
  <c r="H83" i="5"/>
  <c r="E105" i="5"/>
  <c r="F105" i="5" s="1"/>
  <c r="E110" i="5"/>
  <c r="F110" i="5" s="1"/>
  <c r="E130" i="5"/>
  <c r="F130" i="5" s="1"/>
  <c r="N45" i="5"/>
  <c r="H51" i="5"/>
  <c r="N57" i="5"/>
  <c r="E63" i="5"/>
  <c r="F63" i="5" s="1"/>
  <c r="G82" i="5"/>
  <c r="G105" i="5"/>
  <c r="G110" i="5"/>
  <c r="I117" i="5"/>
  <c r="N38" i="5"/>
  <c r="N50" i="5"/>
  <c r="E59" i="5"/>
  <c r="F59" i="5" s="1"/>
  <c r="H62" i="5"/>
  <c r="N68" i="5"/>
  <c r="E81" i="5"/>
  <c r="F81" i="5" s="1"/>
  <c r="E91" i="5"/>
  <c r="F91" i="5" s="1"/>
  <c r="E93" i="5"/>
  <c r="F93" i="5" s="1"/>
  <c r="I101" i="5"/>
  <c r="H101" i="5"/>
  <c r="G103" i="5"/>
  <c r="E103" i="5"/>
  <c r="F103" i="5" s="1"/>
  <c r="N55" i="5"/>
  <c r="G60" i="5"/>
  <c r="H63" i="5"/>
  <c r="G72" i="5"/>
  <c r="E72" i="5"/>
  <c r="F72" i="5" s="1"/>
  <c r="G91" i="5"/>
  <c r="H99" i="5"/>
  <c r="G111" i="5"/>
  <c r="E111" i="5"/>
  <c r="I118" i="5"/>
  <c r="H118" i="5"/>
  <c r="N36" i="5"/>
  <c r="E45" i="5"/>
  <c r="F45" i="5" s="1"/>
  <c r="N48" i="5"/>
  <c r="E57" i="5"/>
  <c r="F57" i="5" s="1"/>
  <c r="G59" i="5"/>
  <c r="E71" i="5"/>
  <c r="F71" i="5" s="1"/>
  <c r="E80" i="5"/>
  <c r="F80" i="5" s="1"/>
  <c r="G81" i="5"/>
  <c r="G142" i="5"/>
  <c r="E142" i="5"/>
  <c r="F142" i="5" s="1"/>
  <c r="N142" i="5"/>
  <c r="N29" i="5"/>
  <c r="E38" i="5"/>
  <c r="F38" i="5" s="1"/>
  <c r="N41" i="5"/>
  <c r="E50" i="5"/>
  <c r="F50" i="5" s="1"/>
  <c r="G52" i="5"/>
  <c r="N53" i="5"/>
  <c r="E65" i="5"/>
  <c r="F65" i="5" s="1"/>
  <c r="E66" i="5"/>
  <c r="F66" i="5" s="1"/>
  <c r="E70" i="5"/>
  <c r="F70" i="5" s="1"/>
  <c r="G80" i="5"/>
  <c r="N91" i="5"/>
  <c r="G93" i="5"/>
  <c r="N103" i="5"/>
  <c r="N111" i="5"/>
  <c r="I115" i="5"/>
  <c r="H115" i="5"/>
  <c r="N34" i="5"/>
  <c r="G45" i="5"/>
  <c r="N46" i="5"/>
  <c r="E55" i="5"/>
  <c r="G57" i="5"/>
  <c r="N58" i="5"/>
  <c r="E60" i="5"/>
  <c r="F60" i="5" s="1"/>
  <c r="H64" i="5"/>
  <c r="G65" i="5"/>
  <c r="G66" i="5"/>
  <c r="E67" i="5"/>
  <c r="F67" i="5" s="1"/>
  <c r="N82" i="5"/>
  <c r="G84" i="5"/>
  <c r="E84" i="5"/>
  <c r="F84" i="5" s="1"/>
  <c r="N101" i="5"/>
  <c r="H113" i="5"/>
  <c r="G116" i="5"/>
  <c r="N116" i="5"/>
  <c r="E116" i="5"/>
  <c r="F116" i="5" s="1"/>
  <c r="E121" i="5"/>
  <c r="F121" i="5" s="1"/>
  <c r="N121" i="5"/>
  <c r="G121" i="5"/>
  <c r="E36" i="5"/>
  <c r="F36" i="5" s="1"/>
  <c r="E48" i="5"/>
  <c r="E68" i="5"/>
  <c r="F68" i="5" s="1"/>
  <c r="E69" i="5"/>
  <c r="G71" i="5"/>
  <c r="E79" i="5"/>
  <c r="F79" i="5" s="1"/>
  <c r="N81" i="5"/>
  <c r="H87" i="5"/>
  <c r="N93" i="5"/>
  <c r="N138" i="5"/>
  <c r="E138" i="5"/>
  <c r="F138" i="5" s="1"/>
  <c r="G70" i="5"/>
  <c r="G79" i="5"/>
  <c r="E83" i="5"/>
  <c r="I90" i="5"/>
  <c r="E92" i="5"/>
  <c r="F92" i="5" s="1"/>
  <c r="G138" i="5"/>
  <c r="N63" i="5"/>
  <c r="G69" i="5"/>
  <c r="I89" i="5"/>
  <c r="H89" i="5"/>
  <c r="G92" i="5"/>
  <c r="H109" i="5"/>
  <c r="I109" i="5"/>
  <c r="N96" i="5"/>
  <c r="E132" i="5"/>
  <c r="E140" i="5"/>
  <c r="F140" i="5" s="1"/>
  <c r="N140" i="5"/>
  <c r="G140" i="5"/>
  <c r="G144" i="5"/>
  <c r="E144" i="5"/>
  <c r="F144" i="5" s="1"/>
  <c r="I153" i="5"/>
  <c r="H153" i="5"/>
  <c r="G159" i="5"/>
  <c r="E159" i="5"/>
  <c r="F159" i="5" s="1"/>
  <c r="N148" i="5"/>
  <c r="E148" i="5"/>
  <c r="F148" i="5" s="1"/>
  <c r="H151" i="5"/>
  <c r="I151" i="5"/>
  <c r="E200" i="5"/>
  <c r="F200" i="5" s="1"/>
  <c r="G200" i="5"/>
  <c r="N200" i="5"/>
  <c r="I213" i="5"/>
  <c r="H213" i="5"/>
  <c r="E134" i="5"/>
  <c r="F134" i="5" s="1"/>
  <c r="G134" i="5"/>
  <c r="N156" i="5"/>
  <c r="E156" i="5"/>
  <c r="F156" i="5" s="1"/>
  <c r="I161" i="5"/>
  <c r="I170" i="5"/>
  <c r="H188" i="5"/>
  <c r="I188" i="5"/>
  <c r="N75" i="5"/>
  <c r="N87" i="5"/>
  <c r="E96" i="5"/>
  <c r="F96" i="5" s="1"/>
  <c r="N99" i="5"/>
  <c r="E106" i="5"/>
  <c r="F106" i="5" s="1"/>
  <c r="G132" i="5"/>
  <c r="N144" i="5"/>
  <c r="G156" i="5"/>
  <c r="P159" i="5"/>
  <c r="N165" i="5"/>
  <c r="G165" i="5"/>
  <c r="E165" i="5"/>
  <c r="F165" i="5" s="1"/>
  <c r="N104" i="5"/>
  <c r="G128" i="5"/>
  <c r="E128" i="5"/>
  <c r="F128" i="5" s="1"/>
  <c r="G148" i="5"/>
  <c r="G166" i="5"/>
  <c r="N166" i="5"/>
  <c r="E166" i="5"/>
  <c r="F166" i="5" s="1"/>
  <c r="H182" i="5"/>
  <c r="I182" i="5"/>
  <c r="H197" i="5"/>
  <c r="I197" i="5"/>
  <c r="E201" i="5"/>
  <c r="F201" i="5" s="1"/>
  <c r="G201" i="5"/>
  <c r="N201" i="5"/>
  <c r="N61" i="5"/>
  <c r="N85" i="5"/>
  <c r="G96" i="5"/>
  <c r="N97" i="5"/>
  <c r="G106" i="5"/>
  <c r="N109" i="5"/>
  <c r="P124" i="5"/>
  <c r="P131" i="5"/>
  <c r="O131" i="5"/>
  <c r="N132" i="5"/>
  <c r="N141" i="5"/>
  <c r="E141" i="5"/>
  <c r="F141" i="5" s="1"/>
  <c r="E152" i="5"/>
  <c r="F152" i="5" s="1"/>
  <c r="G152" i="5"/>
  <c r="N152" i="5"/>
  <c r="I162" i="5"/>
  <c r="H162" i="5"/>
  <c r="I186" i="5"/>
  <c r="H186" i="5"/>
  <c r="I194" i="5"/>
  <c r="G120" i="5"/>
  <c r="N95" i="5"/>
  <c r="E108" i="5"/>
  <c r="F108" i="5" s="1"/>
  <c r="N134" i="5"/>
  <c r="I157" i="5"/>
  <c r="H157" i="5"/>
  <c r="N163" i="5"/>
  <c r="G163" i="5"/>
  <c r="E163" i="5"/>
  <c r="F163" i="5" s="1"/>
  <c r="I195" i="5"/>
  <c r="H195" i="5"/>
  <c r="E97" i="5"/>
  <c r="I119" i="5"/>
  <c r="G123" i="5"/>
  <c r="E123" i="5"/>
  <c r="F123" i="5" s="1"/>
  <c r="I131" i="5"/>
  <c r="E133" i="5"/>
  <c r="F133" i="5" s="1"/>
  <c r="G141" i="5"/>
  <c r="G172" i="5"/>
  <c r="N172" i="5"/>
  <c r="P208" i="5"/>
  <c r="O208" i="5"/>
  <c r="I145" i="5"/>
  <c r="H145" i="5"/>
  <c r="E158" i="5"/>
  <c r="F158" i="5" s="1"/>
  <c r="G158" i="5"/>
  <c r="N158" i="5"/>
  <c r="E114" i="5"/>
  <c r="F114" i="5" s="1"/>
  <c r="E122" i="5"/>
  <c r="F122" i="5" s="1"/>
  <c r="N128" i="5"/>
  <c r="H187" i="5"/>
  <c r="I187" i="5"/>
  <c r="I168" i="5"/>
  <c r="H168" i="5"/>
  <c r="H179" i="5"/>
  <c r="I179" i="5"/>
  <c r="I198" i="5"/>
  <c r="H198" i="5"/>
  <c r="E213" i="5"/>
  <c r="F213" i="5" s="1"/>
  <c r="N126" i="5"/>
  <c r="G154" i="5"/>
  <c r="G178" i="5"/>
  <c r="E178" i="5"/>
  <c r="F178" i="5" s="1"/>
  <c r="I183" i="5"/>
  <c r="H183" i="5"/>
  <c r="H185" i="5"/>
  <c r="I185" i="5"/>
  <c r="G205" i="5"/>
  <c r="E205" i="5"/>
  <c r="F205" i="5" s="1"/>
  <c r="H155" i="5"/>
  <c r="I155" i="5"/>
  <c r="E176" i="5"/>
  <c r="F176" i="5" s="1"/>
  <c r="N176" i="5"/>
  <c r="G176" i="5"/>
  <c r="G207" i="5"/>
  <c r="E207" i="5"/>
  <c r="F207" i="5" s="1"/>
  <c r="N213" i="5"/>
  <c r="E157" i="5"/>
  <c r="F157" i="5" s="1"/>
  <c r="N199" i="5"/>
  <c r="G199" i="5"/>
  <c r="E199" i="5"/>
  <c r="F199" i="5" s="1"/>
  <c r="G214" i="5"/>
  <c r="N214" i="5"/>
  <c r="E214" i="5"/>
  <c r="F214" i="5" s="1"/>
  <c r="E126" i="5"/>
  <c r="F126" i="5" s="1"/>
  <c r="E136" i="5"/>
  <c r="F136" i="5" s="1"/>
  <c r="E154" i="5"/>
  <c r="F154" i="5" s="1"/>
  <c r="N178" i="5"/>
  <c r="G190" i="5"/>
  <c r="E190" i="5"/>
  <c r="F190" i="5" s="1"/>
  <c r="G202" i="5"/>
  <c r="N205" i="5"/>
  <c r="G136" i="5"/>
  <c r="E151" i="5"/>
  <c r="F151" i="5" s="1"/>
  <c r="E153" i="5"/>
  <c r="E202" i="5"/>
  <c r="E212" i="5"/>
  <c r="F212" i="5" s="1"/>
  <c r="G212" i="5"/>
  <c r="G208" i="5"/>
  <c r="E208" i="5"/>
  <c r="F208" i="5" s="1"/>
  <c r="G177" i="5"/>
  <c r="E177" i="5"/>
  <c r="F177" i="5" s="1"/>
  <c r="G210" i="5"/>
  <c r="E210" i="5"/>
  <c r="F210" i="5" s="1"/>
  <c r="P187" i="5"/>
  <c r="O187" i="5"/>
  <c r="G174" i="5"/>
  <c r="E188" i="5"/>
  <c r="G211" i="5"/>
  <c r="G164" i="5"/>
  <c r="G175" i="5"/>
  <c r="G193" i="5"/>
  <c r="H216" i="5"/>
  <c r="E187" i="5"/>
  <c r="F187" i="5" s="1"/>
  <c r="G189" i="5"/>
  <c r="E196" i="5"/>
  <c r="F196" i="5" s="1"/>
  <c r="E198" i="5"/>
  <c r="F198" i="5" s="1"/>
  <c r="E160" i="5"/>
  <c r="G169" i="5"/>
  <c r="G181" i="5"/>
  <c r="E193" i="5"/>
  <c r="F193" i="5" s="1"/>
  <c r="H204" i="5"/>
  <c r="I209" i="5"/>
  <c r="E169" i="5"/>
  <c r="F169" i="5" s="1"/>
  <c r="E181" i="5"/>
  <c r="N211" i="5"/>
  <c r="N203" i="5"/>
  <c r="N215" i="5"/>
  <c r="N170" i="5"/>
  <c r="N182" i="5"/>
  <c r="N194" i="5"/>
  <c r="H150" i="4"/>
  <c r="I150" i="4"/>
  <c r="E202" i="4"/>
  <c r="F202" i="4" s="1"/>
  <c r="G2" i="4"/>
  <c r="N13" i="4"/>
  <c r="G23" i="4"/>
  <c r="E28" i="4"/>
  <c r="F28" i="4" s="1"/>
  <c r="G42" i="4"/>
  <c r="H42" i="4" s="1"/>
  <c r="G46" i="4"/>
  <c r="I46" i="4" s="1"/>
  <c r="E56" i="4"/>
  <c r="F56" i="4" s="1"/>
  <c r="N70" i="4"/>
  <c r="G87" i="4"/>
  <c r="E91" i="4"/>
  <c r="F91" i="4" s="1"/>
  <c r="N108" i="4"/>
  <c r="G112" i="4"/>
  <c r="I112" i="4" s="1"/>
  <c r="G137" i="4"/>
  <c r="N155" i="4"/>
  <c r="O179" i="4"/>
  <c r="G204" i="4"/>
  <c r="H204" i="4" s="1"/>
  <c r="G209" i="4"/>
  <c r="G213" i="4"/>
  <c r="E24" i="4"/>
  <c r="F24" i="4" s="1"/>
  <c r="G68" i="4"/>
  <c r="G92" i="4"/>
  <c r="I92" i="4" s="1"/>
  <c r="N102" i="4"/>
  <c r="E110" i="4"/>
  <c r="E120" i="4"/>
  <c r="F120" i="4" s="1"/>
  <c r="E127" i="4"/>
  <c r="F127" i="4" s="1"/>
  <c r="H130" i="4"/>
  <c r="I134" i="4"/>
  <c r="I147" i="4"/>
  <c r="H75" i="4"/>
  <c r="E102" i="4"/>
  <c r="F102" i="4" s="1"/>
  <c r="E177" i="4"/>
  <c r="F177" i="4" s="1"/>
  <c r="E11" i="4"/>
  <c r="F11" i="4" s="1"/>
  <c r="G72" i="4"/>
  <c r="I185" i="4"/>
  <c r="E7" i="4"/>
  <c r="F7" i="4" s="1"/>
  <c r="G30" i="4"/>
  <c r="H30" i="4" s="1"/>
  <c r="E57" i="4"/>
  <c r="F57" i="4" s="1"/>
  <c r="E83" i="4"/>
  <c r="F83" i="4" s="1"/>
  <c r="G110" i="4"/>
  <c r="G120" i="4"/>
  <c r="E123" i="4"/>
  <c r="F123" i="4" s="1"/>
  <c r="G127" i="4"/>
  <c r="G144" i="4"/>
  <c r="G156" i="4"/>
  <c r="G189" i="4"/>
  <c r="G196" i="4"/>
  <c r="G205" i="4"/>
  <c r="G210" i="4"/>
  <c r="E214" i="4"/>
  <c r="F214" i="4" s="1"/>
  <c r="E144" i="4"/>
  <c r="F144" i="4" s="1"/>
  <c r="I158" i="4"/>
  <c r="E196" i="4"/>
  <c r="F196" i="4" s="1"/>
  <c r="E66" i="4"/>
  <c r="F66" i="4" s="1"/>
  <c r="E189" i="4"/>
  <c r="F189" i="4" s="1"/>
  <c r="J3" i="4"/>
  <c r="K3" i="4" s="1"/>
  <c r="G7" i="4"/>
  <c r="I7" i="4" s="1"/>
  <c r="G11" i="4"/>
  <c r="G24" i="4"/>
  <c r="I24" i="4" s="1"/>
  <c r="N43" i="4"/>
  <c r="G48" i="4"/>
  <c r="H48" i="4" s="1"/>
  <c r="G66" i="4"/>
  <c r="N72" i="4"/>
  <c r="G83" i="4"/>
  <c r="H83" i="4" s="1"/>
  <c r="E89" i="4"/>
  <c r="E99" i="4"/>
  <c r="F99" i="4" s="1"/>
  <c r="H103" i="4"/>
  <c r="E106" i="4"/>
  <c r="F106" i="4" s="1"/>
  <c r="E131" i="4"/>
  <c r="E153" i="4"/>
  <c r="F153" i="4" s="1"/>
  <c r="E166" i="4"/>
  <c r="E178" i="4"/>
  <c r="F178" i="4" s="1"/>
  <c r="E181" i="4"/>
  <c r="F181" i="4" s="1"/>
  <c r="N192" i="4"/>
  <c r="G202" i="4"/>
  <c r="N180" i="4"/>
  <c r="E16" i="4"/>
  <c r="F16" i="4" s="1"/>
  <c r="E21" i="4"/>
  <c r="F21" i="4" s="1"/>
  <c r="E31" i="4"/>
  <c r="F31" i="4" s="1"/>
  <c r="E36" i="4"/>
  <c r="F36" i="4" s="1"/>
  <c r="E40" i="4"/>
  <c r="N68" i="4"/>
  <c r="H99" i="4"/>
  <c r="G131" i="4"/>
  <c r="E135" i="4"/>
  <c r="F135" i="4" s="1"/>
  <c r="G140" i="4"/>
  <c r="G166" i="4"/>
  <c r="G178" i="4"/>
  <c r="I181" i="4"/>
  <c r="G186" i="4"/>
  <c r="H186" i="4" s="1"/>
  <c r="E208" i="4"/>
  <c r="G214" i="4"/>
  <c r="H191" i="4"/>
  <c r="G21" i="4"/>
  <c r="I21" i="4" s="1"/>
  <c r="G25" i="4"/>
  <c r="G31" i="4"/>
  <c r="H31" i="4" s="1"/>
  <c r="G36" i="4"/>
  <c r="I36" i="4" s="1"/>
  <c r="E49" i="4"/>
  <c r="F49" i="4" s="1"/>
  <c r="E54" i="4"/>
  <c r="E63" i="4"/>
  <c r="F63" i="4" s="1"/>
  <c r="G73" i="4"/>
  <c r="I73" i="4" s="1"/>
  <c r="E78" i="4"/>
  <c r="F78" i="4" s="1"/>
  <c r="G84" i="4"/>
  <c r="H84" i="4" s="1"/>
  <c r="N99" i="4"/>
  <c r="N103" i="4"/>
  <c r="N135" i="4"/>
  <c r="P144" i="4"/>
  <c r="N156" i="4"/>
  <c r="N205" i="4"/>
  <c r="G208" i="4"/>
  <c r="G43" i="4"/>
  <c r="P214" i="4"/>
  <c r="E130" i="4"/>
  <c r="F130" i="4" s="1"/>
  <c r="G51" i="4"/>
  <c r="H51" i="4" s="1"/>
  <c r="G35" i="4"/>
  <c r="E9" i="4"/>
  <c r="F9" i="4" s="1"/>
  <c r="G18" i="4"/>
  <c r="I18" i="4" s="1"/>
  <c r="E23" i="4"/>
  <c r="F23" i="4" s="1"/>
  <c r="E33" i="4"/>
  <c r="E37" i="4"/>
  <c r="F37" i="4" s="1"/>
  <c r="E42" i="4"/>
  <c r="F42" i="4" s="1"/>
  <c r="N55" i="4"/>
  <c r="I59" i="4"/>
  <c r="H63" i="4"/>
  <c r="E70" i="4"/>
  <c r="F70" i="4" s="1"/>
  <c r="E74" i="4"/>
  <c r="F74" i="4" s="1"/>
  <c r="E112" i="4"/>
  <c r="F112" i="4" s="1"/>
  <c r="E142" i="4"/>
  <c r="F142" i="4" s="1"/>
  <c r="H154" i="4"/>
  <c r="I187" i="4"/>
  <c r="E215" i="4"/>
  <c r="E35" i="4"/>
  <c r="F35" i="4" s="1"/>
  <c r="G9" i="4"/>
  <c r="G33" i="4"/>
  <c r="H33" i="4" s="1"/>
  <c r="N37" i="4"/>
  <c r="H67" i="4"/>
  <c r="G100" i="4"/>
  <c r="G129" i="4"/>
  <c r="G167" i="4"/>
  <c r="H167" i="4" s="1"/>
  <c r="G179" i="4"/>
  <c r="I179" i="4" s="1"/>
  <c r="H190" i="4"/>
  <c r="I195" i="4"/>
  <c r="E213" i="4"/>
  <c r="F213" i="4" s="1"/>
  <c r="G215" i="4"/>
  <c r="I215" i="4" s="1"/>
  <c r="H7" i="4"/>
  <c r="E14" i="4"/>
  <c r="F14" i="4" s="1"/>
  <c r="I51" i="4"/>
  <c r="H81" i="4"/>
  <c r="I81" i="4"/>
  <c r="H6" i="4"/>
  <c r="I6" i="4"/>
  <c r="E10" i="4"/>
  <c r="F10" i="4" s="1"/>
  <c r="H19" i="4"/>
  <c r="I33" i="4"/>
  <c r="P60" i="4"/>
  <c r="O60" i="4"/>
  <c r="N64" i="4"/>
  <c r="E64" i="4"/>
  <c r="F64" i="4" s="1"/>
  <c r="E101" i="4"/>
  <c r="F101" i="4" s="1"/>
  <c r="N101" i="4"/>
  <c r="G101" i="4"/>
  <c r="G14" i="4"/>
  <c r="G64" i="4"/>
  <c r="G93" i="4"/>
  <c r="E93" i="4"/>
  <c r="F93" i="4" s="1"/>
  <c r="N93" i="4"/>
  <c r="H18" i="4"/>
  <c r="E22" i="4"/>
  <c r="F22" i="4" s="1"/>
  <c r="G34" i="4"/>
  <c r="E34" i="4"/>
  <c r="F34" i="4" s="1"/>
  <c r="I45" i="4"/>
  <c r="H45" i="4"/>
  <c r="E58" i="4"/>
  <c r="F58" i="4" s="1"/>
  <c r="N58" i="4"/>
  <c r="G58" i="4"/>
  <c r="G116" i="4"/>
  <c r="E116" i="4"/>
  <c r="F116" i="4" s="1"/>
  <c r="N116" i="4"/>
  <c r="G8" i="4"/>
  <c r="E8" i="4"/>
  <c r="F8" i="4" s="1"/>
  <c r="N10" i="4"/>
  <c r="E13" i="4"/>
  <c r="F13" i="4" s="1"/>
  <c r="G53" i="4"/>
  <c r="E53" i="4"/>
  <c r="F53" i="4" s="1"/>
  <c r="N53" i="4"/>
  <c r="H92" i="4"/>
  <c r="I25" i="4"/>
  <c r="H25" i="4"/>
  <c r="G32" i="4"/>
  <c r="E32" i="4"/>
  <c r="F32" i="4" s="1"/>
  <c r="G41" i="4"/>
  <c r="E41" i="4"/>
  <c r="F41" i="4" s="1"/>
  <c r="G62" i="4"/>
  <c r="E62" i="4"/>
  <c r="F62" i="4" s="1"/>
  <c r="N62" i="4"/>
  <c r="G3" i="4"/>
  <c r="E3" i="4"/>
  <c r="F3" i="4" s="1"/>
  <c r="H13" i="4"/>
  <c r="G20" i="4"/>
  <c r="E20" i="4"/>
  <c r="F20" i="4" s="1"/>
  <c r="N22" i="4"/>
  <c r="N34" i="4"/>
  <c r="N76" i="4"/>
  <c r="E76" i="4"/>
  <c r="F76" i="4" s="1"/>
  <c r="I22" i="4"/>
  <c r="H22" i="4"/>
  <c r="I100" i="4"/>
  <c r="H100" i="4"/>
  <c r="I37" i="4"/>
  <c r="H37" i="4"/>
  <c r="E39" i="4"/>
  <c r="F39" i="4" s="1"/>
  <c r="N39" i="4"/>
  <c r="N41" i="4"/>
  <c r="G76" i="4"/>
  <c r="P11" i="4"/>
  <c r="O11" i="4"/>
  <c r="G15" i="4"/>
  <c r="E15" i="4"/>
  <c r="F15" i="4" s="1"/>
  <c r="G26" i="4"/>
  <c r="E26" i="4"/>
  <c r="N32" i="4"/>
  <c r="H60" i="4"/>
  <c r="I60" i="4"/>
  <c r="I39" i="4"/>
  <c r="I10" i="4"/>
  <c r="H10" i="4"/>
  <c r="I12" i="4"/>
  <c r="H12" i="4"/>
  <c r="G71" i="4"/>
  <c r="E71" i="4"/>
  <c r="F71" i="4" s="1"/>
  <c r="N71" i="4"/>
  <c r="E96" i="4"/>
  <c r="N96" i="4"/>
  <c r="G96" i="4"/>
  <c r="G4" i="4"/>
  <c r="N5" i="4"/>
  <c r="G16" i="4"/>
  <c r="N17" i="4"/>
  <c r="G28" i="4"/>
  <c r="N29" i="4"/>
  <c r="I30" i="4"/>
  <c r="I38" i="4"/>
  <c r="I42" i="4"/>
  <c r="E44" i="4"/>
  <c r="F44" i="4" s="1"/>
  <c r="E47" i="4"/>
  <c r="E52" i="4"/>
  <c r="F52" i="4" s="1"/>
  <c r="I54" i="4"/>
  <c r="E69" i="4"/>
  <c r="F69" i="4" s="1"/>
  <c r="H73" i="4"/>
  <c r="P74" i="4"/>
  <c r="O74" i="4"/>
  <c r="E81" i="4"/>
  <c r="F81" i="4" s="1"/>
  <c r="I95" i="4"/>
  <c r="N27" i="4"/>
  <c r="G44" i="4"/>
  <c r="G52" i="4"/>
  <c r="I83" i="4"/>
  <c r="G85" i="4"/>
  <c r="E85" i="4"/>
  <c r="F85" i="4" s="1"/>
  <c r="G119" i="4"/>
  <c r="E119" i="4"/>
  <c r="F119" i="4" s="1"/>
  <c r="N170" i="4"/>
  <c r="G170" i="4"/>
  <c r="E170" i="4"/>
  <c r="F170" i="4" s="1"/>
  <c r="G124" i="4"/>
  <c r="E124" i="4"/>
  <c r="N25" i="4"/>
  <c r="G94" i="4"/>
  <c r="H140" i="4"/>
  <c r="I140" i="4"/>
  <c r="G5" i="4"/>
  <c r="N6" i="4"/>
  <c r="G17" i="4"/>
  <c r="N18" i="4"/>
  <c r="H24" i="4"/>
  <c r="E27" i="4"/>
  <c r="F27" i="4" s="1"/>
  <c r="G29" i="4"/>
  <c r="N30" i="4"/>
  <c r="G40" i="4"/>
  <c r="H47" i="4"/>
  <c r="I55" i="4"/>
  <c r="H55" i="4"/>
  <c r="E80" i="4"/>
  <c r="F80" i="4" s="1"/>
  <c r="N80" i="4"/>
  <c r="N85" i="4"/>
  <c r="E94" i="4"/>
  <c r="F94" i="4" s="1"/>
  <c r="N124" i="4"/>
  <c r="I132" i="4"/>
  <c r="H132" i="4"/>
  <c r="G57" i="4"/>
  <c r="G61" i="4"/>
  <c r="N61" i="4"/>
  <c r="G65" i="4"/>
  <c r="G77" i="4"/>
  <c r="N77" i="4"/>
  <c r="I78" i="4"/>
  <c r="H78" i="4"/>
  <c r="E82" i="4"/>
  <c r="I91" i="4"/>
  <c r="H91" i="4"/>
  <c r="H108" i="4"/>
  <c r="I108" i="4"/>
  <c r="E193" i="4"/>
  <c r="F193" i="4" s="1"/>
  <c r="N193" i="4"/>
  <c r="G193" i="4"/>
  <c r="G27" i="4"/>
  <c r="N49" i="4"/>
  <c r="E77" i="4"/>
  <c r="F77" i="4" s="1"/>
  <c r="I82" i="4"/>
  <c r="G86" i="4"/>
  <c r="E86" i="4"/>
  <c r="F86" i="4" s="1"/>
  <c r="N86" i="4"/>
  <c r="E92" i="4"/>
  <c r="F92" i="4" s="1"/>
  <c r="E97" i="4"/>
  <c r="F97" i="4" s="1"/>
  <c r="G97" i="4"/>
  <c r="H104" i="4"/>
  <c r="I104" i="4"/>
  <c r="E38" i="4"/>
  <c r="F38" i="4" s="1"/>
  <c r="N47" i="4"/>
  <c r="N48" i="4"/>
  <c r="E55" i="4"/>
  <c r="F55" i="4" s="1"/>
  <c r="I56" i="4"/>
  <c r="E61" i="4"/>
  <c r="E65" i="4"/>
  <c r="F65" i="4" s="1"/>
  <c r="G80" i="4"/>
  <c r="I84" i="4"/>
  <c r="N94" i="4"/>
  <c r="H125" i="4"/>
  <c r="I125" i="4"/>
  <c r="P46" i="4"/>
  <c r="O46" i="4"/>
  <c r="P67" i="4"/>
  <c r="O67" i="4"/>
  <c r="N69" i="4"/>
  <c r="I70" i="4"/>
  <c r="H70" i="4"/>
  <c r="N79" i="4"/>
  <c r="G79" i="4"/>
  <c r="N82" i="4"/>
  <c r="P102" i="4"/>
  <c r="O102" i="4"/>
  <c r="P81" i="4"/>
  <c r="O81" i="4"/>
  <c r="N118" i="4"/>
  <c r="G118" i="4"/>
  <c r="E118" i="4"/>
  <c r="F118" i="4" s="1"/>
  <c r="N50" i="4"/>
  <c r="E141" i="4"/>
  <c r="F141" i="4" s="1"/>
  <c r="N141" i="4"/>
  <c r="G141" i="4"/>
  <c r="E162" i="4"/>
  <c r="F162" i="4" s="1"/>
  <c r="N162" i="4"/>
  <c r="G162" i="4"/>
  <c r="G50" i="4"/>
  <c r="N51" i="4"/>
  <c r="I148" i="4"/>
  <c r="H148" i="4"/>
  <c r="N115" i="4"/>
  <c r="G115" i="4"/>
  <c r="G74" i="4"/>
  <c r="I89" i="4"/>
  <c r="H89" i="4"/>
  <c r="I102" i="4"/>
  <c r="H102" i="4"/>
  <c r="E115" i="4"/>
  <c r="F115" i="4" s="1"/>
  <c r="G139" i="4"/>
  <c r="N139" i="4"/>
  <c r="E139" i="4"/>
  <c r="F139" i="4" s="1"/>
  <c r="G109" i="4"/>
  <c r="E109" i="4"/>
  <c r="F109" i="4" s="1"/>
  <c r="N109" i="4"/>
  <c r="G111" i="4"/>
  <c r="E113" i="4"/>
  <c r="F113" i="4" s="1"/>
  <c r="N113" i="4"/>
  <c r="G113" i="4"/>
  <c r="I126" i="4"/>
  <c r="H126" i="4"/>
  <c r="G88" i="4"/>
  <c r="N89" i="4"/>
  <c r="G98" i="4"/>
  <c r="I127" i="4"/>
  <c r="H127" i="4"/>
  <c r="E151" i="4"/>
  <c r="F151" i="4" s="1"/>
  <c r="N151" i="4"/>
  <c r="G151" i="4"/>
  <c r="E184" i="4"/>
  <c r="F184" i="4" s="1"/>
  <c r="N184" i="4"/>
  <c r="G184" i="4"/>
  <c r="N75" i="4"/>
  <c r="N87" i="4"/>
  <c r="E114" i="4"/>
  <c r="F114" i="4" s="1"/>
  <c r="G114" i="4"/>
  <c r="G123" i="4"/>
  <c r="E138" i="4"/>
  <c r="N138" i="4"/>
  <c r="G142" i="4"/>
  <c r="I167" i="4"/>
  <c r="I186" i="4"/>
  <c r="N133" i="4"/>
  <c r="E133" i="4"/>
  <c r="F133" i="4" s="1"/>
  <c r="I135" i="4"/>
  <c r="H135" i="4"/>
  <c r="G152" i="4"/>
  <c r="N152" i="4"/>
  <c r="E152" i="4"/>
  <c r="G171" i="4"/>
  <c r="N171" i="4"/>
  <c r="E171" i="4"/>
  <c r="F171" i="4" s="1"/>
  <c r="I173" i="4"/>
  <c r="G182" i="4"/>
  <c r="E182" i="4"/>
  <c r="F182" i="4" s="1"/>
  <c r="N182" i="4"/>
  <c r="I204" i="4"/>
  <c r="E103" i="4"/>
  <c r="H112" i="4"/>
  <c r="N126" i="4"/>
  <c r="G133" i="4"/>
  <c r="G138" i="4"/>
  <c r="N168" i="4"/>
  <c r="N194" i="4"/>
  <c r="E194" i="4"/>
  <c r="I199" i="4"/>
  <c r="H199" i="4"/>
  <c r="N98" i="4"/>
  <c r="N148" i="4"/>
  <c r="E148" i="4"/>
  <c r="F148" i="4" s="1"/>
  <c r="N159" i="4"/>
  <c r="E159" i="4"/>
  <c r="G194" i="4"/>
  <c r="N88" i="4"/>
  <c r="I120" i="4"/>
  <c r="H120" i="4"/>
  <c r="G128" i="4"/>
  <c r="E128" i="4"/>
  <c r="F128" i="4" s="1"/>
  <c r="N132" i="4"/>
  <c r="E132" i="4"/>
  <c r="F132" i="4" s="1"/>
  <c r="G143" i="4"/>
  <c r="E143" i="4"/>
  <c r="F143" i="4" s="1"/>
  <c r="N143" i="4"/>
  <c r="I157" i="4"/>
  <c r="H157" i="4"/>
  <c r="G159" i="4"/>
  <c r="I168" i="4"/>
  <c r="H168" i="4"/>
  <c r="N169" i="4"/>
  <c r="I208" i="4"/>
  <c r="H208" i="4"/>
  <c r="G145" i="4"/>
  <c r="E169" i="4"/>
  <c r="F169" i="4" s="1"/>
  <c r="N172" i="4"/>
  <c r="E172" i="4"/>
  <c r="F172" i="4" s="1"/>
  <c r="G172" i="4"/>
  <c r="H105" i="4"/>
  <c r="G106" i="4"/>
  <c r="G107" i="4"/>
  <c r="E108" i="4"/>
  <c r="F108" i="4" s="1"/>
  <c r="O123" i="4"/>
  <c r="G160" i="4"/>
  <c r="N160" i="4"/>
  <c r="E163" i="4"/>
  <c r="F163" i="4" s="1"/>
  <c r="N163" i="4"/>
  <c r="G163" i="4"/>
  <c r="G169" i="4"/>
  <c r="E175" i="4"/>
  <c r="F175" i="4" s="1"/>
  <c r="N175" i="4"/>
  <c r="G175" i="4"/>
  <c r="G149" i="4"/>
  <c r="E149" i="4"/>
  <c r="F149" i="4" s="1"/>
  <c r="N149" i="4"/>
  <c r="G122" i="4"/>
  <c r="E173" i="4"/>
  <c r="N173" i="4"/>
  <c r="N130" i="4"/>
  <c r="G164" i="4"/>
  <c r="E164" i="4"/>
  <c r="F164" i="4" s="1"/>
  <c r="N164" i="4"/>
  <c r="E183" i="4"/>
  <c r="F183" i="4" s="1"/>
  <c r="N183" i="4"/>
  <c r="E211" i="4"/>
  <c r="F211" i="4" s="1"/>
  <c r="G211" i="4"/>
  <c r="G200" i="4"/>
  <c r="E200" i="4"/>
  <c r="F200" i="4" s="1"/>
  <c r="N200" i="4"/>
  <c r="I203" i="4"/>
  <c r="H203" i="4"/>
  <c r="N211" i="4"/>
  <c r="G136" i="4"/>
  <c r="E136" i="4"/>
  <c r="F136" i="4" s="1"/>
  <c r="H183" i="4"/>
  <c r="I183" i="4"/>
  <c r="E198" i="4"/>
  <c r="F198" i="4" s="1"/>
  <c r="N198" i="4"/>
  <c r="G198" i="4"/>
  <c r="G212" i="4"/>
  <c r="E212" i="4"/>
  <c r="F212" i="4" s="1"/>
  <c r="G146" i="4"/>
  <c r="E146" i="4"/>
  <c r="F146" i="4" s="1"/>
  <c r="E174" i="4"/>
  <c r="F174" i="4" s="1"/>
  <c r="N174" i="4"/>
  <c r="G174" i="4"/>
  <c r="H196" i="4"/>
  <c r="I196" i="4"/>
  <c r="N161" i="4"/>
  <c r="G161" i="4"/>
  <c r="O186" i="4"/>
  <c r="P186" i="4"/>
  <c r="E199" i="4"/>
  <c r="F199" i="4" s="1"/>
  <c r="N199" i="4"/>
  <c r="G180" i="4"/>
  <c r="G188" i="4"/>
  <c r="E188" i="4"/>
  <c r="F188" i="4" s="1"/>
  <c r="O137" i="4"/>
  <c r="O158" i="4"/>
  <c r="G197" i="4"/>
  <c r="H207" i="4"/>
  <c r="I207" i="4"/>
  <c r="G192" i="4"/>
  <c r="E140" i="4"/>
  <c r="F140" i="4" s="1"/>
  <c r="G155" i="4"/>
  <c r="N181" i="4"/>
  <c r="E197" i="4"/>
  <c r="F197" i="4" s="1"/>
  <c r="H206" i="4"/>
  <c r="H215" i="4"/>
  <c r="E210" i="4"/>
  <c r="F210" i="4" s="1"/>
  <c r="G176" i="4"/>
  <c r="E176" i="4"/>
  <c r="F176" i="4" s="1"/>
  <c r="E186" i="4"/>
  <c r="F186" i="4" s="1"/>
  <c r="E187" i="4"/>
  <c r="G153" i="4"/>
  <c r="G165" i="4"/>
  <c r="G177" i="4"/>
  <c r="G201" i="4"/>
  <c r="I5" i="3"/>
  <c r="H5" i="3"/>
  <c r="I40" i="3"/>
  <c r="H40" i="3"/>
  <c r="G37" i="3"/>
  <c r="E37" i="3"/>
  <c r="F37" i="3" s="1"/>
  <c r="N37" i="3"/>
  <c r="I23" i="3"/>
  <c r="H23" i="3"/>
  <c r="G49" i="3"/>
  <c r="E49" i="3"/>
  <c r="F49" i="3" s="1"/>
  <c r="N49" i="3"/>
  <c r="I4" i="3"/>
  <c r="H4" i="3"/>
  <c r="I16" i="3"/>
  <c r="H16" i="3"/>
  <c r="G6" i="3"/>
  <c r="E6" i="3"/>
  <c r="H12" i="3"/>
  <c r="I54" i="3"/>
  <c r="H54" i="3"/>
  <c r="G13" i="3"/>
  <c r="E13" i="3"/>
  <c r="N3" i="3"/>
  <c r="G3" i="3"/>
  <c r="E3" i="3"/>
  <c r="F3" i="3" s="1"/>
  <c r="H36" i="3"/>
  <c r="I36" i="3"/>
  <c r="N13" i="3"/>
  <c r="I28" i="3"/>
  <c r="H28" i="3"/>
  <c r="I35" i="3"/>
  <c r="H35" i="3"/>
  <c r="P12" i="3"/>
  <c r="O12" i="3"/>
  <c r="P5" i="3"/>
  <c r="O5" i="3"/>
  <c r="H21" i="3"/>
  <c r="I21" i="3"/>
  <c r="H24" i="3"/>
  <c r="I24" i="3"/>
  <c r="I42" i="3"/>
  <c r="H42" i="3"/>
  <c r="E56" i="3"/>
  <c r="F56" i="3" s="1"/>
  <c r="N56" i="3"/>
  <c r="G56" i="3"/>
  <c r="G25" i="3"/>
  <c r="E25" i="3"/>
  <c r="F25" i="3" s="1"/>
  <c r="H9" i="3"/>
  <c r="I9" i="3"/>
  <c r="H33" i="3"/>
  <c r="I33" i="3"/>
  <c r="I11" i="3"/>
  <c r="H11" i="3"/>
  <c r="N25" i="3"/>
  <c r="N8" i="3"/>
  <c r="N20" i="3"/>
  <c r="N32" i="3"/>
  <c r="H59" i="3"/>
  <c r="I59" i="3"/>
  <c r="P82" i="3"/>
  <c r="O82" i="3"/>
  <c r="E113" i="3"/>
  <c r="F113" i="3" s="1"/>
  <c r="N113" i="3"/>
  <c r="G113" i="3"/>
  <c r="N18" i="3"/>
  <c r="E8" i="3"/>
  <c r="F8" i="3" s="1"/>
  <c r="N11" i="3"/>
  <c r="H17" i="3"/>
  <c r="E20" i="3"/>
  <c r="N23" i="3"/>
  <c r="H29" i="3"/>
  <c r="E32" i="3"/>
  <c r="F32" i="3" s="1"/>
  <c r="N35" i="3"/>
  <c r="H41" i="3"/>
  <c r="H45" i="3"/>
  <c r="I75" i="3"/>
  <c r="H75" i="3"/>
  <c r="N4" i="3"/>
  <c r="G15" i="3"/>
  <c r="N16" i="3"/>
  <c r="G27" i="3"/>
  <c r="N28" i="3"/>
  <c r="G39" i="3"/>
  <c r="N40" i="3"/>
  <c r="E44" i="3"/>
  <c r="F44" i="3" s="1"/>
  <c r="G61" i="3"/>
  <c r="E61" i="3"/>
  <c r="F61" i="3" s="1"/>
  <c r="G63" i="3"/>
  <c r="E63" i="3"/>
  <c r="F63" i="3" s="1"/>
  <c r="I66" i="3"/>
  <c r="H66" i="3"/>
  <c r="I202" i="3"/>
  <c r="H202" i="3"/>
  <c r="G8" i="3"/>
  <c r="N9" i="3"/>
  <c r="E18" i="3"/>
  <c r="F18" i="3" s="1"/>
  <c r="G20" i="3"/>
  <c r="N21" i="3"/>
  <c r="E30" i="3"/>
  <c r="F30" i="3" s="1"/>
  <c r="G32" i="3"/>
  <c r="N33" i="3"/>
  <c r="I68" i="3"/>
  <c r="G83" i="3"/>
  <c r="E83" i="3"/>
  <c r="I111" i="3"/>
  <c r="E11" i="3"/>
  <c r="F11" i="3" s="1"/>
  <c r="N14" i="3"/>
  <c r="E23" i="3"/>
  <c r="F23" i="3" s="1"/>
  <c r="N26" i="3"/>
  <c r="E35" i="3"/>
  <c r="F35" i="3" s="1"/>
  <c r="N38" i="3"/>
  <c r="G44" i="3"/>
  <c r="N45" i="3"/>
  <c r="G51" i="3"/>
  <c r="E51" i="3"/>
  <c r="F51" i="3" s="1"/>
  <c r="H52" i="3"/>
  <c r="E55" i="3"/>
  <c r="I92" i="3"/>
  <c r="H92" i="3"/>
  <c r="E4" i="3"/>
  <c r="F4" i="3" s="1"/>
  <c r="N7" i="3"/>
  <c r="E16" i="3"/>
  <c r="F16" i="3" s="1"/>
  <c r="G18" i="3"/>
  <c r="N19" i="3"/>
  <c r="E28" i="3"/>
  <c r="F28" i="3" s="1"/>
  <c r="G30" i="3"/>
  <c r="N31" i="3"/>
  <c r="E40" i="3"/>
  <c r="F40" i="3" s="1"/>
  <c r="I48" i="3"/>
  <c r="H48" i="3"/>
  <c r="N80" i="3"/>
  <c r="G80" i="3"/>
  <c r="E80" i="3"/>
  <c r="F80" i="3" s="1"/>
  <c r="I98" i="3"/>
  <c r="H98" i="3"/>
  <c r="G105" i="3"/>
  <c r="E105" i="3"/>
  <c r="F105" i="3" s="1"/>
  <c r="N105" i="3"/>
  <c r="E9" i="3"/>
  <c r="F9" i="3" s="1"/>
  <c r="E21" i="3"/>
  <c r="F21" i="3" s="1"/>
  <c r="E33" i="3"/>
  <c r="F33" i="3" s="1"/>
  <c r="E43" i="3"/>
  <c r="F43" i="3" s="1"/>
  <c r="G46" i="3"/>
  <c r="G55" i="3"/>
  <c r="E57" i="3"/>
  <c r="F57" i="3" s="1"/>
  <c r="G57" i="3"/>
  <c r="N61" i="3"/>
  <c r="N63" i="3"/>
  <c r="G67" i="3"/>
  <c r="E67" i="3"/>
  <c r="F67" i="3" s="1"/>
  <c r="E69" i="3"/>
  <c r="G69" i="3"/>
  <c r="I86" i="3"/>
  <c r="H86" i="3"/>
  <c r="G132" i="3"/>
  <c r="E132" i="3"/>
  <c r="N132" i="3"/>
  <c r="I47" i="3"/>
  <c r="H71" i="3"/>
  <c r="I71" i="3"/>
  <c r="G87" i="3"/>
  <c r="E87" i="3"/>
  <c r="F87" i="3" s="1"/>
  <c r="G102" i="3"/>
  <c r="N102" i="3"/>
  <c r="E102" i="3"/>
  <c r="F102" i="3" s="1"/>
  <c r="G109" i="3"/>
  <c r="E109" i="3"/>
  <c r="F109" i="3" s="1"/>
  <c r="G43" i="3"/>
  <c r="N44" i="3"/>
  <c r="G81" i="3"/>
  <c r="E81" i="3"/>
  <c r="F81" i="3" s="1"/>
  <c r="N81" i="3"/>
  <c r="N109" i="3"/>
  <c r="P54" i="3"/>
  <c r="O54" i="3"/>
  <c r="I60" i="3"/>
  <c r="H60" i="3"/>
  <c r="N58" i="3"/>
  <c r="N70" i="3"/>
  <c r="G73" i="3"/>
  <c r="P131" i="3"/>
  <c r="O131" i="3"/>
  <c r="N68" i="3"/>
  <c r="G85" i="3"/>
  <c r="E85" i="3"/>
  <c r="F85" i="3" s="1"/>
  <c r="G90" i="3"/>
  <c r="G93" i="3"/>
  <c r="E93" i="3"/>
  <c r="F93" i="3" s="1"/>
  <c r="P96" i="3"/>
  <c r="O96" i="3"/>
  <c r="G99" i="3"/>
  <c r="G115" i="3"/>
  <c r="N115" i="3"/>
  <c r="E115" i="3"/>
  <c r="F115" i="3" s="1"/>
  <c r="G53" i="3"/>
  <c r="E90" i="3"/>
  <c r="G110" i="3"/>
  <c r="E110" i="3"/>
  <c r="F110" i="3" s="1"/>
  <c r="N110" i="3"/>
  <c r="I136" i="3"/>
  <c r="H136" i="3"/>
  <c r="P166" i="3"/>
  <c r="O166" i="3"/>
  <c r="I213" i="3"/>
  <c r="H213" i="3"/>
  <c r="N47" i="3"/>
  <c r="G58" i="3"/>
  <c r="N59" i="3"/>
  <c r="H65" i="3"/>
  <c r="E68" i="3"/>
  <c r="F68" i="3" s="1"/>
  <c r="G70" i="3"/>
  <c r="N71" i="3"/>
  <c r="E99" i="3"/>
  <c r="F99" i="3" s="1"/>
  <c r="E104" i="3"/>
  <c r="H108" i="3"/>
  <c r="H145" i="3"/>
  <c r="N52" i="3"/>
  <c r="N64" i="3"/>
  <c r="E92" i="3"/>
  <c r="F92" i="3" s="1"/>
  <c r="H96" i="3"/>
  <c r="I107" i="3"/>
  <c r="H107" i="3"/>
  <c r="P117" i="3"/>
  <c r="O117" i="3"/>
  <c r="I195" i="3"/>
  <c r="H195" i="3"/>
  <c r="I95" i="3"/>
  <c r="H95" i="3"/>
  <c r="I122" i="3"/>
  <c r="H122" i="3"/>
  <c r="I133" i="3"/>
  <c r="H133" i="3"/>
  <c r="E47" i="3"/>
  <c r="F47" i="3" s="1"/>
  <c r="N50" i="3"/>
  <c r="E59" i="3"/>
  <c r="F59" i="3" s="1"/>
  <c r="N62" i="3"/>
  <c r="G78" i="3"/>
  <c r="N85" i="3"/>
  <c r="N90" i="3"/>
  <c r="I104" i="3"/>
  <c r="H104" i="3"/>
  <c r="E114" i="3"/>
  <c r="F114" i="3" s="1"/>
  <c r="N114" i="3"/>
  <c r="G114" i="3"/>
  <c r="N73" i="3"/>
  <c r="I88" i="3"/>
  <c r="G97" i="3"/>
  <c r="E97" i="3"/>
  <c r="I101" i="3"/>
  <c r="H101" i="3"/>
  <c r="N104" i="3"/>
  <c r="P89" i="3"/>
  <c r="N92" i="3"/>
  <c r="I130" i="3"/>
  <c r="H130" i="3"/>
  <c r="P145" i="3"/>
  <c r="O145" i="3"/>
  <c r="I177" i="3"/>
  <c r="H177" i="3"/>
  <c r="G181" i="3"/>
  <c r="N181" i="3"/>
  <c r="E181" i="3"/>
  <c r="G210" i="3"/>
  <c r="E210" i="3"/>
  <c r="F210" i="3" s="1"/>
  <c r="N210" i="3"/>
  <c r="N95" i="3"/>
  <c r="N107" i="3"/>
  <c r="G139" i="3"/>
  <c r="E139" i="3"/>
  <c r="N88" i="3"/>
  <c r="N100" i="3"/>
  <c r="I127" i="3"/>
  <c r="H127" i="3"/>
  <c r="I129" i="3"/>
  <c r="H129" i="3"/>
  <c r="I143" i="3"/>
  <c r="H143" i="3"/>
  <c r="G146" i="3"/>
  <c r="E146" i="3"/>
  <c r="G208" i="3"/>
  <c r="E208" i="3"/>
  <c r="F208" i="3" s="1"/>
  <c r="N208" i="3"/>
  <c r="N74" i="3"/>
  <c r="E95" i="3"/>
  <c r="F95" i="3" s="1"/>
  <c r="E107" i="3"/>
  <c r="F107" i="3" s="1"/>
  <c r="E131" i="3"/>
  <c r="F131" i="3" s="1"/>
  <c r="I135" i="3"/>
  <c r="N139" i="3"/>
  <c r="G179" i="3"/>
  <c r="E179" i="3"/>
  <c r="F179" i="3" s="1"/>
  <c r="N179" i="3"/>
  <c r="H204" i="3"/>
  <c r="N79" i="3"/>
  <c r="E88" i="3"/>
  <c r="F88" i="3" s="1"/>
  <c r="N91" i="3"/>
  <c r="E100" i="3"/>
  <c r="F100" i="3" s="1"/>
  <c r="N103" i="3"/>
  <c r="G120" i="3"/>
  <c r="E125" i="3"/>
  <c r="E127" i="3"/>
  <c r="F127" i="3" s="1"/>
  <c r="G134" i="3"/>
  <c r="G144" i="3"/>
  <c r="E144" i="3"/>
  <c r="F144" i="3" s="1"/>
  <c r="N146" i="3"/>
  <c r="G151" i="3"/>
  <c r="E151" i="3"/>
  <c r="F151" i="3" s="1"/>
  <c r="G215" i="3"/>
  <c r="E215" i="3"/>
  <c r="F215" i="3" s="1"/>
  <c r="N215" i="3"/>
  <c r="G131" i="3"/>
  <c r="E123" i="3"/>
  <c r="F123" i="3" s="1"/>
  <c r="I142" i="3"/>
  <c r="H142" i="3"/>
  <c r="G174" i="3"/>
  <c r="E174" i="3"/>
  <c r="N174" i="3"/>
  <c r="H197" i="3"/>
  <c r="G118" i="3"/>
  <c r="E120" i="3"/>
  <c r="F120" i="3" s="1"/>
  <c r="G125" i="3"/>
  <c r="E134" i="3"/>
  <c r="F134" i="3" s="1"/>
  <c r="N144" i="3"/>
  <c r="N151" i="3"/>
  <c r="I164" i="3"/>
  <c r="H164" i="3"/>
  <c r="I206" i="3"/>
  <c r="N137" i="3"/>
  <c r="N149" i="3"/>
  <c r="G157" i="3"/>
  <c r="G162" i="3"/>
  <c r="N142" i="3"/>
  <c r="H148" i="3"/>
  <c r="H166" i="3"/>
  <c r="P187" i="3"/>
  <c r="O187" i="3"/>
  <c r="G205" i="3"/>
  <c r="N135" i="3"/>
  <c r="H141" i="3"/>
  <c r="N147" i="3"/>
  <c r="H153" i="3"/>
  <c r="E155" i="3"/>
  <c r="F155" i="3" s="1"/>
  <c r="H158" i="3"/>
  <c r="H159" i="3"/>
  <c r="I183" i="3"/>
  <c r="H183" i="3"/>
  <c r="H192" i="3"/>
  <c r="I194" i="3"/>
  <c r="G196" i="3"/>
  <c r="E196" i="3"/>
  <c r="F196" i="3" s="1"/>
  <c r="G198" i="3"/>
  <c r="E198" i="3"/>
  <c r="F198" i="3" s="1"/>
  <c r="I201" i="3"/>
  <c r="H201" i="3"/>
  <c r="G203" i="3"/>
  <c r="E203" i="3"/>
  <c r="F203" i="3" s="1"/>
  <c r="N128" i="3"/>
  <c r="E137" i="3"/>
  <c r="F137" i="3" s="1"/>
  <c r="N140" i="3"/>
  <c r="E149" i="3"/>
  <c r="F149" i="3" s="1"/>
  <c r="N152" i="3"/>
  <c r="E154" i="3"/>
  <c r="F154" i="3" s="1"/>
  <c r="E157" i="3"/>
  <c r="F157" i="3" s="1"/>
  <c r="E162" i="3"/>
  <c r="F162" i="3" s="1"/>
  <c r="G165" i="3"/>
  <c r="E165" i="3"/>
  <c r="F165" i="3" s="1"/>
  <c r="H168" i="3"/>
  <c r="P173" i="3"/>
  <c r="O173" i="3"/>
  <c r="H185" i="3"/>
  <c r="H190" i="3"/>
  <c r="E142" i="3"/>
  <c r="F142" i="3" s="1"/>
  <c r="G156" i="3"/>
  <c r="H171" i="3"/>
  <c r="E205" i="3"/>
  <c r="F205" i="3" s="1"/>
  <c r="N126" i="3"/>
  <c r="E135" i="3"/>
  <c r="F135" i="3" s="1"/>
  <c r="G137" i="3"/>
  <c r="N138" i="3"/>
  <c r="E147" i="3"/>
  <c r="F147" i="3" s="1"/>
  <c r="G149" i="3"/>
  <c r="N150" i="3"/>
  <c r="G154" i="3"/>
  <c r="G155" i="3"/>
  <c r="N162" i="3"/>
  <c r="G167" i="3"/>
  <c r="E167" i="3"/>
  <c r="G193" i="3"/>
  <c r="N205" i="3"/>
  <c r="G184" i="3"/>
  <c r="E184" i="3"/>
  <c r="F184" i="3" s="1"/>
  <c r="G186" i="3"/>
  <c r="E186" i="3"/>
  <c r="F186" i="3" s="1"/>
  <c r="I189" i="3"/>
  <c r="H189" i="3"/>
  <c r="G191" i="3"/>
  <c r="E191" i="3"/>
  <c r="F191" i="3" s="1"/>
  <c r="N196" i="3"/>
  <c r="N198" i="3"/>
  <c r="N203" i="3"/>
  <c r="I207" i="3"/>
  <c r="H207" i="3"/>
  <c r="H216" i="3"/>
  <c r="N157" i="3"/>
  <c r="G160" i="3"/>
  <c r="E160" i="3"/>
  <c r="H161" i="3"/>
  <c r="G169" i="3"/>
  <c r="H173" i="3"/>
  <c r="H178" i="3"/>
  <c r="H209" i="3"/>
  <c r="H214" i="3"/>
  <c r="N165" i="3"/>
  <c r="G172" i="3"/>
  <c r="E172" i="3"/>
  <c r="F172" i="3" s="1"/>
  <c r="E193" i="3"/>
  <c r="F193" i="3" s="1"/>
  <c r="N177" i="3"/>
  <c r="N189" i="3"/>
  <c r="N201" i="3"/>
  <c r="N213" i="3"/>
  <c r="N158" i="3"/>
  <c r="N170" i="3"/>
  <c r="H176" i="3"/>
  <c r="N182" i="3"/>
  <c r="H188" i="3"/>
  <c r="N194" i="3"/>
  <c r="H200" i="3"/>
  <c r="N206" i="3"/>
  <c r="H212" i="3"/>
  <c r="N168" i="3"/>
  <c r="E177" i="3"/>
  <c r="F177" i="3" s="1"/>
  <c r="N180" i="3"/>
  <c r="E189" i="3"/>
  <c r="F189" i="3" s="1"/>
  <c r="N192" i="3"/>
  <c r="E201" i="3"/>
  <c r="F201" i="3" s="1"/>
  <c r="N204" i="3"/>
  <c r="E213" i="3"/>
  <c r="F213" i="3" s="1"/>
  <c r="N216" i="3"/>
  <c r="E158" i="3"/>
  <c r="F158" i="3" s="1"/>
  <c r="E170" i="3"/>
  <c r="F170" i="3" s="1"/>
  <c r="E182" i="3"/>
  <c r="F182" i="3" s="1"/>
  <c r="E194" i="3"/>
  <c r="F194" i="3" s="1"/>
  <c r="E206" i="3"/>
  <c r="F206" i="3" s="1"/>
  <c r="I183" i="1"/>
  <c r="H183" i="1"/>
  <c r="H213" i="1"/>
  <c r="I213" i="1"/>
  <c r="H162" i="1"/>
  <c r="I162" i="1"/>
  <c r="I155" i="1"/>
  <c r="I151" i="1"/>
  <c r="H143" i="1"/>
  <c r="I164" i="1"/>
  <c r="H164" i="1"/>
  <c r="H197" i="1"/>
  <c r="I197" i="1"/>
  <c r="I185" i="1"/>
  <c r="I174" i="1"/>
  <c r="I177" i="1"/>
  <c r="H177" i="1"/>
  <c r="I134" i="1"/>
  <c r="H134" i="1"/>
  <c r="H194" i="1"/>
  <c r="I194" i="1"/>
  <c r="I163" i="1"/>
  <c r="O208" i="1"/>
  <c r="H207" i="1"/>
  <c r="H137" i="1"/>
  <c r="I195" i="1"/>
  <c r="H195" i="1"/>
  <c r="I161" i="1"/>
  <c r="O180" i="1"/>
  <c r="I140" i="1"/>
  <c r="H140" i="1"/>
  <c r="I208" i="1"/>
  <c r="H131" i="1"/>
  <c r="I131" i="1"/>
  <c r="I46" i="1"/>
  <c r="H46" i="1"/>
  <c r="I22" i="1"/>
  <c r="H22" i="1"/>
  <c r="H117" i="1"/>
  <c r="I117" i="1"/>
  <c r="H120" i="1"/>
  <c r="I88" i="1"/>
  <c r="H88" i="1"/>
  <c r="I85" i="1"/>
  <c r="O61" i="1"/>
  <c r="I80" i="1"/>
  <c r="H80" i="1"/>
  <c r="I104" i="1"/>
  <c r="H104" i="1"/>
  <c r="O89" i="1"/>
  <c r="O40" i="1"/>
  <c r="H55" i="1"/>
  <c r="I55" i="1"/>
  <c r="H37" i="1"/>
  <c r="I37" i="1"/>
  <c r="O19" i="1"/>
  <c r="I107" i="1"/>
  <c r="H107" i="1"/>
  <c r="I126" i="1"/>
  <c r="H126" i="1"/>
  <c r="I92" i="1"/>
  <c r="H92" i="1"/>
  <c r="H19" i="1"/>
  <c r="I19" i="1"/>
  <c r="H119" i="1"/>
  <c r="O117" i="1"/>
  <c r="I113" i="1"/>
  <c r="I76" i="1"/>
  <c r="H76" i="1"/>
  <c r="H43" i="1"/>
  <c r="I43" i="1"/>
  <c r="H73" i="1"/>
  <c r="I73" i="1"/>
  <c r="H31" i="1"/>
  <c r="I31" i="1"/>
  <c r="O103" i="1"/>
  <c r="H129" i="1"/>
  <c r="I129" i="1"/>
  <c r="H49" i="1"/>
  <c r="I49" i="1"/>
  <c r="H111" i="1"/>
  <c r="I111" i="1"/>
  <c r="H67" i="1"/>
  <c r="I67" i="1"/>
  <c r="I58" i="1"/>
  <c r="H58" i="1"/>
  <c r="H25" i="1"/>
  <c r="I25" i="1"/>
  <c r="H123" i="1"/>
  <c r="I123" i="1"/>
  <c r="I94" i="1"/>
  <c r="H94" i="1"/>
  <c r="H13" i="1"/>
  <c r="I13" i="1"/>
  <c r="H7" i="1"/>
  <c r="I7" i="1"/>
  <c r="I4" i="1"/>
  <c r="N3" i="1"/>
  <c r="I3" i="1"/>
  <c r="H3" i="1"/>
  <c r="O103" i="9" l="1"/>
  <c r="P103" i="9"/>
  <c r="I212" i="9"/>
  <c r="H212" i="9"/>
  <c r="I186" i="9"/>
  <c r="H186" i="9"/>
  <c r="H131" i="9"/>
  <c r="I131" i="9"/>
  <c r="I133" i="9"/>
  <c r="H133" i="9"/>
  <c r="I166" i="9"/>
  <c r="H166" i="9"/>
  <c r="H140" i="9"/>
  <c r="I140" i="9"/>
  <c r="I161" i="9"/>
  <c r="H161" i="9"/>
  <c r="I112" i="9"/>
  <c r="H112" i="9"/>
  <c r="I73" i="9"/>
  <c r="H73" i="9"/>
  <c r="P40" i="9"/>
  <c r="O40" i="9"/>
  <c r="H24" i="9"/>
  <c r="I24" i="9"/>
  <c r="I62" i="9"/>
  <c r="H62" i="9"/>
  <c r="H193" i="9"/>
  <c r="I193" i="9"/>
  <c r="H128" i="9"/>
  <c r="I128" i="9"/>
  <c r="P152" i="9"/>
  <c r="O152" i="9"/>
  <c r="I68" i="9"/>
  <c r="H68" i="9"/>
  <c r="P5" i="9"/>
  <c r="O5" i="9"/>
  <c r="P89" i="9"/>
  <c r="O89" i="9"/>
  <c r="I98" i="9"/>
  <c r="H98" i="9"/>
  <c r="I60" i="9"/>
  <c r="H60" i="9"/>
  <c r="I200" i="9"/>
  <c r="H200" i="9"/>
  <c r="H183" i="9"/>
  <c r="I183" i="9"/>
  <c r="I192" i="9"/>
  <c r="H192" i="9"/>
  <c r="H152" i="9"/>
  <c r="I152" i="9"/>
  <c r="I66" i="9"/>
  <c r="H66" i="9"/>
  <c r="I27" i="9"/>
  <c r="H27" i="9"/>
  <c r="I92" i="9"/>
  <c r="H92" i="9"/>
  <c r="P68" i="9"/>
  <c r="O68" i="9"/>
  <c r="I86" i="9"/>
  <c r="H86" i="9"/>
  <c r="I19" i="9"/>
  <c r="H19" i="9"/>
  <c r="I15" i="9"/>
  <c r="H15" i="9"/>
  <c r="I89" i="9"/>
  <c r="H89" i="9"/>
  <c r="I174" i="9"/>
  <c r="H174" i="9"/>
  <c r="I190" i="9"/>
  <c r="H190" i="9"/>
  <c r="H205" i="9"/>
  <c r="I205" i="9"/>
  <c r="I126" i="9"/>
  <c r="H126" i="9"/>
  <c r="O117" i="9"/>
  <c r="P117" i="9"/>
  <c r="P19" i="9"/>
  <c r="O19" i="9"/>
  <c r="I14" i="9"/>
  <c r="H14" i="9"/>
  <c r="I25" i="9"/>
  <c r="H25" i="9"/>
  <c r="O194" i="9"/>
  <c r="P194" i="9"/>
  <c r="P166" i="9"/>
  <c r="O166" i="9"/>
  <c r="I188" i="9"/>
  <c r="H188" i="9"/>
  <c r="I176" i="9"/>
  <c r="H176" i="9"/>
  <c r="H116" i="9"/>
  <c r="I116" i="9"/>
  <c r="I59" i="9"/>
  <c r="H59" i="9"/>
  <c r="I4" i="9"/>
  <c r="H4" i="9"/>
  <c r="H169" i="9"/>
  <c r="I169" i="9"/>
  <c r="H143" i="9"/>
  <c r="I143" i="9"/>
  <c r="I147" i="9"/>
  <c r="H147" i="9"/>
  <c r="H117" i="9"/>
  <c r="I117" i="9"/>
  <c r="I84" i="9"/>
  <c r="H84" i="9"/>
  <c r="H114" i="9"/>
  <c r="I114" i="9"/>
  <c r="I35" i="9"/>
  <c r="H35" i="9"/>
  <c r="H52" i="9"/>
  <c r="I52" i="9"/>
  <c r="I20" i="9"/>
  <c r="H20" i="9"/>
  <c r="I95" i="9"/>
  <c r="H95" i="9"/>
  <c r="I142" i="9"/>
  <c r="H142" i="9"/>
  <c r="H102" i="9"/>
  <c r="I102" i="9"/>
  <c r="I207" i="9"/>
  <c r="H207" i="9"/>
  <c r="I153" i="9"/>
  <c r="H153" i="9"/>
  <c r="I164" i="9"/>
  <c r="H164" i="9"/>
  <c r="I93" i="9"/>
  <c r="H93" i="9"/>
  <c r="I178" i="9"/>
  <c r="H178" i="9"/>
  <c r="H105" i="9"/>
  <c r="I105" i="9"/>
  <c r="O3" i="9"/>
  <c r="P3" i="9"/>
  <c r="R3" i="9" s="1"/>
  <c r="D4" i="9" s="1"/>
  <c r="K4" i="9"/>
  <c r="P33" i="9"/>
  <c r="O33" i="9"/>
  <c r="I97" i="9"/>
  <c r="H97" i="9"/>
  <c r="H72" i="9"/>
  <c r="I72" i="9"/>
  <c r="P12" i="9"/>
  <c r="O12" i="9"/>
  <c r="I195" i="9"/>
  <c r="H195" i="9"/>
  <c r="I216" i="9"/>
  <c r="H216" i="9"/>
  <c r="H171" i="9"/>
  <c r="I171" i="9"/>
  <c r="I214" i="9"/>
  <c r="H214" i="9"/>
  <c r="H90" i="9"/>
  <c r="I90" i="9"/>
  <c r="I69" i="9"/>
  <c r="H69" i="9"/>
  <c r="H181" i="9"/>
  <c r="I181" i="9"/>
  <c r="I107" i="9"/>
  <c r="H107" i="9"/>
  <c r="H5" i="9"/>
  <c r="I5" i="9"/>
  <c r="I198" i="9"/>
  <c r="H198" i="9"/>
  <c r="I210" i="9"/>
  <c r="H210" i="9"/>
  <c r="H159" i="9"/>
  <c r="I159" i="9"/>
  <c r="H87" i="9"/>
  <c r="I87" i="9"/>
  <c r="O138" i="9"/>
  <c r="P138" i="9"/>
  <c r="I63" i="9"/>
  <c r="H63" i="9"/>
  <c r="I202" i="9"/>
  <c r="H202" i="9"/>
  <c r="I145" i="9"/>
  <c r="H145" i="9"/>
  <c r="I119" i="9"/>
  <c r="H119" i="9"/>
  <c r="I85" i="9"/>
  <c r="H85" i="9"/>
  <c r="H162" i="9"/>
  <c r="I162" i="9"/>
  <c r="I180" i="6"/>
  <c r="H180" i="6"/>
  <c r="I168" i="6"/>
  <c r="H168" i="6"/>
  <c r="I196" i="6"/>
  <c r="H196" i="6"/>
  <c r="I129" i="6"/>
  <c r="H129" i="6"/>
  <c r="H96" i="6"/>
  <c r="I96" i="6"/>
  <c r="H63" i="6"/>
  <c r="I63" i="6"/>
  <c r="I99" i="6"/>
  <c r="H99" i="6"/>
  <c r="I138" i="6"/>
  <c r="H138" i="6"/>
  <c r="I65" i="6"/>
  <c r="H65" i="6"/>
  <c r="I126" i="6"/>
  <c r="H126" i="6"/>
  <c r="I8" i="6"/>
  <c r="H8" i="6"/>
  <c r="I58" i="6"/>
  <c r="H58" i="6"/>
  <c r="H177" i="6"/>
  <c r="I177" i="6"/>
  <c r="I190" i="6"/>
  <c r="H190" i="6"/>
  <c r="I77" i="6"/>
  <c r="H77" i="6"/>
  <c r="I53" i="6"/>
  <c r="H53" i="6"/>
  <c r="I44" i="6"/>
  <c r="H44" i="6"/>
  <c r="I32" i="6"/>
  <c r="H32" i="6"/>
  <c r="H179" i="6"/>
  <c r="I179" i="6"/>
  <c r="H108" i="6"/>
  <c r="I108" i="6"/>
  <c r="H125" i="6"/>
  <c r="I125" i="6"/>
  <c r="H199" i="6"/>
  <c r="I199" i="6"/>
  <c r="I111" i="6"/>
  <c r="H111" i="6"/>
  <c r="H118" i="6"/>
  <c r="I118" i="6"/>
  <c r="I30" i="6"/>
  <c r="H30" i="6"/>
  <c r="I207" i="6"/>
  <c r="H207" i="6"/>
  <c r="I160" i="6"/>
  <c r="H160" i="6"/>
  <c r="I148" i="6"/>
  <c r="H148" i="6"/>
  <c r="H187" i="6"/>
  <c r="I187" i="6"/>
  <c r="P19" i="6"/>
  <c r="O19" i="6"/>
  <c r="H167" i="6"/>
  <c r="I167" i="6"/>
  <c r="I197" i="6"/>
  <c r="H197" i="6"/>
  <c r="I143" i="6"/>
  <c r="H143" i="6"/>
  <c r="H123" i="6"/>
  <c r="I123" i="6"/>
  <c r="O117" i="6"/>
  <c r="P117" i="6"/>
  <c r="O187" i="6"/>
  <c r="P187" i="6"/>
  <c r="I83" i="6"/>
  <c r="H83" i="6"/>
  <c r="I18" i="6"/>
  <c r="H18" i="6"/>
  <c r="I46" i="6"/>
  <c r="H46" i="6"/>
  <c r="I20" i="6"/>
  <c r="H20" i="6"/>
  <c r="I216" i="6"/>
  <c r="H216" i="6"/>
  <c r="H163" i="6"/>
  <c r="I163" i="6"/>
  <c r="P215" i="6"/>
  <c r="O215" i="6"/>
  <c r="H186" i="6"/>
  <c r="I186" i="6"/>
  <c r="H130" i="6"/>
  <c r="I130" i="6"/>
  <c r="H164" i="6"/>
  <c r="I164" i="6"/>
  <c r="I117" i="6"/>
  <c r="H117" i="6"/>
  <c r="H204" i="6"/>
  <c r="I204" i="6"/>
  <c r="H198" i="6"/>
  <c r="I198" i="6"/>
  <c r="H188" i="6"/>
  <c r="I188" i="6"/>
  <c r="I115" i="6"/>
  <c r="H115" i="6"/>
  <c r="H175" i="6"/>
  <c r="I175" i="6"/>
  <c r="I136" i="6"/>
  <c r="H136" i="6"/>
  <c r="I132" i="6"/>
  <c r="H132" i="6"/>
  <c r="I6" i="6"/>
  <c r="H6" i="6"/>
  <c r="I56" i="6"/>
  <c r="H56" i="6"/>
  <c r="H40" i="6"/>
  <c r="I40" i="6"/>
  <c r="H176" i="6"/>
  <c r="I176" i="6"/>
  <c r="I195" i="6"/>
  <c r="H195" i="6"/>
  <c r="H133" i="6"/>
  <c r="I133" i="6"/>
  <c r="I95" i="6"/>
  <c r="H95" i="6"/>
  <c r="I192" i="6"/>
  <c r="H192" i="6"/>
  <c r="I203" i="6"/>
  <c r="H203" i="6"/>
  <c r="H189" i="6"/>
  <c r="I189" i="6"/>
  <c r="I215" i="6"/>
  <c r="H215" i="6"/>
  <c r="H209" i="6"/>
  <c r="I209" i="6"/>
  <c r="P208" i="6"/>
  <c r="O208" i="6"/>
  <c r="I178" i="6"/>
  <c r="H178" i="6"/>
  <c r="H211" i="6"/>
  <c r="I211" i="6"/>
  <c r="H154" i="6"/>
  <c r="I154" i="6"/>
  <c r="H165" i="6"/>
  <c r="I165" i="6"/>
  <c r="H208" i="6"/>
  <c r="I208" i="6"/>
  <c r="I110" i="6"/>
  <c r="H110" i="6"/>
  <c r="I81" i="6"/>
  <c r="H81" i="6"/>
  <c r="I98" i="6"/>
  <c r="H98" i="6"/>
  <c r="I60" i="6"/>
  <c r="H60" i="6"/>
  <c r="I79" i="6"/>
  <c r="H79" i="6"/>
  <c r="P40" i="6"/>
  <c r="O40" i="6"/>
  <c r="I202" i="6"/>
  <c r="H202" i="6"/>
  <c r="H151" i="6"/>
  <c r="I151" i="6"/>
  <c r="H106" i="6"/>
  <c r="I106" i="6"/>
  <c r="O166" i="6"/>
  <c r="P166" i="6"/>
  <c r="H71" i="6"/>
  <c r="I71" i="6"/>
  <c r="P138" i="6"/>
  <c r="O138" i="6"/>
  <c r="I92" i="6"/>
  <c r="H92" i="6"/>
  <c r="I62" i="6"/>
  <c r="H62" i="6"/>
  <c r="P33" i="6"/>
  <c r="O33" i="6"/>
  <c r="I191" i="6"/>
  <c r="H191" i="6"/>
  <c r="H174" i="6"/>
  <c r="I174" i="6"/>
  <c r="I166" i="6"/>
  <c r="H166" i="6"/>
  <c r="I183" i="6"/>
  <c r="H183" i="6"/>
  <c r="I89" i="6"/>
  <c r="H89" i="6"/>
  <c r="H51" i="6"/>
  <c r="I51" i="6"/>
  <c r="I3" i="6"/>
  <c r="M3" i="6" s="1"/>
  <c r="H3" i="6"/>
  <c r="L3" i="6" s="1"/>
  <c r="I96" i="5"/>
  <c r="H96" i="5"/>
  <c r="H159" i="5"/>
  <c r="I159" i="5"/>
  <c r="I193" i="5"/>
  <c r="H193" i="5"/>
  <c r="P166" i="5"/>
  <c r="O166" i="5"/>
  <c r="I33" i="5"/>
  <c r="H33" i="5"/>
  <c r="I172" i="5"/>
  <c r="H172" i="5"/>
  <c r="P61" i="5"/>
  <c r="O61" i="5"/>
  <c r="H166" i="5"/>
  <c r="I166" i="5"/>
  <c r="I134" i="5"/>
  <c r="H134" i="5"/>
  <c r="I45" i="5"/>
  <c r="H45" i="5"/>
  <c r="H80" i="5"/>
  <c r="I80" i="5"/>
  <c r="I105" i="5"/>
  <c r="H105" i="5"/>
  <c r="I130" i="5"/>
  <c r="H130" i="5"/>
  <c r="I5" i="5"/>
  <c r="H5" i="5"/>
  <c r="I23" i="5"/>
  <c r="H23" i="5"/>
  <c r="I110" i="5"/>
  <c r="H110" i="5"/>
  <c r="H169" i="5"/>
  <c r="I169" i="5"/>
  <c r="I202" i="5"/>
  <c r="H202" i="5"/>
  <c r="H199" i="5"/>
  <c r="I199" i="5"/>
  <c r="H123" i="5"/>
  <c r="I123" i="5"/>
  <c r="H69" i="5"/>
  <c r="I69" i="5"/>
  <c r="I79" i="5"/>
  <c r="H79" i="5"/>
  <c r="O82" i="5"/>
  <c r="P82" i="5"/>
  <c r="I40" i="5"/>
  <c r="H40" i="5"/>
  <c r="O215" i="5"/>
  <c r="P215" i="5"/>
  <c r="I178" i="5"/>
  <c r="H178" i="5"/>
  <c r="O201" i="5"/>
  <c r="P201" i="5"/>
  <c r="H70" i="5"/>
  <c r="I70" i="5"/>
  <c r="I35" i="5"/>
  <c r="H35" i="5"/>
  <c r="I12" i="5"/>
  <c r="H12" i="5"/>
  <c r="I24" i="5"/>
  <c r="H24" i="5"/>
  <c r="I47" i="5"/>
  <c r="H47" i="5"/>
  <c r="I175" i="5"/>
  <c r="H175" i="5"/>
  <c r="I208" i="5"/>
  <c r="H208" i="5"/>
  <c r="I205" i="5"/>
  <c r="H205" i="5"/>
  <c r="I163" i="5"/>
  <c r="H163" i="5"/>
  <c r="I201" i="5"/>
  <c r="H201" i="5"/>
  <c r="I165" i="5"/>
  <c r="H165" i="5"/>
  <c r="P75" i="5"/>
  <c r="O75" i="5"/>
  <c r="H138" i="5"/>
  <c r="I138" i="5"/>
  <c r="I71" i="5"/>
  <c r="H71" i="5"/>
  <c r="I91" i="5"/>
  <c r="H91" i="5"/>
  <c r="O110" i="5"/>
  <c r="P110" i="5"/>
  <c r="I15" i="5"/>
  <c r="H15" i="5"/>
  <c r="I28" i="5"/>
  <c r="H28" i="5"/>
  <c r="P3" i="5"/>
  <c r="R3" i="5" s="1"/>
  <c r="D4" i="5" s="1"/>
  <c r="M4" i="5" s="1"/>
  <c r="H164" i="5"/>
  <c r="I164" i="5"/>
  <c r="H212" i="5"/>
  <c r="I212" i="5"/>
  <c r="I207" i="5"/>
  <c r="H207" i="5"/>
  <c r="I148" i="5"/>
  <c r="H148" i="5"/>
  <c r="P96" i="5"/>
  <c r="O96" i="5"/>
  <c r="I66" i="5"/>
  <c r="H66" i="5"/>
  <c r="H81" i="5"/>
  <c r="I81" i="5"/>
  <c r="I103" i="5"/>
  <c r="H103" i="5"/>
  <c r="O68" i="5"/>
  <c r="P68" i="5"/>
  <c r="H82" i="5"/>
  <c r="I82" i="5"/>
  <c r="P54" i="5"/>
  <c r="O54" i="5"/>
  <c r="P5" i="5"/>
  <c r="O5" i="5"/>
  <c r="I158" i="5"/>
  <c r="H158" i="5"/>
  <c r="I211" i="5"/>
  <c r="H211" i="5"/>
  <c r="H190" i="5"/>
  <c r="I190" i="5"/>
  <c r="H176" i="5"/>
  <c r="I176" i="5"/>
  <c r="I144" i="5"/>
  <c r="H144" i="5"/>
  <c r="O138" i="5"/>
  <c r="P138" i="5"/>
  <c r="I65" i="5"/>
  <c r="H65" i="5"/>
  <c r="I142" i="5"/>
  <c r="H142" i="5"/>
  <c r="H31" i="5"/>
  <c r="I31" i="5"/>
  <c r="I22" i="5"/>
  <c r="H22" i="5"/>
  <c r="H92" i="5"/>
  <c r="I92" i="5"/>
  <c r="I111" i="5"/>
  <c r="H111" i="5"/>
  <c r="I181" i="5"/>
  <c r="H181" i="5"/>
  <c r="H84" i="5"/>
  <c r="I84" i="5"/>
  <c r="I210" i="5"/>
  <c r="H210" i="5"/>
  <c r="I156" i="5"/>
  <c r="H156" i="5"/>
  <c r="I140" i="5"/>
  <c r="H140" i="5"/>
  <c r="I116" i="5"/>
  <c r="H116" i="5"/>
  <c r="I42" i="5"/>
  <c r="H42" i="5"/>
  <c r="P12" i="5"/>
  <c r="O12" i="5"/>
  <c r="I10" i="5"/>
  <c r="H10" i="5"/>
  <c r="P47" i="5"/>
  <c r="O47" i="5"/>
  <c r="H154" i="5"/>
  <c r="I154" i="5"/>
  <c r="O152" i="5"/>
  <c r="P152" i="5"/>
  <c r="O103" i="5"/>
  <c r="P103" i="5"/>
  <c r="I72" i="5"/>
  <c r="H72" i="5"/>
  <c r="O26" i="5"/>
  <c r="P26" i="5"/>
  <c r="H120" i="5"/>
  <c r="I120" i="5"/>
  <c r="I60" i="5"/>
  <c r="H60" i="5"/>
  <c r="H94" i="5"/>
  <c r="I94" i="5"/>
  <c r="P194" i="5"/>
  <c r="O194" i="5"/>
  <c r="H189" i="5"/>
  <c r="I189" i="5"/>
  <c r="I136" i="5"/>
  <c r="H136" i="5"/>
  <c r="H141" i="5"/>
  <c r="I141" i="5"/>
  <c r="I152" i="5"/>
  <c r="H152" i="5"/>
  <c r="H106" i="5"/>
  <c r="I106" i="5"/>
  <c r="I128" i="5"/>
  <c r="H128" i="5"/>
  <c r="H200" i="5"/>
  <c r="I200" i="5"/>
  <c r="H93" i="5"/>
  <c r="I93" i="5"/>
  <c r="I52" i="5"/>
  <c r="H52" i="5"/>
  <c r="P40" i="5"/>
  <c r="O40" i="5"/>
  <c r="I17" i="5"/>
  <c r="H17" i="5"/>
  <c r="H43" i="5"/>
  <c r="I43" i="5"/>
  <c r="O3" i="5"/>
  <c r="I174" i="5"/>
  <c r="H174" i="5"/>
  <c r="H177" i="5"/>
  <c r="I177" i="5"/>
  <c r="I214" i="5"/>
  <c r="H214" i="5"/>
  <c r="I132" i="5"/>
  <c r="H132" i="5"/>
  <c r="H121" i="5"/>
  <c r="I121" i="5"/>
  <c r="I57" i="5"/>
  <c r="H57" i="5"/>
  <c r="I59" i="5"/>
  <c r="H59" i="5"/>
  <c r="H36" i="4"/>
  <c r="I31" i="4"/>
  <c r="I156" i="4"/>
  <c r="H156" i="4"/>
  <c r="I68" i="4"/>
  <c r="H68" i="4"/>
  <c r="H87" i="4"/>
  <c r="I87" i="4"/>
  <c r="I144" i="4"/>
  <c r="H144" i="4"/>
  <c r="H35" i="4"/>
  <c r="I35" i="4"/>
  <c r="I129" i="4"/>
  <c r="H129" i="4"/>
  <c r="I213" i="4"/>
  <c r="H213" i="4"/>
  <c r="H46" i="4"/>
  <c r="I48" i="4"/>
  <c r="H209" i="4"/>
  <c r="I209" i="4"/>
  <c r="H179" i="4"/>
  <c r="I178" i="4"/>
  <c r="H178" i="4"/>
  <c r="H110" i="4"/>
  <c r="I110" i="4"/>
  <c r="I214" i="4"/>
  <c r="H214" i="4"/>
  <c r="I43" i="4"/>
  <c r="H43" i="4"/>
  <c r="I166" i="4"/>
  <c r="H166" i="4"/>
  <c r="I202" i="4"/>
  <c r="H202" i="4"/>
  <c r="H23" i="4"/>
  <c r="I23" i="4"/>
  <c r="H21" i="4"/>
  <c r="I66" i="4"/>
  <c r="H66" i="4"/>
  <c r="I9" i="4"/>
  <c r="H9" i="4"/>
  <c r="I210" i="4"/>
  <c r="H210" i="4"/>
  <c r="I137" i="4"/>
  <c r="H137" i="4"/>
  <c r="I2" i="4"/>
  <c r="M2" i="4" s="1"/>
  <c r="P2" i="4" s="1"/>
  <c r="R2" i="4" s="1"/>
  <c r="D3" i="4" s="1"/>
  <c r="H2" i="4"/>
  <c r="L2" i="4" s="1"/>
  <c r="O2" i="4" s="1"/>
  <c r="J4" i="4" s="1"/>
  <c r="K4" i="4" s="1"/>
  <c r="I131" i="4"/>
  <c r="H131" i="4"/>
  <c r="I205" i="4"/>
  <c r="H205" i="4"/>
  <c r="H11" i="4"/>
  <c r="I11" i="4"/>
  <c r="I189" i="4"/>
  <c r="H189" i="4"/>
  <c r="H72" i="4"/>
  <c r="I72" i="4"/>
  <c r="I153" i="4"/>
  <c r="H153" i="4"/>
  <c r="I165" i="4"/>
  <c r="H165" i="4"/>
  <c r="I192" i="4"/>
  <c r="H192" i="4"/>
  <c r="I200" i="4"/>
  <c r="H200" i="4"/>
  <c r="H184" i="4"/>
  <c r="I184" i="4"/>
  <c r="I98" i="4"/>
  <c r="H98" i="4"/>
  <c r="I111" i="4"/>
  <c r="H111" i="4"/>
  <c r="I141" i="4"/>
  <c r="H141" i="4"/>
  <c r="I57" i="4"/>
  <c r="H57" i="4"/>
  <c r="I124" i="4"/>
  <c r="H124" i="4"/>
  <c r="I41" i="4"/>
  <c r="H41" i="4"/>
  <c r="I164" i="4"/>
  <c r="H164" i="4"/>
  <c r="H94" i="4"/>
  <c r="I94" i="4"/>
  <c r="H15" i="4"/>
  <c r="I15" i="4"/>
  <c r="H159" i="4"/>
  <c r="I159" i="4"/>
  <c r="I152" i="4"/>
  <c r="H152" i="4"/>
  <c r="I88" i="4"/>
  <c r="H88" i="4"/>
  <c r="P109" i="4"/>
  <c r="O109" i="4"/>
  <c r="I115" i="4"/>
  <c r="H115" i="4"/>
  <c r="H128" i="4"/>
  <c r="I128" i="4"/>
  <c r="I212" i="4"/>
  <c r="H212" i="4"/>
  <c r="H136" i="4"/>
  <c r="I136" i="4"/>
  <c r="H160" i="4"/>
  <c r="I160" i="4"/>
  <c r="H182" i="4"/>
  <c r="I182" i="4"/>
  <c r="H27" i="4"/>
  <c r="I27" i="4"/>
  <c r="I29" i="4"/>
  <c r="H29" i="4"/>
  <c r="I198" i="4"/>
  <c r="H198" i="4"/>
  <c r="H175" i="4"/>
  <c r="I175" i="4"/>
  <c r="H172" i="4"/>
  <c r="I172" i="4"/>
  <c r="H138" i="4"/>
  <c r="I138" i="4"/>
  <c r="I114" i="4"/>
  <c r="H114" i="4"/>
  <c r="H151" i="4"/>
  <c r="I151" i="4"/>
  <c r="H109" i="4"/>
  <c r="I109" i="4"/>
  <c r="P18" i="4"/>
  <c r="O18" i="4"/>
  <c r="H170" i="4"/>
  <c r="I170" i="4"/>
  <c r="H3" i="4"/>
  <c r="I3" i="4"/>
  <c r="I32" i="4"/>
  <c r="H32" i="4"/>
  <c r="I8" i="4"/>
  <c r="H8" i="4"/>
  <c r="I14" i="4"/>
  <c r="H14" i="4"/>
  <c r="I174" i="4"/>
  <c r="H174" i="4"/>
  <c r="I133" i="4"/>
  <c r="H133" i="4"/>
  <c r="O151" i="4"/>
  <c r="P151" i="4"/>
  <c r="I17" i="4"/>
  <c r="H17" i="4"/>
  <c r="I28" i="4"/>
  <c r="H28" i="4"/>
  <c r="I76" i="4"/>
  <c r="H76" i="4"/>
  <c r="P53" i="4"/>
  <c r="O53" i="4"/>
  <c r="H93" i="4"/>
  <c r="I93" i="4"/>
  <c r="Q2" i="4"/>
  <c r="C3" i="4" s="1"/>
  <c r="I188" i="4"/>
  <c r="H188" i="4"/>
  <c r="O172" i="4"/>
  <c r="P172" i="4"/>
  <c r="I193" i="4"/>
  <c r="H193" i="4"/>
  <c r="H77" i="4"/>
  <c r="I77" i="4"/>
  <c r="I52" i="4"/>
  <c r="H52" i="4"/>
  <c r="H71" i="4"/>
  <c r="I71" i="4"/>
  <c r="I101" i="4"/>
  <c r="H101" i="4"/>
  <c r="P130" i="4"/>
  <c r="O130" i="4"/>
  <c r="H122" i="4"/>
  <c r="I122" i="4"/>
  <c r="P88" i="4"/>
  <c r="O88" i="4"/>
  <c r="I113" i="4"/>
  <c r="H113" i="4"/>
  <c r="H50" i="4"/>
  <c r="I50" i="4"/>
  <c r="I86" i="4"/>
  <c r="H86" i="4"/>
  <c r="P193" i="4"/>
  <c r="O193" i="4"/>
  <c r="I5" i="4"/>
  <c r="H5" i="4"/>
  <c r="H53" i="4"/>
  <c r="I53" i="4"/>
  <c r="O116" i="4"/>
  <c r="P116" i="4"/>
  <c r="I34" i="4"/>
  <c r="H34" i="4"/>
  <c r="H211" i="4"/>
  <c r="I211" i="4"/>
  <c r="H123" i="4"/>
  <c r="I123" i="4"/>
  <c r="I155" i="4"/>
  <c r="H155" i="4"/>
  <c r="H161" i="4"/>
  <c r="I161" i="4"/>
  <c r="I176" i="4"/>
  <c r="H176" i="4"/>
  <c r="I180" i="4"/>
  <c r="H180" i="4"/>
  <c r="I143" i="4"/>
  <c r="H143" i="4"/>
  <c r="I142" i="4"/>
  <c r="H142" i="4"/>
  <c r="H74" i="4"/>
  <c r="I74" i="4"/>
  <c r="H162" i="4"/>
  <c r="I162" i="4"/>
  <c r="I118" i="4"/>
  <c r="H118" i="4"/>
  <c r="I44" i="4"/>
  <c r="H44" i="4"/>
  <c r="I16" i="4"/>
  <c r="H16" i="4"/>
  <c r="P32" i="4"/>
  <c r="O32" i="4"/>
  <c r="I64" i="4"/>
  <c r="H64" i="4"/>
  <c r="H197" i="4"/>
  <c r="I197" i="4"/>
  <c r="I169" i="4"/>
  <c r="H169" i="4"/>
  <c r="I145" i="4"/>
  <c r="H145" i="4"/>
  <c r="H171" i="4"/>
  <c r="I171" i="4"/>
  <c r="I139" i="4"/>
  <c r="H139" i="4"/>
  <c r="I65" i="4"/>
  <c r="H65" i="4"/>
  <c r="I40" i="4"/>
  <c r="H40" i="4"/>
  <c r="P25" i="4"/>
  <c r="O25" i="4"/>
  <c r="P39" i="4"/>
  <c r="O39" i="4"/>
  <c r="I62" i="4"/>
  <c r="H62" i="4"/>
  <c r="H201" i="4"/>
  <c r="I201" i="4"/>
  <c r="P200" i="4"/>
  <c r="O200" i="4"/>
  <c r="H149" i="4"/>
  <c r="I149" i="4"/>
  <c r="H163" i="4"/>
  <c r="I163" i="4"/>
  <c r="I107" i="4"/>
  <c r="H107" i="4"/>
  <c r="I80" i="4"/>
  <c r="H80" i="4"/>
  <c r="H119" i="4"/>
  <c r="I119" i="4"/>
  <c r="I4" i="4"/>
  <c r="H4" i="4"/>
  <c r="I26" i="4"/>
  <c r="H26" i="4"/>
  <c r="I20" i="4"/>
  <c r="H20" i="4"/>
  <c r="I116" i="4"/>
  <c r="H116" i="4"/>
  <c r="H85" i="4"/>
  <c r="I85" i="4"/>
  <c r="I177" i="4"/>
  <c r="H177" i="4"/>
  <c r="H146" i="4"/>
  <c r="I146" i="4"/>
  <c r="H106" i="4"/>
  <c r="I106" i="4"/>
  <c r="I194" i="4"/>
  <c r="H194" i="4"/>
  <c r="I79" i="4"/>
  <c r="H79" i="4"/>
  <c r="I97" i="4"/>
  <c r="H97" i="4"/>
  <c r="I61" i="4"/>
  <c r="H61" i="4"/>
  <c r="I96" i="4"/>
  <c r="H96" i="4"/>
  <c r="I58" i="4"/>
  <c r="H58" i="4"/>
  <c r="I191" i="3"/>
  <c r="H191" i="3"/>
  <c r="I167" i="3"/>
  <c r="H167" i="3"/>
  <c r="I203" i="3"/>
  <c r="H203" i="3"/>
  <c r="I118" i="3"/>
  <c r="H118" i="3"/>
  <c r="I210" i="3"/>
  <c r="H210" i="3"/>
  <c r="I69" i="3"/>
  <c r="H69" i="3"/>
  <c r="H46" i="3"/>
  <c r="I46" i="3"/>
  <c r="I8" i="3"/>
  <c r="H8" i="3"/>
  <c r="I13" i="3"/>
  <c r="H13" i="3"/>
  <c r="P215" i="3"/>
  <c r="O215" i="3"/>
  <c r="H70" i="3"/>
  <c r="I70" i="3"/>
  <c r="P201" i="3"/>
  <c r="O201" i="3"/>
  <c r="P152" i="3"/>
  <c r="O152" i="3"/>
  <c r="I205" i="3"/>
  <c r="H205" i="3"/>
  <c r="I144" i="3"/>
  <c r="H144" i="3"/>
  <c r="I78" i="3"/>
  <c r="H78" i="3"/>
  <c r="I90" i="3"/>
  <c r="H90" i="3"/>
  <c r="I109" i="3"/>
  <c r="H109" i="3"/>
  <c r="P26" i="3"/>
  <c r="O26" i="3"/>
  <c r="H56" i="3"/>
  <c r="I56" i="3"/>
  <c r="I67" i="3"/>
  <c r="H67" i="3"/>
  <c r="I30" i="3"/>
  <c r="H30" i="3"/>
  <c r="P33" i="3"/>
  <c r="O33" i="3"/>
  <c r="P40" i="3"/>
  <c r="O40" i="3"/>
  <c r="I154" i="3"/>
  <c r="H154" i="3"/>
  <c r="I162" i="3"/>
  <c r="H162" i="3"/>
  <c r="I134" i="3"/>
  <c r="H134" i="3"/>
  <c r="I114" i="3"/>
  <c r="H114" i="3"/>
  <c r="P110" i="3"/>
  <c r="O110" i="3"/>
  <c r="I80" i="3"/>
  <c r="H80" i="3"/>
  <c r="I32" i="3"/>
  <c r="H32" i="3"/>
  <c r="I39" i="3"/>
  <c r="H39" i="3"/>
  <c r="I3" i="3"/>
  <c r="M3" i="3" s="1"/>
  <c r="H3" i="3"/>
  <c r="L3" i="3" s="1"/>
  <c r="I49" i="3"/>
  <c r="H49" i="3"/>
  <c r="P103" i="3"/>
  <c r="O103" i="3"/>
  <c r="I215" i="3"/>
  <c r="H215" i="3"/>
  <c r="P208" i="3"/>
  <c r="O208" i="3"/>
  <c r="P194" i="3"/>
  <c r="O194" i="3"/>
  <c r="I156" i="3"/>
  <c r="H156" i="3"/>
  <c r="P180" i="3"/>
  <c r="O180" i="3"/>
  <c r="I186" i="3"/>
  <c r="H186" i="3"/>
  <c r="I193" i="3"/>
  <c r="H193" i="3"/>
  <c r="I198" i="3"/>
  <c r="H198" i="3"/>
  <c r="I208" i="3"/>
  <c r="H208" i="3"/>
  <c r="I139" i="3"/>
  <c r="H139" i="3"/>
  <c r="H58" i="3"/>
  <c r="I58" i="3"/>
  <c r="H115" i="3"/>
  <c r="I115" i="3"/>
  <c r="I85" i="3"/>
  <c r="H85" i="3"/>
  <c r="I73" i="3"/>
  <c r="H73" i="3"/>
  <c r="H81" i="3"/>
  <c r="I81" i="3"/>
  <c r="O3" i="3"/>
  <c r="P3" i="3"/>
  <c r="H155" i="3"/>
  <c r="I155" i="3"/>
  <c r="I6" i="3"/>
  <c r="H6" i="3"/>
  <c r="I149" i="3"/>
  <c r="H149" i="3"/>
  <c r="H157" i="3"/>
  <c r="I157" i="3"/>
  <c r="O47" i="3"/>
  <c r="P47" i="3"/>
  <c r="H110" i="3"/>
  <c r="I110" i="3"/>
  <c r="P61" i="3"/>
  <c r="O61" i="3"/>
  <c r="P19" i="3"/>
  <c r="O19" i="3"/>
  <c r="I27" i="3"/>
  <c r="H27" i="3"/>
  <c r="I172" i="3"/>
  <c r="H172" i="3"/>
  <c r="I169" i="3"/>
  <c r="H169" i="3"/>
  <c r="I146" i="3"/>
  <c r="H146" i="3"/>
  <c r="I99" i="3"/>
  <c r="H99" i="3"/>
  <c r="P68" i="3"/>
  <c r="O68" i="3"/>
  <c r="I102" i="3"/>
  <c r="H102" i="3"/>
  <c r="H132" i="3"/>
  <c r="I132" i="3"/>
  <c r="I18" i="3"/>
  <c r="H18" i="3"/>
  <c r="P138" i="3"/>
  <c r="O138" i="3"/>
  <c r="I93" i="3"/>
  <c r="H93" i="3"/>
  <c r="I181" i="3"/>
  <c r="H181" i="3"/>
  <c r="I20" i="3"/>
  <c r="H20" i="3"/>
  <c r="I15" i="3"/>
  <c r="H15" i="3"/>
  <c r="I137" i="3"/>
  <c r="H137" i="3"/>
  <c r="I174" i="3"/>
  <c r="H174" i="3"/>
  <c r="I120" i="3"/>
  <c r="H120" i="3"/>
  <c r="I57" i="3"/>
  <c r="H57" i="3"/>
  <c r="I51" i="3"/>
  <c r="H51" i="3"/>
  <c r="I63" i="3"/>
  <c r="H63" i="3"/>
  <c r="H113" i="3"/>
  <c r="I113" i="3"/>
  <c r="I37" i="3"/>
  <c r="H37" i="3"/>
  <c r="I184" i="3"/>
  <c r="H184" i="3"/>
  <c r="I125" i="3"/>
  <c r="H125" i="3"/>
  <c r="I151" i="3"/>
  <c r="H151" i="3"/>
  <c r="I43" i="3"/>
  <c r="H43" i="3"/>
  <c r="I87" i="3"/>
  <c r="H87" i="3"/>
  <c r="H105" i="3"/>
  <c r="I105" i="3"/>
  <c r="I25" i="3"/>
  <c r="H25" i="3"/>
  <c r="I165" i="3"/>
  <c r="H165" i="3"/>
  <c r="I196" i="3"/>
  <c r="H196" i="3"/>
  <c r="I160" i="3"/>
  <c r="H160" i="3"/>
  <c r="I131" i="3"/>
  <c r="H131" i="3"/>
  <c r="I179" i="3"/>
  <c r="H179" i="3"/>
  <c r="I97" i="3"/>
  <c r="H97" i="3"/>
  <c r="I53" i="3"/>
  <c r="H53" i="3"/>
  <c r="I55" i="3"/>
  <c r="H55" i="3"/>
  <c r="H44" i="3"/>
  <c r="I44" i="3"/>
  <c r="I83" i="3"/>
  <c r="H83" i="3"/>
  <c r="I61" i="3"/>
  <c r="H61" i="3"/>
  <c r="R3" i="1"/>
  <c r="D4" i="1" s="1"/>
  <c r="M4" i="1" s="1"/>
  <c r="R4" i="1" s="1"/>
  <c r="D5" i="1" s="1"/>
  <c r="M5" i="1" s="1"/>
  <c r="R5" i="1" s="1"/>
  <c r="D6" i="1" s="1"/>
  <c r="M6" i="1" s="1"/>
  <c r="P6" i="1" s="1"/>
  <c r="O3" i="1"/>
  <c r="Q3" i="1" s="1"/>
  <c r="C4" i="1" s="1"/>
  <c r="L4" i="1" s="1"/>
  <c r="O4" i="1" s="1"/>
  <c r="M4" i="9" l="1"/>
  <c r="J5" i="9"/>
  <c r="Q3" i="9"/>
  <c r="Q3" i="6"/>
  <c r="C4" i="6" s="1"/>
  <c r="L4" i="6" s="1"/>
  <c r="O3" i="6"/>
  <c r="P3" i="6"/>
  <c r="R3" i="6" s="1"/>
  <c r="D4" i="6" s="1"/>
  <c r="M4" i="6" s="1"/>
  <c r="P4" i="5"/>
  <c r="R4" i="5" s="1"/>
  <c r="D5" i="5" s="1"/>
  <c r="M5" i="5" s="1"/>
  <c r="R5" i="5" s="1"/>
  <c r="D6" i="5" s="1"/>
  <c r="M6" i="5" s="1"/>
  <c r="J5" i="5"/>
  <c r="K5" i="5" s="1"/>
  <c r="Q3" i="5"/>
  <c r="C4" i="5" s="1"/>
  <c r="L4" i="5" s="1"/>
  <c r="M3" i="4"/>
  <c r="P3" i="4" s="1"/>
  <c r="R3" i="4" s="1"/>
  <c r="D4" i="4" s="1"/>
  <c r="M4" i="4" s="1"/>
  <c r="R4" i="4" s="1"/>
  <c r="D5" i="4" s="1"/>
  <c r="M5" i="4" s="1"/>
  <c r="L3" i="4"/>
  <c r="Q3" i="3"/>
  <c r="C4" i="3" s="1"/>
  <c r="L4" i="3" s="1"/>
  <c r="R3" i="3"/>
  <c r="D4" i="3" s="1"/>
  <c r="M4" i="3" s="1"/>
  <c r="J5" i="3"/>
  <c r="K5" i="3" s="1"/>
  <c r="Q4" i="1"/>
  <c r="C5" i="1" s="1"/>
  <c r="L5" i="1" s="1"/>
  <c r="Q5" i="1" s="1"/>
  <c r="C6" i="1" s="1"/>
  <c r="F6" i="1" s="1"/>
  <c r="L6" i="1" s="1"/>
  <c r="O6" i="1" s="1"/>
  <c r="J6" i="1"/>
  <c r="K6" i="1" s="1"/>
  <c r="K7" i="1"/>
  <c r="R6" i="1"/>
  <c r="D7" i="1" s="1"/>
  <c r="M7" i="1" s="1"/>
  <c r="P7" i="1" s="1"/>
  <c r="C4" i="9" l="1"/>
  <c r="K5" i="9"/>
  <c r="P4" i="9"/>
  <c r="R4" i="9" s="1"/>
  <c r="D5" i="9" s="1"/>
  <c r="M5" i="9" s="1"/>
  <c r="R5" i="9" s="1"/>
  <c r="D6" i="9" s="1"/>
  <c r="M6" i="9" s="1"/>
  <c r="P4" i="6"/>
  <c r="R4" i="6" s="1"/>
  <c r="D5" i="6" s="1"/>
  <c r="M5" i="6" s="1"/>
  <c r="R5" i="6" s="1"/>
  <c r="D6" i="6" s="1"/>
  <c r="M6" i="6" s="1"/>
  <c r="O4" i="6"/>
  <c r="J7" i="6" s="1"/>
  <c r="K7" i="6" s="1"/>
  <c r="J5" i="6"/>
  <c r="K5" i="6" s="1"/>
  <c r="P6" i="5"/>
  <c r="R6" i="5" s="1"/>
  <c r="D7" i="5" s="1"/>
  <c r="M7" i="5" s="1"/>
  <c r="O4" i="5"/>
  <c r="P5" i="4"/>
  <c r="R5" i="4" s="1"/>
  <c r="D6" i="4" s="1"/>
  <c r="M6" i="4" s="1"/>
  <c r="O3" i="4"/>
  <c r="R4" i="3"/>
  <c r="D5" i="3" s="1"/>
  <c r="M5" i="3" s="1"/>
  <c r="R5" i="3" s="1"/>
  <c r="D6" i="3" s="1"/>
  <c r="M6" i="3" s="1"/>
  <c r="P4" i="3"/>
  <c r="O4" i="3"/>
  <c r="Q4" i="3" s="1"/>
  <c r="C5" i="3" s="1"/>
  <c r="L5" i="3" s="1"/>
  <c r="Q5" i="3" s="1"/>
  <c r="C6" i="3" s="1"/>
  <c r="F6" i="3" s="1"/>
  <c r="Q6" i="1"/>
  <c r="C7" i="1" s="1"/>
  <c r="L7" i="1" s="1"/>
  <c r="O7" i="1" s="1"/>
  <c r="K8" i="1"/>
  <c r="R7" i="1"/>
  <c r="D8" i="1" s="1"/>
  <c r="M8" i="1" s="1"/>
  <c r="L4" i="9" l="1"/>
  <c r="P6" i="9"/>
  <c r="R6" i="9" s="1"/>
  <c r="D7" i="9" s="1"/>
  <c r="M7" i="9" s="1"/>
  <c r="P6" i="6"/>
  <c r="R6" i="6" s="1"/>
  <c r="D7" i="6" s="1"/>
  <c r="M7" i="6" s="1"/>
  <c r="Q4" i="6"/>
  <c r="C5" i="6" s="1"/>
  <c r="L5" i="6" s="1"/>
  <c r="Q5" i="6" s="1"/>
  <c r="C6" i="6" s="1"/>
  <c r="F6" i="6" s="1"/>
  <c r="J6" i="6"/>
  <c r="K6" i="6" s="1"/>
  <c r="P7" i="5"/>
  <c r="R7" i="5" s="1"/>
  <c r="D8" i="5" s="1"/>
  <c r="M8" i="5" s="1"/>
  <c r="J7" i="5"/>
  <c r="K7" i="5" s="1"/>
  <c r="J6" i="5"/>
  <c r="K6" i="5" s="1"/>
  <c r="L6" i="5" s="1"/>
  <c r="Q4" i="5"/>
  <c r="C5" i="5" s="1"/>
  <c r="L5" i="5" s="1"/>
  <c r="Q5" i="5" s="1"/>
  <c r="C6" i="5" s="1"/>
  <c r="F6" i="5" s="1"/>
  <c r="P6" i="4"/>
  <c r="R6" i="4" s="1"/>
  <c r="D7" i="4" s="1"/>
  <c r="M7" i="4" s="1"/>
  <c r="J6" i="4"/>
  <c r="K6" i="4" s="1"/>
  <c r="J5" i="4"/>
  <c r="K5" i="4" s="1"/>
  <c r="Q3" i="4"/>
  <c r="C4" i="4" s="1"/>
  <c r="L4" i="4" s="1"/>
  <c r="Q4" i="4" s="1"/>
  <c r="C5" i="4" s="1"/>
  <c r="F5" i="4" s="1"/>
  <c r="P6" i="3"/>
  <c r="R6" i="3" s="1"/>
  <c r="D7" i="3" s="1"/>
  <c r="M7" i="3" s="1"/>
  <c r="J7" i="3"/>
  <c r="K7" i="3" s="1"/>
  <c r="J6" i="3"/>
  <c r="K6" i="3" s="1"/>
  <c r="L6" i="3" s="1"/>
  <c r="J9" i="1"/>
  <c r="K9" i="1" s="1"/>
  <c r="Q7" i="1"/>
  <c r="C8" i="1" s="1"/>
  <c r="L8" i="1" s="1"/>
  <c r="O8" i="1" s="1"/>
  <c r="P8" i="1"/>
  <c r="R8" i="1" s="1"/>
  <c r="D9" i="1" s="1"/>
  <c r="M9" i="1" s="1"/>
  <c r="O4" i="9" l="1"/>
  <c r="R7" i="9"/>
  <c r="D8" i="9" s="1"/>
  <c r="M8" i="9" s="1"/>
  <c r="P7" i="9"/>
  <c r="P7" i="6"/>
  <c r="R7" i="6" s="1"/>
  <c r="D8" i="6" s="1"/>
  <c r="M8" i="6" s="1"/>
  <c r="L6" i="6"/>
  <c r="P8" i="5"/>
  <c r="R8" i="5" s="1"/>
  <c r="D9" i="5" s="1"/>
  <c r="M9" i="5" s="1"/>
  <c r="O6" i="5"/>
  <c r="P7" i="4"/>
  <c r="R7" i="4" s="1"/>
  <c r="D8" i="4" s="1"/>
  <c r="M8" i="4" s="1"/>
  <c r="L5" i="4"/>
  <c r="R7" i="3"/>
  <c r="D8" i="3" s="1"/>
  <c r="M8" i="3" s="1"/>
  <c r="P7" i="3"/>
  <c r="O6" i="3"/>
  <c r="Q6" i="3" s="1"/>
  <c r="C7" i="3" s="1"/>
  <c r="L7" i="3" s="1"/>
  <c r="J11" i="1"/>
  <c r="J10" i="1"/>
  <c r="Q8" i="1"/>
  <c r="C9" i="1" s="1"/>
  <c r="L9" i="1" s="1"/>
  <c r="O9" i="1" s="1"/>
  <c r="K10" i="1"/>
  <c r="P9" i="1"/>
  <c r="R9" i="1" s="1"/>
  <c r="D10" i="1" s="1"/>
  <c r="M10" i="1" s="1"/>
  <c r="J6" i="9" l="1"/>
  <c r="J7" i="9"/>
  <c r="K7" i="9" s="1"/>
  <c r="Q4" i="9"/>
  <c r="P8" i="9"/>
  <c r="R8" i="9" s="1"/>
  <c r="D9" i="9" s="1"/>
  <c r="M9" i="9" s="1"/>
  <c r="P8" i="6"/>
  <c r="R8" i="6" s="1"/>
  <c r="D9" i="6" s="1"/>
  <c r="M9" i="6" s="1"/>
  <c r="O6" i="6"/>
  <c r="P9" i="5"/>
  <c r="R9" i="5" s="1"/>
  <c r="D10" i="5" s="1"/>
  <c r="M10" i="5" s="1"/>
  <c r="J8" i="5"/>
  <c r="K8" i="5" s="1"/>
  <c r="Q6" i="5"/>
  <c r="C7" i="5" s="1"/>
  <c r="L7" i="5" s="1"/>
  <c r="P8" i="4"/>
  <c r="R8" i="4" s="1"/>
  <c r="D9" i="4" s="1"/>
  <c r="M9" i="4" s="1"/>
  <c r="O5" i="4"/>
  <c r="Q7" i="3"/>
  <c r="C8" i="3" s="1"/>
  <c r="O7" i="3"/>
  <c r="P8" i="3"/>
  <c r="R8" i="3" s="1"/>
  <c r="D9" i="3" s="1"/>
  <c r="M9" i="3" s="1"/>
  <c r="J9" i="3"/>
  <c r="K9" i="3" s="1"/>
  <c r="J8" i="3"/>
  <c r="K8" i="3" s="1"/>
  <c r="K11" i="1"/>
  <c r="Q9" i="1"/>
  <c r="C10" i="1" s="1"/>
  <c r="L10" i="1" s="1"/>
  <c r="O10" i="1" s="1"/>
  <c r="P10" i="1"/>
  <c r="R10" i="1"/>
  <c r="D11" i="1" s="1"/>
  <c r="M11" i="1" s="1"/>
  <c r="P11" i="1" s="1"/>
  <c r="R11" i="1"/>
  <c r="D12" i="1" s="1"/>
  <c r="M12" i="1" s="1"/>
  <c r="R12" i="1" s="1"/>
  <c r="D13" i="1" s="1"/>
  <c r="M13" i="1" s="1"/>
  <c r="P13" i="1" s="1"/>
  <c r="K6" i="9" l="1"/>
  <c r="C5" i="9"/>
  <c r="P9" i="9"/>
  <c r="R9" i="9" s="1"/>
  <c r="D10" i="9" s="1"/>
  <c r="M10" i="9" s="1"/>
  <c r="P9" i="6"/>
  <c r="R9" i="6" s="1"/>
  <c r="D10" i="6" s="1"/>
  <c r="M10" i="6" s="1"/>
  <c r="J8" i="6"/>
  <c r="K8" i="6" s="1"/>
  <c r="Q6" i="6"/>
  <c r="C7" i="6" s="1"/>
  <c r="L7" i="6" s="1"/>
  <c r="P10" i="5"/>
  <c r="R10" i="5" s="1"/>
  <c r="D11" i="5" s="1"/>
  <c r="M11" i="5" s="1"/>
  <c r="O7" i="5"/>
  <c r="J7" i="4"/>
  <c r="K7" i="4" s="1"/>
  <c r="Q5" i="4"/>
  <c r="C6" i="4" s="1"/>
  <c r="L6" i="4" s="1"/>
  <c r="P9" i="4"/>
  <c r="R9" i="4" s="1"/>
  <c r="D10" i="4" s="1"/>
  <c r="M10" i="4" s="1"/>
  <c r="R9" i="3"/>
  <c r="D10" i="3" s="1"/>
  <c r="M10" i="3" s="1"/>
  <c r="P9" i="3"/>
  <c r="L8" i="3"/>
  <c r="K12" i="1"/>
  <c r="J12" i="1"/>
  <c r="Q10" i="1"/>
  <c r="C11" i="1" s="1"/>
  <c r="L11" i="1" s="1"/>
  <c r="O11" i="1" s="1"/>
  <c r="R13" i="1"/>
  <c r="D14" i="1" s="1"/>
  <c r="M14" i="1" s="1"/>
  <c r="P14" i="1" s="1"/>
  <c r="L5" i="9" l="1"/>
  <c r="P10" i="9"/>
  <c r="R10" i="9" s="1"/>
  <c r="D11" i="9" s="1"/>
  <c r="M11" i="9" s="1"/>
  <c r="P10" i="6"/>
  <c r="R10" i="6" s="1"/>
  <c r="D11" i="6" s="1"/>
  <c r="M11" i="6" s="1"/>
  <c r="O7" i="6"/>
  <c r="R11" i="5"/>
  <c r="D12" i="5" s="1"/>
  <c r="M12" i="5" s="1"/>
  <c r="R12" i="5" s="1"/>
  <c r="D13" i="5" s="1"/>
  <c r="M13" i="5" s="1"/>
  <c r="P11" i="5"/>
  <c r="J9" i="5"/>
  <c r="K9" i="5" s="1"/>
  <c r="Q7" i="5"/>
  <c r="C8" i="5" s="1"/>
  <c r="L8" i="5" s="1"/>
  <c r="P10" i="4"/>
  <c r="R10" i="4" s="1"/>
  <c r="D11" i="4" s="1"/>
  <c r="M11" i="4" s="1"/>
  <c r="R11" i="4" s="1"/>
  <c r="D12" i="4" s="1"/>
  <c r="M12" i="4" s="1"/>
  <c r="O6" i="4"/>
  <c r="O8" i="3"/>
  <c r="P10" i="3"/>
  <c r="R10" i="3" s="1"/>
  <c r="D11" i="3" s="1"/>
  <c r="M11" i="3" s="1"/>
  <c r="K14" i="1"/>
  <c r="J14" i="1"/>
  <c r="J13" i="1"/>
  <c r="K13" i="1"/>
  <c r="Q11" i="1"/>
  <c r="C12" i="1" s="1"/>
  <c r="L12" i="1" s="1"/>
  <c r="Q12" i="1" s="1"/>
  <c r="C13" i="1" s="1"/>
  <c r="F13" i="1" s="1"/>
  <c r="R14" i="1"/>
  <c r="D15" i="1" s="1"/>
  <c r="M15" i="1" s="1"/>
  <c r="P15" i="1" s="1"/>
  <c r="Q5" i="9" l="1"/>
  <c r="P11" i="9"/>
  <c r="R11" i="9" s="1"/>
  <c r="D12" i="9" s="1"/>
  <c r="M12" i="9" s="1"/>
  <c r="R12" i="9" s="1"/>
  <c r="D13" i="9" s="1"/>
  <c r="M13" i="9" s="1"/>
  <c r="P11" i="6"/>
  <c r="R11" i="6" s="1"/>
  <c r="D12" i="6" s="1"/>
  <c r="M12" i="6" s="1"/>
  <c r="R12" i="6" s="1"/>
  <c r="D13" i="6" s="1"/>
  <c r="M13" i="6" s="1"/>
  <c r="J9" i="6"/>
  <c r="K9" i="6" s="1"/>
  <c r="Q7" i="6"/>
  <c r="C8" i="6" s="1"/>
  <c r="L8" i="6" s="1"/>
  <c r="O8" i="5"/>
  <c r="P13" i="5"/>
  <c r="R13" i="5" s="1"/>
  <c r="D14" i="5" s="1"/>
  <c r="M14" i="5" s="1"/>
  <c r="J8" i="4"/>
  <c r="K8" i="4" s="1"/>
  <c r="Q6" i="4"/>
  <c r="C7" i="4" s="1"/>
  <c r="L7" i="4" s="1"/>
  <c r="P12" i="4"/>
  <c r="R12" i="4" s="1"/>
  <c r="D13" i="4" s="1"/>
  <c r="M13" i="4" s="1"/>
  <c r="P11" i="3"/>
  <c r="R11" i="3" s="1"/>
  <c r="D12" i="3" s="1"/>
  <c r="M12" i="3" s="1"/>
  <c r="R12" i="3" s="1"/>
  <c r="D13" i="3" s="1"/>
  <c r="M13" i="3" s="1"/>
  <c r="J10" i="3"/>
  <c r="K10" i="3" s="1"/>
  <c r="Q8" i="3"/>
  <c r="C9" i="3" s="1"/>
  <c r="L9" i="3" s="1"/>
  <c r="L13" i="1"/>
  <c r="O13" i="1" s="1"/>
  <c r="R15" i="1"/>
  <c r="D16" i="1" s="1"/>
  <c r="M16" i="1" s="1"/>
  <c r="P16" i="1" s="1"/>
  <c r="C6" i="9" l="1"/>
  <c r="P13" i="9"/>
  <c r="R13" i="9" s="1"/>
  <c r="D14" i="9" s="1"/>
  <c r="M14" i="9" s="1"/>
  <c r="P13" i="6"/>
  <c r="R13" i="6" s="1"/>
  <c r="D14" i="6" s="1"/>
  <c r="M14" i="6" s="1"/>
  <c r="O8" i="6"/>
  <c r="P14" i="5"/>
  <c r="R14" i="5" s="1"/>
  <c r="D15" i="5" s="1"/>
  <c r="M15" i="5" s="1"/>
  <c r="J10" i="5"/>
  <c r="K10" i="5" s="1"/>
  <c r="Q8" i="5"/>
  <c r="C9" i="5" s="1"/>
  <c r="L9" i="5" s="1"/>
  <c r="P13" i="4"/>
  <c r="R13" i="4" s="1"/>
  <c r="D14" i="4" s="1"/>
  <c r="M14" i="4" s="1"/>
  <c r="O7" i="4"/>
  <c r="P13" i="3"/>
  <c r="R13" i="3" s="1"/>
  <c r="D14" i="3" s="1"/>
  <c r="M14" i="3" s="1"/>
  <c r="O9" i="3"/>
  <c r="J15" i="1"/>
  <c r="K15" i="1" s="1"/>
  <c r="Q13" i="1"/>
  <c r="C14" i="1" s="1"/>
  <c r="L14" i="1" s="1"/>
  <c r="R16" i="1"/>
  <c r="D17" i="1" s="1"/>
  <c r="M17" i="1" s="1"/>
  <c r="P17" i="1" s="1"/>
  <c r="F6" i="9" l="1"/>
  <c r="L6" i="9" s="1"/>
  <c r="P14" i="9"/>
  <c r="R14" i="9" s="1"/>
  <c r="D15" i="9" s="1"/>
  <c r="M15" i="9" s="1"/>
  <c r="P14" i="6"/>
  <c r="R14" i="6" s="1"/>
  <c r="D15" i="6" s="1"/>
  <c r="M15" i="6" s="1"/>
  <c r="J10" i="6"/>
  <c r="K10" i="6" s="1"/>
  <c r="Q8" i="6"/>
  <c r="C9" i="6" s="1"/>
  <c r="L9" i="6" s="1"/>
  <c r="P15" i="5"/>
  <c r="R15" i="5" s="1"/>
  <c r="D16" i="5" s="1"/>
  <c r="M16" i="5" s="1"/>
  <c r="O9" i="5"/>
  <c r="J9" i="4"/>
  <c r="K9" i="4" s="1"/>
  <c r="Q7" i="4"/>
  <c r="C8" i="4" s="1"/>
  <c r="L8" i="4" s="1"/>
  <c r="P14" i="4"/>
  <c r="R14" i="4" s="1"/>
  <c r="D15" i="4" s="1"/>
  <c r="M15" i="4" s="1"/>
  <c r="P14" i="3"/>
  <c r="R14" i="3" s="1"/>
  <c r="D15" i="3" s="1"/>
  <c r="M15" i="3" s="1"/>
  <c r="J11" i="3"/>
  <c r="K11" i="3" s="1"/>
  <c r="Q9" i="3"/>
  <c r="C10" i="3" s="1"/>
  <c r="L10" i="3" s="1"/>
  <c r="O14" i="1"/>
  <c r="R17" i="1"/>
  <c r="D18" i="1" s="1"/>
  <c r="M18" i="1" s="1"/>
  <c r="P18" i="1" s="1"/>
  <c r="O6" i="9" l="1"/>
  <c r="P15" i="9"/>
  <c r="R15" i="9" s="1"/>
  <c r="D16" i="9" s="1"/>
  <c r="M16" i="9" s="1"/>
  <c r="P15" i="6"/>
  <c r="R15" i="6" s="1"/>
  <c r="D16" i="6" s="1"/>
  <c r="M16" i="6" s="1"/>
  <c r="O9" i="6"/>
  <c r="R16" i="5"/>
  <c r="D17" i="5" s="1"/>
  <c r="M17" i="5" s="1"/>
  <c r="P16" i="5"/>
  <c r="J11" i="5"/>
  <c r="K11" i="5" s="1"/>
  <c r="Q9" i="5"/>
  <c r="C10" i="5" s="1"/>
  <c r="L10" i="5" s="1"/>
  <c r="P15" i="4"/>
  <c r="R15" i="4" s="1"/>
  <c r="D16" i="4" s="1"/>
  <c r="M16" i="4" s="1"/>
  <c r="O8" i="4"/>
  <c r="P15" i="3"/>
  <c r="R15" i="3" s="1"/>
  <c r="D16" i="3" s="1"/>
  <c r="M16" i="3" s="1"/>
  <c r="O10" i="3"/>
  <c r="J16" i="1"/>
  <c r="K16" i="1" s="1"/>
  <c r="Q14" i="1"/>
  <c r="C15" i="1" s="1"/>
  <c r="L15" i="1" s="1"/>
  <c r="O15" i="1" s="1"/>
  <c r="R18" i="1"/>
  <c r="D19" i="1" s="1"/>
  <c r="M19" i="1" s="1"/>
  <c r="R19" i="1" s="1"/>
  <c r="D20" i="1" s="1"/>
  <c r="M20" i="1" s="1"/>
  <c r="P20" i="1" s="1"/>
  <c r="J8" i="9" l="1"/>
  <c r="Q6" i="9"/>
  <c r="P16" i="9"/>
  <c r="R16" i="9" s="1"/>
  <c r="D17" i="9" s="1"/>
  <c r="M17" i="9" s="1"/>
  <c r="P16" i="6"/>
  <c r="R16" i="6" s="1"/>
  <c r="D17" i="6" s="1"/>
  <c r="M17" i="6" s="1"/>
  <c r="J11" i="6"/>
  <c r="K11" i="6" s="1"/>
  <c r="Q9" i="6"/>
  <c r="C10" i="6" s="1"/>
  <c r="L10" i="6" s="1"/>
  <c r="O10" i="5"/>
  <c r="P17" i="5"/>
  <c r="R17" i="5" s="1"/>
  <c r="D18" i="5" s="1"/>
  <c r="M18" i="5" s="1"/>
  <c r="P16" i="4"/>
  <c r="R16" i="4" s="1"/>
  <c r="D17" i="4" s="1"/>
  <c r="M17" i="4" s="1"/>
  <c r="J10" i="4"/>
  <c r="K10" i="4" s="1"/>
  <c r="Q8" i="4"/>
  <c r="C9" i="4" s="1"/>
  <c r="L9" i="4" s="1"/>
  <c r="P16" i="3"/>
  <c r="R16" i="3" s="1"/>
  <c r="D17" i="3" s="1"/>
  <c r="M17" i="3" s="1"/>
  <c r="J12" i="3"/>
  <c r="K12" i="3" s="1"/>
  <c r="Q10" i="3"/>
  <c r="C11" i="3" s="1"/>
  <c r="L11" i="3" s="1"/>
  <c r="Q15" i="1"/>
  <c r="C16" i="1" s="1"/>
  <c r="L16" i="1" s="1"/>
  <c r="J17" i="1"/>
  <c r="K17" i="1" s="1"/>
  <c r="O16" i="1"/>
  <c r="R20" i="1"/>
  <c r="D21" i="1" s="1"/>
  <c r="M21" i="1" s="1"/>
  <c r="P21" i="1" s="1"/>
  <c r="K8" i="9" l="1"/>
  <c r="C7" i="9"/>
  <c r="P17" i="9"/>
  <c r="R17" i="9" s="1"/>
  <c r="D18" i="9" s="1"/>
  <c r="M18" i="9" s="1"/>
  <c r="P17" i="6"/>
  <c r="R17" i="6" s="1"/>
  <c r="D18" i="6" s="1"/>
  <c r="M18" i="6" s="1"/>
  <c r="O10" i="6"/>
  <c r="R18" i="5"/>
  <c r="D19" i="5" s="1"/>
  <c r="M19" i="5" s="1"/>
  <c r="R19" i="5" s="1"/>
  <c r="D20" i="5" s="1"/>
  <c r="M20" i="5" s="1"/>
  <c r="P18" i="5"/>
  <c r="J12" i="5"/>
  <c r="K12" i="5" s="1"/>
  <c r="Q10" i="5"/>
  <c r="C11" i="5" s="1"/>
  <c r="L11" i="5" s="1"/>
  <c r="O9" i="4"/>
  <c r="P17" i="4"/>
  <c r="R17" i="4" s="1"/>
  <c r="D18" i="4" s="1"/>
  <c r="M18" i="4" s="1"/>
  <c r="R18" i="4" s="1"/>
  <c r="D19" i="4" s="1"/>
  <c r="M19" i="4" s="1"/>
  <c r="P17" i="3"/>
  <c r="R17" i="3" s="1"/>
  <c r="D18" i="3" s="1"/>
  <c r="M18" i="3" s="1"/>
  <c r="O11" i="3"/>
  <c r="Q16" i="1"/>
  <c r="C17" i="1" s="1"/>
  <c r="J18" i="1"/>
  <c r="K18" i="1" s="1"/>
  <c r="L17" i="1"/>
  <c r="R21" i="1"/>
  <c r="D22" i="1" s="1"/>
  <c r="M22" i="1" s="1"/>
  <c r="P22" i="1" s="1"/>
  <c r="L7" i="9" l="1"/>
  <c r="P18" i="9"/>
  <c r="R18" i="9" s="1"/>
  <c r="D19" i="9" s="1"/>
  <c r="M19" i="9" s="1"/>
  <c r="R19" i="9" s="1"/>
  <c r="D20" i="9" s="1"/>
  <c r="M20" i="9" s="1"/>
  <c r="P18" i="6"/>
  <c r="R18" i="6" s="1"/>
  <c r="D19" i="6" s="1"/>
  <c r="M19" i="6" s="1"/>
  <c r="R19" i="6" s="1"/>
  <c r="D20" i="6" s="1"/>
  <c r="M20" i="6" s="1"/>
  <c r="J12" i="6"/>
  <c r="K12" i="6" s="1"/>
  <c r="Q10" i="6"/>
  <c r="C11" i="6" s="1"/>
  <c r="L11" i="6" s="1"/>
  <c r="Q11" i="5"/>
  <c r="C12" i="5" s="1"/>
  <c r="L12" i="5" s="1"/>
  <c r="Q12" i="5" s="1"/>
  <c r="C13" i="5" s="1"/>
  <c r="F13" i="5" s="1"/>
  <c r="O11" i="5"/>
  <c r="P20" i="5"/>
  <c r="R20" i="5" s="1"/>
  <c r="D21" i="5" s="1"/>
  <c r="M21" i="5" s="1"/>
  <c r="P19" i="4"/>
  <c r="R19" i="4" s="1"/>
  <c r="D20" i="4" s="1"/>
  <c r="M20" i="4" s="1"/>
  <c r="J11" i="4"/>
  <c r="K11" i="4" s="1"/>
  <c r="Q9" i="4"/>
  <c r="C10" i="4" s="1"/>
  <c r="L10" i="4" s="1"/>
  <c r="P18" i="3"/>
  <c r="R18" i="3" s="1"/>
  <c r="D19" i="3" s="1"/>
  <c r="M19" i="3" s="1"/>
  <c r="R19" i="3" s="1"/>
  <c r="D20" i="3" s="1"/>
  <c r="M20" i="3" s="1"/>
  <c r="J14" i="3"/>
  <c r="K14" i="3" s="1"/>
  <c r="J13" i="3"/>
  <c r="K13" i="3" s="1"/>
  <c r="L13" i="3" s="1"/>
  <c r="Q11" i="3"/>
  <c r="C12" i="3" s="1"/>
  <c r="L12" i="3" s="1"/>
  <c r="Q12" i="3" s="1"/>
  <c r="C13" i="3" s="1"/>
  <c r="F13" i="3" s="1"/>
  <c r="O17" i="1"/>
  <c r="R22" i="1"/>
  <c r="D23" i="1" s="1"/>
  <c r="M23" i="1" s="1"/>
  <c r="P23" i="1" s="1"/>
  <c r="O7" i="9" l="1"/>
  <c r="Q7" i="9" s="1"/>
  <c r="P20" i="9"/>
  <c r="R20" i="9" s="1"/>
  <c r="D21" i="9" s="1"/>
  <c r="M21" i="9" s="1"/>
  <c r="P20" i="6"/>
  <c r="R20" i="6" s="1"/>
  <c r="D21" i="6" s="1"/>
  <c r="M21" i="6" s="1"/>
  <c r="O11" i="6"/>
  <c r="P21" i="5"/>
  <c r="R21" i="5" s="1"/>
  <c r="D22" i="5" s="1"/>
  <c r="M22" i="5" s="1"/>
  <c r="J14" i="5"/>
  <c r="K14" i="5" s="1"/>
  <c r="J13" i="5"/>
  <c r="K13" i="5" s="1"/>
  <c r="L13" i="5" s="1"/>
  <c r="O10" i="4"/>
  <c r="P20" i="4"/>
  <c r="R20" i="4" s="1"/>
  <c r="D21" i="4" s="1"/>
  <c r="M21" i="4" s="1"/>
  <c r="P20" i="3"/>
  <c r="R20" i="3" s="1"/>
  <c r="D21" i="3" s="1"/>
  <c r="M21" i="3" s="1"/>
  <c r="O13" i="3"/>
  <c r="Q17" i="1"/>
  <c r="C18" i="1" s="1"/>
  <c r="L18" i="1" s="1"/>
  <c r="J19" i="1"/>
  <c r="O18" i="1"/>
  <c r="K19" i="1"/>
  <c r="R23" i="1"/>
  <c r="D24" i="1" s="1"/>
  <c r="M24" i="1" s="1"/>
  <c r="P24" i="1" s="1"/>
  <c r="C8" i="9" l="1"/>
  <c r="J9" i="9"/>
  <c r="P21" i="9"/>
  <c r="R21" i="9" s="1"/>
  <c r="D22" i="9" s="1"/>
  <c r="M22" i="9" s="1"/>
  <c r="P21" i="6"/>
  <c r="R21" i="6" s="1"/>
  <c r="D22" i="6" s="1"/>
  <c r="M22" i="6" s="1"/>
  <c r="J14" i="6"/>
  <c r="K14" i="6" s="1"/>
  <c r="J13" i="6"/>
  <c r="K13" i="6" s="1"/>
  <c r="L13" i="6" s="1"/>
  <c r="Q11" i="6"/>
  <c r="C12" i="6" s="1"/>
  <c r="L12" i="6" s="1"/>
  <c r="Q12" i="6" s="1"/>
  <c r="C13" i="6" s="1"/>
  <c r="F13" i="6" s="1"/>
  <c r="P22" i="5"/>
  <c r="R22" i="5" s="1"/>
  <c r="D23" i="5" s="1"/>
  <c r="M23" i="5" s="1"/>
  <c r="O13" i="5"/>
  <c r="P21" i="4"/>
  <c r="R21" i="4" s="1"/>
  <c r="D22" i="4" s="1"/>
  <c r="M22" i="4" s="1"/>
  <c r="J13" i="4"/>
  <c r="K13" i="4" s="1"/>
  <c r="J12" i="4"/>
  <c r="K12" i="4" s="1"/>
  <c r="Q10" i="4"/>
  <c r="C11" i="4" s="1"/>
  <c r="L11" i="4" s="1"/>
  <c r="Q11" i="4" s="1"/>
  <c r="C12" i="4" s="1"/>
  <c r="F12" i="4" s="1"/>
  <c r="P21" i="3"/>
  <c r="R21" i="3" s="1"/>
  <c r="D22" i="3" s="1"/>
  <c r="M22" i="3" s="1"/>
  <c r="J15" i="3"/>
  <c r="K15" i="3" s="1"/>
  <c r="Q13" i="3"/>
  <c r="C14" i="3" s="1"/>
  <c r="L14" i="3" s="1"/>
  <c r="J21" i="1"/>
  <c r="K21" i="1" s="1"/>
  <c r="J20" i="1"/>
  <c r="K20" i="1" s="1"/>
  <c r="Q18" i="1"/>
  <c r="C19" i="1" s="1"/>
  <c r="L19" i="1"/>
  <c r="Q19" i="1" s="1"/>
  <c r="C20" i="1" s="1"/>
  <c r="F20" i="1" s="1"/>
  <c r="R24" i="1"/>
  <c r="D25" i="1" s="1"/>
  <c r="M25" i="1" s="1"/>
  <c r="P25" i="1" s="1"/>
  <c r="K9" i="9" l="1"/>
  <c r="L8" i="9"/>
  <c r="P22" i="9"/>
  <c r="R22" i="9" s="1"/>
  <c r="D23" i="9" s="1"/>
  <c r="M23" i="9" s="1"/>
  <c r="P22" i="6"/>
  <c r="R22" i="6" s="1"/>
  <c r="D23" i="6" s="1"/>
  <c r="M23" i="6" s="1"/>
  <c r="O13" i="6"/>
  <c r="P23" i="5"/>
  <c r="R23" i="5" s="1"/>
  <c r="D24" i="5" s="1"/>
  <c r="M24" i="5" s="1"/>
  <c r="J15" i="5"/>
  <c r="K15" i="5" s="1"/>
  <c r="Q13" i="5"/>
  <c r="C14" i="5" s="1"/>
  <c r="L14" i="5" s="1"/>
  <c r="L12" i="4"/>
  <c r="P22" i="4"/>
  <c r="R22" i="4" s="1"/>
  <c r="D23" i="4" s="1"/>
  <c r="M23" i="4" s="1"/>
  <c r="P22" i="3"/>
  <c r="R22" i="3" s="1"/>
  <c r="D23" i="3" s="1"/>
  <c r="M23" i="3" s="1"/>
  <c r="O14" i="3"/>
  <c r="L20" i="1"/>
  <c r="R25" i="1"/>
  <c r="D26" i="1" s="1"/>
  <c r="M26" i="1" s="1"/>
  <c r="R26" i="1" s="1"/>
  <c r="D27" i="1" s="1"/>
  <c r="M27" i="1" s="1"/>
  <c r="P27" i="1" s="1"/>
  <c r="O8" i="9" l="1"/>
  <c r="Q8" i="9" s="1"/>
  <c r="C9" i="9" s="1"/>
  <c r="L9" i="9" s="1"/>
  <c r="P23" i="9"/>
  <c r="R23" i="9" s="1"/>
  <c r="D24" i="9" s="1"/>
  <c r="M24" i="9" s="1"/>
  <c r="P23" i="6"/>
  <c r="R23" i="6" s="1"/>
  <c r="D24" i="6" s="1"/>
  <c r="M24" i="6" s="1"/>
  <c r="J15" i="6"/>
  <c r="K15" i="6" s="1"/>
  <c r="Q13" i="6"/>
  <c r="C14" i="6" s="1"/>
  <c r="L14" i="6" s="1"/>
  <c r="P24" i="5"/>
  <c r="R24" i="5" s="1"/>
  <c r="D25" i="5" s="1"/>
  <c r="M25" i="5" s="1"/>
  <c r="O14" i="5"/>
  <c r="P23" i="4"/>
  <c r="R23" i="4" s="1"/>
  <c r="D24" i="4" s="1"/>
  <c r="M24" i="4" s="1"/>
  <c r="O12" i="4"/>
  <c r="P23" i="3"/>
  <c r="R23" i="3" s="1"/>
  <c r="D24" i="3" s="1"/>
  <c r="M24" i="3" s="1"/>
  <c r="J16" i="3"/>
  <c r="K16" i="3" s="1"/>
  <c r="Q14" i="3"/>
  <c r="C15" i="3" s="1"/>
  <c r="L15" i="3" s="1"/>
  <c r="O20" i="1"/>
  <c r="R27" i="1"/>
  <c r="D28" i="1" s="1"/>
  <c r="M28" i="1" s="1"/>
  <c r="P28" i="1" s="1"/>
  <c r="O9" i="9" l="1"/>
  <c r="Q9" i="9" s="1"/>
  <c r="C10" i="9" s="1"/>
  <c r="J10" i="9"/>
  <c r="K10" i="9" s="1"/>
  <c r="P24" i="9"/>
  <c r="R24" i="9" s="1"/>
  <c r="D25" i="9" s="1"/>
  <c r="M25" i="9" s="1"/>
  <c r="P24" i="6"/>
  <c r="R24" i="6" s="1"/>
  <c r="D25" i="6" s="1"/>
  <c r="M25" i="6" s="1"/>
  <c r="O14" i="6"/>
  <c r="P25" i="5"/>
  <c r="R25" i="5" s="1"/>
  <c r="D26" i="5" s="1"/>
  <c r="M26" i="5" s="1"/>
  <c r="R26" i="5" s="1"/>
  <c r="D27" i="5" s="1"/>
  <c r="M27" i="5" s="1"/>
  <c r="J16" i="5"/>
  <c r="K16" i="5" s="1"/>
  <c r="Q14" i="5"/>
  <c r="C15" i="5" s="1"/>
  <c r="L15" i="5" s="1"/>
  <c r="P24" i="4"/>
  <c r="R24" i="4" s="1"/>
  <c r="D25" i="4" s="1"/>
  <c r="M25" i="4" s="1"/>
  <c r="R25" i="4" s="1"/>
  <c r="D26" i="4" s="1"/>
  <c r="M26" i="4" s="1"/>
  <c r="J14" i="4"/>
  <c r="K14" i="4" s="1"/>
  <c r="Q12" i="4"/>
  <c r="C13" i="4" s="1"/>
  <c r="L13" i="4" s="1"/>
  <c r="P24" i="3"/>
  <c r="R24" i="3" s="1"/>
  <c r="D25" i="3" s="1"/>
  <c r="M25" i="3" s="1"/>
  <c r="O15" i="3"/>
  <c r="J22" i="1"/>
  <c r="K22" i="1" s="1"/>
  <c r="Q20" i="1"/>
  <c r="C21" i="1" s="1"/>
  <c r="L21" i="1" s="1"/>
  <c r="O21" i="1" s="1"/>
  <c r="R28" i="1"/>
  <c r="D29" i="1" s="1"/>
  <c r="M29" i="1" s="1"/>
  <c r="P29" i="1" s="1"/>
  <c r="J11" i="9" l="1"/>
  <c r="K11" i="9" s="1"/>
  <c r="L10" i="9"/>
  <c r="P25" i="9"/>
  <c r="R25" i="9" s="1"/>
  <c r="D26" i="9" s="1"/>
  <c r="M26" i="9" s="1"/>
  <c r="R26" i="9" s="1"/>
  <c r="D27" i="9" s="1"/>
  <c r="M27" i="9" s="1"/>
  <c r="P25" i="6"/>
  <c r="R25" i="6" s="1"/>
  <c r="D26" i="6" s="1"/>
  <c r="M26" i="6" s="1"/>
  <c r="R26" i="6" s="1"/>
  <c r="D27" i="6" s="1"/>
  <c r="M27" i="6" s="1"/>
  <c r="J16" i="6"/>
  <c r="K16" i="6" s="1"/>
  <c r="Q14" i="6"/>
  <c r="C15" i="6" s="1"/>
  <c r="L15" i="6" s="1"/>
  <c r="P27" i="5"/>
  <c r="R27" i="5" s="1"/>
  <c r="D28" i="5" s="1"/>
  <c r="M28" i="5" s="1"/>
  <c r="O15" i="5"/>
  <c r="P26" i="4"/>
  <c r="R26" i="4" s="1"/>
  <c r="D27" i="4" s="1"/>
  <c r="M27" i="4" s="1"/>
  <c r="O13" i="4"/>
  <c r="P25" i="3"/>
  <c r="R25" i="3" s="1"/>
  <c r="D26" i="3" s="1"/>
  <c r="M26" i="3" s="1"/>
  <c r="R26" i="3" s="1"/>
  <c r="D27" i="3" s="1"/>
  <c r="M27" i="3" s="1"/>
  <c r="J17" i="3"/>
  <c r="K17" i="3" s="1"/>
  <c r="Q15" i="3"/>
  <c r="C16" i="3" s="1"/>
  <c r="L16" i="3" s="1"/>
  <c r="J23" i="1"/>
  <c r="K23" i="1" s="1"/>
  <c r="Q21" i="1"/>
  <c r="C22" i="1" s="1"/>
  <c r="L22" i="1" s="1"/>
  <c r="O22" i="1" s="1"/>
  <c r="R29" i="1"/>
  <c r="D30" i="1" s="1"/>
  <c r="M30" i="1" s="1"/>
  <c r="P30" i="1" s="1"/>
  <c r="O10" i="9" l="1"/>
  <c r="Q10" i="9" s="1"/>
  <c r="C11" i="9" s="1"/>
  <c r="L11" i="9" s="1"/>
  <c r="P27" i="9"/>
  <c r="R27" i="9" s="1"/>
  <c r="D28" i="9" s="1"/>
  <c r="M28" i="9" s="1"/>
  <c r="P27" i="6"/>
  <c r="R27" i="6" s="1"/>
  <c r="D28" i="6" s="1"/>
  <c r="M28" i="6" s="1"/>
  <c r="O15" i="6"/>
  <c r="P28" i="5"/>
  <c r="R28" i="5" s="1"/>
  <c r="D29" i="5" s="1"/>
  <c r="M29" i="5" s="1"/>
  <c r="J17" i="5"/>
  <c r="K17" i="5" s="1"/>
  <c r="Q15" i="5"/>
  <c r="C16" i="5" s="1"/>
  <c r="L16" i="5" s="1"/>
  <c r="P27" i="4"/>
  <c r="R27" i="4" s="1"/>
  <c r="D28" i="4" s="1"/>
  <c r="M28" i="4" s="1"/>
  <c r="J15" i="4"/>
  <c r="K15" i="4" s="1"/>
  <c r="Q13" i="4"/>
  <c r="C14" i="4" s="1"/>
  <c r="L14" i="4" s="1"/>
  <c r="P27" i="3"/>
  <c r="R27" i="3" s="1"/>
  <c r="D28" i="3" s="1"/>
  <c r="M28" i="3" s="1"/>
  <c r="O16" i="3"/>
  <c r="J24" i="1"/>
  <c r="K24" i="1" s="1"/>
  <c r="Q22" i="1"/>
  <c r="C23" i="1" s="1"/>
  <c r="L23" i="1" s="1"/>
  <c r="R30" i="1"/>
  <c r="D31" i="1" s="1"/>
  <c r="M31" i="1" s="1"/>
  <c r="P31" i="1" s="1"/>
  <c r="O11" i="9" l="1"/>
  <c r="J14" i="9" s="1"/>
  <c r="K14" i="9" s="1"/>
  <c r="J12" i="9"/>
  <c r="K12" i="9" s="1"/>
  <c r="P28" i="9"/>
  <c r="R28" i="9" s="1"/>
  <c r="D29" i="9" s="1"/>
  <c r="M29" i="9" s="1"/>
  <c r="P28" i="6"/>
  <c r="R28" i="6" s="1"/>
  <c r="D29" i="6" s="1"/>
  <c r="M29" i="6" s="1"/>
  <c r="J17" i="6"/>
  <c r="K17" i="6" s="1"/>
  <c r="Q15" i="6"/>
  <c r="C16" i="6" s="1"/>
  <c r="L16" i="6" s="1"/>
  <c r="P29" i="5"/>
  <c r="R29" i="5" s="1"/>
  <c r="D30" i="5" s="1"/>
  <c r="M30" i="5" s="1"/>
  <c r="O16" i="5"/>
  <c r="P28" i="4"/>
  <c r="R28" i="4" s="1"/>
  <c r="D29" i="4" s="1"/>
  <c r="M29" i="4" s="1"/>
  <c r="O14" i="4"/>
  <c r="P28" i="3"/>
  <c r="R28" i="3" s="1"/>
  <c r="D29" i="3" s="1"/>
  <c r="M29" i="3" s="1"/>
  <c r="J18" i="3"/>
  <c r="K18" i="3" s="1"/>
  <c r="Q16" i="3"/>
  <c r="C17" i="3" s="1"/>
  <c r="L17" i="3" s="1"/>
  <c r="O23" i="1"/>
  <c r="R31" i="1"/>
  <c r="D32" i="1" s="1"/>
  <c r="M32" i="1" s="1"/>
  <c r="P32" i="1" s="1"/>
  <c r="J13" i="9" l="1"/>
  <c r="K13" i="9" s="1"/>
  <c r="Q11" i="9"/>
  <c r="C12" i="9" s="1"/>
  <c r="L12" i="9" s="1"/>
  <c r="Q12" i="9" s="1"/>
  <c r="C13" i="9" s="1"/>
  <c r="F13" i="9" s="1"/>
  <c r="P29" i="9"/>
  <c r="R29" i="9" s="1"/>
  <c r="D30" i="9" s="1"/>
  <c r="M30" i="9" s="1"/>
  <c r="P29" i="6"/>
  <c r="R29" i="6" s="1"/>
  <c r="D30" i="6" s="1"/>
  <c r="M30" i="6" s="1"/>
  <c r="O16" i="6"/>
  <c r="P30" i="5"/>
  <c r="R30" i="5" s="1"/>
  <c r="D31" i="5" s="1"/>
  <c r="M31" i="5" s="1"/>
  <c r="J18" i="5"/>
  <c r="K18" i="5" s="1"/>
  <c r="Q16" i="5"/>
  <c r="C17" i="5" s="1"/>
  <c r="L17" i="5" s="1"/>
  <c r="P29" i="4"/>
  <c r="R29" i="4" s="1"/>
  <c r="D30" i="4" s="1"/>
  <c r="M30" i="4" s="1"/>
  <c r="J16" i="4"/>
  <c r="K16" i="4" s="1"/>
  <c r="Q14" i="4"/>
  <c r="C15" i="4" s="1"/>
  <c r="L15" i="4" s="1"/>
  <c r="P29" i="3"/>
  <c r="R29" i="3" s="1"/>
  <c r="D30" i="3" s="1"/>
  <c r="M30" i="3" s="1"/>
  <c r="O17" i="3"/>
  <c r="J25" i="1"/>
  <c r="K25" i="1" s="1"/>
  <c r="Q23" i="1"/>
  <c r="C24" i="1" s="1"/>
  <c r="L24" i="1" s="1"/>
  <c r="R32" i="1"/>
  <c r="D33" i="1" s="1"/>
  <c r="M33" i="1" s="1"/>
  <c r="R33" i="1" s="1"/>
  <c r="D34" i="1" s="1"/>
  <c r="M34" i="1" s="1"/>
  <c r="P34" i="1" s="1"/>
  <c r="L13" i="9" l="1"/>
  <c r="P30" i="9"/>
  <c r="R30" i="9" s="1"/>
  <c r="D31" i="9" s="1"/>
  <c r="M31" i="9" s="1"/>
  <c r="P30" i="6"/>
  <c r="R30" i="6" s="1"/>
  <c r="D31" i="6" s="1"/>
  <c r="M31" i="6" s="1"/>
  <c r="J18" i="6"/>
  <c r="K18" i="6" s="1"/>
  <c r="Q16" i="6"/>
  <c r="C17" i="6" s="1"/>
  <c r="L17" i="6" s="1"/>
  <c r="P31" i="5"/>
  <c r="R31" i="5" s="1"/>
  <c r="D32" i="5" s="1"/>
  <c r="M32" i="5" s="1"/>
  <c r="O17" i="5"/>
  <c r="P30" i="4"/>
  <c r="R30" i="4" s="1"/>
  <c r="D31" i="4" s="1"/>
  <c r="M31" i="4" s="1"/>
  <c r="O15" i="4"/>
  <c r="P30" i="3"/>
  <c r="R30" i="3" s="1"/>
  <c r="D31" i="3" s="1"/>
  <c r="M31" i="3" s="1"/>
  <c r="J19" i="3"/>
  <c r="K19" i="3" s="1"/>
  <c r="Q17" i="3"/>
  <c r="C18" i="3" s="1"/>
  <c r="L18" i="3" s="1"/>
  <c r="O24" i="1"/>
  <c r="R34" i="1"/>
  <c r="D35" i="1" s="1"/>
  <c r="M35" i="1" s="1"/>
  <c r="P35" i="1" s="1"/>
  <c r="O13" i="9" l="1"/>
  <c r="Q13" i="9" s="1"/>
  <c r="C14" i="9" s="1"/>
  <c r="L14" i="9" s="1"/>
  <c r="P31" i="9"/>
  <c r="R31" i="9" s="1"/>
  <c r="D32" i="9" s="1"/>
  <c r="M32" i="9" s="1"/>
  <c r="R31" i="6"/>
  <c r="D32" i="6" s="1"/>
  <c r="M32" i="6" s="1"/>
  <c r="P31" i="6"/>
  <c r="O17" i="6"/>
  <c r="P32" i="5"/>
  <c r="R32" i="5" s="1"/>
  <c r="D33" i="5" s="1"/>
  <c r="M33" i="5" s="1"/>
  <c r="R33" i="5" s="1"/>
  <c r="D34" i="5" s="1"/>
  <c r="M34" i="5" s="1"/>
  <c r="J19" i="5"/>
  <c r="K19" i="5" s="1"/>
  <c r="Q17" i="5"/>
  <c r="C18" i="5" s="1"/>
  <c r="L18" i="5" s="1"/>
  <c r="P31" i="4"/>
  <c r="R31" i="4" s="1"/>
  <c r="D32" i="4" s="1"/>
  <c r="M32" i="4" s="1"/>
  <c r="R32" i="4" s="1"/>
  <c r="D33" i="4" s="1"/>
  <c r="M33" i="4" s="1"/>
  <c r="J17" i="4"/>
  <c r="K17" i="4" s="1"/>
  <c r="Q15" i="4"/>
  <c r="C16" i="4" s="1"/>
  <c r="L16" i="4" s="1"/>
  <c r="P31" i="3"/>
  <c r="R31" i="3" s="1"/>
  <c r="D32" i="3" s="1"/>
  <c r="M32" i="3" s="1"/>
  <c r="O18" i="3"/>
  <c r="J26" i="1"/>
  <c r="K26" i="1" s="1"/>
  <c r="Q24" i="1"/>
  <c r="C25" i="1" s="1"/>
  <c r="L25" i="1" s="1"/>
  <c r="R35" i="1"/>
  <c r="D36" i="1" s="1"/>
  <c r="M36" i="1" s="1"/>
  <c r="P36" i="1" s="1"/>
  <c r="O14" i="9" l="1"/>
  <c r="Q14" i="9" s="1"/>
  <c r="C15" i="9" s="1"/>
  <c r="J15" i="9"/>
  <c r="K15" i="9" s="1"/>
  <c r="P32" i="9"/>
  <c r="R32" i="9" s="1"/>
  <c r="D33" i="9" s="1"/>
  <c r="M33" i="9" s="1"/>
  <c r="R33" i="9" s="1"/>
  <c r="D34" i="9" s="1"/>
  <c r="M34" i="9" s="1"/>
  <c r="J19" i="6"/>
  <c r="K19" i="6" s="1"/>
  <c r="Q17" i="6"/>
  <c r="C18" i="6" s="1"/>
  <c r="L18" i="6" s="1"/>
  <c r="P32" i="6"/>
  <c r="R32" i="6" s="1"/>
  <c r="D33" i="6" s="1"/>
  <c r="M33" i="6" s="1"/>
  <c r="R33" i="6" s="1"/>
  <c r="D34" i="6" s="1"/>
  <c r="M34" i="6" s="1"/>
  <c r="P34" i="5"/>
  <c r="R34" i="5" s="1"/>
  <c r="D35" i="5" s="1"/>
  <c r="M35" i="5" s="1"/>
  <c r="O18" i="5"/>
  <c r="P33" i="4"/>
  <c r="R33" i="4" s="1"/>
  <c r="D34" i="4" s="1"/>
  <c r="M34" i="4" s="1"/>
  <c r="O16" i="4"/>
  <c r="P32" i="3"/>
  <c r="R32" i="3" s="1"/>
  <c r="D33" i="3" s="1"/>
  <c r="M33" i="3" s="1"/>
  <c r="R33" i="3" s="1"/>
  <c r="D34" i="3" s="1"/>
  <c r="M34" i="3" s="1"/>
  <c r="J21" i="3"/>
  <c r="K21" i="3" s="1"/>
  <c r="J20" i="3"/>
  <c r="K20" i="3" s="1"/>
  <c r="Q18" i="3"/>
  <c r="C19" i="3" s="1"/>
  <c r="L19" i="3" s="1"/>
  <c r="Q19" i="3" s="1"/>
  <c r="C20" i="3" s="1"/>
  <c r="F20" i="3" s="1"/>
  <c r="O25" i="1"/>
  <c r="R36" i="1"/>
  <c r="D37" i="1" s="1"/>
  <c r="M37" i="1" s="1"/>
  <c r="P37" i="1" s="1"/>
  <c r="J16" i="9" l="1"/>
  <c r="K16" i="9" s="1"/>
  <c r="L15" i="9"/>
  <c r="O15" i="9"/>
  <c r="Q15" i="9" s="1"/>
  <c r="C16" i="9" s="1"/>
  <c r="L16" i="9" s="1"/>
  <c r="P34" i="9"/>
  <c r="R34" i="9" s="1"/>
  <c r="D35" i="9" s="1"/>
  <c r="M35" i="9" s="1"/>
  <c r="P34" i="6"/>
  <c r="R34" i="6" s="1"/>
  <c r="D35" i="6" s="1"/>
  <c r="M35" i="6" s="1"/>
  <c r="O18" i="6"/>
  <c r="P35" i="5"/>
  <c r="R35" i="5" s="1"/>
  <c r="D36" i="5" s="1"/>
  <c r="M36" i="5" s="1"/>
  <c r="J21" i="5"/>
  <c r="K21" i="5" s="1"/>
  <c r="J20" i="5"/>
  <c r="K20" i="5" s="1"/>
  <c r="Q18" i="5"/>
  <c r="C19" i="5" s="1"/>
  <c r="L19" i="5" s="1"/>
  <c r="Q19" i="5" s="1"/>
  <c r="C20" i="5" s="1"/>
  <c r="F20" i="5" s="1"/>
  <c r="P34" i="4"/>
  <c r="R34" i="4" s="1"/>
  <c r="D35" i="4" s="1"/>
  <c r="M35" i="4" s="1"/>
  <c r="J18" i="4"/>
  <c r="K18" i="4" s="1"/>
  <c r="Q16" i="4"/>
  <c r="C17" i="4" s="1"/>
  <c r="L17" i="4" s="1"/>
  <c r="P34" i="3"/>
  <c r="R34" i="3" s="1"/>
  <c r="D35" i="3" s="1"/>
  <c r="M35" i="3" s="1"/>
  <c r="L20" i="3"/>
  <c r="Q25" i="1"/>
  <c r="C26" i="1" s="1"/>
  <c r="L26" i="1" s="1"/>
  <c r="Q26" i="1" s="1"/>
  <c r="C27" i="1" s="1"/>
  <c r="J28" i="1"/>
  <c r="J27" i="1"/>
  <c r="F27" i="1"/>
  <c r="K28" i="1"/>
  <c r="R37" i="1"/>
  <c r="D38" i="1" s="1"/>
  <c r="M38" i="1" s="1"/>
  <c r="P38" i="1" s="1"/>
  <c r="J17" i="9" l="1"/>
  <c r="K17" i="9" s="1"/>
  <c r="O16" i="9"/>
  <c r="Q16" i="9" s="1"/>
  <c r="C17" i="9" s="1"/>
  <c r="P35" i="9"/>
  <c r="R35" i="9" s="1"/>
  <c r="D36" i="9" s="1"/>
  <c r="M36" i="9" s="1"/>
  <c r="P35" i="6"/>
  <c r="R35" i="6" s="1"/>
  <c r="D36" i="6" s="1"/>
  <c r="M36" i="6" s="1"/>
  <c r="J21" i="6"/>
  <c r="K21" i="6" s="1"/>
  <c r="J20" i="6"/>
  <c r="K20" i="6" s="1"/>
  <c r="Q18" i="6"/>
  <c r="C19" i="6" s="1"/>
  <c r="L19" i="6" s="1"/>
  <c r="Q19" i="6" s="1"/>
  <c r="C20" i="6" s="1"/>
  <c r="F20" i="6" s="1"/>
  <c r="P36" i="5"/>
  <c r="R36" i="5" s="1"/>
  <c r="D37" i="5" s="1"/>
  <c r="M37" i="5" s="1"/>
  <c r="L20" i="5"/>
  <c r="P35" i="4"/>
  <c r="R35" i="4" s="1"/>
  <c r="D36" i="4" s="1"/>
  <c r="M36" i="4" s="1"/>
  <c r="O17" i="4"/>
  <c r="Q17" i="4" s="1"/>
  <c r="C18" i="4" s="1"/>
  <c r="L18" i="4" s="1"/>
  <c r="Q18" i="4" s="1"/>
  <c r="C19" i="4" s="1"/>
  <c r="F19" i="4" s="1"/>
  <c r="P35" i="3"/>
  <c r="R35" i="3" s="1"/>
  <c r="D36" i="3" s="1"/>
  <c r="M36" i="3" s="1"/>
  <c r="O20" i="3"/>
  <c r="K27" i="1"/>
  <c r="L27" i="1" s="1"/>
  <c r="O27" i="1" s="1"/>
  <c r="R38" i="1"/>
  <c r="D39" i="1" s="1"/>
  <c r="M39" i="1" s="1"/>
  <c r="P39" i="1" s="1"/>
  <c r="L17" i="9" l="1"/>
  <c r="J18" i="9"/>
  <c r="K18" i="9" s="1"/>
  <c r="O17" i="9"/>
  <c r="Q17" i="9" s="1"/>
  <c r="C18" i="9" s="1"/>
  <c r="P36" i="9"/>
  <c r="R36" i="9" s="1"/>
  <c r="D37" i="9" s="1"/>
  <c r="M37" i="9" s="1"/>
  <c r="P36" i="6"/>
  <c r="R36" i="6" s="1"/>
  <c r="D37" i="6" s="1"/>
  <c r="M37" i="6" s="1"/>
  <c r="L20" i="6"/>
  <c r="P37" i="5"/>
  <c r="R37" i="5" s="1"/>
  <c r="D38" i="5" s="1"/>
  <c r="M38" i="5" s="1"/>
  <c r="O20" i="5"/>
  <c r="P36" i="4"/>
  <c r="R36" i="4" s="1"/>
  <c r="D37" i="4" s="1"/>
  <c r="M37" i="4" s="1"/>
  <c r="J20" i="4"/>
  <c r="K20" i="4" s="1"/>
  <c r="J19" i="4"/>
  <c r="K19" i="4" s="1"/>
  <c r="L19" i="4" s="1"/>
  <c r="P36" i="3"/>
  <c r="R36" i="3" s="1"/>
  <c r="D37" i="3" s="1"/>
  <c r="M37" i="3" s="1"/>
  <c r="J22" i="3"/>
  <c r="K22" i="3" s="1"/>
  <c r="Q20" i="3"/>
  <c r="C21" i="3" s="1"/>
  <c r="L21" i="3" s="1"/>
  <c r="J29" i="1"/>
  <c r="K29" i="1" s="1"/>
  <c r="Q27" i="1"/>
  <c r="C28" i="1" s="1"/>
  <c r="L28" i="1" s="1"/>
  <c r="R39" i="1"/>
  <c r="D40" i="1" s="1"/>
  <c r="M40" i="1" s="1"/>
  <c r="R40" i="1" s="1"/>
  <c r="D41" i="1" s="1"/>
  <c r="M41" i="1" s="1"/>
  <c r="P41" i="1" s="1"/>
  <c r="L18" i="9" l="1"/>
  <c r="J19" i="9"/>
  <c r="K19" i="9" s="1"/>
  <c r="O18" i="9"/>
  <c r="Q18" i="9" s="1"/>
  <c r="C19" i="9" s="1"/>
  <c r="L19" i="9" s="1"/>
  <c r="Q19" i="9" s="1"/>
  <c r="C20" i="9" s="1"/>
  <c r="F20" i="9" s="1"/>
  <c r="P37" i="9"/>
  <c r="R37" i="9" s="1"/>
  <c r="D38" i="9" s="1"/>
  <c r="M38" i="9" s="1"/>
  <c r="P37" i="6"/>
  <c r="R37" i="6" s="1"/>
  <c r="D38" i="6" s="1"/>
  <c r="M38" i="6" s="1"/>
  <c r="O20" i="6"/>
  <c r="P38" i="5"/>
  <c r="R38" i="5" s="1"/>
  <c r="D39" i="5" s="1"/>
  <c r="M39" i="5" s="1"/>
  <c r="J22" i="5"/>
  <c r="K22" i="5" s="1"/>
  <c r="Q20" i="5"/>
  <c r="C21" i="5" s="1"/>
  <c r="L21" i="5" s="1"/>
  <c r="P37" i="4"/>
  <c r="R37" i="4" s="1"/>
  <c r="D38" i="4" s="1"/>
  <c r="M38" i="4" s="1"/>
  <c r="O19" i="4"/>
  <c r="P37" i="3"/>
  <c r="R37" i="3" s="1"/>
  <c r="D38" i="3" s="1"/>
  <c r="M38" i="3" s="1"/>
  <c r="O21" i="3"/>
  <c r="Q21" i="3" s="1"/>
  <c r="C22" i="3" s="1"/>
  <c r="L22" i="3" s="1"/>
  <c r="O28" i="1"/>
  <c r="R41" i="1"/>
  <c r="D42" i="1" s="1"/>
  <c r="M42" i="1" s="1"/>
  <c r="P42" i="1" s="1"/>
  <c r="J21" i="9" l="1"/>
  <c r="K21" i="9" s="1"/>
  <c r="J20" i="9"/>
  <c r="K20" i="9" s="1"/>
  <c r="L20" i="9" s="1"/>
  <c r="O20" i="9" s="1"/>
  <c r="P38" i="9"/>
  <c r="R38" i="9" s="1"/>
  <c r="D39" i="9" s="1"/>
  <c r="M39" i="9" s="1"/>
  <c r="P38" i="6"/>
  <c r="R38" i="6" s="1"/>
  <c r="D39" i="6" s="1"/>
  <c r="M39" i="6" s="1"/>
  <c r="J22" i="6"/>
  <c r="K22" i="6" s="1"/>
  <c r="Q20" i="6"/>
  <c r="C21" i="6" s="1"/>
  <c r="L21" i="6" s="1"/>
  <c r="P39" i="5"/>
  <c r="R39" i="5" s="1"/>
  <c r="D40" i="5" s="1"/>
  <c r="M40" i="5" s="1"/>
  <c r="R40" i="5" s="1"/>
  <c r="D41" i="5" s="1"/>
  <c r="M41" i="5" s="1"/>
  <c r="O21" i="5"/>
  <c r="P38" i="4"/>
  <c r="R38" i="4" s="1"/>
  <c r="D39" i="4" s="1"/>
  <c r="M39" i="4" s="1"/>
  <c r="R39" i="4" s="1"/>
  <c r="D40" i="4" s="1"/>
  <c r="M40" i="4" s="1"/>
  <c r="J21" i="4"/>
  <c r="K21" i="4" s="1"/>
  <c r="Q19" i="4"/>
  <c r="C20" i="4" s="1"/>
  <c r="L20" i="4" s="1"/>
  <c r="O22" i="3"/>
  <c r="P38" i="3"/>
  <c r="R38" i="3" s="1"/>
  <c r="D39" i="3" s="1"/>
  <c r="M39" i="3" s="1"/>
  <c r="J24" i="3"/>
  <c r="K24" i="3" s="1"/>
  <c r="J23" i="3"/>
  <c r="K23" i="3" s="1"/>
  <c r="Q28" i="1"/>
  <c r="C29" i="1" s="1"/>
  <c r="L29" i="1" s="1"/>
  <c r="J30" i="1"/>
  <c r="K30" i="1" s="1"/>
  <c r="O29" i="1"/>
  <c r="R42" i="1"/>
  <c r="D43" i="1" s="1"/>
  <c r="M43" i="1" s="1"/>
  <c r="P43" i="1" s="1"/>
  <c r="P39" i="9" l="1"/>
  <c r="R39" i="9" s="1"/>
  <c r="D40" i="9" s="1"/>
  <c r="M40" i="9" s="1"/>
  <c r="R40" i="9" s="1"/>
  <c r="D41" i="9" s="1"/>
  <c r="M41" i="9" s="1"/>
  <c r="J22" i="9"/>
  <c r="K22" i="9" s="1"/>
  <c r="Q20" i="9"/>
  <c r="C21" i="9" s="1"/>
  <c r="L21" i="9" s="1"/>
  <c r="P39" i="6"/>
  <c r="R39" i="6" s="1"/>
  <c r="D40" i="6" s="1"/>
  <c r="M40" i="6" s="1"/>
  <c r="R40" i="6" s="1"/>
  <c r="D41" i="6" s="1"/>
  <c r="M41" i="6" s="1"/>
  <c r="O21" i="6"/>
  <c r="P41" i="5"/>
  <c r="R41" i="5" s="1"/>
  <c r="D42" i="5" s="1"/>
  <c r="M42" i="5" s="1"/>
  <c r="J23" i="5"/>
  <c r="K23" i="5" s="1"/>
  <c r="Q21" i="5"/>
  <c r="C22" i="5" s="1"/>
  <c r="L22" i="5" s="1"/>
  <c r="P40" i="4"/>
  <c r="R40" i="4" s="1"/>
  <c r="D41" i="4" s="1"/>
  <c r="M41" i="4" s="1"/>
  <c r="O20" i="4"/>
  <c r="P39" i="3"/>
  <c r="R39" i="3" s="1"/>
  <c r="D40" i="3" s="1"/>
  <c r="M40" i="3" s="1"/>
  <c r="R40" i="3" s="1"/>
  <c r="D41" i="3" s="1"/>
  <c r="M41" i="3" s="1"/>
  <c r="Q22" i="3"/>
  <c r="C23" i="3" s="1"/>
  <c r="L23" i="3" s="1"/>
  <c r="Q29" i="1"/>
  <c r="C30" i="1" s="1"/>
  <c r="J31" i="1"/>
  <c r="K31" i="1" s="1"/>
  <c r="L30" i="1"/>
  <c r="O30" i="1"/>
  <c r="R43" i="1"/>
  <c r="D44" i="1" s="1"/>
  <c r="M44" i="1" s="1"/>
  <c r="P44" i="1" s="1"/>
  <c r="P41" i="9" l="1"/>
  <c r="R41" i="9" s="1"/>
  <c r="D42" i="9" s="1"/>
  <c r="M42" i="9" s="1"/>
  <c r="O21" i="9"/>
  <c r="P41" i="6"/>
  <c r="R41" i="6" s="1"/>
  <c r="D42" i="6" s="1"/>
  <c r="M42" i="6" s="1"/>
  <c r="J23" i="6"/>
  <c r="K23" i="6" s="1"/>
  <c r="Q21" i="6"/>
  <c r="C22" i="6" s="1"/>
  <c r="L22" i="6" s="1"/>
  <c r="P42" i="5"/>
  <c r="R42" i="5" s="1"/>
  <c r="D43" i="5" s="1"/>
  <c r="M43" i="5" s="1"/>
  <c r="O22" i="5"/>
  <c r="P41" i="4"/>
  <c r="R41" i="4" s="1"/>
  <c r="D42" i="4" s="1"/>
  <c r="M42" i="4" s="1"/>
  <c r="J22" i="4"/>
  <c r="K22" i="4" s="1"/>
  <c r="Q20" i="4"/>
  <c r="C21" i="4" s="1"/>
  <c r="L21" i="4" s="1"/>
  <c r="O23" i="3"/>
  <c r="P41" i="3"/>
  <c r="R41" i="3" s="1"/>
  <c r="D42" i="3" s="1"/>
  <c r="M42" i="3" s="1"/>
  <c r="Q30" i="1"/>
  <c r="C31" i="1" s="1"/>
  <c r="L31" i="1" s="1"/>
  <c r="J32" i="1"/>
  <c r="O31" i="1"/>
  <c r="K32" i="1"/>
  <c r="R44" i="1"/>
  <c r="D45" i="1" s="1"/>
  <c r="M45" i="1" s="1"/>
  <c r="P45" i="1" s="1"/>
  <c r="P42" i="9" l="1"/>
  <c r="R42" i="9" s="1"/>
  <c r="D43" i="9" s="1"/>
  <c r="M43" i="9" s="1"/>
  <c r="J23" i="9"/>
  <c r="K23" i="9" s="1"/>
  <c r="Q21" i="9"/>
  <c r="C22" i="9" s="1"/>
  <c r="L22" i="9" s="1"/>
  <c r="P42" i="6"/>
  <c r="R42" i="6" s="1"/>
  <c r="D43" i="6" s="1"/>
  <c r="M43" i="6" s="1"/>
  <c r="O22" i="6"/>
  <c r="P43" i="5"/>
  <c r="R43" i="5" s="1"/>
  <c r="D44" i="5" s="1"/>
  <c r="M44" i="5" s="1"/>
  <c r="J24" i="5"/>
  <c r="K24" i="5" s="1"/>
  <c r="Q22" i="5"/>
  <c r="C23" i="5" s="1"/>
  <c r="L23" i="5" s="1"/>
  <c r="P42" i="4"/>
  <c r="R42" i="4" s="1"/>
  <c r="D43" i="4" s="1"/>
  <c r="M43" i="4" s="1"/>
  <c r="O21" i="4"/>
  <c r="P42" i="3"/>
  <c r="R42" i="3" s="1"/>
  <c r="D43" i="3" s="1"/>
  <c r="M43" i="3" s="1"/>
  <c r="J25" i="3"/>
  <c r="K25" i="3" s="1"/>
  <c r="Q23" i="3"/>
  <c r="C24" i="3" s="1"/>
  <c r="L24" i="3" s="1"/>
  <c r="Q31" i="1"/>
  <c r="C32" i="1" s="1"/>
  <c r="J33" i="1"/>
  <c r="K33" i="1" s="1"/>
  <c r="L32" i="1"/>
  <c r="O32" i="1"/>
  <c r="R45" i="1"/>
  <c r="D46" i="1" s="1"/>
  <c r="M46" i="1" s="1"/>
  <c r="P46" i="1" s="1"/>
  <c r="P43" i="9" l="1"/>
  <c r="R43" i="9" s="1"/>
  <c r="D44" i="9" s="1"/>
  <c r="M44" i="9" s="1"/>
  <c r="O22" i="9"/>
  <c r="P43" i="6"/>
  <c r="R43" i="6" s="1"/>
  <c r="D44" i="6" s="1"/>
  <c r="M44" i="6" s="1"/>
  <c r="J24" i="6"/>
  <c r="K24" i="6" s="1"/>
  <c r="Q22" i="6"/>
  <c r="C23" i="6" s="1"/>
  <c r="L23" i="6" s="1"/>
  <c r="P44" i="5"/>
  <c r="R44" i="5" s="1"/>
  <c r="D45" i="5" s="1"/>
  <c r="M45" i="5" s="1"/>
  <c r="O23" i="5"/>
  <c r="P43" i="4"/>
  <c r="R43" i="4" s="1"/>
  <c r="D44" i="4" s="1"/>
  <c r="M44" i="4" s="1"/>
  <c r="J23" i="4"/>
  <c r="K23" i="4" s="1"/>
  <c r="Q21" i="4"/>
  <c r="C22" i="4" s="1"/>
  <c r="L22" i="4" s="1"/>
  <c r="P43" i="3"/>
  <c r="R43" i="3" s="1"/>
  <c r="D44" i="3" s="1"/>
  <c r="M44" i="3" s="1"/>
  <c r="O24" i="3"/>
  <c r="Q32" i="1"/>
  <c r="C33" i="1" s="1"/>
  <c r="L33" i="1" s="1"/>
  <c r="Q33" i="1" s="1"/>
  <c r="C34" i="1" s="1"/>
  <c r="J35" i="1"/>
  <c r="J34" i="1"/>
  <c r="F34" i="1"/>
  <c r="K35" i="1"/>
  <c r="R46" i="1"/>
  <c r="D47" i="1" s="1"/>
  <c r="M47" i="1" s="1"/>
  <c r="R47" i="1" s="1"/>
  <c r="D48" i="1" s="1"/>
  <c r="M48" i="1" s="1"/>
  <c r="P48" i="1" s="1"/>
  <c r="P44" i="9" l="1"/>
  <c r="R44" i="9" s="1"/>
  <c r="D45" i="9" s="1"/>
  <c r="M45" i="9" s="1"/>
  <c r="J24" i="9"/>
  <c r="K24" i="9" s="1"/>
  <c r="Q22" i="9"/>
  <c r="C23" i="9" s="1"/>
  <c r="L23" i="9" s="1"/>
  <c r="P44" i="6"/>
  <c r="R44" i="6" s="1"/>
  <c r="D45" i="6" s="1"/>
  <c r="M45" i="6" s="1"/>
  <c r="O23" i="6"/>
  <c r="P45" i="5"/>
  <c r="R45" i="5" s="1"/>
  <c r="D46" i="5" s="1"/>
  <c r="M46" i="5" s="1"/>
  <c r="J25" i="5"/>
  <c r="K25" i="5" s="1"/>
  <c r="Q23" i="5"/>
  <c r="C24" i="5" s="1"/>
  <c r="L24" i="5" s="1"/>
  <c r="P44" i="4"/>
  <c r="R44" i="4" s="1"/>
  <c r="D45" i="4" s="1"/>
  <c r="M45" i="4" s="1"/>
  <c r="O22" i="4"/>
  <c r="P44" i="3"/>
  <c r="R44" i="3" s="1"/>
  <c r="D45" i="3" s="1"/>
  <c r="M45" i="3" s="1"/>
  <c r="J26" i="3"/>
  <c r="K26" i="3" s="1"/>
  <c r="Q24" i="3"/>
  <c r="C25" i="3" s="1"/>
  <c r="L25" i="3" s="1"/>
  <c r="K34" i="1"/>
  <c r="L34" i="1" s="1"/>
  <c r="O34" i="1" s="1"/>
  <c r="R48" i="1"/>
  <c r="D49" i="1" s="1"/>
  <c r="M49" i="1" s="1"/>
  <c r="P49" i="1" s="1"/>
  <c r="P45" i="9" l="1"/>
  <c r="R45" i="9" s="1"/>
  <c r="D46" i="9" s="1"/>
  <c r="M46" i="9" s="1"/>
  <c r="O23" i="9"/>
  <c r="P45" i="6"/>
  <c r="R45" i="6" s="1"/>
  <c r="D46" i="6" s="1"/>
  <c r="M46" i="6" s="1"/>
  <c r="J25" i="6"/>
  <c r="K25" i="6" s="1"/>
  <c r="Q23" i="6"/>
  <c r="C24" i="6" s="1"/>
  <c r="L24" i="6" s="1"/>
  <c r="P46" i="5"/>
  <c r="R46" i="5" s="1"/>
  <c r="D47" i="5" s="1"/>
  <c r="M47" i="5" s="1"/>
  <c r="R47" i="5" s="1"/>
  <c r="D48" i="5" s="1"/>
  <c r="M48" i="5" s="1"/>
  <c r="O24" i="5"/>
  <c r="Q24" i="5" s="1"/>
  <c r="C25" i="5" s="1"/>
  <c r="L25" i="5" s="1"/>
  <c r="P45" i="4"/>
  <c r="R45" i="4" s="1"/>
  <c r="D46" i="4" s="1"/>
  <c r="M46" i="4" s="1"/>
  <c r="R46" i="4" s="1"/>
  <c r="D47" i="4" s="1"/>
  <c r="M47" i="4" s="1"/>
  <c r="J24" i="4"/>
  <c r="K24" i="4" s="1"/>
  <c r="Q22" i="4"/>
  <c r="C23" i="4" s="1"/>
  <c r="L23" i="4" s="1"/>
  <c r="P45" i="3"/>
  <c r="R45" i="3" s="1"/>
  <c r="D46" i="3" s="1"/>
  <c r="M46" i="3" s="1"/>
  <c r="O25" i="3"/>
  <c r="J36" i="1"/>
  <c r="K36" i="1" s="1"/>
  <c r="Q34" i="1"/>
  <c r="C35" i="1" s="1"/>
  <c r="L35" i="1" s="1"/>
  <c r="R49" i="1"/>
  <c r="D50" i="1" s="1"/>
  <c r="M50" i="1" s="1"/>
  <c r="P50" i="1" s="1"/>
  <c r="P46" i="9" l="1"/>
  <c r="R46" i="9" s="1"/>
  <c r="D47" i="9" s="1"/>
  <c r="M47" i="9" s="1"/>
  <c r="R47" i="9" s="1"/>
  <c r="D48" i="9" s="1"/>
  <c r="M48" i="9" s="1"/>
  <c r="J25" i="9"/>
  <c r="K25" i="9" s="1"/>
  <c r="Q23" i="9"/>
  <c r="C24" i="9" s="1"/>
  <c r="L24" i="9" s="1"/>
  <c r="P46" i="6"/>
  <c r="R46" i="6" s="1"/>
  <c r="D47" i="6" s="1"/>
  <c r="M47" i="6" s="1"/>
  <c r="R47" i="6" s="1"/>
  <c r="D48" i="6" s="1"/>
  <c r="M48" i="6" s="1"/>
  <c r="O24" i="6"/>
  <c r="O25" i="5"/>
  <c r="J28" i="5" s="1"/>
  <c r="K28" i="5" s="1"/>
  <c r="P48" i="5"/>
  <c r="R48" i="5" s="1"/>
  <c r="D49" i="5" s="1"/>
  <c r="M49" i="5" s="1"/>
  <c r="J27" i="5"/>
  <c r="K27" i="5" s="1"/>
  <c r="J26" i="5"/>
  <c r="K26" i="5" s="1"/>
  <c r="P47" i="4"/>
  <c r="R47" i="4" s="1"/>
  <c r="D48" i="4" s="1"/>
  <c r="M48" i="4" s="1"/>
  <c r="O23" i="4"/>
  <c r="P46" i="3"/>
  <c r="R46" i="3" s="1"/>
  <c r="D47" i="3" s="1"/>
  <c r="M47" i="3" s="1"/>
  <c r="R47" i="3" s="1"/>
  <c r="D48" i="3" s="1"/>
  <c r="M48" i="3" s="1"/>
  <c r="J28" i="3"/>
  <c r="K28" i="3" s="1"/>
  <c r="J27" i="3"/>
  <c r="K27" i="3" s="1"/>
  <c r="Q25" i="3"/>
  <c r="C26" i="3" s="1"/>
  <c r="L26" i="3" s="1"/>
  <c r="Q26" i="3" s="1"/>
  <c r="C27" i="3" s="1"/>
  <c r="F27" i="3" s="1"/>
  <c r="O35" i="1"/>
  <c r="R50" i="1"/>
  <c r="D51" i="1" s="1"/>
  <c r="M51" i="1" s="1"/>
  <c r="P51" i="1" s="1"/>
  <c r="P48" i="9" l="1"/>
  <c r="R48" i="9" s="1"/>
  <c r="D49" i="9" s="1"/>
  <c r="M49" i="9" s="1"/>
  <c r="O24" i="9"/>
  <c r="P48" i="6"/>
  <c r="R48" i="6" s="1"/>
  <c r="D49" i="6" s="1"/>
  <c r="M49" i="6" s="1"/>
  <c r="J26" i="6"/>
  <c r="K26" i="6" s="1"/>
  <c r="Q24" i="6"/>
  <c r="C25" i="6" s="1"/>
  <c r="L25" i="6" s="1"/>
  <c r="P49" i="5"/>
  <c r="R49" i="5" s="1"/>
  <c r="D50" i="5" s="1"/>
  <c r="M50" i="5" s="1"/>
  <c r="Q25" i="5"/>
  <c r="C26" i="5" s="1"/>
  <c r="L26" i="5" s="1"/>
  <c r="Q26" i="5" s="1"/>
  <c r="C27" i="5" s="1"/>
  <c r="P48" i="4"/>
  <c r="R48" i="4" s="1"/>
  <c r="D49" i="4" s="1"/>
  <c r="M49" i="4" s="1"/>
  <c r="J25" i="4"/>
  <c r="K25" i="4" s="1"/>
  <c r="Q23" i="4"/>
  <c r="C24" i="4" s="1"/>
  <c r="L24" i="4" s="1"/>
  <c r="P48" i="3"/>
  <c r="R48" i="3" s="1"/>
  <c r="D49" i="3" s="1"/>
  <c r="M49" i="3" s="1"/>
  <c r="L27" i="3"/>
  <c r="J37" i="1"/>
  <c r="K37" i="1" s="1"/>
  <c r="Q35" i="1"/>
  <c r="C36" i="1" s="1"/>
  <c r="L36" i="1" s="1"/>
  <c r="R51" i="1"/>
  <c r="D52" i="1" s="1"/>
  <c r="M52" i="1" s="1"/>
  <c r="P52" i="1" s="1"/>
  <c r="P49" i="9" l="1"/>
  <c r="R49" i="9" s="1"/>
  <c r="D50" i="9" s="1"/>
  <c r="M50" i="9" s="1"/>
  <c r="J26" i="9"/>
  <c r="K26" i="9" s="1"/>
  <c r="Q24" i="9"/>
  <c r="C25" i="9" s="1"/>
  <c r="L25" i="9" s="1"/>
  <c r="P49" i="6"/>
  <c r="R49" i="6" s="1"/>
  <c r="D50" i="6" s="1"/>
  <c r="M50" i="6" s="1"/>
  <c r="O25" i="6"/>
  <c r="F27" i="5"/>
  <c r="L27" i="5"/>
  <c r="P50" i="5"/>
  <c r="R50" i="5" s="1"/>
  <c r="D51" i="5" s="1"/>
  <c r="M51" i="5" s="1"/>
  <c r="P49" i="4"/>
  <c r="R49" i="4" s="1"/>
  <c r="D50" i="4" s="1"/>
  <c r="M50" i="4" s="1"/>
  <c r="O24" i="4"/>
  <c r="P49" i="3"/>
  <c r="R49" i="3" s="1"/>
  <c r="D50" i="3" s="1"/>
  <c r="M50" i="3" s="1"/>
  <c r="O27" i="3"/>
  <c r="O36" i="1"/>
  <c r="R52" i="1"/>
  <c r="D53" i="1" s="1"/>
  <c r="M53" i="1" s="1"/>
  <c r="P53" i="1" s="1"/>
  <c r="P50" i="9" l="1"/>
  <c r="R50" i="9" s="1"/>
  <c r="D51" i="9" s="1"/>
  <c r="M51" i="9" s="1"/>
  <c r="O25" i="9"/>
  <c r="P50" i="6"/>
  <c r="R50" i="6" s="1"/>
  <c r="D51" i="6" s="1"/>
  <c r="M51" i="6" s="1"/>
  <c r="J28" i="6"/>
  <c r="K28" i="6" s="1"/>
  <c r="J27" i="6"/>
  <c r="K27" i="6" s="1"/>
  <c r="Q25" i="6"/>
  <c r="C26" i="6" s="1"/>
  <c r="L26" i="6" s="1"/>
  <c r="Q26" i="6" s="1"/>
  <c r="C27" i="6" s="1"/>
  <c r="F27" i="6" s="1"/>
  <c r="P51" i="5"/>
  <c r="R51" i="5" s="1"/>
  <c r="D52" i="5" s="1"/>
  <c r="M52" i="5" s="1"/>
  <c r="O27" i="5"/>
  <c r="P50" i="4"/>
  <c r="R50" i="4" s="1"/>
  <c r="D51" i="4" s="1"/>
  <c r="M51" i="4" s="1"/>
  <c r="J27" i="4"/>
  <c r="K27" i="4" s="1"/>
  <c r="J26" i="4"/>
  <c r="K26" i="4" s="1"/>
  <c r="Q24" i="4"/>
  <c r="C25" i="4" s="1"/>
  <c r="L25" i="4" s="1"/>
  <c r="Q25" i="4" s="1"/>
  <c r="C26" i="4" s="1"/>
  <c r="F26" i="4" s="1"/>
  <c r="P50" i="3"/>
  <c r="R50" i="3" s="1"/>
  <c r="D51" i="3" s="1"/>
  <c r="M51" i="3" s="1"/>
  <c r="J29" i="3"/>
  <c r="K29" i="3" s="1"/>
  <c r="Q27" i="3"/>
  <c r="C28" i="3" s="1"/>
  <c r="L28" i="3" s="1"/>
  <c r="Q36" i="1"/>
  <c r="C37" i="1" s="1"/>
  <c r="L37" i="1" s="1"/>
  <c r="J38" i="1"/>
  <c r="O37" i="1"/>
  <c r="K38" i="1"/>
  <c r="R53" i="1"/>
  <c r="D54" i="1" s="1"/>
  <c r="M54" i="1" s="1"/>
  <c r="R54" i="1" s="1"/>
  <c r="D55" i="1" s="1"/>
  <c r="M55" i="1" s="1"/>
  <c r="P55" i="1" s="1"/>
  <c r="P51" i="9" l="1"/>
  <c r="R51" i="9" s="1"/>
  <c r="D52" i="9" s="1"/>
  <c r="M52" i="9" s="1"/>
  <c r="J28" i="9"/>
  <c r="K28" i="9" s="1"/>
  <c r="J27" i="9"/>
  <c r="K27" i="9" s="1"/>
  <c r="Q25" i="9"/>
  <c r="C26" i="9" s="1"/>
  <c r="L26" i="9" s="1"/>
  <c r="Q26" i="9" s="1"/>
  <c r="C27" i="9" s="1"/>
  <c r="F27" i="9" s="1"/>
  <c r="P51" i="6"/>
  <c r="R51" i="6" s="1"/>
  <c r="D52" i="6" s="1"/>
  <c r="M52" i="6" s="1"/>
  <c r="L27" i="6"/>
  <c r="P52" i="5"/>
  <c r="R52" i="5" s="1"/>
  <c r="D53" i="5" s="1"/>
  <c r="M53" i="5" s="1"/>
  <c r="J29" i="5"/>
  <c r="K29" i="5" s="1"/>
  <c r="Q27" i="5"/>
  <c r="C28" i="5" s="1"/>
  <c r="L28" i="5" s="1"/>
  <c r="P51" i="4"/>
  <c r="R51" i="4" s="1"/>
  <c r="D52" i="4" s="1"/>
  <c r="M52" i="4" s="1"/>
  <c r="L26" i="4"/>
  <c r="P51" i="3"/>
  <c r="R51" i="3" s="1"/>
  <c r="D52" i="3" s="1"/>
  <c r="M52" i="3" s="1"/>
  <c r="O28" i="3"/>
  <c r="Q37" i="1"/>
  <c r="C38" i="1" s="1"/>
  <c r="J39" i="1"/>
  <c r="K39" i="1" s="1"/>
  <c r="L38" i="1"/>
  <c r="R55" i="1"/>
  <c r="D56" i="1" s="1"/>
  <c r="M56" i="1" s="1"/>
  <c r="P56" i="1" s="1"/>
  <c r="P52" i="9" l="1"/>
  <c r="R52" i="9" s="1"/>
  <c r="D53" i="9" s="1"/>
  <c r="M53" i="9" s="1"/>
  <c r="L27" i="9"/>
  <c r="P52" i="6"/>
  <c r="R52" i="6" s="1"/>
  <c r="D53" i="6" s="1"/>
  <c r="M53" i="6" s="1"/>
  <c r="O27" i="6"/>
  <c r="P53" i="5"/>
  <c r="R53" i="5" s="1"/>
  <c r="D54" i="5" s="1"/>
  <c r="M54" i="5" s="1"/>
  <c r="R54" i="5" s="1"/>
  <c r="D55" i="5" s="1"/>
  <c r="M55" i="5" s="1"/>
  <c r="O28" i="5"/>
  <c r="P52" i="4"/>
  <c r="R52" i="4" s="1"/>
  <c r="D53" i="4" s="1"/>
  <c r="M53" i="4" s="1"/>
  <c r="R53" i="4" s="1"/>
  <c r="D54" i="4" s="1"/>
  <c r="M54" i="4" s="1"/>
  <c r="O26" i="4"/>
  <c r="P52" i="3"/>
  <c r="R52" i="3" s="1"/>
  <c r="D53" i="3" s="1"/>
  <c r="M53" i="3" s="1"/>
  <c r="J30" i="3"/>
  <c r="K30" i="3" s="1"/>
  <c r="Q28" i="3"/>
  <c r="C29" i="3" s="1"/>
  <c r="L29" i="3" s="1"/>
  <c r="O38" i="1"/>
  <c r="R56" i="1"/>
  <c r="D57" i="1" s="1"/>
  <c r="M57" i="1" s="1"/>
  <c r="P57" i="1" s="1"/>
  <c r="P53" i="9" l="1"/>
  <c r="R53" i="9" s="1"/>
  <c r="D54" i="9" s="1"/>
  <c r="M54" i="9" s="1"/>
  <c r="R54" i="9" s="1"/>
  <c r="D55" i="9" s="1"/>
  <c r="M55" i="9" s="1"/>
  <c r="O27" i="9"/>
  <c r="Q27" i="9" s="1"/>
  <c r="C28" i="9" s="1"/>
  <c r="L28" i="9" s="1"/>
  <c r="P53" i="6"/>
  <c r="R53" i="6" s="1"/>
  <c r="D54" i="6" s="1"/>
  <c r="M54" i="6" s="1"/>
  <c r="R54" i="6" s="1"/>
  <c r="D55" i="6" s="1"/>
  <c r="M55" i="6" s="1"/>
  <c r="J29" i="6"/>
  <c r="K29" i="6" s="1"/>
  <c r="Q27" i="6"/>
  <c r="C28" i="6" s="1"/>
  <c r="L28" i="6" s="1"/>
  <c r="P55" i="5"/>
  <c r="R55" i="5" s="1"/>
  <c r="D56" i="5" s="1"/>
  <c r="M56" i="5" s="1"/>
  <c r="J30" i="5"/>
  <c r="K30" i="5" s="1"/>
  <c r="Q28" i="5"/>
  <c r="C29" i="5" s="1"/>
  <c r="L29" i="5" s="1"/>
  <c r="P54" i="4"/>
  <c r="R54" i="4" s="1"/>
  <c r="D55" i="4" s="1"/>
  <c r="M55" i="4" s="1"/>
  <c r="J28" i="4"/>
  <c r="K28" i="4" s="1"/>
  <c r="Q26" i="4"/>
  <c r="C27" i="4" s="1"/>
  <c r="L27" i="4" s="1"/>
  <c r="P53" i="3"/>
  <c r="R53" i="3" s="1"/>
  <c r="D54" i="3" s="1"/>
  <c r="M54" i="3" s="1"/>
  <c r="R54" i="3" s="1"/>
  <c r="D55" i="3" s="1"/>
  <c r="M55" i="3" s="1"/>
  <c r="O29" i="3"/>
  <c r="Q38" i="1"/>
  <c r="C39" i="1" s="1"/>
  <c r="L39" i="1" s="1"/>
  <c r="J40" i="1"/>
  <c r="K40" i="1" s="1"/>
  <c r="O39" i="1"/>
  <c r="R57" i="1"/>
  <c r="D58" i="1" s="1"/>
  <c r="M58" i="1" s="1"/>
  <c r="P58" i="1" s="1"/>
  <c r="O28" i="9" l="1"/>
  <c r="J30" i="9" s="1"/>
  <c r="K30" i="9" s="1"/>
  <c r="P55" i="9"/>
  <c r="R55" i="9" s="1"/>
  <c r="D56" i="9" s="1"/>
  <c r="M56" i="9" s="1"/>
  <c r="J29" i="9"/>
  <c r="K29" i="9" s="1"/>
  <c r="P55" i="6"/>
  <c r="R55" i="6" s="1"/>
  <c r="D56" i="6" s="1"/>
  <c r="M56" i="6" s="1"/>
  <c r="O28" i="6"/>
  <c r="P56" i="5"/>
  <c r="R56" i="5" s="1"/>
  <c r="D57" i="5" s="1"/>
  <c r="M57" i="5" s="1"/>
  <c r="O29" i="5"/>
  <c r="P55" i="4"/>
  <c r="R55" i="4" s="1"/>
  <c r="D56" i="4" s="1"/>
  <c r="M56" i="4" s="1"/>
  <c r="O27" i="4"/>
  <c r="P55" i="3"/>
  <c r="R55" i="3" s="1"/>
  <c r="D56" i="3" s="1"/>
  <c r="M56" i="3" s="1"/>
  <c r="J31" i="3"/>
  <c r="K31" i="3" s="1"/>
  <c r="Q29" i="3"/>
  <c r="C30" i="3" s="1"/>
  <c r="L30" i="3" s="1"/>
  <c r="J42" i="1"/>
  <c r="K42" i="1" s="1"/>
  <c r="J41" i="1"/>
  <c r="K41" i="1" s="1"/>
  <c r="Q39" i="1"/>
  <c r="C40" i="1" s="1"/>
  <c r="L40" i="1"/>
  <c r="Q40" i="1" s="1"/>
  <c r="C41" i="1" s="1"/>
  <c r="R58" i="1"/>
  <c r="D59" i="1" s="1"/>
  <c r="M59" i="1" s="1"/>
  <c r="P59" i="1" s="1"/>
  <c r="P56" i="9" l="1"/>
  <c r="R56" i="9" s="1"/>
  <c r="D57" i="9" s="1"/>
  <c r="M57" i="9" s="1"/>
  <c r="Q28" i="9"/>
  <c r="C29" i="9" s="1"/>
  <c r="L29" i="9" s="1"/>
  <c r="P56" i="6"/>
  <c r="R56" i="6" s="1"/>
  <c r="D57" i="6" s="1"/>
  <c r="M57" i="6" s="1"/>
  <c r="J30" i="6"/>
  <c r="K30" i="6" s="1"/>
  <c r="Q28" i="6"/>
  <c r="C29" i="6" s="1"/>
  <c r="L29" i="6" s="1"/>
  <c r="P57" i="5"/>
  <c r="R57" i="5" s="1"/>
  <c r="D58" i="5" s="1"/>
  <c r="M58" i="5" s="1"/>
  <c r="J31" i="5"/>
  <c r="K31" i="5" s="1"/>
  <c r="Q29" i="5"/>
  <c r="C30" i="5" s="1"/>
  <c r="L30" i="5" s="1"/>
  <c r="P56" i="4"/>
  <c r="R56" i="4" s="1"/>
  <c r="D57" i="4" s="1"/>
  <c r="M57" i="4" s="1"/>
  <c r="J29" i="4"/>
  <c r="K29" i="4" s="1"/>
  <c r="Q27" i="4"/>
  <c r="C28" i="4" s="1"/>
  <c r="L28" i="4" s="1"/>
  <c r="P56" i="3"/>
  <c r="R56" i="3" s="1"/>
  <c r="D57" i="3" s="1"/>
  <c r="M57" i="3" s="1"/>
  <c r="O30" i="3"/>
  <c r="F41" i="1"/>
  <c r="L41" i="1" s="1"/>
  <c r="R59" i="1"/>
  <c r="D60" i="1" s="1"/>
  <c r="M60" i="1" s="1"/>
  <c r="P60" i="1" s="1"/>
  <c r="O29" i="9" l="1"/>
  <c r="P57" i="9"/>
  <c r="R57" i="9" s="1"/>
  <c r="D58" i="9" s="1"/>
  <c r="M58" i="9" s="1"/>
  <c r="P57" i="6"/>
  <c r="R57" i="6" s="1"/>
  <c r="D58" i="6" s="1"/>
  <c r="M58" i="6" s="1"/>
  <c r="O29" i="6"/>
  <c r="R58" i="5"/>
  <c r="D59" i="5" s="1"/>
  <c r="M59" i="5" s="1"/>
  <c r="P58" i="5"/>
  <c r="O30" i="5"/>
  <c r="Q30" i="5" s="1"/>
  <c r="C31" i="5" s="1"/>
  <c r="L31" i="5" s="1"/>
  <c r="P57" i="4"/>
  <c r="R57" i="4" s="1"/>
  <c r="D58" i="4" s="1"/>
  <c r="M58" i="4" s="1"/>
  <c r="O28" i="4"/>
  <c r="Q28" i="4" s="1"/>
  <c r="C29" i="4" s="1"/>
  <c r="L29" i="4" s="1"/>
  <c r="P57" i="3"/>
  <c r="R57" i="3" s="1"/>
  <c r="D58" i="3" s="1"/>
  <c r="M58" i="3" s="1"/>
  <c r="J32" i="3"/>
  <c r="K32" i="3" s="1"/>
  <c r="Q30" i="3"/>
  <c r="C31" i="3" s="1"/>
  <c r="L31" i="3" s="1"/>
  <c r="O41" i="1"/>
  <c r="R60" i="1"/>
  <c r="D61" i="1" s="1"/>
  <c r="M61" i="1" s="1"/>
  <c r="R61" i="1" s="1"/>
  <c r="D62" i="1" s="1"/>
  <c r="M62" i="1" s="1"/>
  <c r="P62" i="1" s="1"/>
  <c r="P58" i="9" l="1"/>
  <c r="R58" i="9" s="1"/>
  <c r="D59" i="9" s="1"/>
  <c r="M59" i="9" s="1"/>
  <c r="J31" i="9"/>
  <c r="K31" i="9" s="1"/>
  <c r="Q29" i="9"/>
  <c r="C30" i="9" s="1"/>
  <c r="L30" i="9" s="1"/>
  <c r="P58" i="6"/>
  <c r="R58" i="6" s="1"/>
  <c r="D59" i="6" s="1"/>
  <c r="M59" i="6" s="1"/>
  <c r="J31" i="6"/>
  <c r="K31" i="6" s="1"/>
  <c r="Q29" i="6"/>
  <c r="C30" i="6" s="1"/>
  <c r="L30" i="6" s="1"/>
  <c r="O31" i="5"/>
  <c r="P59" i="5"/>
  <c r="R59" i="5" s="1"/>
  <c r="D60" i="5" s="1"/>
  <c r="M60" i="5" s="1"/>
  <c r="J33" i="5"/>
  <c r="K33" i="5" s="1"/>
  <c r="J32" i="5"/>
  <c r="K32" i="5" s="1"/>
  <c r="O29" i="4"/>
  <c r="P58" i="4"/>
  <c r="R58" i="4" s="1"/>
  <c r="D59" i="4" s="1"/>
  <c r="M59" i="4" s="1"/>
  <c r="J31" i="4"/>
  <c r="K31" i="4" s="1"/>
  <c r="J30" i="4"/>
  <c r="K30" i="4" s="1"/>
  <c r="P58" i="3"/>
  <c r="R58" i="3" s="1"/>
  <c r="D59" i="3" s="1"/>
  <c r="M59" i="3" s="1"/>
  <c r="O31" i="3"/>
  <c r="Q41" i="1"/>
  <c r="C42" i="1" s="1"/>
  <c r="L42" i="1" s="1"/>
  <c r="J43" i="1"/>
  <c r="O42" i="1"/>
  <c r="K43" i="1"/>
  <c r="R62" i="1"/>
  <c r="D63" i="1" s="1"/>
  <c r="M63" i="1" s="1"/>
  <c r="P63" i="1" s="1"/>
  <c r="P59" i="9" l="1"/>
  <c r="R59" i="9" s="1"/>
  <c r="D60" i="9" s="1"/>
  <c r="M60" i="9" s="1"/>
  <c r="O30" i="9"/>
  <c r="Q30" i="9" s="1"/>
  <c r="C31" i="9" s="1"/>
  <c r="L31" i="9" s="1"/>
  <c r="P59" i="6"/>
  <c r="R59" i="6" s="1"/>
  <c r="D60" i="6" s="1"/>
  <c r="M60" i="6" s="1"/>
  <c r="O30" i="6"/>
  <c r="P60" i="5"/>
  <c r="R60" i="5" s="1"/>
  <c r="D61" i="5" s="1"/>
  <c r="M61" i="5" s="1"/>
  <c r="R61" i="5" s="1"/>
  <c r="D62" i="5" s="1"/>
  <c r="M62" i="5" s="1"/>
  <c r="Q31" i="5"/>
  <c r="C32" i="5" s="1"/>
  <c r="L32" i="5" s="1"/>
  <c r="P59" i="4"/>
  <c r="R59" i="4" s="1"/>
  <c r="D60" i="4" s="1"/>
  <c r="M60" i="4" s="1"/>
  <c r="R60" i="4" s="1"/>
  <c r="D61" i="4" s="1"/>
  <c r="M61" i="4" s="1"/>
  <c r="Q29" i="4"/>
  <c r="C30" i="4" s="1"/>
  <c r="L30" i="4" s="1"/>
  <c r="P59" i="3"/>
  <c r="R59" i="3" s="1"/>
  <c r="D60" i="3" s="1"/>
  <c r="M60" i="3" s="1"/>
  <c r="J33" i="3"/>
  <c r="K33" i="3" s="1"/>
  <c r="Q31" i="3"/>
  <c r="C32" i="3" s="1"/>
  <c r="L32" i="3" s="1"/>
  <c r="Q42" i="1"/>
  <c r="C43" i="1" s="1"/>
  <c r="J44" i="1"/>
  <c r="K44" i="1" s="1"/>
  <c r="L43" i="1"/>
  <c r="R63" i="1"/>
  <c r="D64" i="1" s="1"/>
  <c r="M64" i="1" s="1"/>
  <c r="P64" i="1" s="1"/>
  <c r="O31" i="9" l="1"/>
  <c r="P60" i="9"/>
  <c r="R60" i="9" s="1"/>
  <c r="D61" i="9" s="1"/>
  <c r="M61" i="9" s="1"/>
  <c r="R61" i="9" s="1"/>
  <c r="D62" i="9" s="1"/>
  <c r="M62" i="9" s="1"/>
  <c r="J33" i="9"/>
  <c r="K33" i="9" s="1"/>
  <c r="J32" i="9"/>
  <c r="K32" i="9" s="1"/>
  <c r="P60" i="6"/>
  <c r="R60" i="6" s="1"/>
  <c r="D61" i="6" s="1"/>
  <c r="M61" i="6" s="1"/>
  <c r="R61" i="6" s="1"/>
  <c r="D62" i="6" s="1"/>
  <c r="M62" i="6" s="1"/>
  <c r="J32" i="6"/>
  <c r="K32" i="6" s="1"/>
  <c r="Q30" i="6"/>
  <c r="C31" i="6" s="1"/>
  <c r="L31" i="6" s="1"/>
  <c r="O32" i="5"/>
  <c r="P62" i="5"/>
  <c r="R62" i="5" s="1"/>
  <c r="D63" i="5" s="1"/>
  <c r="M63" i="5" s="1"/>
  <c r="O30" i="4"/>
  <c r="P61" i="4"/>
  <c r="R61" i="4" s="1"/>
  <c r="D62" i="4" s="1"/>
  <c r="M62" i="4" s="1"/>
  <c r="P60" i="3"/>
  <c r="R60" i="3" s="1"/>
  <c r="D61" i="3" s="1"/>
  <c r="M61" i="3" s="1"/>
  <c r="R61" i="3" s="1"/>
  <c r="D62" i="3" s="1"/>
  <c r="M62" i="3" s="1"/>
  <c r="O32" i="3"/>
  <c r="O43" i="1"/>
  <c r="R64" i="1"/>
  <c r="D65" i="1" s="1"/>
  <c r="M65" i="1" s="1"/>
  <c r="P65" i="1" s="1"/>
  <c r="P62" i="9" l="1"/>
  <c r="R62" i="9" s="1"/>
  <c r="D63" i="9" s="1"/>
  <c r="M63" i="9" s="1"/>
  <c r="Q31" i="9"/>
  <c r="C32" i="9" s="1"/>
  <c r="L32" i="9" s="1"/>
  <c r="P62" i="6"/>
  <c r="R62" i="6" s="1"/>
  <c r="D63" i="6" s="1"/>
  <c r="M63" i="6" s="1"/>
  <c r="O31" i="6"/>
  <c r="P63" i="5"/>
  <c r="R63" i="5" s="1"/>
  <c r="D64" i="5" s="1"/>
  <c r="M64" i="5" s="1"/>
  <c r="J35" i="5"/>
  <c r="K35" i="5" s="1"/>
  <c r="J34" i="5"/>
  <c r="K34" i="5" s="1"/>
  <c r="L34" i="5" s="1"/>
  <c r="Q32" i="5"/>
  <c r="C33" i="5" s="1"/>
  <c r="L33" i="5" s="1"/>
  <c r="Q33" i="5" s="1"/>
  <c r="C34" i="5" s="1"/>
  <c r="F34" i="5" s="1"/>
  <c r="P62" i="4"/>
  <c r="R62" i="4" s="1"/>
  <c r="D63" i="4" s="1"/>
  <c r="M63" i="4" s="1"/>
  <c r="J32" i="4"/>
  <c r="K32" i="4" s="1"/>
  <c r="Q30" i="4"/>
  <c r="C31" i="4" s="1"/>
  <c r="L31" i="4" s="1"/>
  <c r="P62" i="3"/>
  <c r="R62" i="3" s="1"/>
  <c r="D63" i="3" s="1"/>
  <c r="M63" i="3" s="1"/>
  <c r="J35" i="3"/>
  <c r="K35" i="3" s="1"/>
  <c r="J34" i="3"/>
  <c r="K34" i="3" s="1"/>
  <c r="L34" i="3" s="1"/>
  <c r="Q32" i="3"/>
  <c r="C33" i="3" s="1"/>
  <c r="L33" i="3" s="1"/>
  <c r="Q33" i="3" s="1"/>
  <c r="C34" i="3" s="1"/>
  <c r="F34" i="3" s="1"/>
  <c r="J45" i="1"/>
  <c r="K45" i="1" s="1"/>
  <c r="Q43" i="1"/>
  <c r="C44" i="1" s="1"/>
  <c r="L44" i="1" s="1"/>
  <c r="R65" i="1"/>
  <c r="D66" i="1" s="1"/>
  <c r="M66" i="1" s="1"/>
  <c r="P66" i="1" s="1"/>
  <c r="O32" i="9" l="1"/>
  <c r="P63" i="9"/>
  <c r="R63" i="9" s="1"/>
  <c r="D64" i="9" s="1"/>
  <c r="M64" i="9" s="1"/>
  <c r="P63" i="6"/>
  <c r="R63" i="6" s="1"/>
  <c r="D64" i="6" s="1"/>
  <c r="M64" i="6" s="1"/>
  <c r="J33" i="6"/>
  <c r="K33" i="6" s="1"/>
  <c r="Q31" i="6"/>
  <c r="C32" i="6" s="1"/>
  <c r="L32" i="6" s="1"/>
  <c r="P64" i="5"/>
  <c r="R64" i="5" s="1"/>
  <c r="D65" i="5" s="1"/>
  <c r="M65" i="5" s="1"/>
  <c r="O34" i="5"/>
  <c r="P63" i="4"/>
  <c r="R63" i="4" s="1"/>
  <c r="D64" i="4" s="1"/>
  <c r="M64" i="4" s="1"/>
  <c r="O31" i="4"/>
  <c r="Q31" i="4" s="1"/>
  <c r="C32" i="4" s="1"/>
  <c r="L32" i="4" s="1"/>
  <c r="Q32" i="4" s="1"/>
  <c r="C33" i="4" s="1"/>
  <c r="F33" i="4" s="1"/>
  <c r="P63" i="3"/>
  <c r="R63" i="3" s="1"/>
  <c r="D64" i="3" s="1"/>
  <c r="M64" i="3" s="1"/>
  <c r="O34" i="3"/>
  <c r="O44" i="1"/>
  <c r="R66" i="1"/>
  <c r="D67" i="1" s="1"/>
  <c r="M67" i="1" s="1"/>
  <c r="P67" i="1" s="1"/>
  <c r="P64" i="9" l="1"/>
  <c r="R64" i="9" s="1"/>
  <c r="D65" i="9" s="1"/>
  <c r="M65" i="9" s="1"/>
  <c r="J35" i="9"/>
  <c r="K35" i="9" s="1"/>
  <c r="J34" i="9"/>
  <c r="K34" i="9" s="1"/>
  <c r="Q32" i="9"/>
  <c r="C33" i="9" s="1"/>
  <c r="L33" i="9" s="1"/>
  <c r="Q33" i="9" s="1"/>
  <c r="C34" i="9" s="1"/>
  <c r="F34" i="9" s="1"/>
  <c r="P64" i="6"/>
  <c r="R64" i="6" s="1"/>
  <c r="D65" i="6" s="1"/>
  <c r="M65" i="6" s="1"/>
  <c r="O32" i="6"/>
  <c r="R65" i="5"/>
  <c r="D66" i="5" s="1"/>
  <c r="M66" i="5" s="1"/>
  <c r="P65" i="5"/>
  <c r="J36" i="5"/>
  <c r="K36" i="5" s="1"/>
  <c r="Q34" i="5"/>
  <c r="C35" i="5" s="1"/>
  <c r="L35" i="5" s="1"/>
  <c r="P64" i="4"/>
  <c r="R64" i="4" s="1"/>
  <c r="D65" i="4" s="1"/>
  <c r="M65" i="4" s="1"/>
  <c r="J34" i="4"/>
  <c r="K34" i="4" s="1"/>
  <c r="J33" i="4"/>
  <c r="K33" i="4" s="1"/>
  <c r="L33" i="4" s="1"/>
  <c r="P64" i="3"/>
  <c r="R64" i="3" s="1"/>
  <c r="D65" i="3" s="1"/>
  <c r="M65" i="3" s="1"/>
  <c r="J36" i="3"/>
  <c r="K36" i="3" s="1"/>
  <c r="Q34" i="3"/>
  <c r="C35" i="3" s="1"/>
  <c r="L35" i="3" s="1"/>
  <c r="Q44" i="1"/>
  <c r="C45" i="1" s="1"/>
  <c r="L45" i="1" s="1"/>
  <c r="J46" i="1"/>
  <c r="K46" i="1" s="1"/>
  <c r="O45" i="1"/>
  <c r="R67" i="1"/>
  <c r="D68" i="1" s="1"/>
  <c r="M68" i="1" s="1"/>
  <c r="R68" i="1" s="1"/>
  <c r="D69" i="1" s="1"/>
  <c r="M69" i="1" s="1"/>
  <c r="P69" i="1" s="1"/>
  <c r="P65" i="9" l="1"/>
  <c r="R65" i="9" s="1"/>
  <c r="D66" i="9" s="1"/>
  <c r="M66" i="9" s="1"/>
  <c r="L34" i="9"/>
  <c r="P65" i="6"/>
  <c r="R65" i="6" s="1"/>
  <c r="D66" i="6" s="1"/>
  <c r="M66" i="6" s="1"/>
  <c r="J35" i="6"/>
  <c r="K35" i="6" s="1"/>
  <c r="J34" i="6"/>
  <c r="K34" i="6" s="1"/>
  <c r="L34" i="6" s="1"/>
  <c r="Q32" i="6"/>
  <c r="C33" i="6" s="1"/>
  <c r="L33" i="6" s="1"/>
  <c r="Q33" i="6" s="1"/>
  <c r="C34" i="6" s="1"/>
  <c r="F34" i="6" s="1"/>
  <c r="Q35" i="5"/>
  <c r="C36" i="5" s="1"/>
  <c r="L36" i="5" s="1"/>
  <c r="O35" i="5"/>
  <c r="P66" i="5"/>
  <c r="R66" i="5" s="1"/>
  <c r="D67" i="5" s="1"/>
  <c r="M67" i="5" s="1"/>
  <c r="P65" i="4"/>
  <c r="R65" i="4" s="1"/>
  <c r="D66" i="4" s="1"/>
  <c r="M66" i="4" s="1"/>
  <c r="O33" i="4"/>
  <c r="P65" i="3"/>
  <c r="R65" i="3"/>
  <c r="D66" i="3" s="1"/>
  <c r="M66" i="3" s="1"/>
  <c r="O35" i="3"/>
  <c r="Q45" i="1"/>
  <c r="C46" i="1" s="1"/>
  <c r="J47" i="1"/>
  <c r="K47" i="1" s="1"/>
  <c r="L46" i="1"/>
  <c r="O46" i="1"/>
  <c r="R69" i="1"/>
  <c r="D70" i="1" s="1"/>
  <c r="M70" i="1" s="1"/>
  <c r="P70" i="1" s="1"/>
  <c r="P66" i="9" l="1"/>
  <c r="R66" i="9" s="1"/>
  <c r="D67" i="9" s="1"/>
  <c r="M67" i="9" s="1"/>
  <c r="O34" i="9"/>
  <c r="P66" i="6"/>
  <c r="R66" i="6" s="1"/>
  <c r="D67" i="6" s="1"/>
  <c r="M67" i="6" s="1"/>
  <c r="O34" i="6"/>
  <c r="P67" i="5"/>
  <c r="R67" i="5" s="1"/>
  <c r="D68" i="5" s="1"/>
  <c r="M68" i="5" s="1"/>
  <c r="R68" i="5" s="1"/>
  <c r="D69" i="5" s="1"/>
  <c r="M69" i="5" s="1"/>
  <c r="O36" i="5"/>
  <c r="J38" i="5" s="1"/>
  <c r="K38" i="5" s="1"/>
  <c r="J37" i="5"/>
  <c r="K37" i="5" s="1"/>
  <c r="P66" i="4"/>
  <c r="R66" i="4" s="1"/>
  <c r="D67" i="4" s="1"/>
  <c r="M67" i="4" s="1"/>
  <c r="R67" i="4" s="1"/>
  <c r="D68" i="4" s="1"/>
  <c r="M68" i="4" s="1"/>
  <c r="J35" i="4"/>
  <c r="K35" i="4" s="1"/>
  <c r="Q33" i="4"/>
  <c r="C34" i="4" s="1"/>
  <c r="L34" i="4" s="1"/>
  <c r="J37" i="3"/>
  <c r="K37" i="3" s="1"/>
  <c r="P66" i="3"/>
  <c r="R66" i="3" s="1"/>
  <c r="D67" i="3" s="1"/>
  <c r="M67" i="3" s="1"/>
  <c r="Q35" i="3"/>
  <c r="C36" i="3" s="1"/>
  <c r="L36" i="3" s="1"/>
  <c r="Q46" i="1"/>
  <c r="C47" i="1" s="1"/>
  <c r="L47" i="1" s="1"/>
  <c r="Q47" i="1" s="1"/>
  <c r="C48" i="1" s="1"/>
  <c r="J49" i="1"/>
  <c r="J48" i="1"/>
  <c r="F48" i="1"/>
  <c r="K49" i="1"/>
  <c r="R70" i="1"/>
  <c r="D71" i="1" s="1"/>
  <c r="M71" i="1" s="1"/>
  <c r="P71" i="1" s="1"/>
  <c r="P67" i="9" l="1"/>
  <c r="R67" i="9" s="1"/>
  <c r="D68" i="9" s="1"/>
  <c r="M68" i="9" s="1"/>
  <c r="R68" i="9" s="1"/>
  <c r="D69" i="9" s="1"/>
  <c r="M69" i="9" s="1"/>
  <c r="J36" i="9"/>
  <c r="K36" i="9" s="1"/>
  <c r="Q34" i="9"/>
  <c r="C35" i="9" s="1"/>
  <c r="L35" i="9" s="1"/>
  <c r="P67" i="6"/>
  <c r="R67" i="6" s="1"/>
  <c r="D68" i="6" s="1"/>
  <c r="M68" i="6" s="1"/>
  <c r="R68" i="6" s="1"/>
  <c r="D69" i="6" s="1"/>
  <c r="M69" i="6" s="1"/>
  <c r="J36" i="6"/>
  <c r="K36" i="6" s="1"/>
  <c r="Q34" i="6"/>
  <c r="C35" i="6" s="1"/>
  <c r="L35" i="6" s="1"/>
  <c r="P69" i="5"/>
  <c r="R69" i="5" s="1"/>
  <c r="D70" i="5" s="1"/>
  <c r="M70" i="5" s="1"/>
  <c r="Q36" i="5"/>
  <c r="C37" i="5" s="1"/>
  <c r="L37" i="5" s="1"/>
  <c r="P68" i="4"/>
  <c r="R68" i="4" s="1"/>
  <c r="D69" i="4" s="1"/>
  <c r="M69" i="4" s="1"/>
  <c r="O34" i="4"/>
  <c r="P67" i="3"/>
  <c r="R67" i="3" s="1"/>
  <c r="D68" i="3" s="1"/>
  <c r="M68" i="3" s="1"/>
  <c r="R68" i="3" s="1"/>
  <c r="D69" i="3" s="1"/>
  <c r="M69" i="3" s="1"/>
  <c r="O36" i="3"/>
  <c r="K48" i="1"/>
  <c r="L48" i="1" s="1"/>
  <c r="O48" i="1" s="1"/>
  <c r="R71" i="1"/>
  <c r="D72" i="1" s="1"/>
  <c r="M72" i="1" s="1"/>
  <c r="P72" i="1" s="1"/>
  <c r="P69" i="9" l="1"/>
  <c r="R69" i="9" s="1"/>
  <c r="D70" i="9" s="1"/>
  <c r="M70" i="9" s="1"/>
  <c r="O35" i="9"/>
  <c r="P69" i="6"/>
  <c r="R69" i="6" s="1"/>
  <c r="D70" i="6" s="1"/>
  <c r="M70" i="6" s="1"/>
  <c r="O35" i="6"/>
  <c r="O37" i="5"/>
  <c r="P70" i="5"/>
  <c r="R70" i="5" s="1"/>
  <c r="D71" i="5" s="1"/>
  <c r="M71" i="5" s="1"/>
  <c r="P69" i="4"/>
  <c r="R69" i="4" s="1"/>
  <c r="D70" i="4" s="1"/>
  <c r="M70" i="4" s="1"/>
  <c r="J36" i="4"/>
  <c r="K36" i="4" s="1"/>
  <c r="Q34" i="4"/>
  <c r="C35" i="4" s="1"/>
  <c r="L35" i="4" s="1"/>
  <c r="P69" i="3"/>
  <c r="R69" i="3" s="1"/>
  <c r="D70" i="3" s="1"/>
  <c r="M70" i="3" s="1"/>
  <c r="J38" i="3"/>
  <c r="K38" i="3" s="1"/>
  <c r="Q36" i="3"/>
  <c r="C37" i="3" s="1"/>
  <c r="L37" i="3" s="1"/>
  <c r="Q48" i="1"/>
  <c r="C49" i="1" s="1"/>
  <c r="L49" i="1" s="1"/>
  <c r="J50" i="1"/>
  <c r="O49" i="1"/>
  <c r="K50" i="1"/>
  <c r="R72" i="1"/>
  <c r="D73" i="1" s="1"/>
  <c r="M73" i="1" s="1"/>
  <c r="P73" i="1" s="1"/>
  <c r="P70" i="9" l="1"/>
  <c r="R70" i="9" s="1"/>
  <c r="D71" i="9" s="1"/>
  <c r="M71" i="9" s="1"/>
  <c r="J37" i="9"/>
  <c r="K37" i="9" s="1"/>
  <c r="Q35" i="9"/>
  <c r="C36" i="9" s="1"/>
  <c r="L36" i="9" s="1"/>
  <c r="P70" i="6"/>
  <c r="R70" i="6" s="1"/>
  <c r="D71" i="6" s="1"/>
  <c r="M71" i="6" s="1"/>
  <c r="J37" i="6"/>
  <c r="K37" i="6" s="1"/>
  <c r="Q35" i="6"/>
  <c r="C36" i="6" s="1"/>
  <c r="L36" i="6" s="1"/>
  <c r="P71" i="5"/>
  <c r="R71" i="5" s="1"/>
  <c r="D72" i="5" s="1"/>
  <c r="M72" i="5" s="1"/>
  <c r="J39" i="5"/>
  <c r="K39" i="5" s="1"/>
  <c r="Q37" i="5"/>
  <c r="C38" i="5" s="1"/>
  <c r="L38" i="5" s="1"/>
  <c r="P70" i="4"/>
  <c r="R70" i="4" s="1"/>
  <c r="D71" i="4" s="1"/>
  <c r="M71" i="4" s="1"/>
  <c r="O35" i="4"/>
  <c r="P70" i="3"/>
  <c r="R70" i="3" s="1"/>
  <c r="D71" i="3" s="1"/>
  <c r="M71" i="3" s="1"/>
  <c r="O37" i="3"/>
  <c r="Q49" i="1"/>
  <c r="C50" i="1" s="1"/>
  <c r="J51" i="1"/>
  <c r="K51" i="1" s="1"/>
  <c r="L50" i="1"/>
  <c r="R73" i="1"/>
  <c r="D74" i="1" s="1"/>
  <c r="M74" i="1" s="1"/>
  <c r="P74" i="1" s="1"/>
  <c r="P71" i="9" l="1"/>
  <c r="R71" i="9" s="1"/>
  <c r="D72" i="9" s="1"/>
  <c r="M72" i="9" s="1"/>
  <c r="O36" i="9"/>
  <c r="P71" i="6"/>
  <c r="R71" i="6" s="1"/>
  <c r="D72" i="6" s="1"/>
  <c r="M72" i="6" s="1"/>
  <c r="O36" i="6"/>
  <c r="P72" i="5"/>
  <c r="R72" i="5" s="1"/>
  <c r="D73" i="5" s="1"/>
  <c r="M73" i="5" s="1"/>
  <c r="O38" i="5"/>
  <c r="P71" i="4"/>
  <c r="R71" i="4" s="1"/>
  <c r="D72" i="4" s="1"/>
  <c r="M72" i="4" s="1"/>
  <c r="J37" i="4"/>
  <c r="K37" i="4" s="1"/>
  <c r="Q35" i="4"/>
  <c r="C36" i="4" s="1"/>
  <c r="L36" i="4" s="1"/>
  <c r="P71" i="3"/>
  <c r="R71" i="3" s="1"/>
  <c r="D72" i="3" s="1"/>
  <c r="M72" i="3" s="1"/>
  <c r="J39" i="3"/>
  <c r="K39" i="3" s="1"/>
  <c r="Q37" i="3"/>
  <c r="C38" i="3" s="1"/>
  <c r="L38" i="3" s="1"/>
  <c r="O50" i="1"/>
  <c r="R74" i="1"/>
  <c r="D75" i="1" s="1"/>
  <c r="M75" i="1" s="1"/>
  <c r="R75" i="1" s="1"/>
  <c r="D76" i="1" s="1"/>
  <c r="M76" i="1" s="1"/>
  <c r="P76" i="1" s="1"/>
  <c r="P72" i="9" l="1"/>
  <c r="R72" i="9" s="1"/>
  <c r="D73" i="9" s="1"/>
  <c r="M73" i="9" s="1"/>
  <c r="J38" i="9"/>
  <c r="K38" i="9" s="1"/>
  <c r="Q36" i="9"/>
  <c r="C37" i="9" s="1"/>
  <c r="L37" i="9" s="1"/>
  <c r="P72" i="6"/>
  <c r="R72" i="6" s="1"/>
  <c r="D73" i="6" s="1"/>
  <c r="M73" i="6" s="1"/>
  <c r="J38" i="6"/>
  <c r="K38" i="6" s="1"/>
  <c r="Q36" i="6"/>
  <c r="C37" i="6" s="1"/>
  <c r="L37" i="6" s="1"/>
  <c r="R73" i="5"/>
  <c r="D74" i="5" s="1"/>
  <c r="M74" i="5" s="1"/>
  <c r="P73" i="5"/>
  <c r="J40" i="5"/>
  <c r="K40" i="5" s="1"/>
  <c r="Q38" i="5"/>
  <c r="C39" i="5" s="1"/>
  <c r="L39" i="5" s="1"/>
  <c r="P72" i="4"/>
  <c r="R72" i="4" s="1"/>
  <c r="D73" i="4" s="1"/>
  <c r="M73" i="4" s="1"/>
  <c r="O36" i="4"/>
  <c r="Q36" i="4" s="1"/>
  <c r="C37" i="4" s="1"/>
  <c r="L37" i="4" s="1"/>
  <c r="P72" i="3"/>
  <c r="R72" i="3" s="1"/>
  <c r="D73" i="3" s="1"/>
  <c r="M73" i="3" s="1"/>
  <c r="O38" i="3"/>
  <c r="J52" i="1"/>
  <c r="K52" i="1" s="1"/>
  <c r="Q50" i="1"/>
  <c r="C51" i="1" s="1"/>
  <c r="L51" i="1" s="1"/>
  <c r="R76" i="1"/>
  <c r="D77" i="1" s="1"/>
  <c r="M77" i="1" s="1"/>
  <c r="P77" i="1" s="1"/>
  <c r="P73" i="9" l="1"/>
  <c r="R73" i="9" s="1"/>
  <c r="D74" i="9" s="1"/>
  <c r="M74" i="9" s="1"/>
  <c r="O37" i="9"/>
  <c r="P73" i="6"/>
  <c r="R73" i="6" s="1"/>
  <c r="D74" i="6" s="1"/>
  <c r="M74" i="6" s="1"/>
  <c r="O37" i="6"/>
  <c r="Q39" i="5"/>
  <c r="C40" i="5" s="1"/>
  <c r="L40" i="5" s="1"/>
  <c r="Q40" i="5" s="1"/>
  <c r="C41" i="5" s="1"/>
  <c r="F41" i="5" s="1"/>
  <c r="O39" i="5"/>
  <c r="P74" i="5"/>
  <c r="R74" i="5" s="1"/>
  <c r="D75" i="5" s="1"/>
  <c r="M75" i="5" s="1"/>
  <c r="R75" i="5" s="1"/>
  <c r="D76" i="5" s="1"/>
  <c r="M76" i="5" s="1"/>
  <c r="O37" i="4"/>
  <c r="P73" i="4"/>
  <c r="R73" i="4" s="1"/>
  <c r="D74" i="4" s="1"/>
  <c r="M74" i="4" s="1"/>
  <c r="R74" i="4" s="1"/>
  <c r="D75" i="4" s="1"/>
  <c r="M75" i="4" s="1"/>
  <c r="J39" i="4"/>
  <c r="K39" i="4" s="1"/>
  <c r="J38" i="4"/>
  <c r="K38" i="4" s="1"/>
  <c r="P73" i="3"/>
  <c r="R73" i="3" s="1"/>
  <c r="D74" i="3" s="1"/>
  <c r="M74" i="3" s="1"/>
  <c r="J40" i="3"/>
  <c r="K40" i="3" s="1"/>
  <c r="Q38" i="3"/>
  <c r="C39" i="3" s="1"/>
  <c r="L39" i="3" s="1"/>
  <c r="O51" i="1"/>
  <c r="R77" i="1"/>
  <c r="D78" i="1" s="1"/>
  <c r="M78" i="1" s="1"/>
  <c r="P78" i="1" s="1"/>
  <c r="P74" i="9" l="1"/>
  <c r="R74" i="9" s="1"/>
  <c r="D75" i="9" s="1"/>
  <c r="M75" i="9" s="1"/>
  <c r="R75" i="9" s="1"/>
  <c r="D76" i="9" s="1"/>
  <c r="M76" i="9" s="1"/>
  <c r="J39" i="9"/>
  <c r="K39" i="9" s="1"/>
  <c r="Q37" i="9"/>
  <c r="C38" i="9" s="1"/>
  <c r="L38" i="9" s="1"/>
  <c r="P74" i="6"/>
  <c r="R74" i="6" s="1"/>
  <c r="D75" i="6" s="1"/>
  <c r="M75" i="6" s="1"/>
  <c r="R75" i="6" s="1"/>
  <c r="D76" i="6" s="1"/>
  <c r="M76" i="6" s="1"/>
  <c r="J39" i="6"/>
  <c r="K39" i="6" s="1"/>
  <c r="Q37" i="6"/>
  <c r="C38" i="6" s="1"/>
  <c r="L38" i="6" s="1"/>
  <c r="R76" i="5"/>
  <c r="D77" i="5" s="1"/>
  <c r="M77" i="5" s="1"/>
  <c r="P76" i="5"/>
  <c r="J42" i="5"/>
  <c r="K42" i="5" s="1"/>
  <c r="J41" i="5"/>
  <c r="K41" i="5" s="1"/>
  <c r="L41" i="5" s="1"/>
  <c r="P75" i="4"/>
  <c r="R75" i="4" s="1"/>
  <c r="D76" i="4" s="1"/>
  <c r="M76" i="4" s="1"/>
  <c r="Q37" i="4"/>
  <c r="C38" i="4" s="1"/>
  <c r="L38" i="4" s="1"/>
  <c r="P74" i="3"/>
  <c r="R74" i="3" s="1"/>
  <c r="D75" i="3" s="1"/>
  <c r="M75" i="3" s="1"/>
  <c r="R75" i="3" s="1"/>
  <c r="D76" i="3" s="1"/>
  <c r="M76" i="3" s="1"/>
  <c r="O39" i="3"/>
  <c r="J53" i="1"/>
  <c r="K53" i="1" s="1"/>
  <c r="Q51" i="1"/>
  <c r="C52" i="1" s="1"/>
  <c r="L52" i="1" s="1"/>
  <c r="O52" i="1"/>
  <c r="R78" i="1"/>
  <c r="D79" i="1" s="1"/>
  <c r="M79" i="1" s="1"/>
  <c r="P79" i="1" s="1"/>
  <c r="P76" i="9" l="1"/>
  <c r="R76" i="9" s="1"/>
  <c r="D77" i="9" s="1"/>
  <c r="M77" i="9" s="1"/>
  <c r="O38" i="9"/>
  <c r="P76" i="6"/>
  <c r="R76" i="6" s="1"/>
  <c r="D77" i="6" s="1"/>
  <c r="M77" i="6" s="1"/>
  <c r="O38" i="6"/>
  <c r="Q41" i="5"/>
  <c r="C42" i="5" s="1"/>
  <c r="L42" i="5" s="1"/>
  <c r="O41" i="5"/>
  <c r="P77" i="5"/>
  <c r="R77" i="5" s="1"/>
  <c r="D78" i="5" s="1"/>
  <c r="M78" i="5" s="1"/>
  <c r="O38" i="4"/>
  <c r="P76" i="4"/>
  <c r="R76" i="4" s="1"/>
  <c r="D77" i="4" s="1"/>
  <c r="M77" i="4" s="1"/>
  <c r="P76" i="3"/>
  <c r="R76" i="3" s="1"/>
  <c r="D77" i="3" s="1"/>
  <c r="M77" i="3" s="1"/>
  <c r="J42" i="3"/>
  <c r="K42" i="3" s="1"/>
  <c r="J41" i="3"/>
  <c r="K41" i="3" s="1"/>
  <c r="Q39" i="3"/>
  <c r="C40" i="3" s="1"/>
  <c r="L40" i="3" s="1"/>
  <c r="Q40" i="3" s="1"/>
  <c r="C41" i="3" s="1"/>
  <c r="F41" i="3" s="1"/>
  <c r="J54" i="1"/>
  <c r="K54" i="1" s="1"/>
  <c r="Q52" i="1"/>
  <c r="C53" i="1" s="1"/>
  <c r="L53" i="1" s="1"/>
  <c r="O53" i="1"/>
  <c r="R79" i="1"/>
  <c r="D80" i="1" s="1"/>
  <c r="M80" i="1" s="1"/>
  <c r="P80" i="1" s="1"/>
  <c r="P77" i="9" l="1"/>
  <c r="R77" i="9" s="1"/>
  <c r="D78" i="9" s="1"/>
  <c r="M78" i="9" s="1"/>
  <c r="J40" i="9"/>
  <c r="K40" i="9" s="1"/>
  <c r="Q38" i="9"/>
  <c r="C39" i="9" s="1"/>
  <c r="L39" i="9" s="1"/>
  <c r="P77" i="6"/>
  <c r="R77" i="6" s="1"/>
  <c r="D78" i="6" s="1"/>
  <c r="M78" i="6" s="1"/>
  <c r="J40" i="6"/>
  <c r="K40" i="6" s="1"/>
  <c r="Q38" i="6"/>
  <c r="C39" i="6" s="1"/>
  <c r="L39" i="6" s="1"/>
  <c r="Q42" i="5"/>
  <c r="C43" i="5" s="1"/>
  <c r="O42" i="5"/>
  <c r="P78" i="5"/>
  <c r="R78" i="5" s="1"/>
  <c r="D79" i="5" s="1"/>
  <c r="M79" i="5" s="1"/>
  <c r="J44" i="5"/>
  <c r="K44" i="5" s="1"/>
  <c r="J43" i="5"/>
  <c r="K43" i="5" s="1"/>
  <c r="L43" i="5" s="1"/>
  <c r="P77" i="4"/>
  <c r="R77" i="4" s="1"/>
  <c r="D78" i="4" s="1"/>
  <c r="M78" i="4" s="1"/>
  <c r="J41" i="4"/>
  <c r="K41" i="4" s="1"/>
  <c r="J40" i="4"/>
  <c r="K40" i="4" s="1"/>
  <c r="Q38" i="4"/>
  <c r="C39" i="4" s="1"/>
  <c r="L39" i="4" s="1"/>
  <c r="Q39" i="4" s="1"/>
  <c r="C40" i="4" s="1"/>
  <c r="F40" i="4" s="1"/>
  <c r="P77" i="3"/>
  <c r="R77" i="3" s="1"/>
  <c r="D78" i="3" s="1"/>
  <c r="M78" i="3" s="1"/>
  <c r="L41" i="3"/>
  <c r="Q53" i="1"/>
  <c r="C54" i="1" s="1"/>
  <c r="L54" i="1" s="1"/>
  <c r="Q54" i="1" s="1"/>
  <c r="C55" i="1" s="1"/>
  <c r="J56" i="1"/>
  <c r="J55" i="1"/>
  <c r="F55" i="1"/>
  <c r="K56" i="1"/>
  <c r="R80" i="1"/>
  <c r="D81" i="1" s="1"/>
  <c r="M81" i="1" s="1"/>
  <c r="P81" i="1" s="1"/>
  <c r="P78" i="9" l="1"/>
  <c r="R78" i="9" s="1"/>
  <c r="D79" i="9" s="1"/>
  <c r="M79" i="9" s="1"/>
  <c r="O39" i="9"/>
  <c r="P78" i="6"/>
  <c r="R78" i="6" s="1"/>
  <c r="D79" i="6" s="1"/>
  <c r="M79" i="6" s="1"/>
  <c r="O39" i="6"/>
  <c r="R79" i="5"/>
  <c r="D80" i="5" s="1"/>
  <c r="M80" i="5" s="1"/>
  <c r="P79" i="5"/>
  <c r="O43" i="5"/>
  <c r="Q43" i="5" s="1"/>
  <c r="C44" i="5" s="1"/>
  <c r="L44" i="5" s="1"/>
  <c r="J45" i="5"/>
  <c r="K45" i="5" s="1"/>
  <c r="P78" i="4"/>
  <c r="R78" i="4" s="1"/>
  <c r="D79" i="4" s="1"/>
  <c r="M79" i="4" s="1"/>
  <c r="L40" i="4"/>
  <c r="P78" i="3"/>
  <c r="R78" i="3" s="1"/>
  <c r="D79" i="3" s="1"/>
  <c r="M79" i="3" s="1"/>
  <c r="O41" i="3"/>
  <c r="K55" i="1"/>
  <c r="L55" i="1" s="1"/>
  <c r="O55" i="1" s="1"/>
  <c r="R81" i="1"/>
  <c r="D82" i="1" s="1"/>
  <c r="M82" i="1" s="1"/>
  <c r="R82" i="1" s="1"/>
  <c r="D83" i="1" s="1"/>
  <c r="M83" i="1" s="1"/>
  <c r="P83" i="1" s="1"/>
  <c r="P79" i="9" l="1"/>
  <c r="R79" i="9" s="1"/>
  <c r="D80" i="9" s="1"/>
  <c r="M80" i="9" s="1"/>
  <c r="J42" i="9"/>
  <c r="K42" i="9" s="1"/>
  <c r="J41" i="9"/>
  <c r="K41" i="9" s="1"/>
  <c r="Q39" i="9"/>
  <c r="C40" i="9" s="1"/>
  <c r="L40" i="9" s="1"/>
  <c r="Q40" i="9" s="1"/>
  <c r="C41" i="9" s="1"/>
  <c r="F41" i="9" s="1"/>
  <c r="P79" i="6"/>
  <c r="R79" i="6" s="1"/>
  <c r="D80" i="6" s="1"/>
  <c r="M80" i="6" s="1"/>
  <c r="J42" i="6"/>
  <c r="K42" i="6" s="1"/>
  <c r="J41" i="6"/>
  <c r="K41" i="6" s="1"/>
  <c r="L41" i="6" s="1"/>
  <c r="Q39" i="6"/>
  <c r="C40" i="6" s="1"/>
  <c r="L40" i="6" s="1"/>
  <c r="Q40" i="6" s="1"/>
  <c r="C41" i="6" s="1"/>
  <c r="F41" i="6" s="1"/>
  <c r="O44" i="5"/>
  <c r="P80" i="5"/>
  <c r="R80" i="5" s="1"/>
  <c r="D81" i="5" s="1"/>
  <c r="M81" i="5" s="1"/>
  <c r="J46" i="5"/>
  <c r="K46" i="5" s="1"/>
  <c r="P79" i="4"/>
  <c r="R79" i="4" s="1"/>
  <c r="D80" i="4" s="1"/>
  <c r="M80" i="4" s="1"/>
  <c r="O40" i="4"/>
  <c r="R79" i="3"/>
  <c r="D80" i="3" s="1"/>
  <c r="M80" i="3" s="1"/>
  <c r="P79" i="3"/>
  <c r="J43" i="3"/>
  <c r="K43" i="3" s="1"/>
  <c r="Q41" i="3"/>
  <c r="C42" i="3" s="1"/>
  <c r="L42" i="3" s="1"/>
  <c r="J57" i="1"/>
  <c r="K57" i="1" s="1"/>
  <c r="Q55" i="1"/>
  <c r="C56" i="1" s="1"/>
  <c r="L56" i="1" s="1"/>
  <c r="O56" i="1"/>
  <c r="R83" i="1"/>
  <c r="D84" i="1" s="1"/>
  <c r="M84" i="1" s="1"/>
  <c r="P84" i="1" s="1"/>
  <c r="P80" i="9" l="1"/>
  <c r="R80" i="9" s="1"/>
  <c r="D81" i="9" s="1"/>
  <c r="M81" i="9" s="1"/>
  <c r="L41" i="9"/>
  <c r="P80" i="6"/>
  <c r="R80" i="6" s="1"/>
  <c r="D81" i="6" s="1"/>
  <c r="M81" i="6" s="1"/>
  <c r="O41" i="6"/>
  <c r="P81" i="5"/>
  <c r="R81" i="5" s="1"/>
  <c r="D82" i="5" s="1"/>
  <c r="M82" i="5" s="1"/>
  <c r="R82" i="5" s="1"/>
  <c r="D83" i="5" s="1"/>
  <c r="M83" i="5" s="1"/>
  <c r="Q44" i="5"/>
  <c r="C45" i="5" s="1"/>
  <c r="L45" i="5" s="1"/>
  <c r="P80" i="4"/>
  <c r="R80" i="4" s="1"/>
  <c r="D81" i="4" s="1"/>
  <c r="M81" i="4" s="1"/>
  <c r="R81" i="4" s="1"/>
  <c r="D82" i="4" s="1"/>
  <c r="M82" i="4" s="1"/>
  <c r="J42" i="4"/>
  <c r="K42" i="4" s="1"/>
  <c r="Q40" i="4"/>
  <c r="C41" i="4" s="1"/>
  <c r="L41" i="4" s="1"/>
  <c r="O42" i="3"/>
  <c r="P80" i="3"/>
  <c r="R80" i="3" s="1"/>
  <c r="D81" i="3" s="1"/>
  <c r="M81" i="3" s="1"/>
  <c r="J58" i="1"/>
  <c r="K58" i="1" s="1"/>
  <c r="Q56" i="1"/>
  <c r="C57" i="1" s="1"/>
  <c r="L57" i="1" s="1"/>
  <c r="O57" i="1"/>
  <c r="R84" i="1"/>
  <c r="D85" i="1" s="1"/>
  <c r="M85" i="1" s="1"/>
  <c r="P85" i="1" s="1"/>
  <c r="P81" i="9" l="1"/>
  <c r="R81" i="9" s="1"/>
  <c r="D82" i="9" s="1"/>
  <c r="M82" i="9" s="1"/>
  <c r="R82" i="9" s="1"/>
  <c r="D83" i="9" s="1"/>
  <c r="M83" i="9" s="1"/>
  <c r="O41" i="9"/>
  <c r="Q41" i="9" s="1"/>
  <c r="C42" i="9" s="1"/>
  <c r="L42" i="9" s="1"/>
  <c r="P81" i="6"/>
  <c r="R81" i="6" s="1"/>
  <c r="D82" i="6" s="1"/>
  <c r="M82" i="6" s="1"/>
  <c r="R82" i="6" s="1"/>
  <c r="D83" i="6" s="1"/>
  <c r="M83" i="6" s="1"/>
  <c r="J43" i="6"/>
  <c r="K43" i="6" s="1"/>
  <c r="Q41" i="6"/>
  <c r="C42" i="6" s="1"/>
  <c r="L42" i="6" s="1"/>
  <c r="R83" i="5"/>
  <c r="D84" i="5" s="1"/>
  <c r="M84" i="5" s="1"/>
  <c r="P83" i="5"/>
  <c r="O45" i="5"/>
  <c r="P82" i="4"/>
  <c r="R82" i="4" s="1"/>
  <c r="D83" i="4" s="1"/>
  <c r="M83" i="4" s="1"/>
  <c r="O41" i="4"/>
  <c r="P81" i="3"/>
  <c r="R81" i="3" s="1"/>
  <c r="D82" i="3" s="1"/>
  <c r="M82" i="3" s="1"/>
  <c r="R82" i="3" s="1"/>
  <c r="D83" i="3" s="1"/>
  <c r="M83" i="3" s="1"/>
  <c r="J44" i="3"/>
  <c r="K44" i="3" s="1"/>
  <c r="Q42" i="3"/>
  <c r="C43" i="3" s="1"/>
  <c r="L43" i="3" s="1"/>
  <c r="J59" i="1"/>
  <c r="K59" i="1" s="1"/>
  <c r="Q57" i="1"/>
  <c r="C58" i="1" s="1"/>
  <c r="L58" i="1" s="1"/>
  <c r="R85" i="1"/>
  <c r="D86" i="1" s="1"/>
  <c r="M86" i="1" s="1"/>
  <c r="P86" i="1" s="1"/>
  <c r="P83" i="9" l="1"/>
  <c r="R83" i="9" s="1"/>
  <c r="D84" i="9" s="1"/>
  <c r="M84" i="9" s="1"/>
  <c r="O42" i="9"/>
  <c r="Q42" i="9" s="1"/>
  <c r="C43" i="9" s="1"/>
  <c r="J43" i="9"/>
  <c r="K43" i="9" s="1"/>
  <c r="P83" i="6"/>
  <c r="R83" i="6" s="1"/>
  <c r="D84" i="6" s="1"/>
  <c r="M84" i="6" s="1"/>
  <c r="O42" i="6"/>
  <c r="J47" i="5"/>
  <c r="K47" i="5" s="1"/>
  <c r="P84" i="5"/>
  <c r="R84" i="5" s="1"/>
  <c r="D85" i="5" s="1"/>
  <c r="M85" i="5" s="1"/>
  <c r="Q45" i="5"/>
  <c r="C46" i="5" s="1"/>
  <c r="L46" i="5" s="1"/>
  <c r="P83" i="4"/>
  <c r="R83" i="4" s="1"/>
  <c r="D84" i="4" s="1"/>
  <c r="M84" i="4" s="1"/>
  <c r="J43" i="4"/>
  <c r="K43" i="4" s="1"/>
  <c r="Q41" i="4"/>
  <c r="C42" i="4" s="1"/>
  <c r="L42" i="4" s="1"/>
  <c r="P83" i="3"/>
  <c r="R83" i="3" s="1"/>
  <c r="D84" i="3" s="1"/>
  <c r="M84" i="3" s="1"/>
  <c r="O43" i="3"/>
  <c r="O58" i="1"/>
  <c r="R86" i="1"/>
  <c r="D87" i="1" s="1"/>
  <c r="M87" i="1" s="1"/>
  <c r="P87" i="1" s="1"/>
  <c r="J44" i="9" l="1"/>
  <c r="K44" i="9" s="1"/>
  <c r="L43" i="9"/>
  <c r="P84" i="9"/>
  <c r="R84" i="9" s="1"/>
  <c r="D85" i="9" s="1"/>
  <c r="M85" i="9" s="1"/>
  <c r="O43" i="9"/>
  <c r="J45" i="9" s="1"/>
  <c r="K45" i="9" s="1"/>
  <c r="P84" i="6"/>
  <c r="R84" i="6" s="1"/>
  <c r="D85" i="6" s="1"/>
  <c r="M85" i="6" s="1"/>
  <c r="J44" i="6"/>
  <c r="K44" i="6" s="1"/>
  <c r="Q42" i="6"/>
  <c r="C43" i="6" s="1"/>
  <c r="L43" i="6" s="1"/>
  <c r="P85" i="5"/>
  <c r="R85" i="5" s="1"/>
  <c r="D86" i="5" s="1"/>
  <c r="M86" i="5" s="1"/>
  <c r="O46" i="5"/>
  <c r="P84" i="4"/>
  <c r="R84" i="4" s="1"/>
  <c r="D85" i="4" s="1"/>
  <c r="M85" i="4" s="1"/>
  <c r="O42" i="4"/>
  <c r="P84" i="3"/>
  <c r="R84" i="3" s="1"/>
  <c r="D85" i="3" s="1"/>
  <c r="M85" i="3" s="1"/>
  <c r="J45" i="3"/>
  <c r="K45" i="3" s="1"/>
  <c r="Q43" i="3"/>
  <c r="C44" i="3" s="1"/>
  <c r="L44" i="3" s="1"/>
  <c r="J60" i="1"/>
  <c r="K60" i="1" s="1"/>
  <c r="Q58" i="1"/>
  <c r="C59" i="1" s="1"/>
  <c r="L59" i="1" s="1"/>
  <c r="O59" i="1" s="1"/>
  <c r="R87" i="1"/>
  <c r="D88" i="1" s="1"/>
  <c r="M88" i="1" s="1"/>
  <c r="P88" i="1" s="1"/>
  <c r="P85" i="9" l="1"/>
  <c r="R85" i="9" s="1"/>
  <c r="D86" i="9" s="1"/>
  <c r="M86" i="9" s="1"/>
  <c r="Q43" i="9"/>
  <c r="C44" i="9" s="1"/>
  <c r="L44" i="9" s="1"/>
  <c r="P85" i="6"/>
  <c r="R85" i="6" s="1"/>
  <c r="D86" i="6" s="1"/>
  <c r="M86" i="6" s="1"/>
  <c r="O43" i="6"/>
  <c r="P86" i="5"/>
  <c r="R86" i="5" s="1"/>
  <c r="D87" i="5" s="1"/>
  <c r="M87" i="5" s="1"/>
  <c r="J49" i="5"/>
  <c r="K49" i="5" s="1"/>
  <c r="J48" i="5"/>
  <c r="K48" i="5" s="1"/>
  <c r="Q46" i="5"/>
  <c r="C47" i="5" s="1"/>
  <c r="L47" i="5" s="1"/>
  <c r="Q47" i="5" s="1"/>
  <c r="C48" i="5" s="1"/>
  <c r="F48" i="5" s="1"/>
  <c r="P85" i="4"/>
  <c r="R85" i="4" s="1"/>
  <c r="D86" i="4" s="1"/>
  <c r="M86" i="4" s="1"/>
  <c r="J44" i="4"/>
  <c r="K44" i="4" s="1"/>
  <c r="Q42" i="4"/>
  <c r="C43" i="4" s="1"/>
  <c r="L43" i="4" s="1"/>
  <c r="P85" i="3"/>
  <c r="R85" i="3" s="1"/>
  <c r="D86" i="3" s="1"/>
  <c r="M86" i="3" s="1"/>
  <c r="O44" i="3"/>
  <c r="J61" i="1"/>
  <c r="K61" i="1" s="1"/>
  <c r="Q59" i="1"/>
  <c r="C60" i="1" s="1"/>
  <c r="L60" i="1" s="1"/>
  <c r="O60" i="1"/>
  <c r="R88" i="1"/>
  <c r="D89" i="1" s="1"/>
  <c r="M89" i="1" s="1"/>
  <c r="R89" i="1" s="1"/>
  <c r="D90" i="1" s="1"/>
  <c r="M90" i="1" s="1"/>
  <c r="P90" i="1" s="1"/>
  <c r="P86" i="9" l="1"/>
  <c r="R86" i="9" s="1"/>
  <c r="D87" i="9" s="1"/>
  <c r="M87" i="9" s="1"/>
  <c r="O44" i="9"/>
  <c r="P86" i="6"/>
  <c r="R86" i="6" s="1"/>
  <c r="D87" i="6" s="1"/>
  <c r="M87" i="6" s="1"/>
  <c r="J45" i="6"/>
  <c r="K45" i="6" s="1"/>
  <c r="Q43" i="6"/>
  <c r="C44" i="6" s="1"/>
  <c r="L44" i="6" s="1"/>
  <c r="P87" i="5"/>
  <c r="R87" i="5" s="1"/>
  <c r="D88" i="5" s="1"/>
  <c r="M88" i="5" s="1"/>
  <c r="L48" i="5"/>
  <c r="P86" i="4"/>
  <c r="R86" i="4" s="1"/>
  <c r="D87" i="4" s="1"/>
  <c r="M87" i="4" s="1"/>
  <c r="O43" i="4"/>
  <c r="R86" i="3"/>
  <c r="D87" i="3" s="1"/>
  <c r="M87" i="3" s="1"/>
  <c r="P86" i="3"/>
  <c r="J46" i="3"/>
  <c r="K46" i="3" s="1"/>
  <c r="Q44" i="3"/>
  <c r="C45" i="3" s="1"/>
  <c r="L45" i="3" s="1"/>
  <c r="Q60" i="1"/>
  <c r="C61" i="1" s="1"/>
  <c r="L61" i="1" s="1"/>
  <c r="Q61" i="1" s="1"/>
  <c r="C62" i="1" s="1"/>
  <c r="J63" i="1"/>
  <c r="J62" i="1"/>
  <c r="F62" i="1"/>
  <c r="K63" i="1"/>
  <c r="R90" i="1"/>
  <c r="D91" i="1" s="1"/>
  <c r="M91" i="1" s="1"/>
  <c r="P91" i="1" s="1"/>
  <c r="P87" i="9" l="1"/>
  <c r="R87" i="9" s="1"/>
  <c r="D88" i="9" s="1"/>
  <c r="M88" i="9" s="1"/>
  <c r="J46" i="9"/>
  <c r="K46" i="9" s="1"/>
  <c r="Q44" i="9"/>
  <c r="C45" i="9" s="1"/>
  <c r="L45" i="9" s="1"/>
  <c r="P87" i="6"/>
  <c r="R87" i="6" s="1"/>
  <c r="D88" i="6" s="1"/>
  <c r="M88" i="6" s="1"/>
  <c r="O44" i="6"/>
  <c r="P88" i="5"/>
  <c r="R88" i="5" s="1"/>
  <c r="D89" i="5" s="1"/>
  <c r="M89" i="5" s="1"/>
  <c r="R89" i="5" s="1"/>
  <c r="D90" i="5" s="1"/>
  <c r="M90" i="5" s="1"/>
  <c r="O48" i="5"/>
  <c r="P87" i="4"/>
  <c r="R87" i="4" s="1"/>
  <c r="D88" i="4" s="1"/>
  <c r="M88" i="4" s="1"/>
  <c r="R88" i="4" s="1"/>
  <c r="D89" i="4" s="1"/>
  <c r="M89" i="4" s="1"/>
  <c r="J45" i="4"/>
  <c r="K45" i="4" s="1"/>
  <c r="Q43" i="4"/>
  <c r="C44" i="4" s="1"/>
  <c r="L44" i="4" s="1"/>
  <c r="P87" i="3"/>
  <c r="R87" i="3" s="1"/>
  <c r="D88" i="3" s="1"/>
  <c r="M88" i="3" s="1"/>
  <c r="O45" i="3"/>
  <c r="K62" i="1"/>
  <c r="L62" i="1" s="1"/>
  <c r="O62" i="1" s="1"/>
  <c r="R91" i="1"/>
  <c r="D92" i="1" s="1"/>
  <c r="M92" i="1" s="1"/>
  <c r="P92" i="1" s="1"/>
  <c r="P88" i="9" l="1"/>
  <c r="R88" i="9" s="1"/>
  <c r="D89" i="9" s="1"/>
  <c r="M89" i="9" s="1"/>
  <c r="R89" i="9" s="1"/>
  <c r="D90" i="9" s="1"/>
  <c r="M90" i="9" s="1"/>
  <c r="O45" i="9"/>
  <c r="P88" i="6"/>
  <c r="R88" i="6" s="1"/>
  <c r="D89" i="6" s="1"/>
  <c r="M89" i="6" s="1"/>
  <c r="R89" i="6" s="1"/>
  <c r="D90" i="6" s="1"/>
  <c r="M90" i="6" s="1"/>
  <c r="J46" i="6"/>
  <c r="K46" i="6" s="1"/>
  <c r="Q44" i="6"/>
  <c r="C45" i="6" s="1"/>
  <c r="L45" i="6" s="1"/>
  <c r="R90" i="5"/>
  <c r="D91" i="5" s="1"/>
  <c r="M91" i="5" s="1"/>
  <c r="P90" i="5"/>
  <c r="J50" i="5"/>
  <c r="K50" i="5" s="1"/>
  <c r="Q48" i="5"/>
  <c r="C49" i="5" s="1"/>
  <c r="L49" i="5" s="1"/>
  <c r="P89" i="4"/>
  <c r="R89" i="4" s="1"/>
  <c r="D90" i="4" s="1"/>
  <c r="M90" i="4" s="1"/>
  <c r="O44" i="4"/>
  <c r="Q44" i="4" s="1"/>
  <c r="C45" i="4" s="1"/>
  <c r="L45" i="4" s="1"/>
  <c r="P88" i="3"/>
  <c r="R88" i="3" s="1"/>
  <c r="D89" i="3" s="1"/>
  <c r="M89" i="3" s="1"/>
  <c r="R89" i="3" s="1"/>
  <c r="D90" i="3" s="1"/>
  <c r="M90" i="3" s="1"/>
  <c r="J47" i="3"/>
  <c r="K47" i="3" s="1"/>
  <c r="Q45" i="3"/>
  <c r="C46" i="3" s="1"/>
  <c r="L46" i="3" s="1"/>
  <c r="Q62" i="1"/>
  <c r="C63" i="1" s="1"/>
  <c r="L63" i="1" s="1"/>
  <c r="J64" i="1"/>
  <c r="O63" i="1"/>
  <c r="K64" i="1"/>
  <c r="R92" i="1"/>
  <c r="D93" i="1" s="1"/>
  <c r="M93" i="1" s="1"/>
  <c r="P93" i="1" s="1"/>
  <c r="P90" i="9" l="1"/>
  <c r="R90" i="9" s="1"/>
  <c r="D91" i="9" s="1"/>
  <c r="M91" i="9" s="1"/>
  <c r="J47" i="9"/>
  <c r="K47" i="9" s="1"/>
  <c r="Q45" i="9"/>
  <c r="C46" i="9" s="1"/>
  <c r="L46" i="9" s="1"/>
  <c r="P90" i="6"/>
  <c r="R90" i="6" s="1"/>
  <c r="D91" i="6" s="1"/>
  <c r="M91" i="6" s="1"/>
  <c r="O45" i="6"/>
  <c r="O49" i="5"/>
  <c r="Q49" i="5" s="1"/>
  <c r="C50" i="5" s="1"/>
  <c r="L50" i="5" s="1"/>
  <c r="P91" i="5"/>
  <c r="R91" i="5" s="1"/>
  <c r="D92" i="5" s="1"/>
  <c r="M92" i="5" s="1"/>
  <c r="O45" i="4"/>
  <c r="J48" i="4" s="1"/>
  <c r="K48" i="4" s="1"/>
  <c r="P90" i="4"/>
  <c r="R90" i="4" s="1"/>
  <c r="D91" i="4" s="1"/>
  <c r="M91" i="4" s="1"/>
  <c r="J47" i="4"/>
  <c r="K47" i="4" s="1"/>
  <c r="J46" i="4"/>
  <c r="K46" i="4" s="1"/>
  <c r="P90" i="3"/>
  <c r="R90" i="3" s="1"/>
  <c r="D91" i="3" s="1"/>
  <c r="M91" i="3" s="1"/>
  <c r="O46" i="3"/>
  <c r="Q63" i="1"/>
  <c r="C64" i="1" s="1"/>
  <c r="J65" i="1"/>
  <c r="K65" i="1" s="1"/>
  <c r="L64" i="1"/>
  <c r="R93" i="1"/>
  <c r="D94" i="1" s="1"/>
  <c r="M94" i="1" s="1"/>
  <c r="P94" i="1" s="1"/>
  <c r="P91" i="9" l="1"/>
  <c r="R91" i="9" s="1"/>
  <c r="D92" i="9" s="1"/>
  <c r="M92" i="9" s="1"/>
  <c r="O46" i="9"/>
  <c r="P91" i="6"/>
  <c r="R91" i="6" s="1"/>
  <c r="D92" i="6" s="1"/>
  <c r="M92" i="6" s="1"/>
  <c r="J47" i="6"/>
  <c r="K47" i="6" s="1"/>
  <c r="Q45" i="6"/>
  <c r="C46" i="6" s="1"/>
  <c r="L46" i="6" s="1"/>
  <c r="O50" i="5"/>
  <c r="P92" i="5"/>
  <c r="R92" i="5" s="1"/>
  <c r="D93" i="5" s="1"/>
  <c r="M93" i="5" s="1"/>
  <c r="J52" i="5"/>
  <c r="K52" i="5" s="1"/>
  <c r="J51" i="5"/>
  <c r="K51" i="5" s="1"/>
  <c r="P91" i="4"/>
  <c r="R91" i="4" s="1"/>
  <c r="D92" i="4" s="1"/>
  <c r="M92" i="4" s="1"/>
  <c r="Q45" i="4"/>
  <c r="C46" i="4" s="1"/>
  <c r="L46" i="4" s="1"/>
  <c r="Q46" i="4" s="1"/>
  <c r="C47" i="4" s="1"/>
  <c r="P91" i="3"/>
  <c r="R91" i="3" s="1"/>
  <c r="D92" i="3" s="1"/>
  <c r="M92" i="3" s="1"/>
  <c r="J49" i="3"/>
  <c r="K49" i="3" s="1"/>
  <c r="J48" i="3"/>
  <c r="K48" i="3" s="1"/>
  <c r="L48" i="3" s="1"/>
  <c r="Q46" i="3"/>
  <c r="C47" i="3" s="1"/>
  <c r="L47" i="3" s="1"/>
  <c r="Q47" i="3" s="1"/>
  <c r="C48" i="3" s="1"/>
  <c r="F48" i="3" s="1"/>
  <c r="O64" i="1"/>
  <c r="R94" i="1"/>
  <c r="D95" i="1" s="1"/>
  <c r="M95" i="1" s="1"/>
  <c r="P95" i="1" s="1"/>
  <c r="P92" i="9" l="1"/>
  <c r="R92" i="9" s="1"/>
  <c r="D93" i="9" s="1"/>
  <c r="M93" i="9" s="1"/>
  <c r="J49" i="9"/>
  <c r="K49" i="9" s="1"/>
  <c r="J48" i="9"/>
  <c r="K48" i="9" s="1"/>
  <c r="Q46" i="9"/>
  <c r="C47" i="9" s="1"/>
  <c r="L47" i="9" s="1"/>
  <c r="Q47" i="9" s="1"/>
  <c r="C48" i="9" s="1"/>
  <c r="F48" i="9" s="1"/>
  <c r="P92" i="6"/>
  <c r="R92" i="6" s="1"/>
  <c r="D93" i="6" s="1"/>
  <c r="M93" i="6" s="1"/>
  <c r="O46" i="6"/>
  <c r="P93" i="5"/>
  <c r="R93" i="5" s="1"/>
  <c r="D94" i="5" s="1"/>
  <c r="M94" i="5" s="1"/>
  <c r="Q50" i="5"/>
  <c r="C51" i="5" s="1"/>
  <c r="L51" i="5" s="1"/>
  <c r="F47" i="4"/>
  <c r="L47" i="4" s="1"/>
  <c r="P92" i="4"/>
  <c r="R92" i="4" s="1"/>
  <c r="D93" i="4" s="1"/>
  <c r="M93" i="4" s="1"/>
  <c r="P92" i="3"/>
  <c r="R92" i="3" s="1"/>
  <c r="D93" i="3" s="1"/>
  <c r="M93" i="3" s="1"/>
  <c r="O48" i="3"/>
  <c r="Q48" i="3" s="1"/>
  <c r="C49" i="3" s="1"/>
  <c r="L49" i="3" s="1"/>
  <c r="Q64" i="1"/>
  <c r="C65" i="1" s="1"/>
  <c r="L65" i="1" s="1"/>
  <c r="J66" i="1"/>
  <c r="O65" i="1"/>
  <c r="K66" i="1"/>
  <c r="R95" i="1"/>
  <c r="D96" i="1" s="1"/>
  <c r="M96" i="1" s="1"/>
  <c r="R96" i="1" s="1"/>
  <c r="D97" i="1" s="1"/>
  <c r="M97" i="1" s="1"/>
  <c r="P97" i="1" s="1"/>
  <c r="P93" i="9" l="1"/>
  <c r="R93" i="9" s="1"/>
  <c r="D94" i="9" s="1"/>
  <c r="M94" i="9" s="1"/>
  <c r="L48" i="9"/>
  <c r="P93" i="6"/>
  <c r="R93" i="6" s="1"/>
  <c r="D94" i="6" s="1"/>
  <c r="M94" i="6" s="1"/>
  <c r="J49" i="6"/>
  <c r="K49" i="6" s="1"/>
  <c r="J48" i="6"/>
  <c r="K48" i="6" s="1"/>
  <c r="Q46" i="6"/>
  <c r="C47" i="6" s="1"/>
  <c r="L47" i="6" s="1"/>
  <c r="Q47" i="6" s="1"/>
  <c r="C48" i="6" s="1"/>
  <c r="F48" i="6" s="1"/>
  <c r="O51" i="5"/>
  <c r="P94" i="5"/>
  <c r="R94" i="5" s="1"/>
  <c r="D95" i="5" s="1"/>
  <c r="M95" i="5" s="1"/>
  <c r="P93" i="4"/>
  <c r="R93" i="4" s="1"/>
  <c r="D94" i="4" s="1"/>
  <c r="M94" i="4" s="1"/>
  <c r="O47" i="4"/>
  <c r="Q47" i="4" s="1"/>
  <c r="C48" i="4" s="1"/>
  <c r="L48" i="4" s="1"/>
  <c r="O49" i="3"/>
  <c r="P93" i="3"/>
  <c r="R93" i="3" s="1"/>
  <c r="D94" i="3" s="1"/>
  <c r="M94" i="3" s="1"/>
  <c r="J51" i="3"/>
  <c r="K51" i="3" s="1"/>
  <c r="J50" i="3"/>
  <c r="K50" i="3" s="1"/>
  <c r="Q65" i="1"/>
  <c r="C66" i="1" s="1"/>
  <c r="J67" i="1"/>
  <c r="K67" i="1" s="1"/>
  <c r="L66" i="1"/>
  <c r="R97" i="1"/>
  <c r="D98" i="1" s="1"/>
  <c r="M98" i="1" s="1"/>
  <c r="P98" i="1" s="1"/>
  <c r="P94" i="9" l="1"/>
  <c r="R94" i="9" s="1"/>
  <c r="D95" i="9" s="1"/>
  <c r="M95" i="9" s="1"/>
  <c r="O48" i="9"/>
  <c r="P94" i="6"/>
  <c r="R94" i="6" s="1"/>
  <c r="D95" i="6" s="1"/>
  <c r="M95" i="6" s="1"/>
  <c r="L48" i="6"/>
  <c r="P95" i="5"/>
  <c r="R95" i="5" s="1"/>
  <c r="D96" i="5" s="1"/>
  <c r="M96" i="5" s="1"/>
  <c r="R96" i="5" s="1"/>
  <c r="D97" i="5" s="1"/>
  <c r="M97" i="5" s="1"/>
  <c r="J53" i="5"/>
  <c r="K53" i="5" s="1"/>
  <c r="Q51" i="5"/>
  <c r="C52" i="5" s="1"/>
  <c r="L52" i="5" s="1"/>
  <c r="O48" i="4"/>
  <c r="P94" i="4"/>
  <c r="R94" i="4" s="1"/>
  <c r="D95" i="4" s="1"/>
  <c r="M95" i="4" s="1"/>
  <c r="R95" i="4" s="1"/>
  <c r="D96" i="4" s="1"/>
  <c r="M96" i="4" s="1"/>
  <c r="J50" i="4"/>
  <c r="K50" i="4" s="1"/>
  <c r="J49" i="4"/>
  <c r="K49" i="4" s="1"/>
  <c r="R94" i="3"/>
  <c r="D95" i="3" s="1"/>
  <c r="M95" i="3" s="1"/>
  <c r="P94" i="3"/>
  <c r="Q49" i="3"/>
  <c r="C50" i="3" s="1"/>
  <c r="L50" i="3" s="1"/>
  <c r="O66" i="1"/>
  <c r="R98" i="1"/>
  <c r="D99" i="1" s="1"/>
  <c r="M99" i="1" s="1"/>
  <c r="P99" i="1" s="1"/>
  <c r="P95" i="9" l="1"/>
  <c r="R95" i="9" s="1"/>
  <c r="D96" i="9" s="1"/>
  <c r="M96" i="9" s="1"/>
  <c r="R96" i="9" s="1"/>
  <c r="D97" i="9" s="1"/>
  <c r="M97" i="9" s="1"/>
  <c r="J50" i="9"/>
  <c r="K50" i="9" s="1"/>
  <c r="Q48" i="9"/>
  <c r="C49" i="9" s="1"/>
  <c r="L49" i="9" s="1"/>
  <c r="P95" i="6"/>
  <c r="R95" i="6" s="1"/>
  <c r="D96" i="6" s="1"/>
  <c r="M96" i="6" s="1"/>
  <c r="R96" i="6" s="1"/>
  <c r="D97" i="6" s="1"/>
  <c r="M97" i="6" s="1"/>
  <c r="O48" i="6"/>
  <c r="P97" i="5"/>
  <c r="R97" i="5" s="1"/>
  <c r="D98" i="5" s="1"/>
  <c r="M98" i="5" s="1"/>
  <c r="O52" i="5"/>
  <c r="P96" i="4"/>
  <c r="R96" i="4" s="1"/>
  <c r="D97" i="4" s="1"/>
  <c r="M97" i="4" s="1"/>
  <c r="Q48" i="4"/>
  <c r="C49" i="4" s="1"/>
  <c r="L49" i="4" s="1"/>
  <c r="O50" i="3"/>
  <c r="P95" i="3"/>
  <c r="R95" i="3" s="1"/>
  <c r="D96" i="3" s="1"/>
  <c r="M96" i="3" s="1"/>
  <c r="R96" i="3" s="1"/>
  <c r="D97" i="3" s="1"/>
  <c r="M97" i="3" s="1"/>
  <c r="J68" i="1"/>
  <c r="K68" i="1" s="1"/>
  <c r="Q66" i="1"/>
  <c r="C67" i="1" s="1"/>
  <c r="L67" i="1" s="1"/>
  <c r="O67" i="1"/>
  <c r="R99" i="1"/>
  <c r="D100" i="1" s="1"/>
  <c r="M100" i="1" s="1"/>
  <c r="P100" i="1" s="1"/>
  <c r="P97" i="9" l="1"/>
  <c r="R97" i="9" s="1"/>
  <c r="D98" i="9" s="1"/>
  <c r="M98" i="9" s="1"/>
  <c r="O49" i="9"/>
  <c r="Q49" i="9" s="1"/>
  <c r="C50" i="9" s="1"/>
  <c r="L50" i="9" s="1"/>
  <c r="P97" i="6"/>
  <c r="R97" i="6" s="1"/>
  <c r="D98" i="6" s="1"/>
  <c r="M98" i="6" s="1"/>
  <c r="J50" i="6"/>
  <c r="K50" i="6" s="1"/>
  <c r="Q48" i="6"/>
  <c r="C49" i="6" s="1"/>
  <c r="L49" i="6" s="1"/>
  <c r="P98" i="5"/>
  <c r="R98" i="5" s="1"/>
  <c r="D99" i="5" s="1"/>
  <c r="M99" i="5" s="1"/>
  <c r="J54" i="5"/>
  <c r="K54" i="5" s="1"/>
  <c r="Q52" i="5"/>
  <c r="C53" i="5" s="1"/>
  <c r="L53" i="5" s="1"/>
  <c r="O49" i="4"/>
  <c r="P97" i="4"/>
  <c r="R97" i="4" s="1"/>
  <c r="D98" i="4" s="1"/>
  <c r="M98" i="4" s="1"/>
  <c r="P97" i="3"/>
  <c r="R97" i="3" s="1"/>
  <c r="D98" i="3" s="1"/>
  <c r="M98" i="3" s="1"/>
  <c r="J52" i="3"/>
  <c r="K52" i="3" s="1"/>
  <c r="Q50" i="3"/>
  <c r="C51" i="3" s="1"/>
  <c r="L51" i="3" s="1"/>
  <c r="Q67" i="1"/>
  <c r="C68" i="1" s="1"/>
  <c r="L68" i="1" s="1"/>
  <c r="Q68" i="1" s="1"/>
  <c r="C69" i="1" s="1"/>
  <c r="J70" i="1"/>
  <c r="J69" i="1"/>
  <c r="F69" i="1"/>
  <c r="K70" i="1"/>
  <c r="R100" i="1"/>
  <c r="D101" i="1" s="1"/>
  <c r="M101" i="1" s="1"/>
  <c r="P101" i="1" s="1"/>
  <c r="O50" i="9" l="1"/>
  <c r="P98" i="9"/>
  <c r="R98" i="9" s="1"/>
  <c r="D99" i="9" s="1"/>
  <c r="M99" i="9" s="1"/>
  <c r="J52" i="9"/>
  <c r="K52" i="9" s="1"/>
  <c r="J51" i="9"/>
  <c r="K51" i="9" s="1"/>
  <c r="P98" i="6"/>
  <c r="R98" i="6" s="1"/>
  <c r="D99" i="6" s="1"/>
  <c r="M99" i="6" s="1"/>
  <c r="O49" i="6"/>
  <c r="P99" i="5"/>
  <c r="R99" i="5" s="1"/>
  <c r="D100" i="5" s="1"/>
  <c r="M100" i="5" s="1"/>
  <c r="O53" i="5"/>
  <c r="P98" i="4"/>
  <c r="R98" i="4" s="1"/>
  <c r="D99" i="4" s="1"/>
  <c r="M99" i="4" s="1"/>
  <c r="J51" i="4"/>
  <c r="K51" i="4" s="1"/>
  <c r="Q49" i="4"/>
  <c r="C50" i="4" s="1"/>
  <c r="L50" i="4" s="1"/>
  <c r="P98" i="3"/>
  <c r="R98" i="3" s="1"/>
  <c r="D99" i="3" s="1"/>
  <c r="M99" i="3" s="1"/>
  <c r="O51" i="3"/>
  <c r="K69" i="1"/>
  <c r="L69" i="1" s="1"/>
  <c r="O69" i="1" s="1"/>
  <c r="R101" i="1"/>
  <c r="D102" i="1" s="1"/>
  <c r="M102" i="1" s="1"/>
  <c r="P102" i="1" s="1"/>
  <c r="P99" i="9" l="1"/>
  <c r="R99" i="9" s="1"/>
  <c r="D100" i="9" s="1"/>
  <c r="M100" i="9" s="1"/>
  <c r="Q50" i="9"/>
  <c r="C51" i="9" s="1"/>
  <c r="L51" i="9" s="1"/>
  <c r="P99" i="6"/>
  <c r="R99" i="6" s="1"/>
  <c r="D100" i="6" s="1"/>
  <c r="M100" i="6" s="1"/>
  <c r="J51" i="6"/>
  <c r="K51" i="6" s="1"/>
  <c r="Q49" i="6"/>
  <c r="C50" i="6" s="1"/>
  <c r="L50" i="6" s="1"/>
  <c r="P100" i="5"/>
  <c r="R100" i="5" s="1"/>
  <c r="D101" i="5" s="1"/>
  <c r="M101" i="5" s="1"/>
  <c r="J56" i="5"/>
  <c r="K56" i="5" s="1"/>
  <c r="J55" i="5"/>
  <c r="K55" i="5" s="1"/>
  <c r="Q53" i="5"/>
  <c r="C54" i="5" s="1"/>
  <c r="L54" i="5" s="1"/>
  <c r="Q54" i="5" s="1"/>
  <c r="C55" i="5" s="1"/>
  <c r="F55" i="5" s="1"/>
  <c r="P99" i="4"/>
  <c r="R99" i="4" s="1"/>
  <c r="D100" i="4" s="1"/>
  <c r="M100" i="4" s="1"/>
  <c r="O50" i="4"/>
  <c r="P99" i="3"/>
  <c r="R99" i="3" s="1"/>
  <c r="D100" i="3" s="1"/>
  <c r="M100" i="3" s="1"/>
  <c r="J53" i="3"/>
  <c r="K53" i="3" s="1"/>
  <c r="Q51" i="3"/>
  <c r="C52" i="3" s="1"/>
  <c r="L52" i="3" s="1"/>
  <c r="J71" i="1"/>
  <c r="K71" i="1" s="1"/>
  <c r="Q69" i="1"/>
  <c r="C70" i="1" s="1"/>
  <c r="L70" i="1" s="1"/>
  <c r="O70" i="1"/>
  <c r="R102" i="1"/>
  <c r="D103" i="1" s="1"/>
  <c r="M103" i="1" s="1"/>
  <c r="R103" i="1" s="1"/>
  <c r="D104" i="1" s="1"/>
  <c r="M104" i="1" s="1"/>
  <c r="P104" i="1" s="1"/>
  <c r="O51" i="9" l="1"/>
  <c r="P100" i="9"/>
  <c r="R100" i="9" s="1"/>
  <c r="D101" i="9" s="1"/>
  <c r="M101" i="9" s="1"/>
  <c r="P100" i="6"/>
  <c r="R100" i="6" s="1"/>
  <c r="D101" i="6" s="1"/>
  <c r="M101" i="6" s="1"/>
  <c r="O50" i="6"/>
  <c r="P101" i="5"/>
  <c r="R101" i="5" s="1"/>
  <c r="D102" i="5" s="1"/>
  <c r="M102" i="5" s="1"/>
  <c r="L55" i="5"/>
  <c r="P100" i="4"/>
  <c r="R100" i="4" s="1"/>
  <c r="D101" i="4" s="1"/>
  <c r="M101" i="4" s="1"/>
  <c r="J52" i="4"/>
  <c r="K52" i="4" s="1"/>
  <c r="Q50" i="4"/>
  <c r="C51" i="4" s="1"/>
  <c r="L51" i="4" s="1"/>
  <c r="P100" i="3"/>
  <c r="R100" i="3" s="1"/>
  <c r="D101" i="3" s="1"/>
  <c r="M101" i="3" s="1"/>
  <c r="O52" i="3"/>
  <c r="Q70" i="1"/>
  <c r="C71" i="1" s="1"/>
  <c r="L71" i="1" s="1"/>
  <c r="J72" i="1"/>
  <c r="O71" i="1"/>
  <c r="K72" i="1"/>
  <c r="R104" i="1"/>
  <c r="D105" i="1" s="1"/>
  <c r="M105" i="1" s="1"/>
  <c r="P105" i="1" s="1"/>
  <c r="P101" i="9" l="1"/>
  <c r="R101" i="9" s="1"/>
  <c r="D102" i="9" s="1"/>
  <c r="M102" i="9" s="1"/>
  <c r="J53" i="9"/>
  <c r="K53" i="9" s="1"/>
  <c r="Q51" i="9"/>
  <c r="C52" i="9" s="1"/>
  <c r="L52" i="9" s="1"/>
  <c r="P101" i="6"/>
  <c r="R101" i="6" s="1"/>
  <c r="D102" i="6" s="1"/>
  <c r="M102" i="6" s="1"/>
  <c r="J52" i="6"/>
  <c r="K52" i="6" s="1"/>
  <c r="Q50" i="6"/>
  <c r="C51" i="6" s="1"/>
  <c r="L51" i="6" s="1"/>
  <c r="P102" i="5"/>
  <c r="R102" i="5" s="1"/>
  <c r="D103" i="5" s="1"/>
  <c r="M103" i="5" s="1"/>
  <c r="R103" i="5" s="1"/>
  <c r="D104" i="5" s="1"/>
  <c r="M104" i="5" s="1"/>
  <c r="O55" i="5"/>
  <c r="P101" i="4"/>
  <c r="R101" i="4" s="1"/>
  <c r="D102" i="4" s="1"/>
  <c r="M102" i="4" s="1"/>
  <c r="R102" i="4" s="1"/>
  <c r="D103" i="4" s="1"/>
  <c r="M103" i="4" s="1"/>
  <c r="O51" i="4"/>
  <c r="P101" i="3"/>
  <c r="R101" i="3" s="1"/>
  <c r="D102" i="3" s="1"/>
  <c r="M102" i="3" s="1"/>
  <c r="J54" i="3"/>
  <c r="K54" i="3" s="1"/>
  <c r="Q52" i="3"/>
  <c r="C53" i="3" s="1"/>
  <c r="L53" i="3" s="1"/>
  <c r="Q71" i="1"/>
  <c r="C72" i="1" s="1"/>
  <c r="J73" i="1"/>
  <c r="K73" i="1" s="1"/>
  <c r="L72" i="1"/>
  <c r="R105" i="1"/>
  <c r="D106" i="1" s="1"/>
  <c r="M106" i="1" s="1"/>
  <c r="P106" i="1" s="1"/>
  <c r="P102" i="9" l="1"/>
  <c r="R102" i="9" s="1"/>
  <c r="D103" i="9" s="1"/>
  <c r="M103" i="9" s="1"/>
  <c r="R103" i="9" s="1"/>
  <c r="D104" i="9" s="1"/>
  <c r="M104" i="9" s="1"/>
  <c r="O52" i="9"/>
  <c r="Q52" i="9" s="1"/>
  <c r="C53" i="9" s="1"/>
  <c r="L53" i="9" s="1"/>
  <c r="P102" i="6"/>
  <c r="R102" i="6" s="1"/>
  <c r="D103" i="6" s="1"/>
  <c r="M103" i="6" s="1"/>
  <c r="R103" i="6" s="1"/>
  <c r="D104" i="6" s="1"/>
  <c r="M104" i="6" s="1"/>
  <c r="O51" i="6"/>
  <c r="P104" i="5"/>
  <c r="R104" i="5" s="1"/>
  <c r="D105" i="5" s="1"/>
  <c r="M105" i="5" s="1"/>
  <c r="J57" i="5"/>
  <c r="K57" i="5" s="1"/>
  <c r="Q55" i="5"/>
  <c r="C56" i="5" s="1"/>
  <c r="L56" i="5" s="1"/>
  <c r="P103" i="4"/>
  <c r="R103" i="4" s="1"/>
  <c r="D104" i="4" s="1"/>
  <c r="M104" i="4" s="1"/>
  <c r="J53" i="4"/>
  <c r="K53" i="4" s="1"/>
  <c r="Q51" i="4"/>
  <c r="C52" i="4" s="1"/>
  <c r="L52" i="4" s="1"/>
  <c r="P102" i="3"/>
  <c r="R102" i="3" s="1"/>
  <c r="D103" i="3" s="1"/>
  <c r="M103" i="3" s="1"/>
  <c r="R103" i="3" s="1"/>
  <c r="D104" i="3" s="1"/>
  <c r="M104" i="3" s="1"/>
  <c r="O53" i="3"/>
  <c r="O72" i="1"/>
  <c r="R106" i="1"/>
  <c r="D107" i="1" s="1"/>
  <c r="M107" i="1" s="1"/>
  <c r="P107" i="1" s="1"/>
  <c r="O53" i="9" l="1"/>
  <c r="J56" i="9" s="1"/>
  <c r="K56" i="9" s="1"/>
  <c r="P104" i="9"/>
  <c r="R104" i="9" s="1"/>
  <c r="D105" i="9" s="1"/>
  <c r="M105" i="9" s="1"/>
  <c r="J55" i="9"/>
  <c r="K55" i="9" s="1"/>
  <c r="J54" i="9"/>
  <c r="K54" i="9" s="1"/>
  <c r="P104" i="6"/>
  <c r="R104" i="6" s="1"/>
  <c r="D105" i="6" s="1"/>
  <c r="M105" i="6" s="1"/>
  <c r="J53" i="6"/>
  <c r="K53" i="6" s="1"/>
  <c r="Q51" i="6"/>
  <c r="C52" i="6" s="1"/>
  <c r="L52" i="6" s="1"/>
  <c r="P105" i="5"/>
  <c r="R105" i="5" s="1"/>
  <c r="D106" i="5" s="1"/>
  <c r="M106" i="5" s="1"/>
  <c r="O56" i="5"/>
  <c r="P104" i="4"/>
  <c r="R104" i="4" s="1"/>
  <c r="D105" i="4" s="1"/>
  <c r="M105" i="4" s="1"/>
  <c r="O52" i="4"/>
  <c r="P104" i="3"/>
  <c r="R104" i="3" s="1"/>
  <c r="D105" i="3" s="1"/>
  <c r="M105" i="3" s="1"/>
  <c r="J56" i="3"/>
  <c r="K56" i="3" s="1"/>
  <c r="J55" i="3"/>
  <c r="K55" i="3" s="1"/>
  <c r="L55" i="3" s="1"/>
  <c r="Q53" i="3"/>
  <c r="C54" i="3" s="1"/>
  <c r="L54" i="3" s="1"/>
  <c r="Q54" i="3" s="1"/>
  <c r="C55" i="3" s="1"/>
  <c r="F55" i="3" s="1"/>
  <c r="Q72" i="1"/>
  <c r="C73" i="1" s="1"/>
  <c r="L73" i="1" s="1"/>
  <c r="J74" i="1"/>
  <c r="O73" i="1"/>
  <c r="K74" i="1"/>
  <c r="R107" i="1"/>
  <c r="D108" i="1" s="1"/>
  <c r="M108" i="1" s="1"/>
  <c r="P108" i="1" s="1"/>
  <c r="R105" i="9" l="1"/>
  <c r="D106" i="9" s="1"/>
  <c r="M106" i="9" s="1"/>
  <c r="P105" i="9"/>
  <c r="Q53" i="9"/>
  <c r="C54" i="9" s="1"/>
  <c r="L54" i="9" s="1"/>
  <c r="Q54" i="9" s="1"/>
  <c r="C55" i="9" s="1"/>
  <c r="P105" i="6"/>
  <c r="R105" i="6" s="1"/>
  <c r="D106" i="6" s="1"/>
  <c r="M106" i="6" s="1"/>
  <c r="O52" i="6"/>
  <c r="P106" i="5"/>
  <c r="R106" i="5" s="1"/>
  <c r="D107" i="5" s="1"/>
  <c r="M107" i="5" s="1"/>
  <c r="J58" i="5"/>
  <c r="K58" i="5" s="1"/>
  <c r="Q56" i="5"/>
  <c r="C57" i="5" s="1"/>
  <c r="L57" i="5" s="1"/>
  <c r="P105" i="4"/>
  <c r="R105" i="4" s="1"/>
  <c r="D106" i="4" s="1"/>
  <c r="M106" i="4" s="1"/>
  <c r="J55" i="4"/>
  <c r="K55" i="4" s="1"/>
  <c r="J54" i="4"/>
  <c r="K54" i="4" s="1"/>
  <c r="Q52" i="4"/>
  <c r="C53" i="4" s="1"/>
  <c r="L53" i="4" s="1"/>
  <c r="Q53" i="4" s="1"/>
  <c r="C54" i="4" s="1"/>
  <c r="F54" i="4" s="1"/>
  <c r="P105" i="3"/>
  <c r="R105" i="3" s="1"/>
  <c r="D106" i="3" s="1"/>
  <c r="M106" i="3" s="1"/>
  <c r="O55" i="3"/>
  <c r="Q55" i="3" s="1"/>
  <c r="C56" i="3" s="1"/>
  <c r="L56" i="3" s="1"/>
  <c r="Q73" i="1"/>
  <c r="C74" i="1" s="1"/>
  <c r="J75" i="1"/>
  <c r="K75" i="1" s="1"/>
  <c r="L74" i="1"/>
  <c r="R108" i="1"/>
  <c r="D109" i="1" s="1"/>
  <c r="M109" i="1" s="1"/>
  <c r="P109" i="1" s="1"/>
  <c r="F55" i="9" l="1"/>
  <c r="L55" i="9" s="1"/>
  <c r="P106" i="9"/>
  <c r="R106" i="9" s="1"/>
  <c r="D107" i="9" s="1"/>
  <c r="M107" i="9" s="1"/>
  <c r="P106" i="6"/>
  <c r="R106" i="6" s="1"/>
  <c r="D107" i="6" s="1"/>
  <c r="M107" i="6" s="1"/>
  <c r="J54" i="6"/>
  <c r="K54" i="6" s="1"/>
  <c r="Q52" i="6"/>
  <c r="C53" i="6" s="1"/>
  <c r="L53" i="6" s="1"/>
  <c r="P107" i="5"/>
  <c r="R107" i="5" s="1"/>
  <c r="D108" i="5" s="1"/>
  <c r="M108" i="5" s="1"/>
  <c r="O57" i="5"/>
  <c r="Q57" i="5" s="1"/>
  <c r="C58" i="5" s="1"/>
  <c r="L58" i="5" s="1"/>
  <c r="L54" i="4"/>
  <c r="P106" i="4"/>
  <c r="R106" i="4" s="1"/>
  <c r="D107" i="4" s="1"/>
  <c r="M107" i="4" s="1"/>
  <c r="O54" i="4"/>
  <c r="O56" i="3"/>
  <c r="P106" i="3"/>
  <c r="R106" i="3" s="1"/>
  <c r="D107" i="3" s="1"/>
  <c r="M107" i="3" s="1"/>
  <c r="J58" i="3"/>
  <c r="K58" i="3" s="1"/>
  <c r="J57" i="3"/>
  <c r="K57" i="3" s="1"/>
  <c r="O74" i="1"/>
  <c r="R109" i="1"/>
  <c r="D110" i="1" s="1"/>
  <c r="M110" i="1" s="1"/>
  <c r="R110" i="1" s="1"/>
  <c r="D111" i="1" s="1"/>
  <c r="M111" i="1" s="1"/>
  <c r="P111" i="1" s="1"/>
  <c r="P107" i="9" l="1"/>
  <c r="R107" i="9" s="1"/>
  <c r="D108" i="9" s="1"/>
  <c r="M108" i="9" s="1"/>
  <c r="O55" i="9"/>
  <c r="P107" i="6"/>
  <c r="R107" i="6" s="1"/>
  <c r="D108" i="6" s="1"/>
  <c r="M108" i="6" s="1"/>
  <c r="O53" i="6"/>
  <c r="O58" i="5"/>
  <c r="P108" i="5"/>
  <c r="R108" i="5" s="1"/>
  <c r="D109" i="5" s="1"/>
  <c r="M109" i="5" s="1"/>
  <c r="J60" i="5"/>
  <c r="K60" i="5" s="1"/>
  <c r="J59" i="5"/>
  <c r="K59" i="5" s="1"/>
  <c r="P107" i="4"/>
  <c r="R107" i="4" s="1"/>
  <c r="D108" i="4" s="1"/>
  <c r="M108" i="4" s="1"/>
  <c r="J56" i="4"/>
  <c r="K56" i="4" s="1"/>
  <c r="Q54" i="4"/>
  <c r="C55" i="4" s="1"/>
  <c r="L55" i="4" s="1"/>
  <c r="P107" i="3"/>
  <c r="R107" i="3" s="1"/>
  <c r="D108" i="3" s="1"/>
  <c r="M108" i="3" s="1"/>
  <c r="Q56" i="3"/>
  <c r="C57" i="3" s="1"/>
  <c r="L57" i="3" s="1"/>
  <c r="Q74" i="1"/>
  <c r="C75" i="1" s="1"/>
  <c r="L75" i="1" s="1"/>
  <c r="Q75" i="1" s="1"/>
  <c r="C76" i="1" s="1"/>
  <c r="J77" i="1"/>
  <c r="J76" i="1"/>
  <c r="F76" i="1"/>
  <c r="K77" i="1"/>
  <c r="R111" i="1"/>
  <c r="D112" i="1" s="1"/>
  <c r="M112" i="1" s="1"/>
  <c r="P112" i="1" s="1"/>
  <c r="P108" i="9" l="1"/>
  <c r="R108" i="9" s="1"/>
  <c r="D109" i="9" s="1"/>
  <c r="M109" i="9" s="1"/>
  <c r="J57" i="9"/>
  <c r="K57" i="9" s="1"/>
  <c r="Q55" i="9"/>
  <c r="C56" i="9" s="1"/>
  <c r="L56" i="9" s="1"/>
  <c r="P108" i="6"/>
  <c r="R108" i="6" s="1"/>
  <c r="D109" i="6" s="1"/>
  <c r="M109" i="6" s="1"/>
  <c r="J56" i="6"/>
  <c r="K56" i="6" s="1"/>
  <c r="J55" i="6"/>
  <c r="K55" i="6" s="1"/>
  <c r="L55" i="6" s="1"/>
  <c r="Q53" i="6"/>
  <c r="C54" i="6" s="1"/>
  <c r="L54" i="6" s="1"/>
  <c r="Q54" i="6" s="1"/>
  <c r="C55" i="6" s="1"/>
  <c r="F55" i="6" s="1"/>
  <c r="P109" i="5"/>
  <c r="R109" i="5" s="1"/>
  <c r="D110" i="5" s="1"/>
  <c r="M110" i="5" s="1"/>
  <c r="R110" i="5" s="1"/>
  <c r="D111" i="5" s="1"/>
  <c r="M111" i="5" s="1"/>
  <c r="Q58" i="5"/>
  <c r="C59" i="5" s="1"/>
  <c r="L59" i="5" s="1"/>
  <c r="P108" i="4"/>
  <c r="R108" i="4" s="1"/>
  <c r="D109" i="4" s="1"/>
  <c r="M109" i="4" s="1"/>
  <c r="R109" i="4" s="1"/>
  <c r="D110" i="4" s="1"/>
  <c r="M110" i="4" s="1"/>
  <c r="O55" i="4"/>
  <c r="Q55" i="4" s="1"/>
  <c r="C56" i="4" s="1"/>
  <c r="L56" i="4" s="1"/>
  <c r="O57" i="3"/>
  <c r="P108" i="3"/>
  <c r="R108" i="3" s="1"/>
  <c r="D109" i="3" s="1"/>
  <c r="M109" i="3" s="1"/>
  <c r="K76" i="1"/>
  <c r="L76" i="1" s="1"/>
  <c r="O76" i="1" s="1"/>
  <c r="R112" i="1"/>
  <c r="D113" i="1" s="1"/>
  <c r="M113" i="1" s="1"/>
  <c r="P113" i="1" s="1"/>
  <c r="P109" i="9" l="1"/>
  <c r="R109" i="9" s="1"/>
  <c r="D110" i="9" s="1"/>
  <c r="M110" i="9" s="1"/>
  <c r="R110" i="9" s="1"/>
  <c r="D111" i="9" s="1"/>
  <c r="M111" i="9" s="1"/>
  <c r="O56" i="9"/>
  <c r="P109" i="6"/>
  <c r="R109" i="6" s="1"/>
  <c r="D110" i="6" s="1"/>
  <c r="M110" i="6" s="1"/>
  <c r="R110" i="6" s="1"/>
  <c r="D111" i="6" s="1"/>
  <c r="M111" i="6" s="1"/>
  <c r="O55" i="6"/>
  <c r="Q55" i="6" s="1"/>
  <c r="C56" i="6" s="1"/>
  <c r="L56" i="6" s="1"/>
  <c r="O59" i="5"/>
  <c r="P111" i="5"/>
  <c r="R111" i="5" s="1"/>
  <c r="D112" i="5" s="1"/>
  <c r="M112" i="5" s="1"/>
  <c r="O56" i="4"/>
  <c r="P110" i="4"/>
  <c r="R110" i="4" s="1"/>
  <c r="D111" i="4" s="1"/>
  <c r="M111" i="4" s="1"/>
  <c r="J58" i="4"/>
  <c r="K58" i="4" s="1"/>
  <c r="J57" i="4"/>
  <c r="K57" i="4" s="1"/>
  <c r="P109" i="3"/>
  <c r="R109" i="3" s="1"/>
  <c r="D110" i="3" s="1"/>
  <c r="M110" i="3" s="1"/>
  <c r="R110" i="3" s="1"/>
  <c r="D111" i="3" s="1"/>
  <c r="M111" i="3" s="1"/>
  <c r="J59" i="3"/>
  <c r="K59" i="3" s="1"/>
  <c r="Q57" i="3"/>
  <c r="C58" i="3" s="1"/>
  <c r="L58" i="3" s="1"/>
  <c r="Q76" i="1"/>
  <c r="C77" i="1" s="1"/>
  <c r="L77" i="1" s="1"/>
  <c r="J78" i="1"/>
  <c r="O77" i="1"/>
  <c r="K78" i="1"/>
  <c r="R113" i="1"/>
  <c r="D114" i="1" s="1"/>
  <c r="M114" i="1" s="1"/>
  <c r="P114" i="1" s="1"/>
  <c r="P111" i="9" l="1"/>
  <c r="R111" i="9" s="1"/>
  <c r="D112" i="9" s="1"/>
  <c r="M112" i="9" s="1"/>
  <c r="J58" i="9"/>
  <c r="K58" i="9" s="1"/>
  <c r="Q56" i="9"/>
  <c r="C57" i="9" s="1"/>
  <c r="L57" i="9" s="1"/>
  <c r="O56" i="6"/>
  <c r="P111" i="6"/>
  <c r="R111" i="6" s="1"/>
  <c r="D112" i="6" s="1"/>
  <c r="M112" i="6" s="1"/>
  <c r="J58" i="6"/>
  <c r="K58" i="6" s="1"/>
  <c r="J57" i="6"/>
  <c r="K57" i="6" s="1"/>
  <c r="P112" i="5"/>
  <c r="R112" i="5" s="1"/>
  <c r="D113" i="5" s="1"/>
  <c r="M113" i="5" s="1"/>
  <c r="J61" i="5"/>
  <c r="K61" i="5" s="1"/>
  <c r="Q59" i="5"/>
  <c r="C60" i="5" s="1"/>
  <c r="L60" i="5" s="1"/>
  <c r="P111" i="4"/>
  <c r="R111" i="4" s="1"/>
  <c r="D112" i="4" s="1"/>
  <c r="M112" i="4" s="1"/>
  <c r="Q56" i="4"/>
  <c r="C57" i="4" s="1"/>
  <c r="L57" i="4" s="1"/>
  <c r="P111" i="3"/>
  <c r="R111" i="3" s="1"/>
  <c r="D112" i="3" s="1"/>
  <c r="M112" i="3" s="1"/>
  <c r="O58" i="3"/>
  <c r="Q77" i="1"/>
  <c r="C78" i="1" s="1"/>
  <c r="J79" i="1"/>
  <c r="K79" i="1" s="1"/>
  <c r="L78" i="1"/>
  <c r="R114" i="1"/>
  <c r="D115" i="1" s="1"/>
  <c r="M115" i="1" s="1"/>
  <c r="P115" i="1" s="1"/>
  <c r="P112" i="9" l="1"/>
  <c r="R112" i="9" s="1"/>
  <c r="D113" i="9" s="1"/>
  <c r="M113" i="9" s="1"/>
  <c r="O57" i="9"/>
  <c r="P112" i="6"/>
  <c r="R112" i="6" s="1"/>
  <c r="D113" i="6" s="1"/>
  <c r="M113" i="6" s="1"/>
  <c r="Q56" i="6"/>
  <c r="C57" i="6" s="1"/>
  <c r="L57" i="6" s="1"/>
  <c r="P113" i="5"/>
  <c r="R113" i="5" s="1"/>
  <c r="D114" i="5" s="1"/>
  <c r="M114" i="5" s="1"/>
  <c r="O60" i="5"/>
  <c r="O57" i="4"/>
  <c r="P112" i="4"/>
  <c r="R112" i="4" s="1"/>
  <c r="D113" i="4" s="1"/>
  <c r="M113" i="4" s="1"/>
  <c r="P112" i="3"/>
  <c r="R112" i="3" s="1"/>
  <c r="D113" i="3" s="1"/>
  <c r="M113" i="3" s="1"/>
  <c r="J60" i="3"/>
  <c r="K60" i="3" s="1"/>
  <c r="Q58" i="3"/>
  <c r="C59" i="3" s="1"/>
  <c r="L59" i="3" s="1"/>
  <c r="O78" i="1"/>
  <c r="R115" i="1"/>
  <c r="D116" i="1" s="1"/>
  <c r="M116" i="1" s="1"/>
  <c r="P116" i="1" s="1"/>
  <c r="P113" i="9" l="1"/>
  <c r="R113" i="9" s="1"/>
  <c r="D114" i="9" s="1"/>
  <c r="M114" i="9" s="1"/>
  <c r="J59" i="9"/>
  <c r="K59" i="9" s="1"/>
  <c r="Q57" i="9"/>
  <c r="C58" i="9" s="1"/>
  <c r="L58" i="9" s="1"/>
  <c r="O57" i="6"/>
  <c r="P113" i="6"/>
  <c r="R113" i="6" s="1"/>
  <c r="D114" i="6" s="1"/>
  <c r="M114" i="6" s="1"/>
  <c r="P114" i="5"/>
  <c r="R114" i="5" s="1"/>
  <c r="D115" i="5" s="1"/>
  <c r="M115" i="5" s="1"/>
  <c r="J63" i="5"/>
  <c r="K63" i="5" s="1"/>
  <c r="J62" i="5"/>
  <c r="K62" i="5" s="1"/>
  <c r="Q60" i="5"/>
  <c r="C61" i="5" s="1"/>
  <c r="L61" i="5" s="1"/>
  <c r="Q61" i="5" s="1"/>
  <c r="C62" i="5" s="1"/>
  <c r="F62" i="5" s="1"/>
  <c r="P113" i="4"/>
  <c r="R113" i="4" s="1"/>
  <c r="D114" i="4" s="1"/>
  <c r="M114" i="4" s="1"/>
  <c r="J59" i="4"/>
  <c r="K59" i="4" s="1"/>
  <c r="Q57" i="4"/>
  <c r="C58" i="4" s="1"/>
  <c r="L58" i="4" s="1"/>
  <c r="P113" i="3"/>
  <c r="R113" i="3" s="1"/>
  <c r="D114" i="3" s="1"/>
  <c r="M114" i="3" s="1"/>
  <c r="O59" i="3"/>
  <c r="J80" i="1"/>
  <c r="K80" i="1" s="1"/>
  <c r="Q78" i="1"/>
  <c r="C79" i="1" s="1"/>
  <c r="L79" i="1" s="1"/>
  <c r="R116" i="1"/>
  <c r="D117" i="1" s="1"/>
  <c r="M117" i="1" s="1"/>
  <c r="R117" i="1" s="1"/>
  <c r="D118" i="1" s="1"/>
  <c r="M118" i="1" s="1"/>
  <c r="P118" i="1" s="1"/>
  <c r="P114" i="9" l="1"/>
  <c r="R114" i="9" s="1"/>
  <c r="D115" i="9" s="1"/>
  <c r="M115" i="9" s="1"/>
  <c r="O58" i="9"/>
  <c r="P114" i="6"/>
  <c r="R114" i="6" s="1"/>
  <c r="D115" i="6" s="1"/>
  <c r="M115" i="6" s="1"/>
  <c r="J59" i="6"/>
  <c r="K59" i="6" s="1"/>
  <c r="Q57" i="6"/>
  <c r="C58" i="6" s="1"/>
  <c r="L58" i="6" s="1"/>
  <c r="P115" i="5"/>
  <c r="R115" i="5" s="1"/>
  <c r="D116" i="5" s="1"/>
  <c r="M116" i="5" s="1"/>
  <c r="L62" i="5"/>
  <c r="P114" i="4"/>
  <c r="R114" i="4" s="1"/>
  <c r="D115" i="4" s="1"/>
  <c r="M115" i="4" s="1"/>
  <c r="O58" i="4"/>
  <c r="P114" i="3"/>
  <c r="R114" i="3" s="1"/>
  <c r="D115" i="3" s="1"/>
  <c r="M115" i="3" s="1"/>
  <c r="J61" i="3"/>
  <c r="K61" i="3" s="1"/>
  <c r="Q59" i="3"/>
  <c r="C60" i="3" s="1"/>
  <c r="L60" i="3" s="1"/>
  <c r="O79" i="1"/>
  <c r="R118" i="1"/>
  <c r="D119" i="1" s="1"/>
  <c r="M119" i="1" s="1"/>
  <c r="P119" i="1" s="1"/>
  <c r="P115" i="9" l="1"/>
  <c r="R115" i="9" s="1"/>
  <c r="D116" i="9" s="1"/>
  <c r="M116" i="9" s="1"/>
  <c r="J60" i="9"/>
  <c r="K60" i="9" s="1"/>
  <c r="Q58" i="9"/>
  <c r="C59" i="9" s="1"/>
  <c r="L59" i="9" s="1"/>
  <c r="P115" i="6"/>
  <c r="R115" i="6" s="1"/>
  <c r="D116" i="6" s="1"/>
  <c r="M116" i="6" s="1"/>
  <c r="O58" i="6"/>
  <c r="P116" i="5"/>
  <c r="R116" i="5" s="1"/>
  <c r="D117" i="5" s="1"/>
  <c r="M117" i="5" s="1"/>
  <c r="R117" i="5" s="1"/>
  <c r="D118" i="5" s="1"/>
  <c r="M118" i="5" s="1"/>
  <c r="O62" i="5"/>
  <c r="P115" i="4"/>
  <c r="R115" i="4" s="1"/>
  <c r="D116" i="4" s="1"/>
  <c r="M116" i="4" s="1"/>
  <c r="R116" i="4" s="1"/>
  <c r="D117" i="4" s="1"/>
  <c r="M117" i="4" s="1"/>
  <c r="J60" i="4"/>
  <c r="K60" i="4" s="1"/>
  <c r="Q58" i="4"/>
  <c r="C59" i="4" s="1"/>
  <c r="L59" i="4" s="1"/>
  <c r="P115" i="3"/>
  <c r="R115" i="3" s="1"/>
  <c r="D116" i="3" s="1"/>
  <c r="M116" i="3" s="1"/>
  <c r="O60" i="3"/>
  <c r="J81" i="1"/>
  <c r="K81" i="1" s="1"/>
  <c r="Q79" i="1"/>
  <c r="C80" i="1" s="1"/>
  <c r="L80" i="1" s="1"/>
  <c r="O80" i="1"/>
  <c r="R119" i="1"/>
  <c r="D120" i="1" s="1"/>
  <c r="M120" i="1" s="1"/>
  <c r="P120" i="1" s="1"/>
  <c r="P116" i="9" l="1"/>
  <c r="R116" i="9" s="1"/>
  <c r="D117" i="9" s="1"/>
  <c r="M117" i="9" s="1"/>
  <c r="R117" i="9" s="1"/>
  <c r="D118" i="9" s="1"/>
  <c r="M118" i="9" s="1"/>
  <c r="O59" i="9"/>
  <c r="P116" i="6"/>
  <c r="R116" i="6" s="1"/>
  <c r="D117" i="6" s="1"/>
  <c r="M117" i="6" s="1"/>
  <c r="R117" i="6" s="1"/>
  <c r="D118" i="6" s="1"/>
  <c r="M118" i="6" s="1"/>
  <c r="J60" i="6"/>
  <c r="K60" i="6" s="1"/>
  <c r="Q58" i="6"/>
  <c r="C59" i="6" s="1"/>
  <c r="L59" i="6" s="1"/>
  <c r="P118" i="5"/>
  <c r="R118" i="5" s="1"/>
  <c r="D119" i="5" s="1"/>
  <c r="M119" i="5" s="1"/>
  <c r="J64" i="5"/>
  <c r="K64" i="5" s="1"/>
  <c r="Q62" i="5"/>
  <c r="C63" i="5" s="1"/>
  <c r="L63" i="5" s="1"/>
  <c r="P117" i="4"/>
  <c r="R117" i="4" s="1"/>
  <c r="D118" i="4" s="1"/>
  <c r="M118" i="4" s="1"/>
  <c r="O59" i="4"/>
  <c r="P116" i="3"/>
  <c r="R116" i="3" s="1"/>
  <c r="D117" i="3" s="1"/>
  <c r="M117" i="3" s="1"/>
  <c r="R117" i="3" s="1"/>
  <c r="D118" i="3" s="1"/>
  <c r="M118" i="3" s="1"/>
  <c r="J63" i="3"/>
  <c r="K63" i="3" s="1"/>
  <c r="J62" i="3"/>
  <c r="K62" i="3" s="1"/>
  <c r="Q60" i="3"/>
  <c r="C61" i="3" s="1"/>
  <c r="L61" i="3" s="1"/>
  <c r="Q61" i="3" s="1"/>
  <c r="C62" i="3" s="1"/>
  <c r="F62" i="3" s="1"/>
  <c r="J82" i="1"/>
  <c r="K82" i="1" s="1"/>
  <c r="Q80" i="1"/>
  <c r="C81" i="1" s="1"/>
  <c r="L81" i="1" s="1"/>
  <c r="O81" i="1"/>
  <c r="R120" i="1"/>
  <c r="D121" i="1" s="1"/>
  <c r="M121" i="1" s="1"/>
  <c r="P121" i="1" s="1"/>
  <c r="P118" i="9" l="1"/>
  <c r="R118" i="9" s="1"/>
  <c r="D119" i="9" s="1"/>
  <c r="M119" i="9" s="1"/>
  <c r="J61" i="9"/>
  <c r="K61" i="9" s="1"/>
  <c r="Q59" i="9"/>
  <c r="C60" i="9" s="1"/>
  <c r="L60" i="9" s="1"/>
  <c r="P118" i="6"/>
  <c r="R118" i="6" s="1"/>
  <c r="D119" i="6" s="1"/>
  <c r="M119" i="6" s="1"/>
  <c r="O59" i="6"/>
  <c r="P119" i="5"/>
  <c r="R119" i="5" s="1"/>
  <c r="D120" i="5" s="1"/>
  <c r="M120" i="5" s="1"/>
  <c r="O63" i="5"/>
  <c r="P118" i="4"/>
  <c r="R118" i="4" s="1"/>
  <c r="D119" i="4" s="1"/>
  <c r="M119" i="4" s="1"/>
  <c r="J62" i="4"/>
  <c r="K62" i="4" s="1"/>
  <c r="J61" i="4"/>
  <c r="K61" i="4" s="1"/>
  <c r="Q59" i="4"/>
  <c r="C60" i="4" s="1"/>
  <c r="L60" i="4" s="1"/>
  <c r="Q60" i="4" s="1"/>
  <c r="C61" i="4" s="1"/>
  <c r="F61" i="4" s="1"/>
  <c r="P118" i="3"/>
  <c r="R118" i="3" s="1"/>
  <c r="D119" i="3" s="1"/>
  <c r="M119" i="3" s="1"/>
  <c r="L62" i="3"/>
  <c r="Q81" i="1"/>
  <c r="C82" i="1" s="1"/>
  <c r="L82" i="1" s="1"/>
  <c r="Q82" i="1" s="1"/>
  <c r="C83" i="1" s="1"/>
  <c r="J84" i="1"/>
  <c r="J83" i="1"/>
  <c r="F83" i="1"/>
  <c r="K84" i="1"/>
  <c r="R121" i="1"/>
  <c r="D122" i="1" s="1"/>
  <c r="M122" i="1" s="1"/>
  <c r="P122" i="1" s="1"/>
  <c r="P119" i="9" l="1"/>
  <c r="R119" i="9" s="1"/>
  <c r="D120" i="9" s="1"/>
  <c r="M120" i="9" s="1"/>
  <c r="O60" i="9"/>
  <c r="P119" i="6"/>
  <c r="R119" i="6" s="1"/>
  <c r="D120" i="6" s="1"/>
  <c r="M120" i="6" s="1"/>
  <c r="J61" i="6"/>
  <c r="K61" i="6" s="1"/>
  <c r="Q59" i="6"/>
  <c r="C60" i="6" s="1"/>
  <c r="L60" i="6" s="1"/>
  <c r="P120" i="5"/>
  <c r="R120" i="5" s="1"/>
  <c r="D121" i="5" s="1"/>
  <c r="M121" i="5" s="1"/>
  <c r="J65" i="5"/>
  <c r="K65" i="5" s="1"/>
  <c r="Q63" i="5"/>
  <c r="C64" i="5" s="1"/>
  <c r="L64" i="5" s="1"/>
  <c r="P119" i="4"/>
  <c r="R119" i="4" s="1"/>
  <c r="D120" i="4" s="1"/>
  <c r="M120" i="4" s="1"/>
  <c r="L61" i="4"/>
  <c r="P119" i="3"/>
  <c r="R119" i="3" s="1"/>
  <c r="D120" i="3" s="1"/>
  <c r="M120" i="3" s="1"/>
  <c r="O62" i="3"/>
  <c r="K83" i="1"/>
  <c r="L83" i="1" s="1"/>
  <c r="O83" i="1" s="1"/>
  <c r="R122" i="1"/>
  <c r="D123" i="1" s="1"/>
  <c r="M123" i="1" s="1"/>
  <c r="P123" i="1" s="1"/>
  <c r="P120" i="9" l="1"/>
  <c r="R120" i="9" s="1"/>
  <c r="D121" i="9" s="1"/>
  <c r="M121" i="9" s="1"/>
  <c r="J63" i="9"/>
  <c r="K63" i="9" s="1"/>
  <c r="J62" i="9"/>
  <c r="K62" i="9" s="1"/>
  <c r="Q60" i="9"/>
  <c r="C61" i="9" s="1"/>
  <c r="L61" i="9" s="1"/>
  <c r="Q61" i="9" s="1"/>
  <c r="C62" i="9" s="1"/>
  <c r="F62" i="9" s="1"/>
  <c r="P120" i="6"/>
  <c r="R120" i="6" s="1"/>
  <c r="D121" i="6" s="1"/>
  <c r="M121" i="6" s="1"/>
  <c r="O60" i="6"/>
  <c r="Q60" i="6" s="1"/>
  <c r="C61" i="6" s="1"/>
  <c r="L61" i="6" s="1"/>
  <c r="Q61" i="6" s="1"/>
  <c r="C62" i="6" s="1"/>
  <c r="F62" i="6" s="1"/>
  <c r="P121" i="5"/>
  <c r="R121" i="5" s="1"/>
  <c r="D122" i="5" s="1"/>
  <c r="M122" i="5" s="1"/>
  <c r="O64" i="5"/>
  <c r="P120" i="4"/>
  <c r="R120" i="4" s="1"/>
  <c r="D121" i="4" s="1"/>
  <c r="M121" i="4" s="1"/>
  <c r="O61" i="4"/>
  <c r="P120" i="3"/>
  <c r="R120" i="3" s="1"/>
  <c r="D121" i="3" s="1"/>
  <c r="M121" i="3" s="1"/>
  <c r="J64" i="3"/>
  <c r="K64" i="3" s="1"/>
  <c r="Q62" i="3"/>
  <c r="C63" i="3" s="1"/>
  <c r="L63" i="3" s="1"/>
  <c r="Q83" i="1"/>
  <c r="C84" i="1" s="1"/>
  <c r="L84" i="1" s="1"/>
  <c r="J85" i="1"/>
  <c r="K85" i="1" s="1"/>
  <c r="O84" i="1"/>
  <c r="R123" i="1"/>
  <c r="D124" i="1" s="1"/>
  <c r="M124" i="1" s="1"/>
  <c r="R124" i="1" s="1"/>
  <c r="D125" i="1" s="1"/>
  <c r="M125" i="1" s="1"/>
  <c r="P125" i="1" s="1"/>
  <c r="P121" i="9" l="1"/>
  <c r="R121" i="9" s="1"/>
  <c r="D122" i="9" s="1"/>
  <c r="M122" i="9" s="1"/>
  <c r="L62" i="9"/>
  <c r="P121" i="6"/>
  <c r="R121" i="6" s="1"/>
  <c r="D122" i="6" s="1"/>
  <c r="M122" i="6" s="1"/>
  <c r="J63" i="6"/>
  <c r="K63" i="6" s="1"/>
  <c r="J62" i="6"/>
  <c r="K62" i="6" s="1"/>
  <c r="L62" i="6" s="1"/>
  <c r="P122" i="5"/>
  <c r="R122" i="5" s="1"/>
  <c r="D123" i="5" s="1"/>
  <c r="M123" i="5" s="1"/>
  <c r="J66" i="5"/>
  <c r="K66" i="5" s="1"/>
  <c r="Q64" i="5"/>
  <c r="C65" i="5" s="1"/>
  <c r="L65" i="5" s="1"/>
  <c r="P121" i="4"/>
  <c r="R121" i="4" s="1"/>
  <c r="D122" i="4" s="1"/>
  <c r="M122" i="4" s="1"/>
  <c r="J63" i="4"/>
  <c r="K63" i="4" s="1"/>
  <c r="Q61" i="4"/>
  <c r="C62" i="4" s="1"/>
  <c r="L62" i="4" s="1"/>
  <c r="P121" i="3"/>
  <c r="R121" i="3" s="1"/>
  <c r="D122" i="3" s="1"/>
  <c r="M122" i="3" s="1"/>
  <c r="O63" i="3"/>
  <c r="Q84" i="1"/>
  <c r="C85" i="1" s="1"/>
  <c r="J86" i="1"/>
  <c r="K86" i="1" s="1"/>
  <c r="L85" i="1"/>
  <c r="R125" i="1"/>
  <c r="D126" i="1" s="1"/>
  <c r="M126" i="1" s="1"/>
  <c r="P126" i="1" s="1"/>
  <c r="P122" i="9" l="1"/>
  <c r="R122" i="9" s="1"/>
  <c r="D123" i="9" s="1"/>
  <c r="M123" i="9" s="1"/>
  <c r="O62" i="9"/>
  <c r="P122" i="6"/>
  <c r="R122" i="6" s="1"/>
  <c r="D123" i="6" s="1"/>
  <c r="M123" i="6" s="1"/>
  <c r="O62" i="6"/>
  <c r="P123" i="5"/>
  <c r="R123" i="5" s="1"/>
  <c r="D124" i="5" s="1"/>
  <c r="M124" i="5" s="1"/>
  <c r="R124" i="5" s="1"/>
  <c r="D125" i="5" s="1"/>
  <c r="M125" i="5" s="1"/>
  <c r="O65" i="5"/>
  <c r="P122" i="4"/>
  <c r="R122" i="4" s="1"/>
  <c r="D123" i="4" s="1"/>
  <c r="M123" i="4" s="1"/>
  <c r="R123" i="4" s="1"/>
  <c r="D124" i="4" s="1"/>
  <c r="M124" i="4" s="1"/>
  <c r="O62" i="4"/>
  <c r="Q62" i="4" s="1"/>
  <c r="C63" i="4" s="1"/>
  <c r="L63" i="4" s="1"/>
  <c r="P122" i="3"/>
  <c r="R122" i="3" s="1"/>
  <c r="D123" i="3" s="1"/>
  <c r="M123" i="3" s="1"/>
  <c r="J65" i="3"/>
  <c r="K65" i="3" s="1"/>
  <c r="Q63" i="3"/>
  <c r="C64" i="3" s="1"/>
  <c r="L64" i="3" s="1"/>
  <c r="O85" i="1"/>
  <c r="R126" i="1"/>
  <c r="D127" i="1" s="1"/>
  <c r="M127" i="1" s="1"/>
  <c r="P127" i="1" s="1"/>
  <c r="P123" i="9" l="1"/>
  <c r="R123" i="9" s="1"/>
  <c r="D124" i="9" s="1"/>
  <c r="M124" i="9" s="1"/>
  <c r="R124" i="9" s="1"/>
  <c r="D125" i="9" s="1"/>
  <c r="M125" i="9" s="1"/>
  <c r="J64" i="9"/>
  <c r="K64" i="9" s="1"/>
  <c r="Q62" i="9"/>
  <c r="C63" i="9" s="1"/>
  <c r="L63" i="9" s="1"/>
  <c r="P123" i="6"/>
  <c r="R123" i="6" s="1"/>
  <c r="D124" i="6" s="1"/>
  <c r="M124" i="6" s="1"/>
  <c r="R124" i="6" s="1"/>
  <c r="D125" i="6" s="1"/>
  <c r="M125" i="6" s="1"/>
  <c r="J64" i="6"/>
  <c r="K64" i="6" s="1"/>
  <c r="Q62" i="6"/>
  <c r="C63" i="6" s="1"/>
  <c r="L63" i="6" s="1"/>
  <c r="P125" i="5"/>
  <c r="R125" i="5" s="1"/>
  <c r="D126" i="5" s="1"/>
  <c r="M126" i="5" s="1"/>
  <c r="J67" i="5"/>
  <c r="K67" i="5" s="1"/>
  <c r="Q65" i="5"/>
  <c r="C66" i="5" s="1"/>
  <c r="L66" i="5" s="1"/>
  <c r="O63" i="4"/>
  <c r="P124" i="4"/>
  <c r="R124" i="4" s="1"/>
  <c r="D125" i="4" s="1"/>
  <c r="M125" i="4" s="1"/>
  <c r="J65" i="4"/>
  <c r="K65" i="4" s="1"/>
  <c r="J64" i="4"/>
  <c r="K64" i="4" s="1"/>
  <c r="P123" i="3"/>
  <c r="R123" i="3" s="1"/>
  <c r="D124" i="3" s="1"/>
  <c r="M124" i="3" s="1"/>
  <c r="R124" i="3" s="1"/>
  <c r="D125" i="3" s="1"/>
  <c r="M125" i="3" s="1"/>
  <c r="O64" i="3"/>
  <c r="Q85" i="1"/>
  <c r="C86" i="1" s="1"/>
  <c r="L86" i="1" s="1"/>
  <c r="J87" i="1"/>
  <c r="K87" i="1" s="1"/>
  <c r="O86" i="1"/>
  <c r="R127" i="1"/>
  <c r="D128" i="1" s="1"/>
  <c r="M128" i="1" s="1"/>
  <c r="P128" i="1" s="1"/>
  <c r="P125" i="9" l="1"/>
  <c r="R125" i="9" s="1"/>
  <c r="D126" i="9" s="1"/>
  <c r="M126" i="9" s="1"/>
  <c r="O63" i="9"/>
  <c r="P125" i="6"/>
  <c r="R125" i="6" s="1"/>
  <c r="D126" i="6" s="1"/>
  <c r="M126" i="6" s="1"/>
  <c r="O63" i="6"/>
  <c r="P126" i="5"/>
  <c r="R126" i="5" s="1"/>
  <c r="D127" i="5" s="1"/>
  <c r="M127" i="5" s="1"/>
  <c r="O66" i="5"/>
  <c r="P125" i="4"/>
  <c r="R125" i="4" s="1"/>
  <c r="D126" i="4" s="1"/>
  <c r="M126" i="4" s="1"/>
  <c r="Q63" i="4"/>
  <c r="C64" i="4" s="1"/>
  <c r="L64" i="4" s="1"/>
  <c r="P125" i="3"/>
  <c r="R125" i="3" s="1"/>
  <c r="D126" i="3" s="1"/>
  <c r="M126" i="3" s="1"/>
  <c r="J66" i="3"/>
  <c r="K66" i="3" s="1"/>
  <c r="Q64" i="3"/>
  <c r="C65" i="3" s="1"/>
  <c r="L65" i="3" s="1"/>
  <c r="Q86" i="1"/>
  <c r="C87" i="1" s="1"/>
  <c r="J88" i="1"/>
  <c r="K88" i="1" s="1"/>
  <c r="L87" i="1"/>
  <c r="O87" i="1" s="1"/>
  <c r="R128" i="1"/>
  <c r="D129" i="1" s="1"/>
  <c r="M129" i="1" s="1"/>
  <c r="P129" i="1" s="1"/>
  <c r="P126" i="9" l="1"/>
  <c r="R126" i="9" s="1"/>
  <c r="D127" i="9" s="1"/>
  <c r="M127" i="9" s="1"/>
  <c r="J65" i="9"/>
  <c r="K65" i="9" s="1"/>
  <c r="Q63" i="9"/>
  <c r="C64" i="9" s="1"/>
  <c r="L64" i="9" s="1"/>
  <c r="P126" i="6"/>
  <c r="R126" i="6" s="1"/>
  <c r="D127" i="6" s="1"/>
  <c r="M127" i="6" s="1"/>
  <c r="J65" i="6"/>
  <c r="K65" i="6" s="1"/>
  <c r="Q63" i="6"/>
  <c r="C64" i="6" s="1"/>
  <c r="L64" i="6" s="1"/>
  <c r="P127" i="5"/>
  <c r="R127" i="5" s="1"/>
  <c r="D128" i="5" s="1"/>
  <c r="M128" i="5" s="1"/>
  <c r="J68" i="5"/>
  <c r="K68" i="5" s="1"/>
  <c r="Q66" i="5"/>
  <c r="C67" i="5" s="1"/>
  <c r="L67" i="5" s="1"/>
  <c r="O64" i="4"/>
  <c r="P126" i="4"/>
  <c r="R126" i="4" s="1"/>
  <c r="D127" i="4" s="1"/>
  <c r="M127" i="4" s="1"/>
  <c r="P126" i="3"/>
  <c r="R126" i="3" s="1"/>
  <c r="D127" i="3" s="1"/>
  <c r="M127" i="3" s="1"/>
  <c r="O65" i="3"/>
  <c r="J89" i="1"/>
  <c r="K89" i="1" s="1"/>
  <c r="Q87" i="1"/>
  <c r="C88" i="1" s="1"/>
  <c r="L88" i="1" s="1"/>
  <c r="R129" i="1"/>
  <c r="D130" i="1" s="1"/>
  <c r="M130" i="1" s="1"/>
  <c r="P130" i="1" s="1"/>
  <c r="P127" i="9" l="1"/>
  <c r="R127" i="9" s="1"/>
  <c r="D128" i="9" s="1"/>
  <c r="M128" i="9" s="1"/>
  <c r="O64" i="9"/>
  <c r="P127" i="6"/>
  <c r="R127" i="6" s="1"/>
  <c r="D128" i="6" s="1"/>
  <c r="M128" i="6" s="1"/>
  <c r="O64" i="6"/>
  <c r="P128" i="5"/>
  <c r="R128" i="5" s="1"/>
  <c r="D129" i="5" s="1"/>
  <c r="M129" i="5" s="1"/>
  <c r="O67" i="5"/>
  <c r="P127" i="4"/>
  <c r="R127" i="4" s="1"/>
  <c r="D128" i="4" s="1"/>
  <c r="M128" i="4" s="1"/>
  <c r="J66" i="4"/>
  <c r="K66" i="4" s="1"/>
  <c r="Q64" i="4"/>
  <c r="C65" i="4" s="1"/>
  <c r="L65" i="4" s="1"/>
  <c r="P127" i="3"/>
  <c r="R127" i="3" s="1"/>
  <c r="D128" i="3" s="1"/>
  <c r="M128" i="3" s="1"/>
  <c r="J67" i="3"/>
  <c r="K67" i="3" s="1"/>
  <c r="Q65" i="3"/>
  <c r="C66" i="3" s="1"/>
  <c r="L66" i="3" s="1"/>
  <c r="O88" i="1"/>
  <c r="R130" i="1"/>
  <c r="D131" i="1" s="1"/>
  <c r="M131" i="1" s="1"/>
  <c r="R131" i="1" s="1"/>
  <c r="D132" i="1" s="1"/>
  <c r="M132" i="1" s="1"/>
  <c r="P132" i="1" s="1"/>
  <c r="P128" i="9" l="1"/>
  <c r="R128" i="9" s="1"/>
  <c r="D129" i="9" s="1"/>
  <c r="M129" i="9" s="1"/>
  <c r="J66" i="9"/>
  <c r="K66" i="9" s="1"/>
  <c r="Q64" i="9"/>
  <c r="C65" i="9" s="1"/>
  <c r="L65" i="9" s="1"/>
  <c r="P128" i="6"/>
  <c r="R128" i="6" s="1"/>
  <c r="D129" i="6" s="1"/>
  <c r="M129" i="6" s="1"/>
  <c r="J66" i="6"/>
  <c r="K66" i="6" s="1"/>
  <c r="Q64" i="6"/>
  <c r="C65" i="6" s="1"/>
  <c r="L65" i="6" s="1"/>
  <c r="P129" i="5"/>
  <c r="R129" i="5" s="1"/>
  <c r="D130" i="5" s="1"/>
  <c r="M130" i="5" s="1"/>
  <c r="J70" i="5"/>
  <c r="K70" i="5" s="1"/>
  <c r="J69" i="5"/>
  <c r="K69" i="5" s="1"/>
  <c r="Q67" i="5"/>
  <c r="C68" i="5" s="1"/>
  <c r="L68" i="5" s="1"/>
  <c r="Q68" i="5" s="1"/>
  <c r="C69" i="5" s="1"/>
  <c r="F69" i="5" s="1"/>
  <c r="P128" i="4"/>
  <c r="R128" i="4" s="1"/>
  <c r="D129" i="4" s="1"/>
  <c r="M129" i="4" s="1"/>
  <c r="O65" i="4"/>
  <c r="P128" i="3"/>
  <c r="R128" i="3" s="1"/>
  <c r="D129" i="3" s="1"/>
  <c r="M129" i="3" s="1"/>
  <c r="O66" i="3"/>
  <c r="Q88" i="1"/>
  <c r="C89" i="1" s="1"/>
  <c r="L89" i="1" s="1"/>
  <c r="Q89" i="1" s="1"/>
  <c r="C90" i="1" s="1"/>
  <c r="J91" i="1"/>
  <c r="J90" i="1"/>
  <c r="F90" i="1"/>
  <c r="K91" i="1"/>
  <c r="R132" i="1"/>
  <c r="D133" i="1" s="1"/>
  <c r="M133" i="1" s="1"/>
  <c r="P133" i="1" s="1"/>
  <c r="P129" i="9" l="1"/>
  <c r="R129" i="9" s="1"/>
  <c r="D130" i="9" s="1"/>
  <c r="M130" i="9" s="1"/>
  <c r="O65" i="9"/>
  <c r="P129" i="6"/>
  <c r="R129" i="6" s="1"/>
  <c r="D130" i="6" s="1"/>
  <c r="M130" i="6" s="1"/>
  <c r="O65" i="6"/>
  <c r="P130" i="5"/>
  <c r="R130" i="5" s="1"/>
  <c r="D131" i="5" s="1"/>
  <c r="M131" i="5" s="1"/>
  <c r="R131" i="5" s="1"/>
  <c r="D132" i="5" s="1"/>
  <c r="M132" i="5" s="1"/>
  <c r="L69" i="5"/>
  <c r="P129" i="4"/>
  <c r="R129" i="4" s="1"/>
  <c r="D130" i="4" s="1"/>
  <c r="M130" i="4" s="1"/>
  <c r="R130" i="4" s="1"/>
  <c r="D131" i="4" s="1"/>
  <c r="M131" i="4" s="1"/>
  <c r="J67" i="4"/>
  <c r="K67" i="4" s="1"/>
  <c r="Q65" i="4"/>
  <c r="C66" i="4" s="1"/>
  <c r="L66" i="4" s="1"/>
  <c r="P129" i="3"/>
  <c r="R129" i="3" s="1"/>
  <c r="D130" i="3" s="1"/>
  <c r="M130" i="3" s="1"/>
  <c r="J68" i="3"/>
  <c r="K68" i="3" s="1"/>
  <c r="Q66" i="3"/>
  <c r="C67" i="3" s="1"/>
  <c r="L67" i="3" s="1"/>
  <c r="K90" i="1"/>
  <c r="L90" i="1" s="1"/>
  <c r="R133" i="1"/>
  <c r="D134" i="1" s="1"/>
  <c r="M134" i="1" s="1"/>
  <c r="P134" i="1" s="1"/>
  <c r="P130" i="9" l="1"/>
  <c r="R130" i="9" s="1"/>
  <c r="D131" i="9" s="1"/>
  <c r="M131" i="9" s="1"/>
  <c r="R131" i="9" s="1"/>
  <c r="D132" i="9" s="1"/>
  <c r="M132" i="9" s="1"/>
  <c r="J67" i="9"/>
  <c r="K67" i="9" s="1"/>
  <c r="Q65" i="9"/>
  <c r="C66" i="9" s="1"/>
  <c r="L66" i="9" s="1"/>
  <c r="P130" i="6"/>
  <c r="R130" i="6" s="1"/>
  <c r="D131" i="6" s="1"/>
  <c r="M131" i="6" s="1"/>
  <c r="R131" i="6" s="1"/>
  <c r="D132" i="6" s="1"/>
  <c r="M132" i="6" s="1"/>
  <c r="J67" i="6"/>
  <c r="K67" i="6" s="1"/>
  <c r="Q65" i="6"/>
  <c r="C66" i="6" s="1"/>
  <c r="L66" i="6" s="1"/>
  <c r="P132" i="5"/>
  <c r="R132" i="5" s="1"/>
  <c r="D133" i="5" s="1"/>
  <c r="M133" i="5" s="1"/>
  <c r="O69" i="5"/>
  <c r="P131" i="4"/>
  <c r="R131" i="4" s="1"/>
  <c r="D132" i="4" s="1"/>
  <c r="M132" i="4" s="1"/>
  <c r="O66" i="4"/>
  <c r="P130" i="3"/>
  <c r="R130" i="3" s="1"/>
  <c r="D131" i="3" s="1"/>
  <c r="M131" i="3" s="1"/>
  <c r="R131" i="3" s="1"/>
  <c r="D132" i="3" s="1"/>
  <c r="M132" i="3" s="1"/>
  <c r="O67" i="3"/>
  <c r="Q67" i="3" s="1"/>
  <c r="C68" i="3" s="1"/>
  <c r="L68" i="3" s="1"/>
  <c r="Q68" i="3" s="1"/>
  <c r="C69" i="3" s="1"/>
  <c r="F69" i="3" s="1"/>
  <c r="O90" i="1"/>
  <c r="R134" i="1"/>
  <c r="D135" i="1" s="1"/>
  <c r="M135" i="1" s="1"/>
  <c r="P135" i="1" s="1"/>
  <c r="P132" i="9" l="1"/>
  <c r="R132" i="9" s="1"/>
  <c r="D133" i="9" s="1"/>
  <c r="M133" i="9" s="1"/>
  <c r="O66" i="9"/>
  <c r="P132" i="6"/>
  <c r="R132" i="6" s="1"/>
  <c r="D133" i="6" s="1"/>
  <c r="M133" i="6" s="1"/>
  <c r="O66" i="6"/>
  <c r="P133" i="5"/>
  <c r="R133" i="5" s="1"/>
  <c r="D134" i="5" s="1"/>
  <c r="M134" i="5" s="1"/>
  <c r="J71" i="5"/>
  <c r="K71" i="5" s="1"/>
  <c r="Q69" i="5"/>
  <c r="C70" i="5" s="1"/>
  <c r="L70" i="5" s="1"/>
  <c r="P132" i="4"/>
  <c r="R132" i="4" s="1"/>
  <c r="D133" i="4" s="1"/>
  <c r="M133" i="4" s="1"/>
  <c r="J69" i="4"/>
  <c r="K69" i="4" s="1"/>
  <c r="J68" i="4"/>
  <c r="K68" i="4" s="1"/>
  <c r="Q66" i="4"/>
  <c r="C67" i="4" s="1"/>
  <c r="L67" i="4" s="1"/>
  <c r="Q67" i="4" s="1"/>
  <c r="C68" i="4" s="1"/>
  <c r="F68" i="4" s="1"/>
  <c r="P132" i="3"/>
  <c r="R132" i="3" s="1"/>
  <c r="D133" i="3" s="1"/>
  <c r="M133" i="3" s="1"/>
  <c r="J70" i="3"/>
  <c r="K70" i="3" s="1"/>
  <c r="J69" i="3"/>
  <c r="K69" i="3" s="1"/>
  <c r="L69" i="3" s="1"/>
  <c r="Q90" i="1"/>
  <c r="C91" i="1" s="1"/>
  <c r="L91" i="1" s="1"/>
  <c r="J92" i="1"/>
  <c r="K92" i="1" s="1"/>
  <c r="O91" i="1"/>
  <c r="R135" i="1"/>
  <c r="D136" i="1" s="1"/>
  <c r="M136" i="1" s="1"/>
  <c r="P136" i="1" s="1"/>
  <c r="P133" i="9" l="1"/>
  <c r="R133" i="9" s="1"/>
  <c r="D134" i="9" s="1"/>
  <c r="M134" i="9" s="1"/>
  <c r="J68" i="9"/>
  <c r="K68" i="9" s="1"/>
  <c r="Q66" i="9"/>
  <c r="C67" i="9" s="1"/>
  <c r="L67" i="9" s="1"/>
  <c r="P133" i="6"/>
  <c r="R133" i="6" s="1"/>
  <c r="D134" i="6" s="1"/>
  <c r="M134" i="6" s="1"/>
  <c r="J68" i="6"/>
  <c r="K68" i="6" s="1"/>
  <c r="Q66" i="6"/>
  <c r="C67" i="6" s="1"/>
  <c r="L67" i="6" s="1"/>
  <c r="P134" i="5"/>
  <c r="R134" i="5" s="1"/>
  <c r="D135" i="5" s="1"/>
  <c r="M135" i="5" s="1"/>
  <c r="O70" i="5"/>
  <c r="P133" i="4"/>
  <c r="R133" i="4" s="1"/>
  <c r="D134" i="4" s="1"/>
  <c r="M134" i="4" s="1"/>
  <c r="L68" i="4"/>
  <c r="P133" i="3"/>
  <c r="R133" i="3" s="1"/>
  <c r="D134" i="3" s="1"/>
  <c r="M134" i="3" s="1"/>
  <c r="O69" i="3"/>
  <c r="J93" i="1"/>
  <c r="K93" i="1" s="1"/>
  <c r="Q91" i="1"/>
  <c r="C92" i="1" s="1"/>
  <c r="L92" i="1" s="1"/>
  <c r="O92" i="1"/>
  <c r="R136" i="1"/>
  <c r="D137" i="1" s="1"/>
  <c r="M137" i="1" s="1"/>
  <c r="P137" i="1" s="1"/>
  <c r="P134" i="9" l="1"/>
  <c r="R134" i="9" s="1"/>
  <c r="D135" i="9" s="1"/>
  <c r="M135" i="9" s="1"/>
  <c r="O67" i="9"/>
  <c r="P134" i="6"/>
  <c r="R134" i="6" s="1"/>
  <c r="D135" i="6" s="1"/>
  <c r="M135" i="6" s="1"/>
  <c r="O67" i="6"/>
  <c r="P135" i="5"/>
  <c r="R135" i="5" s="1"/>
  <c r="D136" i="5" s="1"/>
  <c r="M136" i="5" s="1"/>
  <c r="J72" i="5"/>
  <c r="K72" i="5" s="1"/>
  <c r="Q70" i="5"/>
  <c r="C71" i="5" s="1"/>
  <c r="L71" i="5" s="1"/>
  <c r="P134" i="4"/>
  <c r="R134" i="4" s="1"/>
  <c r="D135" i="4" s="1"/>
  <c r="M135" i="4" s="1"/>
  <c r="O68" i="4"/>
  <c r="P134" i="3"/>
  <c r="R134" i="3" s="1"/>
  <c r="D135" i="3" s="1"/>
  <c r="M135" i="3" s="1"/>
  <c r="J71" i="3"/>
  <c r="K71" i="3" s="1"/>
  <c r="Q69" i="3"/>
  <c r="C70" i="3" s="1"/>
  <c r="L70" i="3" s="1"/>
  <c r="J94" i="1"/>
  <c r="K94" i="1" s="1"/>
  <c r="Q92" i="1"/>
  <c r="C93" i="1" s="1"/>
  <c r="L93" i="1" s="1"/>
  <c r="O93" i="1"/>
  <c r="R137" i="1"/>
  <c r="D138" i="1" s="1"/>
  <c r="M138" i="1" s="1"/>
  <c r="R138" i="1" s="1"/>
  <c r="D139" i="1" s="1"/>
  <c r="M139" i="1" s="1"/>
  <c r="P139" i="1" s="1"/>
  <c r="P135" i="9" l="1"/>
  <c r="R135" i="9" s="1"/>
  <c r="D136" i="9" s="1"/>
  <c r="M136" i="9" s="1"/>
  <c r="J70" i="9"/>
  <c r="K70" i="9" s="1"/>
  <c r="J69" i="9"/>
  <c r="K69" i="9" s="1"/>
  <c r="Q67" i="9"/>
  <c r="C68" i="9" s="1"/>
  <c r="L68" i="9" s="1"/>
  <c r="Q68" i="9" s="1"/>
  <c r="C69" i="9" s="1"/>
  <c r="F69" i="9" s="1"/>
  <c r="P135" i="6"/>
  <c r="R135" i="6" s="1"/>
  <c r="D136" i="6" s="1"/>
  <c r="M136" i="6" s="1"/>
  <c r="J70" i="6"/>
  <c r="K70" i="6" s="1"/>
  <c r="J69" i="6"/>
  <c r="K69" i="6" s="1"/>
  <c r="Q67" i="6"/>
  <c r="C68" i="6" s="1"/>
  <c r="L68" i="6" s="1"/>
  <c r="Q68" i="6" s="1"/>
  <c r="C69" i="6" s="1"/>
  <c r="F69" i="6" s="1"/>
  <c r="P136" i="5"/>
  <c r="R136" i="5" s="1"/>
  <c r="D137" i="5" s="1"/>
  <c r="M137" i="5" s="1"/>
  <c r="O71" i="5"/>
  <c r="P135" i="4"/>
  <c r="R135" i="4" s="1"/>
  <c r="D136" i="4" s="1"/>
  <c r="M136" i="4" s="1"/>
  <c r="J70" i="4"/>
  <c r="K70" i="4" s="1"/>
  <c r="Q68" i="4"/>
  <c r="C69" i="4" s="1"/>
  <c r="L69" i="4" s="1"/>
  <c r="P135" i="3"/>
  <c r="R135" i="3" s="1"/>
  <c r="D136" i="3" s="1"/>
  <c r="M136" i="3" s="1"/>
  <c r="O70" i="3"/>
  <c r="J95" i="1"/>
  <c r="K95" i="1" s="1"/>
  <c r="Q93" i="1"/>
  <c r="C94" i="1" s="1"/>
  <c r="L94" i="1" s="1"/>
  <c r="O94" i="1"/>
  <c r="R139" i="1"/>
  <c r="D140" i="1" s="1"/>
  <c r="M140" i="1" s="1"/>
  <c r="P140" i="1" s="1"/>
  <c r="P136" i="9" l="1"/>
  <c r="R136" i="9" s="1"/>
  <c r="D137" i="9" s="1"/>
  <c r="M137" i="9" s="1"/>
  <c r="L69" i="9"/>
  <c r="P136" i="6"/>
  <c r="R136" i="6" s="1"/>
  <c r="D137" i="6" s="1"/>
  <c r="M137" i="6" s="1"/>
  <c r="L69" i="6"/>
  <c r="P137" i="5"/>
  <c r="R137" i="5" s="1"/>
  <c r="D138" i="5" s="1"/>
  <c r="M138" i="5" s="1"/>
  <c r="R138" i="5" s="1"/>
  <c r="D139" i="5" s="1"/>
  <c r="M139" i="5" s="1"/>
  <c r="J73" i="5"/>
  <c r="K73" i="5" s="1"/>
  <c r="Q71" i="5"/>
  <c r="C72" i="5" s="1"/>
  <c r="L72" i="5" s="1"/>
  <c r="P136" i="4"/>
  <c r="R136" i="4" s="1"/>
  <c r="D137" i="4" s="1"/>
  <c r="M137" i="4" s="1"/>
  <c r="R137" i="4" s="1"/>
  <c r="D138" i="4" s="1"/>
  <c r="M138" i="4" s="1"/>
  <c r="O69" i="4"/>
  <c r="P136" i="3"/>
  <c r="R136" i="3" s="1"/>
  <c r="D137" i="3" s="1"/>
  <c r="M137" i="3" s="1"/>
  <c r="J72" i="3"/>
  <c r="K72" i="3" s="1"/>
  <c r="Q70" i="3"/>
  <c r="C71" i="3" s="1"/>
  <c r="L71" i="3" s="1"/>
  <c r="J96" i="1"/>
  <c r="K96" i="1" s="1"/>
  <c r="Q94" i="1"/>
  <c r="C95" i="1" s="1"/>
  <c r="L95" i="1" s="1"/>
  <c r="O95" i="1"/>
  <c r="R140" i="1"/>
  <c r="D141" i="1" s="1"/>
  <c r="M141" i="1" s="1"/>
  <c r="P141" i="1" s="1"/>
  <c r="P137" i="9" l="1"/>
  <c r="R137" i="9" s="1"/>
  <c r="D138" i="9" s="1"/>
  <c r="M138" i="9" s="1"/>
  <c r="R138" i="9" s="1"/>
  <c r="D139" i="9" s="1"/>
  <c r="M139" i="9" s="1"/>
  <c r="O69" i="9"/>
  <c r="P137" i="6"/>
  <c r="R137" i="6" s="1"/>
  <c r="D138" i="6" s="1"/>
  <c r="M138" i="6" s="1"/>
  <c r="R138" i="6" s="1"/>
  <c r="D139" i="6" s="1"/>
  <c r="M139" i="6" s="1"/>
  <c r="O69" i="6"/>
  <c r="P139" i="5"/>
  <c r="R139" i="5" s="1"/>
  <c r="D140" i="5" s="1"/>
  <c r="M140" i="5" s="1"/>
  <c r="O72" i="5"/>
  <c r="Q72" i="5" s="1"/>
  <c r="C73" i="5" s="1"/>
  <c r="L73" i="5" s="1"/>
  <c r="P138" i="4"/>
  <c r="R138" i="4" s="1"/>
  <c r="D139" i="4" s="1"/>
  <c r="M139" i="4" s="1"/>
  <c r="J71" i="4"/>
  <c r="K71" i="4" s="1"/>
  <c r="Q69" i="4"/>
  <c r="C70" i="4" s="1"/>
  <c r="L70" i="4" s="1"/>
  <c r="P137" i="3"/>
  <c r="R137" i="3" s="1"/>
  <c r="D138" i="3" s="1"/>
  <c r="M138" i="3" s="1"/>
  <c r="R138" i="3" s="1"/>
  <c r="D139" i="3" s="1"/>
  <c r="M139" i="3" s="1"/>
  <c r="O71" i="3"/>
  <c r="Q95" i="1"/>
  <c r="C96" i="1" s="1"/>
  <c r="L96" i="1" s="1"/>
  <c r="Q96" i="1" s="1"/>
  <c r="C97" i="1" s="1"/>
  <c r="J98" i="1"/>
  <c r="J97" i="1"/>
  <c r="F97" i="1"/>
  <c r="K98" i="1"/>
  <c r="R141" i="1"/>
  <c r="D142" i="1" s="1"/>
  <c r="M142" i="1" s="1"/>
  <c r="P142" i="1" s="1"/>
  <c r="P139" i="9" l="1"/>
  <c r="R139" i="9" s="1"/>
  <c r="D140" i="9" s="1"/>
  <c r="M140" i="9" s="1"/>
  <c r="J71" i="9"/>
  <c r="K71" i="9" s="1"/>
  <c r="Q69" i="9"/>
  <c r="C70" i="9" s="1"/>
  <c r="L70" i="9" s="1"/>
  <c r="P139" i="6"/>
  <c r="R139" i="6" s="1"/>
  <c r="D140" i="6" s="1"/>
  <c r="M140" i="6" s="1"/>
  <c r="J71" i="6"/>
  <c r="K71" i="6" s="1"/>
  <c r="Q69" i="6"/>
  <c r="C70" i="6" s="1"/>
  <c r="L70" i="6" s="1"/>
  <c r="O73" i="5"/>
  <c r="P140" i="5"/>
  <c r="R140" i="5" s="1"/>
  <c r="D141" i="5" s="1"/>
  <c r="M141" i="5" s="1"/>
  <c r="J75" i="5"/>
  <c r="K75" i="5" s="1"/>
  <c r="J74" i="5"/>
  <c r="K74" i="5" s="1"/>
  <c r="P139" i="4"/>
  <c r="R139" i="4" s="1"/>
  <c r="D140" i="4" s="1"/>
  <c r="M140" i="4" s="1"/>
  <c r="O70" i="4"/>
  <c r="P139" i="3"/>
  <c r="R139" i="3" s="1"/>
  <c r="D140" i="3" s="1"/>
  <c r="M140" i="3" s="1"/>
  <c r="J73" i="3"/>
  <c r="K73" i="3" s="1"/>
  <c r="Q71" i="3"/>
  <c r="C72" i="3" s="1"/>
  <c r="L72" i="3" s="1"/>
  <c r="K97" i="1"/>
  <c r="L97" i="1" s="1"/>
  <c r="R142" i="1"/>
  <c r="D143" i="1" s="1"/>
  <c r="M143" i="1" s="1"/>
  <c r="P143" i="1" s="1"/>
  <c r="P140" i="9" l="1"/>
  <c r="R140" i="9" s="1"/>
  <c r="D141" i="9" s="1"/>
  <c r="M141" i="9" s="1"/>
  <c r="O70" i="9"/>
  <c r="P140" i="6"/>
  <c r="R140" i="6" s="1"/>
  <c r="D141" i="6" s="1"/>
  <c r="M141" i="6" s="1"/>
  <c r="O70" i="6"/>
  <c r="P141" i="5"/>
  <c r="R141" i="5" s="1"/>
  <c r="D142" i="5" s="1"/>
  <c r="M142" i="5" s="1"/>
  <c r="Q73" i="5"/>
  <c r="C74" i="5" s="1"/>
  <c r="L74" i="5" s="1"/>
  <c r="P140" i="4"/>
  <c r="R140" i="4" s="1"/>
  <c r="D141" i="4" s="1"/>
  <c r="M141" i="4" s="1"/>
  <c r="J72" i="4"/>
  <c r="K72" i="4" s="1"/>
  <c r="Q70" i="4"/>
  <c r="C71" i="4" s="1"/>
  <c r="L71" i="4" s="1"/>
  <c r="P140" i="3"/>
  <c r="R140" i="3" s="1"/>
  <c r="D141" i="3" s="1"/>
  <c r="M141" i="3" s="1"/>
  <c r="O72" i="3"/>
  <c r="Q72" i="3" s="1"/>
  <c r="C73" i="3" s="1"/>
  <c r="L73" i="3" s="1"/>
  <c r="O97" i="1"/>
  <c r="R143" i="1"/>
  <c r="D144" i="1" s="1"/>
  <c r="M144" i="1" s="1"/>
  <c r="P144" i="1" s="1"/>
  <c r="P141" i="9" l="1"/>
  <c r="R141" i="9" s="1"/>
  <c r="D142" i="9" s="1"/>
  <c r="M142" i="9" s="1"/>
  <c r="J72" i="9"/>
  <c r="K72" i="9" s="1"/>
  <c r="Q70" i="9"/>
  <c r="C71" i="9" s="1"/>
  <c r="L71" i="9" s="1"/>
  <c r="P141" i="6"/>
  <c r="R141" i="6" s="1"/>
  <c r="D142" i="6" s="1"/>
  <c r="M142" i="6" s="1"/>
  <c r="J72" i="6"/>
  <c r="K72" i="6" s="1"/>
  <c r="Q70" i="6"/>
  <c r="C71" i="6" s="1"/>
  <c r="L71" i="6" s="1"/>
  <c r="O74" i="5"/>
  <c r="P142" i="5"/>
  <c r="R142" i="5" s="1"/>
  <c r="D143" i="5" s="1"/>
  <c r="M143" i="5" s="1"/>
  <c r="P141" i="4"/>
  <c r="R141" i="4" s="1"/>
  <c r="D142" i="4" s="1"/>
  <c r="M142" i="4" s="1"/>
  <c r="O71" i="4"/>
  <c r="O73" i="3"/>
  <c r="P141" i="3"/>
  <c r="R141" i="3" s="1"/>
  <c r="D142" i="3" s="1"/>
  <c r="M142" i="3" s="1"/>
  <c r="J75" i="3"/>
  <c r="K75" i="3" s="1"/>
  <c r="J74" i="3"/>
  <c r="K74" i="3" s="1"/>
  <c r="Q97" i="1"/>
  <c r="C98" i="1" s="1"/>
  <c r="L98" i="1" s="1"/>
  <c r="O98" i="1" s="1"/>
  <c r="J100" i="1"/>
  <c r="J99" i="1"/>
  <c r="K99" i="1" s="1"/>
  <c r="L99" i="1" s="1"/>
  <c r="Q98" i="1"/>
  <c r="C99" i="1" s="1"/>
  <c r="K100" i="1"/>
  <c r="R144" i="1"/>
  <c r="D145" i="1" s="1"/>
  <c r="M145" i="1" s="1"/>
  <c r="R145" i="1" s="1"/>
  <c r="D146" i="1" s="1"/>
  <c r="M146" i="1" s="1"/>
  <c r="P146" i="1" s="1"/>
  <c r="P142" i="9" l="1"/>
  <c r="R142" i="9" s="1"/>
  <c r="D143" i="9" s="1"/>
  <c r="M143" i="9" s="1"/>
  <c r="O71" i="9"/>
  <c r="Q71" i="9" s="1"/>
  <c r="C72" i="9" s="1"/>
  <c r="L72" i="9" s="1"/>
  <c r="P142" i="6"/>
  <c r="R142" i="6" s="1"/>
  <c r="D143" i="6" s="1"/>
  <c r="M143" i="6" s="1"/>
  <c r="O71" i="6"/>
  <c r="P143" i="5"/>
  <c r="R143" i="5" s="1"/>
  <c r="D144" i="5" s="1"/>
  <c r="M144" i="5" s="1"/>
  <c r="J77" i="5"/>
  <c r="K77" i="5" s="1"/>
  <c r="J76" i="5"/>
  <c r="K76" i="5" s="1"/>
  <c r="L76" i="5" s="1"/>
  <c r="Q74" i="5"/>
  <c r="C75" i="5" s="1"/>
  <c r="L75" i="5" s="1"/>
  <c r="Q75" i="5" s="1"/>
  <c r="C76" i="5" s="1"/>
  <c r="F76" i="5" s="1"/>
  <c r="P142" i="4"/>
  <c r="R142" i="4" s="1"/>
  <c r="D143" i="4" s="1"/>
  <c r="M143" i="4" s="1"/>
  <c r="J73" i="4"/>
  <c r="K73" i="4" s="1"/>
  <c r="Q71" i="4"/>
  <c r="C72" i="4" s="1"/>
  <c r="L72" i="4" s="1"/>
  <c r="P142" i="3"/>
  <c r="R142" i="3" s="1"/>
  <c r="D143" i="3" s="1"/>
  <c r="M143" i="3" s="1"/>
  <c r="Q73" i="3"/>
  <c r="C74" i="3" s="1"/>
  <c r="L74" i="3" s="1"/>
  <c r="O99" i="1"/>
  <c r="R146" i="1"/>
  <c r="D147" i="1" s="1"/>
  <c r="M147" i="1" s="1"/>
  <c r="P147" i="1" s="1"/>
  <c r="O72" i="9" l="1"/>
  <c r="P143" i="9"/>
  <c r="R143" i="9" s="1"/>
  <c r="D144" i="9" s="1"/>
  <c r="M144" i="9" s="1"/>
  <c r="J74" i="9"/>
  <c r="K74" i="9" s="1"/>
  <c r="J73" i="9"/>
  <c r="K73" i="9" s="1"/>
  <c r="P143" i="6"/>
  <c r="R143" i="6" s="1"/>
  <c r="D144" i="6" s="1"/>
  <c r="M144" i="6" s="1"/>
  <c r="J73" i="6"/>
  <c r="K73" i="6" s="1"/>
  <c r="Q71" i="6"/>
  <c r="C72" i="6" s="1"/>
  <c r="L72" i="6" s="1"/>
  <c r="P144" i="5"/>
  <c r="R144" i="5" s="1"/>
  <c r="D145" i="5" s="1"/>
  <c r="M145" i="5" s="1"/>
  <c r="R145" i="5" s="1"/>
  <c r="D146" i="5" s="1"/>
  <c r="M146" i="5" s="1"/>
  <c r="O76" i="5"/>
  <c r="P143" i="4"/>
  <c r="R143" i="4" s="1"/>
  <c r="D144" i="4" s="1"/>
  <c r="M144" i="4" s="1"/>
  <c r="R144" i="4" s="1"/>
  <c r="D145" i="4" s="1"/>
  <c r="M145" i="4" s="1"/>
  <c r="O72" i="4"/>
  <c r="Q72" i="4" s="1"/>
  <c r="C73" i="4" s="1"/>
  <c r="L73" i="4" s="1"/>
  <c r="O74" i="3"/>
  <c r="P143" i="3"/>
  <c r="R143" i="3" s="1"/>
  <c r="D144" i="3" s="1"/>
  <c r="M144" i="3" s="1"/>
  <c r="Q99" i="1"/>
  <c r="C100" i="1" s="1"/>
  <c r="L100" i="1" s="1"/>
  <c r="J101" i="1"/>
  <c r="O100" i="1"/>
  <c r="K101" i="1"/>
  <c r="R147" i="1"/>
  <c r="D148" i="1" s="1"/>
  <c r="M148" i="1" s="1"/>
  <c r="P148" i="1" s="1"/>
  <c r="P144" i="9" l="1"/>
  <c r="R144" i="9" s="1"/>
  <c r="D145" i="9" s="1"/>
  <c r="M145" i="9" s="1"/>
  <c r="R145" i="9" s="1"/>
  <c r="D146" i="9" s="1"/>
  <c r="M146" i="9" s="1"/>
  <c r="Q72" i="9"/>
  <c r="C73" i="9" s="1"/>
  <c r="L73" i="9" s="1"/>
  <c r="P144" i="6"/>
  <c r="R144" i="6" s="1"/>
  <c r="D145" i="6" s="1"/>
  <c r="M145" i="6" s="1"/>
  <c r="R145" i="6" s="1"/>
  <c r="D146" i="6" s="1"/>
  <c r="M146" i="6" s="1"/>
  <c r="O72" i="6"/>
  <c r="P146" i="5"/>
  <c r="R146" i="5" s="1"/>
  <c r="D147" i="5" s="1"/>
  <c r="M147" i="5" s="1"/>
  <c r="J78" i="5"/>
  <c r="K78" i="5" s="1"/>
  <c r="Q76" i="5"/>
  <c r="C77" i="5" s="1"/>
  <c r="L77" i="5" s="1"/>
  <c r="O73" i="4"/>
  <c r="J76" i="4" s="1"/>
  <c r="K76" i="4" s="1"/>
  <c r="P145" i="4"/>
  <c r="R145" i="4" s="1"/>
  <c r="D146" i="4" s="1"/>
  <c r="M146" i="4" s="1"/>
  <c r="J75" i="4"/>
  <c r="K75" i="4" s="1"/>
  <c r="J74" i="4"/>
  <c r="K74" i="4" s="1"/>
  <c r="P144" i="3"/>
  <c r="R144" i="3" s="1"/>
  <c r="D145" i="3" s="1"/>
  <c r="M145" i="3" s="1"/>
  <c r="R145" i="3" s="1"/>
  <c r="D146" i="3" s="1"/>
  <c r="M146" i="3" s="1"/>
  <c r="J77" i="3"/>
  <c r="K77" i="3" s="1"/>
  <c r="J76" i="3"/>
  <c r="K76" i="3" s="1"/>
  <c r="Q74" i="3"/>
  <c r="C75" i="3" s="1"/>
  <c r="L75" i="3" s="1"/>
  <c r="Q75" i="3" s="1"/>
  <c r="C76" i="3" s="1"/>
  <c r="F76" i="3" s="1"/>
  <c r="Q100" i="1"/>
  <c r="C101" i="1" s="1"/>
  <c r="J102" i="1"/>
  <c r="K102" i="1" s="1"/>
  <c r="L101" i="1"/>
  <c r="R148" i="1"/>
  <c r="D149" i="1" s="1"/>
  <c r="M149" i="1" s="1"/>
  <c r="P149" i="1" s="1"/>
  <c r="O73" i="9" l="1"/>
  <c r="P146" i="9"/>
  <c r="R146" i="9" s="1"/>
  <c r="D147" i="9" s="1"/>
  <c r="M147" i="9" s="1"/>
  <c r="P146" i="6"/>
  <c r="R146" i="6" s="1"/>
  <c r="D147" i="6" s="1"/>
  <c r="M147" i="6" s="1"/>
  <c r="J74" i="6"/>
  <c r="K74" i="6" s="1"/>
  <c r="Q72" i="6"/>
  <c r="C73" i="6" s="1"/>
  <c r="L73" i="6" s="1"/>
  <c r="P147" i="5"/>
  <c r="R147" i="5" s="1"/>
  <c r="D148" i="5" s="1"/>
  <c r="M148" i="5" s="1"/>
  <c r="O77" i="5"/>
  <c r="P146" i="4"/>
  <c r="R146" i="4" s="1"/>
  <c r="D147" i="4" s="1"/>
  <c r="M147" i="4" s="1"/>
  <c r="Q73" i="4"/>
  <c r="C74" i="4" s="1"/>
  <c r="L74" i="4" s="1"/>
  <c r="Q74" i="4" s="1"/>
  <c r="C75" i="4" s="1"/>
  <c r="P146" i="3"/>
  <c r="R146" i="3" s="1"/>
  <c r="D147" i="3" s="1"/>
  <c r="M147" i="3" s="1"/>
  <c r="L76" i="3"/>
  <c r="O101" i="1"/>
  <c r="R149" i="1"/>
  <c r="D150" i="1" s="1"/>
  <c r="M150" i="1" s="1"/>
  <c r="P150" i="1" s="1"/>
  <c r="P147" i="9" l="1"/>
  <c r="R147" i="9" s="1"/>
  <c r="D148" i="9" s="1"/>
  <c r="M148" i="9" s="1"/>
  <c r="J75" i="9"/>
  <c r="K75" i="9" s="1"/>
  <c r="Q73" i="9"/>
  <c r="C74" i="9" s="1"/>
  <c r="L74" i="9" s="1"/>
  <c r="P147" i="6"/>
  <c r="R147" i="6" s="1"/>
  <c r="D148" i="6" s="1"/>
  <c r="M148" i="6" s="1"/>
  <c r="O73" i="6"/>
  <c r="P148" i="5"/>
  <c r="R148" i="5" s="1"/>
  <c r="D149" i="5" s="1"/>
  <c r="M149" i="5" s="1"/>
  <c r="J79" i="5"/>
  <c r="K79" i="5" s="1"/>
  <c r="Q77" i="5"/>
  <c r="C78" i="5" s="1"/>
  <c r="L78" i="5" s="1"/>
  <c r="F75" i="4"/>
  <c r="L75" i="4"/>
  <c r="P147" i="4"/>
  <c r="R147" i="4" s="1"/>
  <c r="D148" i="4" s="1"/>
  <c r="M148" i="4" s="1"/>
  <c r="P147" i="3"/>
  <c r="R147" i="3" s="1"/>
  <c r="D148" i="3" s="1"/>
  <c r="M148" i="3" s="1"/>
  <c r="O76" i="3"/>
  <c r="Q101" i="1"/>
  <c r="C102" i="1" s="1"/>
  <c r="L102" i="1" s="1"/>
  <c r="J103" i="1"/>
  <c r="K103" i="1" s="1"/>
  <c r="O102" i="1"/>
  <c r="R150" i="1"/>
  <c r="D151" i="1" s="1"/>
  <c r="M151" i="1" s="1"/>
  <c r="P151" i="1" s="1"/>
  <c r="P148" i="9" l="1"/>
  <c r="R148" i="9" s="1"/>
  <c r="D149" i="9" s="1"/>
  <c r="M149" i="9" s="1"/>
  <c r="O74" i="9"/>
  <c r="Q74" i="9" s="1"/>
  <c r="C75" i="9" s="1"/>
  <c r="L75" i="9" s="1"/>
  <c r="Q75" i="9" s="1"/>
  <c r="C76" i="9" s="1"/>
  <c r="F76" i="9" s="1"/>
  <c r="P148" i="6"/>
  <c r="R148" i="6" s="1"/>
  <c r="D149" i="6" s="1"/>
  <c r="M149" i="6" s="1"/>
  <c r="J75" i="6"/>
  <c r="K75" i="6" s="1"/>
  <c r="Q73" i="6"/>
  <c r="C74" i="6" s="1"/>
  <c r="L74" i="6" s="1"/>
  <c r="P149" i="5"/>
  <c r="R149" i="5" s="1"/>
  <c r="D150" i="5" s="1"/>
  <c r="M150" i="5" s="1"/>
  <c r="O78" i="5"/>
  <c r="P148" i="4"/>
  <c r="R148" i="4" s="1"/>
  <c r="D149" i="4" s="1"/>
  <c r="M149" i="4" s="1"/>
  <c r="O75" i="4"/>
  <c r="P148" i="3"/>
  <c r="R148" i="3" s="1"/>
  <c r="D149" i="3" s="1"/>
  <c r="M149" i="3" s="1"/>
  <c r="J78" i="3"/>
  <c r="K78" i="3" s="1"/>
  <c r="Q76" i="3"/>
  <c r="C77" i="3" s="1"/>
  <c r="L77" i="3" s="1"/>
  <c r="J105" i="1"/>
  <c r="K105" i="1" s="1"/>
  <c r="J104" i="1"/>
  <c r="K104" i="1" s="1"/>
  <c r="Q102" i="1"/>
  <c r="C103" i="1" s="1"/>
  <c r="L103" i="1"/>
  <c r="Q103" i="1" s="1"/>
  <c r="C104" i="1" s="1"/>
  <c r="R151" i="1"/>
  <c r="D152" i="1" s="1"/>
  <c r="M152" i="1" s="1"/>
  <c r="R152" i="1" s="1"/>
  <c r="D153" i="1" s="1"/>
  <c r="M153" i="1" s="1"/>
  <c r="P153" i="1" s="1"/>
  <c r="P149" i="9" l="1"/>
  <c r="R149" i="9" s="1"/>
  <c r="D150" i="9" s="1"/>
  <c r="M150" i="9" s="1"/>
  <c r="J77" i="9"/>
  <c r="K77" i="9" s="1"/>
  <c r="J76" i="9"/>
  <c r="K76" i="9" s="1"/>
  <c r="L76" i="9" s="1"/>
  <c r="P149" i="6"/>
  <c r="R149" i="6" s="1"/>
  <c r="D150" i="6" s="1"/>
  <c r="M150" i="6" s="1"/>
  <c r="O74" i="6"/>
  <c r="P150" i="5"/>
  <c r="R150" i="5" s="1"/>
  <c r="D151" i="5" s="1"/>
  <c r="M151" i="5" s="1"/>
  <c r="J80" i="5"/>
  <c r="K80" i="5" s="1"/>
  <c r="Q78" i="5"/>
  <c r="C79" i="5" s="1"/>
  <c r="L79" i="5" s="1"/>
  <c r="P149" i="4"/>
  <c r="R149" i="4" s="1"/>
  <c r="D150" i="4" s="1"/>
  <c r="M150" i="4" s="1"/>
  <c r="J77" i="4"/>
  <c r="K77" i="4" s="1"/>
  <c r="Q75" i="4"/>
  <c r="C76" i="4" s="1"/>
  <c r="L76" i="4" s="1"/>
  <c r="P149" i="3"/>
  <c r="R149" i="3" s="1"/>
  <c r="D150" i="3" s="1"/>
  <c r="M150" i="3" s="1"/>
  <c r="O77" i="3"/>
  <c r="F104" i="1"/>
  <c r="L104" i="1" s="1"/>
  <c r="R153" i="1"/>
  <c r="D154" i="1" s="1"/>
  <c r="M154" i="1" s="1"/>
  <c r="P154" i="1" s="1"/>
  <c r="P150" i="9" l="1"/>
  <c r="R150" i="9" s="1"/>
  <c r="D151" i="9" s="1"/>
  <c r="M151" i="9" s="1"/>
  <c r="O76" i="9"/>
  <c r="P150" i="6"/>
  <c r="R150" i="6" s="1"/>
  <c r="D151" i="6" s="1"/>
  <c r="M151" i="6" s="1"/>
  <c r="J77" i="6"/>
  <c r="K77" i="6" s="1"/>
  <c r="J76" i="6"/>
  <c r="K76" i="6" s="1"/>
  <c r="L76" i="6" s="1"/>
  <c r="Q74" i="6"/>
  <c r="C75" i="6" s="1"/>
  <c r="L75" i="6" s="1"/>
  <c r="Q75" i="6" s="1"/>
  <c r="C76" i="6" s="1"/>
  <c r="F76" i="6" s="1"/>
  <c r="P151" i="5"/>
  <c r="R151" i="5" s="1"/>
  <c r="D152" i="5" s="1"/>
  <c r="M152" i="5" s="1"/>
  <c r="R152" i="5" s="1"/>
  <c r="D153" i="5" s="1"/>
  <c r="M153" i="5" s="1"/>
  <c r="O79" i="5"/>
  <c r="P150" i="4"/>
  <c r="R150" i="4" s="1"/>
  <c r="D151" i="4" s="1"/>
  <c r="M151" i="4" s="1"/>
  <c r="R151" i="4" s="1"/>
  <c r="D152" i="4" s="1"/>
  <c r="M152" i="4" s="1"/>
  <c r="O76" i="4"/>
  <c r="P150" i="3"/>
  <c r="R150" i="3" s="1"/>
  <c r="D151" i="3" s="1"/>
  <c r="M151" i="3" s="1"/>
  <c r="J79" i="3"/>
  <c r="K79" i="3" s="1"/>
  <c r="Q77" i="3"/>
  <c r="C78" i="3" s="1"/>
  <c r="L78" i="3" s="1"/>
  <c r="O104" i="1"/>
  <c r="R154" i="1"/>
  <c r="D155" i="1" s="1"/>
  <c r="M155" i="1" s="1"/>
  <c r="P155" i="1" s="1"/>
  <c r="P151" i="9" l="1"/>
  <c r="R151" i="9" s="1"/>
  <c r="D152" i="9" s="1"/>
  <c r="M152" i="9" s="1"/>
  <c r="R152" i="9" s="1"/>
  <c r="D153" i="9" s="1"/>
  <c r="M153" i="9" s="1"/>
  <c r="J78" i="9"/>
  <c r="K78" i="9" s="1"/>
  <c r="Q76" i="9"/>
  <c r="C77" i="9" s="1"/>
  <c r="L77" i="9" s="1"/>
  <c r="P151" i="6"/>
  <c r="R151" i="6" s="1"/>
  <c r="D152" i="6" s="1"/>
  <c r="M152" i="6" s="1"/>
  <c r="R152" i="6" s="1"/>
  <c r="D153" i="6" s="1"/>
  <c r="M153" i="6" s="1"/>
  <c r="O76" i="6"/>
  <c r="P153" i="5"/>
  <c r="R153" i="5" s="1"/>
  <c r="D154" i="5" s="1"/>
  <c r="M154" i="5" s="1"/>
  <c r="J81" i="5"/>
  <c r="K81" i="5" s="1"/>
  <c r="Q79" i="5"/>
  <c r="C80" i="5" s="1"/>
  <c r="L80" i="5" s="1"/>
  <c r="J78" i="4"/>
  <c r="K78" i="4" s="1"/>
  <c r="P152" i="4"/>
  <c r="R152" i="4" s="1"/>
  <c r="D153" i="4" s="1"/>
  <c r="M153" i="4" s="1"/>
  <c r="Q76" i="4"/>
  <c r="C77" i="4" s="1"/>
  <c r="L77" i="4" s="1"/>
  <c r="P151" i="3"/>
  <c r="R151" i="3" s="1"/>
  <c r="D152" i="3" s="1"/>
  <c r="M152" i="3" s="1"/>
  <c r="R152" i="3" s="1"/>
  <c r="D153" i="3" s="1"/>
  <c r="M153" i="3" s="1"/>
  <c r="O78" i="3"/>
  <c r="J106" i="1"/>
  <c r="K106" i="1" s="1"/>
  <c r="Q104" i="1"/>
  <c r="C105" i="1" s="1"/>
  <c r="L105" i="1" s="1"/>
  <c r="R155" i="1"/>
  <c r="D156" i="1" s="1"/>
  <c r="M156" i="1" s="1"/>
  <c r="P156" i="1" s="1"/>
  <c r="P153" i="9" l="1"/>
  <c r="R153" i="9" s="1"/>
  <c r="D154" i="9" s="1"/>
  <c r="M154" i="9" s="1"/>
  <c r="O77" i="9"/>
  <c r="P153" i="6"/>
  <c r="R153" i="6" s="1"/>
  <c r="D154" i="6" s="1"/>
  <c r="M154" i="6" s="1"/>
  <c r="J78" i="6"/>
  <c r="K78" i="6" s="1"/>
  <c r="Q76" i="6"/>
  <c r="C77" i="6" s="1"/>
  <c r="L77" i="6" s="1"/>
  <c r="P154" i="5"/>
  <c r="R154" i="5" s="1"/>
  <c r="D155" i="5" s="1"/>
  <c r="M155" i="5" s="1"/>
  <c r="O80" i="5"/>
  <c r="P153" i="4"/>
  <c r="R153" i="4" s="1"/>
  <c r="D154" i="4" s="1"/>
  <c r="M154" i="4" s="1"/>
  <c r="O77" i="4"/>
  <c r="P153" i="3"/>
  <c r="R153" i="3" s="1"/>
  <c r="D154" i="3" s="1"/>
  <c r="M154" i="3" s="1"/>
  <c r="J80" i="3"/>
  <c r="K80" i="3" s="1"/>
  <c r="Q78" i="3"/>
  <c r="C79" i="3" s="1"/>
  <c r="L79" i="3" s="1"/>
  <c r="O105" i="1"/>
  <c r="R156" i="1"/>
  <c r="D157" i="1" s="1"/>
  <c r="M157" i="1" s="1"/>
  <c r="P157" i="1" s="1"/>
  <c r="P154" i="9" l="1"/>
  <c r="R154" i="9" s="1"/>
  <c r="D155" i="9" s="1"/>
  <c r="M155" i="9" s="1"/>
  <c r="J79" i="9"/>
  <c r="K79" i="9" s="1"/>
  <c r="Q77" i="9"/>
  <c r="C78" i="9" s="1"/>
  <c r="L78" i="9" s="1"/>
  <c r="P154" i="6"/>
  <c r="R154" i="6" s="1"/>
  <c r="D155" i="6" s="1"/>
  <c r="M155" i="6" s="1"/>
  <c r="O77" i="6"/>
  <c r="P155" i="5"/>
  <c r="R155" i="5" s="1"/>
  <c r="D156" i="5" s="1"/>
  <c r="M156" i="5" s="1"/>
  <c r="J82" i="5"/>
  <c r="K82" i="5" s="1"/>
  <c r="Q80" i="5"/>
  <c r="C81" i="5" s="1"/>
  <c r="L81" i="5" s="1"/>
  <c r="P154" i="4"/>
  <c r="R154" i="4" s="1"/>
  <c r="D155" i="4" s="1"/>
  <c r="M155" i="4" s="1"/>
  <c r="J79" i="4"/>
  <c r="K79" i="4" s="1"/>
  <c r="Q77" i="4"/>
  <c r="C78" i="4" s="1"/>
  <c r="L78" i="4" s="1"/>
  <c r="P154" i="3"/>
  <c r="R154" i="3" s="1"/>
  <c r="D155" i="3" s="1"/>
  <c r="M155" i="3" s="1"/>
  <c r="O79" i="3"/>
  <c r="Q105" i="1"/>
  <c r="C106" i="1" s="1"/>
  <c r="L106" i="1" s="1"/>
  <c r="J107" i="1"/>
  <c r="K107" i="1" s="1"/>
  <c r="O106" i="1"/>
  <c r="R157" i="1"/>
  <c r="D158" i="1" s="1"/>
  <c r="M158" i="1" s="1"/>
  <c r="P158" i="1" s="1"/>
  <c r="P155" i="9" l="1"/>
  <c r="R155" i="9" s="1"/>
  <c r="D156" i="9" s="1"/>
  <c r="M156" i="9" s="1"/>
  <c r="O78" i="9"/>
  <c r="P155" i="6"/>
  <c r="R155" i="6" s="1"/>
  <c r="D156" i="6" s="1"/>
  <c r="M156" i="6" s="1"/>
  <c r="J79" i="6"/>
  <c r="K79" i="6" s="1"/>
  <c r="Q77" i="6"/>
  <c r="C78" i="6" s="1"/>
  <c r="L78" i="6" s="1"/>
  <c r="P156" i="5"/>
  <c r="R156" i="5" s="1"/>
  <c r="D157" i="5" s="1"/>
  <c r="M157" i="5" s="1"/>
  <c r="O81" i="5"/>
  <c r="P155" i="4"/>
  <c r="R155" i="4" s="1"/>
  <c r="D156" i="4" s="1"/>
  <c r="M156" i="4" s="1"/>
  <c r="O78" i="4"/>
  <c r="P155" i="3"/>
  <c r="R155" i="3" s="1"/>
  <c r="D156" i="3" s="1"/>
  <c r="M156" i="3" s="1"/>
  <c r="J81" i="3"/>
  <c r="K81" i="3" s="1"/>
  <c r="Q79" i="3"/>
  <c r="C80" i="3" s="1"/>
  <c r="L80" i="3" s="1"/>
  <c r="Q106" i="1"/>
  <c r="C107" i="1" s="1"/>
  <c r="J108" i="1"/>
  <c r="K108" i="1" s="1"/>
  <c r="L107" i="1"/>
  <c r="R158" i="1"/>
  <c r="D159" i="1" s="1"/>
  <c r="M159" i="1" s="1"/>
  <c r="R159" i="1" s="1"/>
  <c r="D160" i="1" s="1"/>
  <c r="M160" i="1" s="1"/>
  <c r="P160" i="1" s="1"/>
  <c r="P156" i="9" l="1"/>
  <c r="R156" i="9" s="1"/>
  <c r="D157" i="9" s="1"/>
  <c r="M157" i="9" s="1"/>
  <c r="J80" i="9"/>
  <c r="K80" i="9" s="1"/>
  <c r="Q78" i="9"/>
  <c r="C79" i="9" s="1"/>
  <c r="L79" i="9" s="1"/>
  <c r="P156" i="6"/>
  <c r="R156" i="6" s="1"/>
  <c r="D157" i="6" s="1"/>
  <c r="M157" i="6" s="1"/>
  <c r="O78" i="6"/>
  <c r="Q78" i="6" s="1"/>
  <c r="C79" i="6" s="1"/>
  <c r="L79" i="6" s="1"/>
  <c r="P157" i="5"/>
  <c r="R157" i="5" s="1"/>
  <c r="D158" i="5" s="1"/>
  <c r="M158" i="5" s="1"/>
  <c r="J84" i="5"/>
  <c r="K84" i="5" s="1"/>
  <c r="J83" i="5"/>
  <c r="K83" i="5" s="1"/>
  <c r="L83" i="5" s="1"/>
  <c r="Q81" i="5"/>
  <c r="C82" i="5" s="1"/>
  <c r="L82" i="5" s="1"/>
  <c r="Q82" i="5" s="1"/>
  <c r="C83" i="5" s="1"/>
  <c r="F83" i="5" s="1"/>
  <c r="P156" i="4"/>
  <c r="R156" i="4" s="1"/>
  <c r="D157" i="4" s="1"/>
  <c r="M157" i="4" s="1"/>
  <c r="J80" i="4"/>
  <c r="K80" i="4" s="1"/>
  <c r="Q78" i="4"/>
  <c r="C79" i="4" s="1"/>
  <c r="L79" i="4" s="1"/>
  <c r="P156" i="3"/>
  <c r="R156" i="3"/>
  <c r="D157" i="3" s="1"/>
  <c r="M157" i="3" s="1"/>
  <c r="O80" i="3"/>
  <c r="O107" i="1"/>
  <c r="R160" i="1"/>
  <c r="D161" i="1" s="1"/>
  <c r="M161" i="1" s="1"/>
  <c r="P161" i="1" s="1"/>
  <c r="P157" i="9" l="1"/>
  <c r="R157" i="9" s="1"/>
  <c r="D158" i="9" s="1"/>
  <c r="M158" i="9" s="1"/>
  <c r="O79" i="9"/>
  <c r="O79" i="6"/>
  <c r="P157" i="6"/>
  <c r="R157" i="6" s="1"/>
  <c r="D158" i="6" s="1"/>
  <c r="M158" i="6" s="1"/>
  <c r="J81" i="6"/>
  <c r="K81" i="6" s="1"/>
  <c r="J80" i="6"/>
  <c r="K80" i="6" s="1"/>
  <c r="P158" i="5"/>
  <c r="R158" i="5" s="1"/>
  <c r="D159" i="5" s="1"/>
  <c r="M159" i="5" s="1"/>
  <c r="R159" i="5" s="1"/>
  <c r="D160" i="5" s="1"/>
  <c r="M160" i="5" s="1"/>
  <c r="O83" i="5"/>
  <c r="P157" i="4"/>
  <c r="R157" i="4" s="1"/>
  <c r="D158" i="4" s="1"/>
  <c r="M158" i="4" s="1"/>
  <c r="R158" i="4" s="1"/>
  <c r="D159" i="4" s="1"/>
  <c r="M159" i="4" s="1"/>
  <c r="O79" i="4"/>
  <c r="P157" i="3"/>
  <c r="R157" i="3" s="1"/>
  <c r="D158" i="3" s="1"/>
  <c r="M158" i="3" s="1"/>
  <c r="J82" i="3"/>
  <c r="K82" i="3" s="1"/>
  <c r="Q80" i="3"/>
  <c r="C81" i="3" s="1"/>
  <c r="L81" i="3" s="1"/>
  <c r="Q107" i="1"/>
  <c r="C108" i="1" s="1"/>
  <c r="L108" i="1" s="1"/>
  <c r="J109" i="1"/>
  <c r="O108" i="1"/>
  <c r="K109" i="1"/>
  <c r="R161" i="1"/>
  <c r="D162" i="1" s="1"/>
  <c r="M162" i="1" s="1"/>
  <c r="P162" i="1" s="1"/>
  <c r="P158" i="9" l="1"/>
  <c r="R158" i="9" s="1"/>
  <c r="D159" i="9" s="1"/>
  <c r="M159" i="9" s="1"/>
  <c r="R159" i="9" s="1"/>
  <c r="D160" i="9" s="1"/>
  <c r="M160" i="9" s="1"/>
  <c r="J81" i="9"/>
  <c r="K81" i="9" s="1"/>
  <c r="Q79" i="9"/>
  <c r="C80" i="9" s="1"/>
  <c r="L80" i="9" s="1"/>
  <c r="P158" i="6"/>
  <c r="R158" i="6" s="1"/>
  <c r="D159" i="6" s="1"/>
  <c r="M159" i="6" s="1"/>
  <c r="R159" i="6" s="1"/>
  <c r="D160" i="6" s="1"/>
  <c r="M160" i="6" s="1"/>
  <c r="Q79" i="6"/>
  <c r="C80" i="6" s="1"/>
  <c r="L80" i="6" s="1"/>
  <c r="P160" i="5"/>
  <c r="R160" i="5" s="1"/>
  <c r="D161" i="5" s="1"/>
  <c r="M161" i="5" s="1"/>
  <c r="J85" i="5"/>
  <c r="K85" i="5" s="1"/>
  <c r="Q83" i="5"/>
  <c r="C84" i="5" s="1"/>
  <c r="L84" i="5" s="1"/>
  <c r="P159" i="4"/>
  <c r="R159" i="4" s="1"/>
  <c r="D160" i="4" s="1"/>
  <c r="M160" i="4" s="1"/>
  <c r="J81" i="4"/>
  <c r="K81" i="4" s="1"/>
  <c r="Q79" i="4"/>
  <c r="C80" i="4" s="1"/>
  <c r="L80" i="4" s="1"/>
  <c r="P158" i="3"/>
  <c r="R158" i="3" s="1"/>
  <c r="D159" i="3" s="1"/>
  <c r="M159" i="3" s="1"/>
  <c r="R159" i="3" s="1"/>
  <c r="D160" i="3" s="1"/>
  <c r="M160" i="3" s="1"/>
  <c r="O81" i="3"/>
  <c r="Q81" i="3" s="1"/>
  <c r="C82" i="3" s="1"/>
  <c r="L82" i="3" s="1"/>
  <c r="Q82" i="3" s="1"/>
  <c r="C83" i="3" s="1"/>
  <c r="F83" i="3" s="1"/>
  <c r="Q108" i="1"/>
  <c r="C109" i="1" s="1"/>
  <c r="J110" i="1"/>
  <c r="K110" i="1" s="1"/>
  <c r="L109" i="1"/>
  <c r="R162" i="1"/>
  <c r="D163" i="1" s="1"/>
  <c r="M163" i="1" s="1"/>
  <c r="P163" i="1" s="1"/>
  <c r="P160" i="9" l="1"/>
  <c r="R160" i="9" s="1"/>
  <c r="D161" i="9" s="1"/>
  <c r="M161" i="9" s="1"/>
  <c r="O80" i="9"/>
  <c r="O80" i="6"/>
  <c r="P160" i="6"/>
  <c r="R160" i="6" s="1"/>
  <c r="D161" i="6" s="1"/>
  <c r="M161" i="6" s="1"/>
  <c r="P161" i="5"/>
  <c r="R161" i="5" s="1"/>
  <c r="D162" i="5" s="1"/>
  <c r="M162" i="5" s="1"/>
  <c r="O84" i="5"/>
  <c r="P160" i="4"/>
  <c r="R160" i="4" s="1"/>
  <c r="D161" i="4" s="1"/>
  <c r="M161" i="4" s="1"/>
  <c r="O80" i="4"/>
  <c r="P160" i="3"/>
  <c r="R160" i="3" s="1"/>
  <c r="D161" i="3" s="1"/>
  <c r="M161" i="3" s="1"/>
  <c r="J84" i="3"/>
  <c r="K84" i="3" s="1"/>
  <c r="J83" i="3"/>
  <c r="K83" i="3" s="1"/>
  <c r="L83" i="3" s="1"/>
  <c r="O109" i="1"/>
  <c r="R163" i="1"/>
  <c r="D164" i="1" s="1"/>
  <c r="M164" i="1" s="1"/>
  <c r="P164" i="1" s="1"/>
  <c r="P161" i="9" l="1"/>
  <c r="R161" i="9" s="1"/>
  <c r="D162" i="9" s="1"/>
  <c r="M162" i="9" s="1"/>
  <c r="J82" i="9"/>
  <c r="K82" i="9" s="1"/>
  <c r="Q80" i="9"/>
  <c r="C81" i="9" s="1"/>
  <c r="L81" i="9" s="1"/>
  <c r="P161" i="6"/>
  <c r="R161" i="6" s="1"/>
  <c r="D162" i="6" s="1"/>
  <c r="M162" i="6" s="1"/>
  <c r="J82" i="6"/>
  <c r="K82" i="6" s="1"/>
  <c r="Q80" i="6"/>
  <c r="C81" i="6" s="1"/>
  <c r="L81" i="6" s="1"/>
  <c r="P162" i="5"/>
  <c r="R162" i="5" s="1"/>
  <c r="D163" i="5" s="1"/>
  <c r="M163" i="5" s="1"/>
  <c r="J86" i="5"/>
  <c r="K86" i="5" s="1"/>
  <c r="Q84" i="5"/>
  <c r="C85" i="5" s="1"/>
  <c r="L85" i="5" s="1"/>
  <c r="P161" i="4"/>
  <c r="R161" i="4" s="1"/>
  <c r="D162" i="4" s="1"/>
  <c r="M162" i="4" s="1"/>
  <c r="J83" i="4"/>
  <c r="K83" i="4" s="1"/>
  <c r="J82" i="4"/>
  <c r="K82" i="4" s="1"/>
  <c r="Q80" i="4"/>
  <c r="C81" i="4" s="1"/>
  <c r="L81" i="4" s="1"/>
  <c r="Q81" i="4" s="1"/>
  <c r="C82" i="4" s="1"/>
  <c r="F82" i="4" s="1"/>
  <c r="P161" i="3"/>
  <c r="R161" i="3" s="1"/>
  <c r="D162" i="3" s="1"/>
  <c r="M162" i="3" s="1"/>
  <c r="O83" i="3"/>
  <c r="Q109" i="1"/>
  <c r="C110" i="1" s="1"/>
  <c r="L110" i="1" s="1"/>
  <c r="Q110" i="1" s="1"/>
  <c r="C111" i="1" s="1"/>
  <c r="J112" i="1"/>
  <c r="J111" i="1"/>
  <c r="F111" i="1"/>
  <c r="K112" i="1"/>
  <c r="R164" i="1"/>
  <c r="D165" i="1" s="1"/>
  <c r="M165" i="1" s="1"/>
  <c r="P165" i="1" s="1"/>
  <c r="P162" i="9" l="1"/>
  <c r="R162" i="9" s="1"/>
  <c r="D163" i="9" s="1"/>
  <c r="M163" i="9" s="1"/>
  <c r="O81" i="9"/>
  <c r="P162" i="6"/>
  <c r="R162" i="6" s="1"/>
  <c r="D163" i="6" s="1"/>
  <c r="M163" i="6" s="1"/>
  <c r="O81" i="6"/>
  <c r="P163" i="5"/>
  <c r="R163" i="5" s="1"/>
  <c r="D164" i="5" s="1"/>
  <c r="M164" i="5" s="1"/>
  <c r="O85" i="5"/>
  <c r="P162" i="4"/>
  <c r="R162" i="4" s="1"/>
  <c r="D163" i="4" s="1"/>
  <c r="M163" i="4" s="1"/>
  <c r="L82" i="4"/>
  <c r="P162" i="3"/>
  <c r="R162" i="3" s="1"/>
  <c r="D163" i="3" s="1"/>
  <c r="M163" i="3" s="1"/>
  <c r="J85" i="3"/>
  <c r="K85" i="3" s="1"/>
  <c r="Q83" i="3"/>
  <c r="C84" i="3" s="1"/>
  <c r="L84" i="3" s="1"/>
  <c r="K111" i="1"/>
  <c r="L111" i="1" s="1"/>
  <c r="O111" i="1" s="1"/>
  <c r="R165" i="1"/>
  <c r="D166" i="1" s="1"/>
  <c r="M166" i="1" s="1"/>
  <c r="R166" i="1" s="1"/>
  <c r="D167" i="1" s="1"/>
  <c r="M167" i="1" s="1"/>
  <c r="P167" i="1" s="1"/>
  <c r="P163" i="9" l="1"/>
  <c r="R163" i="9" s="1"/>
  <c r="D164" i="9" s="1"/>
  <c r="M164" i="9" s="1"/>
  <c r="J84" i="9"/>
  <c r="K84" i="9" s="1"/>
  <c r="J83" i="9"/>
  <c r="K83" i="9" s="1"/>
  <c r="Q81" i="9"/>
  <c r="C82" i="9" s="1"/>
  <c r="L82" i="9" s="1"/>
  <c r="Q82" i="9" s="1"/>
  <c r="C83" i="9" s="1"/>
  <c r="F83" i="9" s="1"/>
  <c r="P163" i="6"/>
  <c r="R163" i="6" s="1"/>
  <c r="D164" i="6" s="1"/>
  <c r="M164" i="6" s="1"/>
  <c r="J84" i="6"/>
  <c r="K84" i="6" s="1"/>
  <c r="J83" i="6"/>
  <c r="K83" i="6" s="1"/>
  <c r="Q81" i="6"/>
  <c r="C82" i="6" s="1"/>
  <c r="L82" i="6" s="1"/>
  <c r="Q82" i="6" s="1"/>
  <c r="C83" i="6" s="1"/>
  <c r="F83" i="6" s="1"/>
  <c r="P164" i="5"/>
  <c r="R164" i="5" s="1"/>
  <c r="D165" i="5" s="1"/>
  <c r="M165" i="5" s="1"/>
  <c r="J87" i="5"/>
  <c r="K87" i="5" s="1"/>
  <c r="Q85" i="5"/>
  <c r="C86" i="5" s="1"/>
  <c r="L86" i="5" s="1"/>
  <c r="P163" i="4"/>
  <c r="R163" i="4" s="1"/>
  <c r="D164" i="4" s="1"/>
  <c r="M164" i="4" s="1"/>
  <c r="O82" i="4"/>
  <c r="P163" i="3"/>
  <c r="R163" i="3" s="1"/>
  <c r="D164" i="3" s="1"/>
  <c r="M164" i="3" s="1"/>
  <c r="O84" i="3"/>
  <c r="Q84" i="3" s="1"/>
  <c r="C85" i="3" s="1"/>
  <c r="L85" i="3" s="1"/>
  <c r="Q111" i="1"/>
  <c r="C112" i="1" s="1"/>
  <c r="L112" i="1" s="1"/>
  <c r="J113" i="1"/>
  <c r="K113" i="1" s="1"/>
  <c r="O112" i="1"/>
  <c r="R167" i="1"/>
  <c r="D168" i="1" s="1"/>
  <c r="M168" i="1" s="1"/>
  <c r="P168" i="1" s="1"/>
  <c r="P164" i="9" l="1"/>
  <c r="R164" i="9" s="1"/>
  <c r="D165" i="9" s="1"/>
  <c r="M165" i="9" s="1"/>
  <c r="L83" i="9"/>
  <c r="P164" i="6"/>
  <c r="R164" i="6" s="1"/>
  <c r="D165" i="6" s="1"/>
  <c r="M165" i="6" s="1"/>
  <c r="L83" i="6"/>
  <c r="P165" i="5"/>
  <c r="R165" i="5" s="1"/>
  <c r="D166" i="5" s="1"/>
  <c r="M166" i="5" s="1"/>
  <c r="R166" i="5" s="1"/>
  <c r="D167" i="5" s="1"/>
  <c r="M167" i="5" s="1"/>
  <c r="O86" i="5"/>
  <c r="P164" i="4"/>
  <c r="R164" i="4" s="1"/>
  <c r="D165" i="4" s="1"/>
  <c r="M165" i="4" s="1"/>
  <c r="R165" i="4" s="1"/>
  <c r="D166" i="4" s="1"/>
  <c r="M166" i="4" s="1"/>
  <c r="J84" i="4"/>
  <c r="K84" i="4" s="1"/>
  <c r="Q82" i="4"/>
  <c r="C83" i="4" s="1"/>
  <c r="L83" i="4" s="1"/>
  <c r="O85" i="3"/>
  <c r="P164" i="3"/>
  <c r="R164" i="3" s="1"/>
  <c r="D165" i="3" s="1"/>
  <c r="M165" i="3" s="1"/>
  <c r="J87" i="3"/>
  <c r="K87" i="3" s="1"/>
  <c r="J86" i="3"/>
  <c r="K86" i="3" s="1"/>
  <c r="Q112" i="1"/>
  <c r="C113" i="1" s="1"/>
  <c r="J114" i="1"/>
  <c r="K114" i="1" s="1"/>
  <c r="L113" i="1"/>
  <c r="O113" i="1"/>
  <c r="R168" i="1"/>
  <c r="D169" i="1" s="1"/>
  <c r="M169" i="1" s="1"/>
  <c r="P169" i="1" s="1"/>
  <c r="P165" i="9" l="1"/>
  <c r="R165" i="9" s="1"/>
  <c r="D166" i="9" s="1"/>
  <c r="M166" i="9" s="1"/>
  <c r="R166" i="9" s="1"/>
  <c r="D167" i="9" s="1"/>
  <c r="M167" i="9" s="1"/>
  <c r="O83" i="9"/>
  <c r="P165" i="6"/>
  <c r="R165" i="6" s="1"/>
  <c r="D166" i="6" s="1"/>
  <c r="M166" i="6" s="1"/>
  <c r="R166" i="6" s="1"/>
  <c r="D167" i="6" s="1"/>
  <c r="M167" i="6" s="1"/>
  <c r="O83" i="6"/>
  <c r="P167" i="5"/>
  <c r="R167" i="5" s="1"/>
  <c r="D168" i="5" s="1"/>
  <c r="M168" i="5" s="1"/>
  <c r="J88" i="5"/>
  <c r="K88" i="5" s="1"/>
  <c r="Q86" i="5"/>
  <c r="C87" i="5" s="1"/>
  <c r="L87" i="5" s="1"/>
  <c r="P166" i="4"/>
  <c r="R166" i="4" s="1"/>
  <c r="D167" i="4" s="1"/>
  <c r="M167" i="4" s="1"/>
  <c r="O83" i="4"/>
  <c r="P165" i="3"/>
  <c r="R165" i="3" s="1"/>
  <c r="D166" i="3" s="1"/>
  <c r="M166" i="3" s="1"/>
  <c r="R166" i="3" s="1"/>
  <c r="D167" i="3" s="1"/>
  <c r="M167" i="3" s="1"/>
  <c r="Q85" i="3"/>
  <c r="C86" i="3" s="1"/>
  <c r="L86" i="3" s="1"/>
  <c r="Q113" i="1"/>
  <c r="C114" i="1" s="1"/>
  <c r="L114" i="1" s="1"/>
  <c r="J115" i="1"/>
  <c r="O114" i="1"/>
  <c r="K115" i="1"/>
  <c r="R169" i="1"/>
  <c r="D170" i="1" s="1"/>
  <c r="M170" i="1" s="1"/>
  <c r="P170" i="1" s="1"/>
  <c r="P167" i="9" l="1"/>
  <c r="R167" i="9" s="1"/>
  <c r="D168" i="9" s="1"/>
  <c r="M168" i="9" s="1"/>
  <c r="J85" i="9"/>
  <c r="K85" i="9" s="1"/>
  <c r="Q83" i="9"/>
  <c r="C84" i="9" s="1"/>
  <c r="L84" i="9" s="1"/>
  <c r="P167" i="6"/>
  <c r="R167" i="6" s="1"/>
  <c r="D168" i="6" s="1"/>
  <c r="M168" i="6" s="1"/>
  <c r="J85" i="6"/>
  <c r="K85" i="6" s="1"/>
  <c r="Q83" i="6"/>
  <c r="C84" i="6" s="1"/>
  <c r="L84" i="6" s="1"/>
  <c r="P168" i="5"/>
  <c r="R168" i="5" s="1"/>
  <c r="D169" i="5" s="1"/>
  <c r="M169" i="5" s="1"/>
  <c r="O87" i="5"/>
  <c r="P167" i="4"/>
  <c r="R167" i="4" s="1"/>
  <c r="D168" i="4" s="1"/>
  <c r="M168" i="4" s="1"/>
  <c r="J85" i="4"/>
  <c r="K85" i="4" s="1"/>
  <c r="Q83" i="4"/>
  <c r="C84" i="4" s="1"/>
  <c r="L84" i="4" s="1"/>
  <c r="O86" i="3"/>
  <c r="P167" i="3"/>
  <c r="R167" i="3" s="1"/>
  <c r="D168" i="3" s="1"/>
  <c r="M168" i="3" s="1"/>
  <c r="Q114" i="1"/>
  <c r="C115" i="1" s="1"/>
  <c r="J116" i="1"/>
  <c r="K116" i="1" s="1"/>
  <c r="L115" i="1"/>
  <c r="R170" i="1"/>
  <c r="D171" i="1" s="1"/>
  <c r="M171" i="1" s="1"/>
  <c r="P171" i="1" s="1"/>
  <c r="P168" i="9" l="1"/>
  <c r="R168" i="9" s="1"/>
  <c r="D169" i="9" s="1"/>
  <c r="M169" i="9" s="1"/>
  <c r="O84" i="9"/>
  <c r="P168" i="6"/>
  <c r="R168" i="6" s="1"/>
  <c r="D169" i="6" s="1"/>
  <c r="M169" i="6" s="1"/>
  <c r="O84" i="6"/>
  <c r="P169" i="5"/>
  <c r="R169" i="5" s="1"/>
  <c r="D170" i="5" s="1"/>
  <c r="M170" i="5" s="1"/>
  <c r="J89" i="5"/>
  <c r="K89" i="5" s="1"/>
  <c r="Q87" i="5"/>
  <c r="C88" i="5" s="1"/>
  <c r="L88" i="5" s="1"/>
  <c r="P168" i="4"/>
  <c r="R168" i="4" s="1"/>
  <c r="D169" i="4" s="1"/>
  <c r="M169" i="4" s="1"/>
  <c r="O84" i="4"/>
  <c r="P168" i="3"/>
  <c r="R168" i="3" s="1"/>
  <c r="D169" i="3" s="1"/>
  <c r="M169" i="3" s="1"/>
  <c r="J88" i="3"/>
  <c r="K88" i="3" s="1"/>
  <c r="Q86" i="3"/>
  <c r="C87" i="3" s="1"/>
  <c r="L87" i="3" s="1"/>
  <c r="O115" i="1"/>
  <c r="R171" i="1"/>
  <c r="D172" i="1" s="1"/>
  <c r="M172" i="1" s="1"/>
  <c r="P172" i="1" s="1"/>
  <c r="P169" i="9" l="1"/>
  <c r="R169" i="9" s="1"/>
  <c r="D170" i="9" s="1"/>
  <c r="M170" i="9" s="1"/>
  <c r="J86" i="9"/>
  <c r="K86" i="9" s="1"/>
  <c r="Q84" i="9"/>
  <c r="C85" i="9" s="1"/>
  <c r="L85" i="9" s="1"/>
  <c r="P169" i="6"/>
  <c r="R169" i="6" s="1"/>
  <c r="D170" i="6" s="1"/>
  <c r="M170" i="6" s="1"/>
  <c r="J86" i="6"/>
  <c r="K86" i="6" s="1"/>
  <c r="Q84" i="6"/>
  <c r="C85" i="6" s="1"/>
  <c r="L85" i="6" s="1"/>
  <c r="P170" i="5"/>
  <c r="R170" i="5" s="1"/>
  <c r="D171" i="5" s="1"/>
  <c r="M171" i="5" s="1"/>
  <c r="O88" i="5"/>
  <c r="P169" i="4"/>
  <c r="R169" i="4" s="1"/>
  <c r="D170" i="4" s="1"/>
  <c r="M170" i="4" s="1"/>
  <c r="J86" i="4"/>
  <c r="K86" i="4" s="1"/>
  <c r="Q84" i="4"/>
  <c r="C85" i="4" s="1"/>
  <c r="L85" i="4" s="1"/>
  <c r="P169" i="3"/>
  <c r="R169" i="3" s="1"/>
  <c r="D170" i="3" s="1"/>
  <c r="M170" i="3" s="1"/>
  <c r="O87" i="3"/>
  <c r="Q115" i="1"/>
  <c r="C116" i="1" s="1"/>
  <c r="L116" i="1" s="1"/>
  <c r="J117" i="1"/>
  <c r="O116" i="1"/>
  <c r="K117" i="1"/>
  <c r="R172" i="1"/>
  <c r="D173" i="1" s="1"/>
  <c r="M173" i="1" s="1"/>
  <c r="R173" i="1" s="1"/>
  <c r="D174" i="1" s="1"/>
  <c r="M174" i="1" s="1"/>
  <c r="P174" i="1" s="1"/>
  <c r="P170" i="9" l="1"/>
  <c r="R170" i="9" s="1"/>
  <c r="D171" i="9" s="1"/>
  <c r="M171" i="9" s="1"/>
  <c r="O85" i="9"/>
  <c r="P170" i="6"/>
  <c r="R170" i="6" s="1"/>
  <c r="D171" i="6" s="1"/>
  <c r="M171" i="6" s="1"/>
  <c r="O85" i="6"/>
  <c r="P171" i="5"/>
  <c r="R171" i="5" s="1"/>
  <c r="D172" i="5" s="1"/>
  <c r="M172" i="5" s="1"/>
  <c r="J91" i="5"/>
  <c r="K91" i="5" s="1"/>
  <c r="J90" i="5"/>
  <c r="K90" i="5" s="1"/>
  <c r="Q88" i="5"/>
  <c r="C89" i="5" s="1"/>
  <c r="L89" i="5" s="1"/>
  <c r="Q89" i="5" s="1"/>
  <c r="C90" i="5" s="1"/>
  <c r="F90" i="5" s="1"/>
  <c r="P170" i="4"/>
  <c r="R170" i="4" s="1"/>
  <c r="D171" i="4" s="1"/>
  <c r="M171" i="4" s="1"/>
  <c r="O85" i="4"/>
  <c r="Q85" i="4" s="1"/>
  <c r="C86" i="4" s="1"/>
  <c r="L86" i="4" s="1"/>
  <c r="P170" i="3"/>
  <c r="R170" i="3" s="1"/>
  <c r="D171" i="3" s="1"/>
  <c r="M171" i="3" s="1"/>
  <c r="J89" i="3"/>
  <c r="K89" i="3" s="1"/>
  <c r="Q87" i="3"/>
  <c r="C88" i="3" s="1"/>
  <c r="L88" i="3" s="1"/>
  <c r="J119" i="1"/>
  <c r="K119" i="1" s="1"/>
  <c r="J118" i="1"/>
  <c r="K118" i="1" s="1"/>
  <c r="Q116" i="1"/>
  <c r="C117" i="1" s="1"/>
  <c r="L117" i="1"/>
  <c r="Q117" i="1" s="1"/>
  <c r="C118" i="1" s="1"/>
  <c r="R174" i="1"/>
  <c r="D175" i="1" s="1"/>
  <c r="M175" i="1" s="1"/>
  <c r="P175" i="1" s="1"/>
  <c r="P171" i="9" l="1"/>
  <c r="R171" i="9" s="1"/>
  <c r="D172" i="9" s="1"/>
  <c r="M172" i="9" s="1"/>
  <c r="J87" i="9"/>
  <c r="K87" i="9" s="1"/>
  <c r="Q85" i="9"/>
  <c r="C86" i="9" s="1"/>
  <c r="L86" i="9" s="1"/>
  <c r="P171" i="6"/>
  <c r="R171" i="6" s="1"/>
  <c r="D172" i="6" s="1"/>
  <c r="M172" i="6" s="1"/>
  <c r="J87" i="6"/>
  <c r="K87" i="6" s="1"/>
  <c r="Q85" i="6"/>
  <c r="C86" i="6" s="1"/>
  <c r="L86" i="6" s="1"/>
  <c r="P172" i="5"/>
  <c r="R172" i="5" s="1"/>
  <c r="D173" i="5" s="1"/>
  <c r="M173" i="5" s="1"/>
  <c r="R173" i="5" s="1"/>
  <c r="D174" i="5" s="1"/>
  <c r="M174" i="5" s="1"/>
  <c r="L90" i="5"/>
  <c r="O86" i="4"/>
  <c r="P171" i="4"/>
  <c r="R171" i="4" s="1"/>
  <c r="D172" i="4" s="1"/>
  <c r="M172" i="4" s="1"/>
  <c r="R172" i="4" s="1"/>
  <c r="D173" i="4" s="1"/>
  <c r="M173" i="4" s="1"/>
  <c r="J88" i="4"/>
  <c r="K88" i="4" s="1"/>
  <c r="J87" i="4"/>
  <c r="K87" i="4" s="1"/>
  <c r="P171" i="3"/>
  <c r="R171" i="3" s="1"/>
  <c r="D172" i="3" s="1"/>
  <c r="M172" i="3" s="1"/>
  <c r="O88" i="3"/>
  <c r="F118" i="1"/>
  <c r="L118" i="1" s="1"/>
  <c r="R175" i="1"/>
  <c r="D176" i="1" s="1"/>
  <c r="M176" i="1" s="1"/>
  <c r="P176" i="1" s="1"/>
  <c r="P172" i="9" l="1"/>
  <c r="R172" i="9" s="1"/>
  <c r="D173" i="9" s="1"/>
  <c r="M173" i="9" s="1"/>
  <c r="R173" i="9" s="1"/>
  <c r="D174" i="9" s="1"/>
  <c r="M174" i="9" s="1"/>
  <c r="O86" i="9"/>
  <c r="P172" i="6"/>
  <c r="R172" i="6" s="1"/>
  <c r="D173" i="6" s="1"/>
  <c r="M173" i="6" s="1"/>
  <c r="R173" i="6" s="1"/>
  <c r="D174" i="6" s="1"/>
  <c r="M174" i="6" s="1"/>
  <c r="O86" i="6"/>
  <c r="P174" i="5"/>
  <c r="R174" i="5" s="1"/>
  <c r="D175" i="5" s="1"/>
  <c r="M175" i="5" s="1"/>
  <c r="O90" i="5"/>
  <c r="P173" i="4"/>
  <c r="R173" i="4" s="1"/>
  <c r="D174" i="4" s="1"/>
  <c r="M174" i="4" s="1"/>
  <c r="Q86" i="4"/>
  <c r="C87" i="4" s="1"/>
  <c r="L87" i="4" s="1"/>
  <c r="P172" i="3"/>
  <c r="R172" i="3" s="1"/>
  <c r="D173" i="3" s="1"/>
  <c r="M173" i="3" s="1"/>
  <c r="R173" i="3" s="1"/>
  <c r="D174" i="3" s="1"/>
  <c r="M174" i="3" s="1"/>
  <c r="J91" i="3"/>
  <c r="K91" i="3" s="1"/>
  <c r="J90" i="3"/>
  <c r="K90" i="3" s="1"/>
  <c r="Q88" i="3"/>
  <c r="C89" i="3" s="1"/>
  <c r="L89" i="3" s="1"/>
  <c r="Q89" i="3" s="1"/>
  <c r="C90" i="3" s="1"/>
  <c r="F90" i="3" s="1"/>
  <c r="O118" i="1"/>
  <c r="R176" i="1"/>
  <c r="D177" i="1" s="1"/>
  <c r="M177" i="1" s="1"/>
  <c r="P177" i="1" s="1"/>
  <c r="P174" i="9" l="1"/>
  <c r="R174" i="9" s="1"/>
  <c r="D175" i="9" s="1"/>
  <c r="M175" i="9" s="1"/>
  <c r="J88" i="9"/>
  <c r="K88" i="9" s="1"/>
  <c r="Q86" i="9"/>
  <c r="C87" i="9" s="1"/>
  <c r="L87" i="9" s="1"/>
  <c r="P174" i="6"/>
  <c r="R174" i="6" s="1"/>
  <c r="D175" i="6" s="1"/>
  <c r="M175" i="6" s="1"/>
  <c r="J88" i="6"/>
  <c r="K88" i="6" s="1"/>
  <c r="Q86" i="6"/>
  <c r="C87" i="6" s="1"/>
  <c r="L87" i="6" s="1"/>
  <c r="P175" i="5"/>
  <c r="R175" i="5" s="1"/>
  <c r="D176" i="5" s="1"/>
  <c r="M176" i="5" s="1"/>
  <c r="J92" i="5"/>
  <c r="K92" i="5" s="1"/>
  <c r="Q90" i="5"/>
  <c r="C91" i="5" s="1"/>
  <c r="L91" i="5" s="1"/>
  <c r="O87" i="4"/>
  <c r="P174" i="4"/>
  <c r="R174" i="4" s="1"/>
  <c r="D175" i="4" s="1"/>
  <c r="M175" i="4" s="1"/>
  <c r="P174" i="3"/>
  <c r="R174" i="3" s="1"/>
  <c r="D175" i="3" s="1"/>
  <c r="M175" i="3" s="1"/>
  <c r="L90" i="3"/>
  <c r="Q118" i="1"/>
  <c r="C119" i="1" s="1"/>
  <c r="L119" i="1" s="1"/>
  <c r="J120" i="1"/>
  <c r="O119" i="1"/>
  <c r="K120" i="1"/>
  <c r="R177" i="1"/>
  <c r="D178" i="1" s="1"/>
  <c r="M178" i="1" s="1"/>
  <c r="P178" i="1" s="1"/>
  <c r="P175" i="9" l="1"/>
  <c r="R175" i="9" s="1"/>
  <c r="D176" i="9" s="1"/>
  <c r="M176" i="9" s="1"/>
  <c r="O87" i="9"/>
  <c r="P175" i="6"/>
  <c r="R175" i="6" s="1"/>
  <c r="D176" i="6" s="1"/>
  <c r="M176" i="6" s="1"/>
  <c r="O87" i="6"/>
  <c r="P176" i="5"/>
  <c r="R176" i="5" s="1"/>
  <c r="D177" i="5" s="1"/>
  <c r="M177" i="5" s="1"/>
  <c r="O91" i="5"/>
  <c r="P175" i="4"/>
  <c r="R175" i="4" s="1"/>
  <c r="D176" i="4" s="1"/>
  <c r="M176" i="4" s="1"/>
  <c r="J90" i="4"/>
  <c r="K90" i="4" s="1"/>
  <c r="J89" i="4"/>
  <c r="K89" i="4" s="1"/>
  <c r="Q87" i="4"/>
  <c r="C88" i="4" s="1"/>
  <c r="L88" i="4" s="1"/>
  <c r="Q88" i="4" s="1"/>
  <c r="C89" i="4" s="1"/>
  <c r="F89" i="4" s="1"/>
  <c r="P175" i="3"/>
  <c r="R175" i="3" s="1"/>
  <c r="D176" i="3" s="1"/>
  <c r="M176" i="3" s="1"/>
  <c r="O90" i="3"/>
  <c r="Q119" i="1"/>
  <c r="C120" i="1" s="1"/>
  <c r="J121" i="1"/>
  <c r="K121" i="1" s="1"/>
  <c r="L120" i="1"/>
  <c r="O120" i="1"/>
  <c r="R178" i="1"/>
  <c r="D179" i="1" s="1"/>
  <c r="M179" i="1" s="1"/>
  <c r="P179" i="1" s="1"/>
  <c r="P176" i="9" l="1"/>
  <c r="R176" i="9" s="1"/>
  <c r="D177" i="9" s="1"/>
  <c r="M177" i="9" s="1"/>
  <c r="J89" i="9"/>
  <c r="K89" i="9" s="1"/>
  <c r="Q87" i="9"/>
  <c r="C88" i="9" s="1"/>
  <c r="L88" i="9" s="1"/>
  <c r="P176" i="6"/>
  <c r="R176" i="6" s="1"/>
  <c r="D177" i="6" s="1"/>
  <c r="M177" i="6" s="1"/>
  <c r="J89" i="6"/>
  <c r="K89" i="6" s="1"/>
  <c r="Q87" i="6"/>
  <c r="C88" i="6" s="1"/>
  <c r="L88" i="6" s="1"/>
  <c r="P177" i="5"/>
  <c r="R177" i="5" s="1"/>
  <c r="D178" i="5" s="1"/>
  <c r="M178" i="5" s="1"/>
  <c r="J93" i="5"/>
  <c r="K93" i="5" s="1"/>
  <c r="Q91" i="5"/>
  <c r="C92" i="5" s="1"/>
  <c r="L92" i="5" s="1"/>
  <c r="P176" i="4"/>
  <c r="R176" i="4" s="1"/>
  <c r="D177" i="4" s="1"/>
  <c r="M177" i="4" s="1"/>
  <c r="L89" i="4"/>
  <c r="P176" i="3"/>
  <c r="R176" i="3" s="1"/>
  <c r="D177" i="3" s="1"/>
  <c r="M177" i="3" s="1"/>
  <c r="J92" i="3"/>
  <c r="K92" i="3" s="1"/>
  <c r="Q90" i="3"/>
  <c r="C91" i="3" s="1"/>
  <c r="L91" i="3" s="1"/>
  <c r="Q120" i="1"/>
  <c r="C121" i="1" s="1"/>
  <c r="L121" i="1" s="1"/>
  <c r="J122" i="1"/>
  <c r="K122" i="1" s="1"/>
  <c r="O121" i="1"/>
  <c r="R179" i="1"/>
  <c r="D180" i="1" s="1"/>
  <c r="M180" i="1" s="1"/>
  <c r="R180" i="1" s="1"/>
  <c r="D181" i="1" s="1"/>
  <c r="M181" i="1" s="1"/>
  <c r="P181" i="1" s="1"/>
  <c r="P177" i="9" l="1"/>
  <c r="R177" i="9" s="1"/>
  <c r="D178" i="9" s="1"/>
  <c r="M178" i="9" s="1"/>
  <c r="O88" i="9"/>
  <c r="P177" i="6"/>
  <c r="R177" i="6" s="1"/>
  <c r="D178" i="6" s="1"/>
  <c r="M178" i="6" s="1"/>
  <c r="O88" i="6"/>
  <c r="P178" i="5"/>
  <c r="R178" i="5" s="1"/>
  <c r="D179" i="5" s="1"/>
  <c r="M179" i="5" s="1"/>
  <c r="O92" i="5"/>
  <c r="P177" i="4"/>
  <c r="R177" i="4" s="1"/>
  <c r="D178" i="4" s="1"/>
  <c r="M178" i="4" s="1"/>
  <c r="O89" i="4"/>
  <c r="P177" i="3"/>
  <c r="R177" i="3" s="1"/>
  <c r="D178" i="3" s="1"/>
  <c r="M178" i="3" s="1"/>
  <c r="O91" i="3"/>
  <c r="Q121" i="1"/>
  <c r="C122" i="1" s="1"/>
  <c r="L122" i="1" s="1"/>
  <c r="J123" i="1"/>
  <c r="K123" i="1" s="1"/>
  <c r="O122" i="1"/>
  <c r="R181" i="1"/>
  <c r="D182" i="1" s="1"/>
  <c r="M182" i="1" s="1"/>
  <c r="P182" i="1" s="1"/>
  <c r="P178" i="9" l="1"/>
  <c r="R178" i="9" s="1"/>
  <c r="D179" i="9" s="1"/>
  <c r="M179" i="9" s="1"/>
  <c r="J91" i="9"/>
  <c r="K91" i="9" s="1"/>
  <c r="J90" i="9"/>
  <c r="K90" i="9" s="1"/>
  <c r="Q88" i="9"/>
  <c r="C89" i="9" s="1"/>
  <c r="L89" i="9" s="1"/>
  <c r="Q89" i="9" s="1"/>
  <c r="C90" i="9" s="1"/>
  <c r="F90" i="9" s="1"/>
  <c r="P178" i="6"/>
  <c r="R178" i="6" s="1"/>
  <c r="D179" i="6" s="1"/>
  <c r="M179" i="6" s="1"/>
  <c r="J91" i="6"/>
  <c r="K91" i="6" s="1"/>
  <c r="J90" i="6"/>
  <c r="K90" i="6" s="1"/>
  <c r="Q88" i="6"/>
  <c r="C89" i="6" s="1"/>
  <c r="L89" i="6" s="1"/>
  <c r="Q89" i="6" s="1"/>
  <c r="C90" i="6" s="1"/>
  <c r="F90" i="6" s="1"/>
  <c r="P179" i="5"/>
  <c r="R179" i="5" s="1"/>
  <c r="D180" i="5" s="1"/>
  <c r="M180" i="5" s="1"/>
  <c r="R180" i="5" s="1"/>
  <c r="D181" i="5" s="1"/>
  <c r="M181" i="5" s="1"/>
  <c r="J94" i="5"/>
  <c r="K94" i="5" s="1"/>
  <c r="Q92" i="5"/>
  <c r="C93" i="5" s="1"/>
  <c r="L93" i="5" s="1"/>
  <c r="P178" i="4"/>
  <c r="R178" i="4" s="1"/>
  <c r="D179" i="4" s="1"/>
  <c r="M179" i="4" s="1"/>
  <c r="R179" i="4" s="1"/>
  <c r="D180" i="4" s="1"/>
  <c r="M180" i="4" s="1"/>
  <c r="J91" i="4"/>
  <c r="K91" i="4" s="1"/>
  <c r="Q89" i="4"/>
  <c r="C90" i="4" s="1"/>
  <c r="L90" i="4" s="1"/>
  <c r="P178" i="3"/>
  <c r="R178" i="3" s="1"/>
  <c r="D179" i="3" s="1"/>
  <c r="M179" i="3" s="1"/>
  <c r="J93" i="3"/>
  <c r="K93" i="3" s="1"/>
  <c r="Q91" i="3"/>
  <c r="C92" i="3" s="1"/>
  <c r="L92" i="3" s="1"/>
  <c r="Q122" i="1"/>
  <c r="C123" i="1" s="1"/>
  <c r="L123" i="1" s="1"/>
  <c r="J124" i="1"/>
  <c r="O123" i="1"/>
  <c r="K124" i="1"/>
  <c r="R182" i="1"/>
  <c r="D183" i="1" s="1"/>
  <c r="M183" i="1" s="1"/>
  <c r="P183" i="1" s="1"/>
  <c r="P179" i="9" l="1"/>
  <c r="R179" i="9" s="1"/>
  <c r="D180" i="9" s="1"/>
  <c r="M180" i="9" s="1"/>
  <c r="R180" i="9" s="1"/>
  <c r="D181" i="9" s="1"/>
  <c r="M181" i="9" s="1"/>
  <c r="L90" i="9"/>
  <c r="P179" i="6"/>
  <c r="R179" i="6" s="1"/>
  <c r="D180" i="6" s="1"/>
  <c r="M180" i="6" s="1"/>
  <c r="R180" i="6" s="1"/>
  <c r="D181" i="6" s="1"/>
  <c r="M181" i="6" s="1"/>
  <c r="L90" i="6"/>
  <c r="P181" i="5"/>
  <c r="R181" i="5" s="1"/>
  <c r="D182" i="5" s="1"/>
  <c r="M182" i="5" s="1"/>
  <c r="O93" i="5"/>
  <c r="P180" i="4"/>
  <c r="R180" i="4" s="1"/>
  <c r="D181" i="4" s="1"/>
  <c r="M181" i="4" s="1"/>
  <c r="O90" i="4"/>
  <c r="P179" i="3"/>
  <c r="R179" i="3" s="1"/>
  <c r="D180" i="3" s="1"/>
  <c r="M180" i="3" s="1"/>
  <c r="R180" i="3" s="1"/>
  <c r="D181" i="3" s="1"/>
  <c r="M181" i="3" s="1"/>
  <c r="O92" i="3"/>
  <c r="J126" i="1"/>
  <c r="K126" i="1" s="1"/>
  <c r="J125" i="1"/>
  <c r="K125" i="1" s="1"/>
  <c r="Q123" i="1"/>
  <c r="C124" i="1" s="1"/>
  <c r="L124" i="1" s="1"/>
  <c r="Q124" i="1" s="1"/>
  <c r="C125" i="1" s="1"/>
  <c r="R183" i="1"/>
  <c r="D184" i="1" s="1"/>
  <c r="M184" i="1" s="1"/>
  <c r="P184" i="1" s="1"/>
  <c r="P181" i="9" l="1"/>
  <c r="R181" i="9" s="1"/>
  <c r="D182" i="9" s="1"/>
  <c r="M182" i="9" s="1"/>
  <c r="O90" i="9"/>
  <c r="P181" i="6"/>
  <c r="R181" i="6" s="1"/>
  <c r="D182" i="6" s="1"/>
  <c r="M182" i="6" s="1"/>
  <c r="O90" i="6"/>
  <c r="P182" i="5"/>
  <c r="R182" i="5" s="1"/>
  <c r="D183" i="5" s="1"/>
  <c r="M183" i="5" s="1"/>
  <c r="J95" i="5"/>
  <c r="K95" i="5" s="1"/>
  <c r="Q93" i="5"/>
  <c r="C94" i="5" s="1"/>
  <c r="L94" i="5" s="1"/>
  <c r="P181" i="4"/>
  <c r="R181" i="4" s="1"/>
  <c r="D182" i="4" s="1"/>
  <c r="M182" i="4" s="1"/>
  <c r="J92" i="4"/>
  <c r="K92" i="4" s="1"/>
  <c r="Q90" i="4"/>
  <c r="C91" i="4" s="1"/>
  <c r="L91" i="4" s="1"/>
  <c r="P181" i="3"/>
  <c r="R181" i="3" s="1"/>
  <c r="D182" i="3" s="1"/>
  <c r="M182" i="3" s="1"/>
  <c r="J94" i="3"/>
  <c r="K94" i="3" s="1"/>
  <c r="Q92" i="3"/>
  <c r="C93" i="3" s="1"/>
  <c r="L93" i="3" s="1"/>
  <c r="F125" i="1"/>
  <c r="L125" i="1" s="1"/>
  <c r="R184" i="1"/>
  <c r="D185" i="1" s="1"/>
  <c r="M185" i="1" s="1"/>
  <c r="P185" i="1" s="1"/>
  <c r="P182" i="9" l="1"/>
  <c r="R182" i="9" s="1"/>
  <c r="D183" i="9" s="1"/>
  <c r="M183" i="9" s="1"/>
  <c r="J92" i="9"/>
  <c r="K92" i="9" s="1"/>
  <c r="Q90" i="9"/>
  <c r="C91" i="9" s="1"/>
  <c r="L91" i="9" s="1"/>
  <c r="P182" i="6"/>
  <c r="R182" i="6" s="1"/>
  <c r="D183" i="6" s="1"/>
  <c r="M183" i="6" s="1"/>
  <c r="J92" i="6"/>
  <c r="K92" i="6" s="1"/>
  <c r="Q90" i="6"/>
  <c r="C91" i="6" s="1"/>
  <c r="L91" i="6" s="1"/>
  <c r="P183" i="5"/>
  <c r="R183" i="5" s="1"/>
  <c r="D184" i="5" s="1"/>
  <c r="M184" i="5" s="1"/>
  <c r="O94" i="5"/>
  <c r="P182" i="4"/>
  <c r="R182" i="4" s="1"/>
  <c r="D183" i="4" s="1"/>
  <c r="M183" i="4" s="1"/>
  <c r="O91" i="4"/>
  <c r="P182" i="3"/>
  <c r="R182" i="3" s="1"/>
  <c r="D183" i="3" s="1"/>
  <c r="M183" i="3" s="1"/>
  <c r="O93" i="3"/>
  <c r="O125" i="1"/>
  <c r="R185" i="1"/>
  <c r="D186" i="1" s="1"/>
  <c r="M186" i="1" s="1"/>
  <c r="P186" i="1" s="1"/>
  <c r="P183" i="9" l="1"/>
  <c r="R183" i="9" s="1"/>
  <c r="D184" i="9" s="1"/>
  <c r="M184" i="9" s="1"/>
  <c r="O91" i="9"/>
  <c r="P183" i="6"/>
  <c r="R183" i="6" s="1"/>
  <c r="D184" i="6" s="1"/>
  <c r="M184" i="6" s="1"/>
  <c r="O91" i="6"/>
  <c r="P184" i="5"/>
  <c r="R184" i="5" s="1"/>
  <c r="D185" i="5" s="1"/>
  <c r="M185" i="5" s="1"/>
  <c r="J96" i="5"/>
  <c r="K96" i="5" s="1"/>
  <c r="Q94" i="5"/>
  <c r="C95" i="5" s="1"/>
  <c r="L95" i="5" s="1"/>
  <c r="P183" i="4"/>
  <c r="R183" i="4" s="1"/>
  <c r="D184" i="4" s="1"/>
  <c r="M184" i="4" s="1"/>
  <c r="J93" i="4"/>
  <c r="K93" i="4" s="1"/>
  <c r="Q91" i="4"/>
  <c r="C92" i="4" s="1"/>
  <c r="L92" i="4" s="1"/>
  <c r="P183" i="3"/>
  <c r="R183" i="3" s="1"/>
  <c r="D184" i="3" s="1"/>
  <c r="M184" i="3" s="1"/>
  <c r="J95" i="3"/>
  <c r="K95" i="3" s="1"/>
  <c r="Q93" i="3"/>
  <c r="C94" i="3" s="1"/>
  <c r="L94" i="3" s="1"/>
  <c r="Q125" i="1"/>
  <c r="C126" i="1" s="1"/>
  <c r="L126" i="1" s="1"/>
  <c r="J127" i="1"/>
  <c r="O126" i="1"/>
  <c r="K127" i="1"/>
  <c r="R186" i="1"/>
  <c r="D187" i="1" s="1"/>
  <c r="M187" i="1" s="1"/>
  <c r="R187" i="1" s="1"/>
  <c r="D188" i="1" s="1"/>
  <c r="M188" i="1" s="1"/>
  <c r="P188" i="1" s="1"/>
  <c r="P184" i="9" l="1"/>
  <c r="R184" i="9" s="1"/>
  <c r="D185" i="9" s="1"/>
  <c r="M185" i="9" s="1"/>
  <c r="J93" i="9"/>
  <c r="K93" i="9" s="1"/>
  <c r="Q91" i="9"/>
  <c r="C92" i="9" s="1"/>
  <c r="L92" i="9" s="1"/>
  <c r="P184" i="6"/>
  <c r="R184" i="6" s="1"/>
  <c r="D185" i="6" s="1"/>
  <c r="M185" i="6" s="1"/>
  <c r="J93" i="6"/>
  <c r="K93" i="6" s="1"/>
  <c r="Q91" i="6"/>
  <c r="C92" i="6" s="1"/>
  <c r="L92" i="6" s="1"/>
  <c r="P185" i="5"/>
  <c r="R185" i="5" s="1"/>
  <c r="D186" i="5" s="1"/>
  <c r="M186" i="5" s="1"/>
  <c r="O95" i="5"/>
  <c r="P184" i="4"/>
  <c r="R184" i="4" s="1"/>
  <c r="D185" i="4" s="1"/>
  <c r="M185" i="4" s="1"/>
  <c r="O92" i="4"/>
  <c r="Q92" i="4" s="1"/>
  <c r="C93" i="4" s="1"/>
  <c r="L93" i="4" s="1"/>
  <c r="P184" i="3"/>
  <c r="R184" i="3" s="1"/>
  <c r="D185" i="3" s="1"/>
  <c r="M185" i="3" s="1"/>
  <c r="O94" i="3"/>
  <c r="Q94" i="3" s="1"/>
  <c r="C95" i="3" s="1"/>
  <c r="L95" i="3" s="1"/>
  <c r="Q126" i="1"/>
  <c r="C127" i="1" s="1"/>
  <c r="J128" i="1"/>
  <c r="K128" i="1" s="1"/>
  <c r="L127" i="1"/>
  <c r="R188" i="1"/>
  <c r="D189" i="1" s="1"/>
  <c r="M189" i="1" s="1"/>
  <c r="P189" i="1" s="1"/>
  <c r="P185" i="9" l="1"/>
  <c r="R185" i="9" s="1"/>
  <c r="D186" i="9" s="1"/>
  <c r="M186" i="9" s="1"/>
  <c r="O92" i="9"/>
  <c r="P185" i="6"/>
  <c r="R185" i="6" s="1"/>
  <c r="D186" i="6" s="1"/>
  <c r="M186" i="6" s="1"/>
  <c r="O92" i="6"/>
  <c r="P186" i="5"/>
  <c r="R186" i="5" s="1"/>
  <c r="D187" i="5" s="1"/>
  <c r="M187" i="5" s="1"/>
  <c r="R187" i="5" s="1"/>
  <c r="D188" i="5" s="1"/>
  <c r="M188" i="5" s="1"/>
  <c r="J98" i="5"/>
  <c r="K98" i="5" s="1"/>
  <c r="J97" i="5"/>
  <c r="K97" i="5" s="1"/>
  <c r="Q95" i="5"/>
  <c r="C96" i="5" s="1"/>
  <c r="L96" i="5" s="1"/>
  <c r="Q96" i="5" s="1"/>
  <c r="C97" i="5" s="1"/>
  <c r="F97" i="5" s="1"/>
  <c r="O93" i="4"/>
  <c r="P185" i="4"/>
  <c r="R185" i="4" s="1"/>
  <c r="D186" i="4" s="1"/>
  <c r="M186" i="4" s="1"/>
  <c r="R186" i="4" s="1"/>
  <c r="D187" i="4" s="1"/>
  <c r="M187" i="4" s="1"/>
  <c r="J95" i="4"/>
  <c r="K95" i="4" s="1"/>
  <c r="J94" i="4"/>
  <c r="K94" i="4" s="1"/>
  <c r="O95" i="3"/>
  <c r="J98" i="3" s="1"/>
  <c r="K98" i="3" s="1"/>
  <c r="P185" i="3"/>
  <c r="R185" i="3" s="1"/>
  <c r="D186" i="3" s="1"/>
  <c r="M186" i="3" s="1"/>
  <c r="J97" i="3"/>
  <c r="K97" i="3" s="1"/>
  <c r="J96" i="3"/>
  <c r="K96" i="3" s="1"/>
  <c r="O127" i="1"/>
  <c r="R189" i="1"/>
  <c r="D190" i="1" s="1"/>
  <c r="M190" i="1" s="1"/>
  <c r="P190" i="1" s="1"/>
  <c r="P186" i="9" l="1"/>
  <c r="R186" i="9" s="1"/>
  <c r="D187" i="9" s="1"/>
  <c r="M187" i="9" s="1"/>
  <c r="R187" i="9" s="1"/>
  <c r="D188" i="9" s="1"/>
  <c r="M188" i="9" s="1"/>
  <c r="J94" i="9"/>
  <c r="K94" i="9" s="1"/>
  <c r="Q92" i="9"/>
  <c r="C93" i="9" s="1"/>
  <c r="L93" i="9" s="1"/>
  <c r="P186" i="6"/>
  <c r="R186" i="6" s="1"/>
  <c r="D187" i="6" s="1"/>
  <c r="M187" i="6" s="1"/>
  <c r="R187" i="6" s="1"/>
  <c r="D188" i="6" s="1"/>
  <c r="M188" i="6" s="1"/>
  <c r="J94" i="6"/>
  <c r="K94" i="6" s="1"/>
  <c r="Q92" i="6"/>
  <c r="C93" i="6" s="1"/>
  <c r="L93" i="6" s="1"/>
  <c r="P188" i="5"/>
  <c r="R188" i="5" s="1"/>
  <c r="D189" i="5" s="1"/>
  <c r="M189" i="5" s="1"/>
  <c r="L97" i="5"/>
  <c r="P187" i="4"/>
  <c r="R187" i="4" s="1"/>
  <c r="D188" i="4" s="1"/>
  <c r="M188" i="4" s="1"/>
  <c r="Q93" i="4"/>
  <c r="C94" i="4" s="1"/>
  <c r="L94" i="4" s="1"/>
  <c r="P186" i="3"/>
  <c r="R186" i="3" s="1"/>
  <c r="D187" i="3" s="1"/>
  <c r="M187" i="3" s="1"/>
  <c r="R187" i="3" s="1"/>
  <c r="D188" i="3" s="1"/>
  <c r="M188" i="3" s="1"/>
  <c r="Q95" i="3"/>
  <c r="C96" i="3" s="1"/>
  <c r="L96" i="3" s="1"/>
  <c r="Q96" i="3" s="1"/>
  <c r="C97" i="3" s="1"/>
  <c r="Q127" i="1"/>
  <c r="C128" i="1" s="1"/>
  <c r="L128" i="1" s="1"/>
  <c r="J129" i="1"/>
  <c r="O128" i="1"/>
  <c r="K129" i="1"/>
  <c r="R190" i="1"/>
  <c r="D191" i="1" s="1"/>
  <c r="M191" i="1" s="1"/>
  <c r="P191" i="1" s="1"/>
  <c r="P188" i="9" l="1"/>
  <c r="R188" i="9" s="1"/>
  <c r="D189" i="9" s="1"/>
  <c r="M189" i="9" s="1"/>
  <c r="O93" i="9"/>
  <c r="P188" i="6"/>
  <c r="R188" i="6" s="1"/>
  <c r="D189" i="6" s="1"/>
  <c r="M189" i="6" s="1"/>
  <c r="O93" i="6"/>
  <c r="Q93" i="6" s="1"/>
  <c r="C94" i="6" s="1"/>
  <c r="L94" i="6" s="1"/>
  <c r="P189" i="5"/>
  <c r="R189" i="5" s="1"/>
  <c r="D190" i="5" s="1"/>
  <c r="M190" i="5" s="1"/>
  <c r="O97" i="5"/>
  <c r="O94" i="4"/>
  <c r="P188" i="4"/>
  <c r="R188" i="4" s="1"/>
  <c r="D189" i="4" s="1"/>
  <c r="M189" i="4" s="1"/>
  <c r="F97" i="3"/>
  <c r="L97" i="3" s="1"/>
  <c r="P188" i="3"/>
  <c r="R188" i="3" s="1"/>
  <c r="D189" i="3" s="1"/>
  <c r="M189" i="3" s="1"/>
  <c r="Q128" i="1"/>
  <c r="C129" i="1" s="1"/>
  <c r="J130" i="1"/>
  <c r="K130" i="1" s="1"/>
  <c r="L129" i="1"/>
  <c r="O129" i="1"/>
  <c r="R191" i="1"/>
  <c r="D192" i="1" s="1"/>
  <c r="M192" i="1" s="1"/>
  <c r="P192" i="1" s="1"/>
  <c r="P189" i="9" l="1"/>
  <c r="R189" i="9" s="1"/>
  <c r="D190" i="9" s="1"/>
  <c r="M190" i="9" s="1"/>
  <c r="J95" i="9"/>
  <c r="K95" i="9" s="1"/>
  <c r="Q93" i="9"/>
  <c r="C94" i="9" s="1"/>
  <c r="L94" i="9" s="1"/>
  <c r="O94" i="6"/>
  <c r="P189" i="6"/>
  <c r="R189" i="6" s="1"/>
  <c r="D190" i="6" s="1"/>
  <c r="M190" i="6" s="1"/>
  <c r="J96" i="6"/>
  <c r="K96" i="6" s="1"/>
  <c r="J95" i="6"/>
  <c r="K95" i="6" s="1"/>
  <c r="P190" i="5"/>
  <c r="R190" i="5" s="1"/>
  <c r="D191" i="5" s="1"/>
  <c r="M191" i="5" s="1"/>
  <c r="J99" i="5"/>
  <c r="K99" i="5" s="1"/>
  <c r="Q97" i="5"/>
  <c r="C98" i="5" s="1"/>
  <c r="L98" i="5" s="1"/>
  <c r="P189" i="4"/>
  <c r="R189" i="4" s="1"/>
  <c r="D190" i="4" s="1"/>
  <c r="M190" i="4" s="1"/>
  <c r="J97" i="4"/>
  <c r="K97" i="4" s="1"/>
  <c r="J96" i="4"/>
  <c r="K96" i="4" s="1"/>
  <c r="L96" i="4" s="1"/>
  <c r="Q94" i="4"/>
  <c r="C95" i="4" s="1"/>
  <c r="L95" i="4" s="1"/>
  <c r="Q95" i="4" s="1"/>
  <c r="C96" i="4" s="1"/>
  <c r="F96" i="4" s="1"/>
  <c r="P189" i="3"/>
  <c r="R189" i="3" s="1"/>
  <c r="D190" i="3" s="1"/>
  <c r="M190" i="3" s="1"/>
  <c r="O97" i="3"/>
  <c r="Q129" i="1"/>
  <c r="C130" i="1" s="1"/>
  <c r="L130" i="1" s="1"/>
  <c r="J131" i="1"/>
  <c r="O130" i="1"/>
  <c r="K131" i="1"/>
  <c r="R192" i="1"/>
  <c r="D193" i="1" s="1"/>
  <c r="M193" i="1" s="1"/>
  <c r="P193" i="1" s="1"/>
  <c r="P190" i="9" l="1"/>
  <c r="R190" i="9" s="1"/>
  <c r="D191" i="9" s="1"/>
  <c r="M191" i="9" s="1"/>
  <c r="O94" i="9"/>
  <c r="P190" i="6"/>
  <c r="R190" i="6" s="1"/>
  <c r="D191" i="6" s="1"/>
  <c r="M191" i="6" s="1"/>
  <c r="Q94" i="6"/>
  <c r="C95" i="6" s="1"/>
  <c r="L95" i="6" s="1"/>
  <c r="P191" i="5"/>
  <c r="R191" i="5" s="1"/>
  <c r="D192" i="5" s="1"/>
  <c r="M192" i="5" s="1"/>
  <c r="O98" i="5"/>
  <c r="P190" i="4"/>
  <c r="R190" i="4" s="1"/>
  <c r="D191" i="4" s="1"/>
  <c r="M191" i="4" s="1"/>
  <c r="O96" i="4"/>
  <c r="P190" i="3"/>
  <c r="R190" i="3" s="1"/>
  <c r="D191" i="3" s="1"/>
  <c r="M191" i="3" s="1"/>
  <c r="J99" i="3"/>
  <c r="K99" i="3" s="1"/>
  <c r="Q97" i="3"/>
  <c r="C98" i="3" s="1"/>
  <c r="L98" i="3" s="1"/>
  <c r="J133" i="1"/>
  <c r="K133" i="1" s="1"/>
  <c r="J132" i="1"/>
  <c r="K132" i="1" s="1"/>
  <c r="Q130" i="1"/>
  <c r="C131" i="1" s="1"/>
  <c r="L131" i="1" s="1"/>
  <c r="Q131" i="1" s="1"/>
  <c r="C132" i="1" s="1"/>
  <c r="R193" i="1"/>
  <c r="D194" i="1" s="1"/>
  <c r="M194" i="1" s="1"/>
  <c r="R194" i="1" s="1"/>
  <c r="D195" i="1" s="1"/>
  <c r="M195" i="1" s="1"/>
  <c r="P195" i="1" s="1"/>
  <c r="P191" i="9" l="1"/>
  <c r="R191" i="9" s="1"/>
  <c r="D192" i="9" s="1"/>
  <c r="M192" i="9" s="1"/>
  <c r="J96" i="9"/>
  <c r="K96" i="9" s="1"/>
  <c r="Q94" i="9"/>
  <c r="C95" i="9" s="1"/>
  <c r="L95" i="9" s="1"/>
  <c r="O95" i="6"/>
  <c r="P191" i="6"/>
  <c r="R191" i="6" s="1"/>
  <c r="D192" i="6" s="1"/>
  <c r="M192" i="6" s="1"/>
  <c r="P192" i="5"/>
  <c r="R192" i="5" s="1"/>
  <c r="D193" i="5" s="1"/>
  <c r="M193" i="5" s="1"/>
  <c r="J100" i="5"/>
  <c r="K100" i="5" s="1"/>
  <c r="Q98" i="5"/>
  <c r="C99" i="5" s="1"/>
  <c r="L99" i="5" s="1"/>
  <c r="P191" i="4"/>
  <c r="R191" i="4" s="1"/>
  <c r="D192" i="4" s="1"/>
  <c r="M192" i="4" s="1"/>
  <c r="J98" i="4"/>
  <c r="K98" i="4" s="1"/>
  <c r="Q96" i="4"/>
  <c r="C97" i="4" s="1"/>
  <c r="L97" i="4" s="1"/>
  <c r="P191" i="3"/>
  <c r="R191" i="3" s="1"/>
  <c r="D192" i="3" s="1"/>
  <c r="M192" i="3" s="1"/>
  <c r="O98" i="3"/>
  <c r="F132" i="1"/>
  <c r="L132" i="1" s="1"/>
  <c r="R195" i="1"/>
  <c r="D196" i="1" s="1"/>
  <c r="M196" i="1" s="1"/>
  <c r="P196" i="1" s="1"/>
  <c r="P192" i="9" l="1"/>
  <c r="R192" i="9" s="1"/>
  <c r="D193" i="9" s="1"/>
  <c r="M193" i="9" s="1"/>
  <c r="O95" i="9"/>
  <c r="P192" i="6"/>
  <c r="R192" i="6" s="1"/>
  <c r="D193" i="6" s="1"/>
  <c r="M193" i="6" s="1"/>
  <c r="J98" i="6"/>
  <c r="K98" i="6" s="1"/>
  <c r="J97" i="6"/>
  <c r="K97" i="6" s="1"/>
  <c r="Q95" i="6"/>
  <c r="C96" i="6" s="1"/>
  <c r="L96" i="6" s="1"/>
  <c r="Q96" i="6" s="1"/>
  <c r="C97" i="6" s="1"/>
  <c r="F97" i="6" s="1"/>
  <c r="P193" i="5"/>
  <c r="R193" i="5" s="1"/>
  <c r="D194" i="5" s="1"/>
  <c r="M194" i="5" s="1"/>
  <c r="R194" i="5" s="1"/>
  <c r="D195" i="5" s="1"/>
  <c r="M195" i="5" s="1"/>
  <c r="O99" i="5"/>
  <c r="P192" i="4"/>
  <c r="R192" i="4" s="1"/>
  <c r="D193" i="4" s="1"/>
  <c r="M193" i="4" s="1"/>
  <c r="R193" i="4" s="1"/>
  <c r="D194" i="4" s="1"/>
  <c r="M194" i="4" s="1"/>
  <c r="O97" i="4"/>
  <c r="P192" i="3"/>
  <c r="R192" i="3" s="1"/>
  <c r="D193" i="3" s="1"/>
  <c r="M193" i="3" s="1"/>
  <c r="J100" i="3"/>
  <c r="K100" i="3" s="1"/>
  <c r="Q98" i="3"/>
  <c r="C99" i="3" s="1"/>
  <c r="L99" i="3" s="1"/>
  <c r="O132" i="1"/>
  <c r="R196" i="1"/>
  <c r="D197" i="1" s="1"/>
  <c r="M197" i="1" s="1"/>
  <c r="P197" i="1" s="1"/>
  <c r="P193" i="9" l="1"/>
  <c r="R193" i="9" s="1"/>
  <c r="D194" i="9" s="1"/>
  <c r="M194" i="9" s="1"/>
  <c r="R194" i="9" s="1"/>
  <c r="D195" i="9" s="1"/>
  <c r="M195" i="9" s="1"/>
  <c r="J98" i="9"/>
  <c r="K98" i="9" s="1"/>
  <c r="J97" i="9"/>
  <c r="K97" i="9" s="1"/>
  <c r="Q95" i="9"/>
  <c r="C96" i="9" s="1"/>
  <c r="L96" i="9" s="1"/>
  <c r="Q96" i="9" s="1"/>
  <c r="C97" i="9" s="1"/>
  <c r="F97" i="9" s="1"/>
  <c r="P193" i="6"/>
  <c r="R193" i="6" s="1"/>
  <c r="D194" i="6" s="1"/>
  <c r="M194" i="6" s="1"/>
  <c r="R194" i="6" s="1"/>
  <c r="D195" i="6" s="1"/>
  <c r="M195" i="6" s="1"/>
  <c r="L97" i="6"/>
  <c r="P195" i="5"/>
  <c r="R195" i="5" s="1"/>
  <c r="D196" i="5" s="1"/>
  <c r="M196" i="5" s="1"/>
  <c r="J101" i="5"/>
  <c r="K101" i="5" s="1"/>
  <c r="Q99" i="5"/>
  <c r="C100" i="5" s="1"/>
  <c r="L100" i="5" s="1"/>
  <c r="P194" i="4"/>
  <c r="R194" i="4" s="1"/>
  <c r="D195" i="4" s="1"/>
  <c r="M195" i="4" s="1"/>
  <c r="J99" i="4"/>
  <c r="K99" i="4" s="1"/>
  <c r="Q97" i="4"/>
  <c r="C98" i="4" s="1"/>
  <c r="L98" i="4" s="1"/>
  <c r="P193" i="3"/>
  <c r="R193" i="3" s="1"/>
  <c r="D194" i="3" s="1"/>
  <c r="M194" i="3" s="1"/>
  <c r="R194" i="3" s="1"/>
  <c r="D195" i="3" s="1"/>
  <c r="M195" i="3" s="1"/>
  <c r="O99" i="3"/>
  <c r="J134" i="1"/>
  <c r="K134" i="1" s="1"/>
  <c r="Q132" i="1"/>
  <c r="C133" i="1" s="1"/>
  <c r="L133" i="1" s="1"/>
  <c r="O133" i="1"/>
  <c r="R197" i="1"/>
  <c r="D198" i="1" s="1"/>
  <c r="M198" i="1" s="1"/>
  <c r="P198" i="1" s="1"/>
  <c r="L97" i="9" l="1"/>
  <c r="P195" i="9"/>
  <c r="R195" i="9" s="1"/>
  <c r="D196" i="9" s="1"/>
  <c r="M196" i="9" s="1"/>
  <c r="O97" i="9"/>
  <c r="P195" i="6"/>
  <c r="R195" i="6" s="1"/>
  <c r="D196" i="6" s="1"/>
  <c r="M196" i="6" s="1"/>
  <c r="O97" i="6"/>
  <c r="P196" i="5"/>
  <c r="R196" i="5" s="1"/>
  <c r="D197" i="5" s="1"/>
  <c r="M197" i="5" s="1"/>
  <c r="O100" i="5"/>
  <c r="P195" i="4"/>
  <c r="R195" i="4" s="1"/>
  <c r="D196" i="4" s="1"/>
  <c r="M196" i="4" s="1"/>
  <c r="O98" i="4"/>
  <c r="P195" i="3"/>
  <c r="R195" i="3" s="1"/>
  <c r="D196" i="3" s="1"/>
  <c r="M196" i="3" s="1"/>
  <c r="J101" i="3"/>
  <c r="K101" i="3" s="1"/>
  <c r="Q99" i="3"/>
  <c r="C100" i="3" s="1"/>
  <c r="L100" i="3" s="1"/>
  <c r="J135" i="1"/>
  <c r="K135" i="1" s="1"/>
  <c r="Q133" i="1"/>
  <c r="C134" i="1" s="1"/>
  <c r="L134" i="1" s="1"/>
  <c r="O134" i="1" s="1"/>
  <c r="R198" i="1"/>
  <c r="D199" i="1" s="1"/>
  <c r="M199" i="1" s="1"/>
  <c r="P199" i="1" s="1"/>
  <c r="P196" i="9" l="1"/>
  <c r="R196" i="9" s="1"/>
  <c r="D197" i="9" s="1"/>
  <c r="M197" i="9" s="1"/>
  <c r="J99" i="9"/>
  <c r="K99" i="9" s="1"/>
  <c r="Q97" i="9"/>
  <c r="C98" i="9" s="1"/>
  <c r="L98" i="9" s="1"/>
  <c r="P196" i="6"/>
  <c r="R196" i="6" s="1"/>
  <c r="D197" i="6" s="1"/>
  <c r="M197" i="6" s="1"/>
  <c r="J99" i="6"/>
  <c r="K99" i="6" s="1"/>
  <c r="Q97" i="6"/>
  <c r="C98" i="6" s="1"/>
  <c r="L98" i="6" s="1"/>
  <c r="P197" i="5"/>
  <c r="R197" i="5" s="1"/>
  <c r="D198" i="5" s="1"/>
  <c r="M198" i="5" s="1"/>
  <c r="J102" i="5"/>
  <c r="K102" i="5" s="1"/>
  <c r="Q100" i="5"/>
  <c r="C101" i="5" s="1"/>
  <c r="L101" i="5" s="1"/>
  <c r="P196" i="4"/>
  <c r="R196" i="4" s="1"/>
  <c r="D197" i="4" s="1"/>
  <c r="M197" i="4" s="1"/>
  <c r="J100" i="4"/>
  <c r="K100" i="4" s="1"/>
  <c r="Q98" i="4"/>
  <c r="C99" i="4" s="1"/>
  <c r="L99" i="4" s="1"/>
  <c r="P196" i="3"/>
  <c r="R196" i="3" s="1"/>
  <c r="D197" i="3" s="1"/>
  <c r="M197" i="3" s="1"/>
  <c r="O100" i="3"/>
  <c r="Q134" i="1"/>
  <c r="C135" i="1" s="1"/>
  <c r="L135" i="1" s="1"/>
  <c r="J136" i="1"/>
  <c r="O135" i="1"/>
  <c r="K136" i="1"/>
  <c r="R199" i="1"/>
  <c r="D200" i="1" s="1"/>
  <c r="M200" i="1" s="1"/>
  <c r="P200" i="1" s="1"/>
  <c r="P197" i="9" l="1"/>
  <c r="R197" i="9" s="1"/>
  <c r="D198" i="9" s="1"/>
  <c r="M198" i="9" s="1"/>
  <c r="O98" i="9"/>
  <c r="P197" i="6"/>
  <c r="R197" i="6" s="1"/>
  <c r="D198" i="6" s="1"/>
  <c r="M198" i="6" s="1"/>
  <c r="O98" i="6"/>
  <c r="P198" i="5"/>
  <c r="R198" i="5" s="1"/>
  <c r="D199" i="5" s="1"/>
  <c r="M199" i="5" s="1"/>
  <c r="O101" i="5"/>
  <c r="Q101" i="5" s="1"/>
  <c r="C102" i="5" s="1"/>
  <c r="L102" i="5" s="1"/>
  <c r="P197" i="4"/>
  <c r="R197" i="4" s="1"/>
  <c r="D198" i="4" s="1"/>
  <c r="M198" i="4" s="1"/>
  <c r="O99" i="4"/>
  <c r="P197" i="3"/>
  <c r="R197" i="3" s="1"/>
  <c r="D198" i="3" s="1"/>
  <c r="M198" i="3" s="1"/>
  <c r="J102" i="3"/>
  <c r="K102" i="3" s="1"/>
  <c r="Q100" i="3"/>
  <c r="C101" i="3" s="1"/>
  <c r="L101" i="3" s="1"/>
  <c r="Q135" i="1"/>
  <c r="C136" i="1" s="1"/>
  <c r="J137" i="1"/>
  <c r="K137" i="1" s="1"/>
  <c r="L136" i="1"/>
  <c r="O136" i="1"/>
  <c r="R200" i="1"/>
  <c r="D201" i="1" s="1"/>
  <c r="M201" i="1" s="1"/>
  <c r="R201" i="1" s="1"/>
  <c r="D202" i="1" s="1"/>
  <c r="M202" i="1" s="1"/>
  <c r="P202" i="1" s="1"/>
  <c r="P198" i="9" l="1"/>
  <c r="R198" i="9" s="1"/>
  <c r="D199" i="9" s="1"/>
  <c r="M199" i="9" s="1"/>
  <c r="J100" i="9"/>
  <c r="K100" i="9" s="1"/>
  <c r="Q98" i="9"/>
  <c r="C99" i="9" s="1"/>
  <c r="L99" i="9" s="1"/>
  <c r="P198" i="6"/>
  <c r="R198" i="6" s="1"/>
  <c r="D199" i="6" s="1"/>
  <c r="M199" i="6" s="1"/>
  <c r="J100" i="6"/>
  <c r="K100" i="6" s="1"/>
  <c r="Q98" i="6"/>
  <c r="C99" i="6" s="1"/>
  <c r="L99" i="6" s="1"/>
  <c r="O102" i="5"/>
  <c r="J105" i="5" s="1"/>
  <c r="K105" i="5" s="1"/>
  <c r="P199" i="5"/>
  <c r="R199" i="5" s="1"/>
  <c r="D200" i="5" s="1"/>
  <c r="M200" i="5" s="1"/>
  <c r="J104" i="5"/>
  <c r="K104" i="5" s="1"/>
  <c r="J103" i="5"/>
  <c r="K103" i="5" s="1"/>
  <c r="P198" i="4"/>
  <c r="R198" i="4" s="1"/>
  <c r="D199" i="4" s="1"/>
  <c r="M199" i="4" s="1"/>
  <c r="J101" i="4"/>
  <c r="K101" i="4" s="1"/>
  <c r="Q99" i="4"/>
  <c r="C100" i="4" s="1"/>
  <c r="L100" i="4" s="1"/>
  <c r="P198" i="3"/>
  <c r="R198" i="3" s="1"/>
  <c r="D199" i="3" s="1"/>
  <c r="M199" i="3" s="1"/>
  <c r="O101" i="3"/>
  <c r="Q136" i="1"/>
  <c r="C137" i="1" s="1"/>
  <c r="L137" i="1" s="1"/>
  <c r="J138" i="1"/>
  <c r="K138" i="1" s="1"/>
  <c r="O137" i="1"/>
  <c r="R202" i="1"/>
  <c r="D203" i="1" s="1"/>
  <c r="M203" i="1" s="1"/>
  <c r="P203" i="1" s="1"/>
  <c r="P199" i="9" l="1"/>
  <c r="R199" i="9" s="1"/>
  <c r="D200" i="9" s="1"/>
  <c r="M200" i="9" s="1"/>
  <c r="O99" i="9"/>
  <c r="P199" i="6"/>
  <c r="R199" i="6" s="1"/>
  <c r="D200" i="6" s="1"/>
  <c r="M200" i="6" s="1"/>
  <c r="O99" i="6"/>
  <c r="R200" i="5"/>
  <c r="D201" i="5" s="1"/>
  <c r="M201" i="5" s="1"/>
  <c r="R201" i="5" s="1"/>
  <c r="D202" i="5" s="1"/>
  <c r="M202" i="5" s="1"/>
  <c r="P200" i="5"/>
  <c r="Q102" i="5"/>
  <c r="C103" i="5" s="1"/>
  <c r="L103" i="5" s="1"/>
  <c r="Q103" i="5" s="1"/>
  <c r="C104" i="5" s="1"/>
  <c r="P199" i="4"/>
  <c r="R199" i="4" s="1"/>
  <c r="D200" i="4" s="1"/>
  <c r="M200" i="4" s="1"/>
  <c r="R200" i="4" s="1"/>
  <c r="D201" i="4" s="1"/>
  <c r="M201" i="4" s="1"/>
  <c r="O100" i="4"/>
  <c r="P199" i="3"/>
  <c r="R199" i="3" s="1"/>
  <c r="D200" i="3" s="1"/>
  <c r="M200" i="3" s="1"/>
  <c r="J103" i="3"/>
  <c r="K103" i="3" s="1"/>
  <c r="Q101" i="3"/>
  <c r="C102" i="3" s="1"/>
  <c r="L102" i="3" s="1"/>
  <c r="J140" i="1"/>
  <c r="K140" i="1" s="1"/>
  <c r="J139" i="1"/>
  <c r="K139" i="1" s="1"/>
  <c r="Q137" i="1"/>
  <c r="C138" i="1" s="1"/>
  <c r="L138" i="1"/>
  <c r="Q138" i="1" s="1"/>
  <c r="C139" i="1" s="1"/>
  <c r="R203" i="1"/>
  <c r="D204" i="1" s="1"/>
  <c r="M204" i="1" s="1"/>
  <c r="P204" i="1" s="1"/>
  <c r="P200" i="9" l="1"/>
  <c r="R200" i="9" s="1"/>
  <c r="D201" i="9" s="1"/>
  <c r="M201" i="9" s="1"/>
  <c r="R201" i="9" s="1"/>
  <c r="D202" i="9" s="1"/>
  <c r="M202" i="9" s="1"/>
  <c r="J101" i="9"/>
  <c r="K101" i="9" s="1"/>
  <c r="Q99" i="9"/>
  <c r="C100" i="9" s="1"/>
  <c r="L100" i="9" s="1"/>
  <c r="P200" i="6"/>
  <c r="R200" i="6" s="1"/>
  <c r="D201" i="6" s="1"/>
  <c r="M201" i="6" s="1"/>
  <c r="R201" i="6" s="1"/>
  <c r="D202" i="6" s="1"/>
  <c r="M202" i="6" s="1"/>
  <c r="J101" i="6"/>
  <c r="K101" i="6" s="1"/>
  <c r="Q99" i="6"/>
  <c r="C100" i="6" s="1"/>
  <c r="L100" i="6" s="1"/>
  <c r="F104" i="5"/>
  <c r="L104" i="5" s="1"/>
  <c r="P202" i="5"/>
  <c r="R202" i="5" s="1"/>
  <c r="D203" i="5" s="1"/>
  <c r="M203" i="5" s="1"/>
  <c r="P201" i="4"/>
  <c r="R201" i="4" s="1"/>
  <c r="D202" i="4" s="1"/>
  <c r="M202" i="4" s="1"/>
  <c r="J102" i="4"/>
  <c r="K102" i="4" s="1"/>
  <c r="Q100" i="4"/>
  <c r="C101" i="4" s="1"/>
  <c r="L101" i="4" s="1"/>
  <c r="P200" i="3"/>
  <c r="R200" i="3" s="1"/>
  <c r="D201" i="3" s="1"/>
  <c r="M201" i="3" s="1"/>
  <c r="R201" i="3" s="1"/>
  <c r="D202" i="3" s="1"/>
  <c r="M202" i="3" s="1"/>
  <c r="O102" i="3"/>
  <c r="F139" i="1"/>
  <c r="L139" i="1" s="1"/>
  <c r="R204" i="1"/>
  <c r="D205" i="1" s="1"/>
  <c r="M205" i="1" s="1"/>
  <c r="P205" i="1" s="1"/>
  <c r="P202" i="9" l="1"/>
  <c r="R202" i="9" s="1"/>
  <c r="D203" i="9" s="1"/>
  <c r="M203" i="9" s="1"/>
  <c r="O100" i="9"/>
  <c r="P202" i="6"/>
  <c r="R202" i="6" s="1"/>
  <c r="D203" i="6" s="1"/>
  <c r="M203" i="6" s="1"/>
  <c r="O100" i="6"/>
  <c r="Q104" i="5"/>
  <c r="C105" i="5" s="1"/>
  <c r="L105" i="5" s="1"/>
  <c r="O104" i="5"/>
  <c r="P203" i="5"/>
  <c r="R203" i="5" s="1"/>
  <c r="D204" i="5" s="1"/>
  <c r="M204" i="5" s="1"/>
  <c r="P202" i="4"/>
  <c r="R202" i="4" s="1"/>
  <c r="D203" i="4" s="1"/>
  <c r="M203" i="4" s="1"/>
  <c r="O101" i="4"/>
  <c r="P202" i="3"/>
  <c r="R202" i="3" s="1"/>
  <c r="D203" i="3" s="1"/>
  <c r="M203" i="3" s="1"/>
  <c r="J105" i="3"/>
  <c r="K105" i="3" s="1"/>
  <c r="J104" i="3"/>
  <c r="K104" i="3" s="1"/>
  <c r="Q102" i="3"/>
  <c r="C103" i="3" s="1"/>
  <c r="L103" i="3" s="1"/>
  <c r="Q103" i="3" s="1"/>
  <c r="C104" i="3" s="1"/>
  <c r="F104" i="3" s="1"/>
  <c r="O139" i="1"/>
  <c r="R205" i="1"/>
  <c r="D206" i="1" s="1"/>
  <c r="M206" i="1" s="1"/>
  <c r="P206" i="1" s="1"/>
  <c r="P203" i="9" l="1"/>
  <c r="R203" i="9" s="1"/>
  <c r="D204" i="9" s="1"/>
  <c r="M204" i="9" s="1"/>
  <c r="J102" i="9"/>
  <c r="K102" i="9" s="1"/>
  <c r="Q100" i="9"/>
  <c r="C101" i="9" s="1"/>
  <c r="L101" i="9" s="1"/>
  <c r="P203" i="6"/>
  <c r="R203" i="6" s="1"/>
  <c r="D204" i="6" s="1"/>
  <c r="M204" i="6" s="1"/>
  <c r="J102" i="6"/>
  <c r="K102" i="6" s="1"/>
  <c r="Q100" i="6"/>
  <c r="C101" i="6" s="1"/>
  <c r="L101" i="6" s="1"/>
  <c r="R204" i="5"/>
  <c r="D205" i="5" s="1"/>
  <c r="M205" i="5" s="1"/>
  <c r="P204" i="5"/>
  <c r="J106" i="5"/>
  <c r="K106" i="5" s="1"/>
  <c r="O105" i="5"/>
  <c r="J107" i="5" s="1"/>
  <c r="K107" i="5" s="1"/>
  <c r="P203" i="4"/>
  <c r="R203" i="4" s="1"/>
  <c r="D204" i="4" s="1"/>
  <c r="M204" i="4" s="1"/>
  <c r="J104" i="4"/>
  <c r="K104" i="4" s="1"/>
  <c r="J103" i="4"/>
  <c r="K103" i="4" s="1"/>
  <c r="L103" i="4" s="1"/>
  <c r="Q101" i="4"/>
  <c r="C102" i="4" s="1"/>
  <c r="L102" i="4" s="1"/>
  <c r="Q102" i="4" s="1"/>
  <c r="C103" i="4" s="1"/>
  <c r="F103" i="4" s="1"/>
  <c r="P203" i="3"/>
  <c r="R203" i="3" s="1"/>
  <c r="D204" i="3" s="1"/>
  <c r="M204" i="3" s="1"/>
  <c r="L104" i="3"/>
  <c r="Q139" i="1"/>
  <c r="C140" i="1" s="1"/>
  <c r="L140" i="1" s="1"/>
  <c r="J141" i="1"/>
  <c r="O140" i="1"/>
  <c r="K141" i="1"/>
  <c r="R206" i="1"/>
  <c r="D207" i="1" s="1"/>
  <c r="M207" i="1" s="1"/>
  <c r="P207" i="1" s="1"/>
  <c r="P204" i="9" l="1"/>
  <c r="R204" i="9" s="1"/>
  <c r="D205" i="9" s="1"/>
  <c r="M205" i="9" s="1"/>
  <c r="O101" i="9"/>
  <c r="P204" i="6"/>
  <c r="R204" i="6" s="1"/>
  <c r="D205" i="6" s="1"/>
  <c r="M205" i="6" s="1"/>
  <c r="O101" i="6"/>
  <c r="P205" i="5"/>
  <c r="R205" i="5" s="1"/>
  <c r="D206" i="5" s="1"/>
  <c r="M206" i="5" s="1"/>
  <c r="Q105" i="5"/>
  <c r="C106" i="5" s="1"/>
  <c r="L106" i="5" s="1"/>
  <c r="P204" i="4"/>
  <c r="R204" i="4" s="1"/>
  <c r="D205" i="4" s="1"/>
  <c r="M205" i="4" s="1"/>
  <c r="O103" i="4"/>
  <c r="P204" i="3"/>
  <c r="R204" i="3" s="1"/>
  <c r="D205" i="3" s="1"/>
  <c r="M205" i="3" s="1"/>
  <c r="O104" i="3"/>
  <c r="Q140" i="1"/>
  <c r="C141" i="1" s="1"/>
  <c r="J142" i="1"/>
  <c r="K142" i="1" s="1"/>
  <c r="L141" i="1"/>
  <c r="R207" i="1"/>
  <c r="D208" i="1" s="1"/>
  <c r="M208" i="1" s="1"/>
  <c r="R208" i="1" s="1"/>
  <c r="D209" i="1" s="1"/>
  <c r="M209" i="1" s="1"/>
  <c r="P209" i="1" s="1"/>
  <c r="P205" i="9" l="1"/>
  <c r="R205" i="9" s="1"/>
  <c r="D206" i="9" s="1"/>
  <c r="M206" i="9" s="1"/>
  <c r="J103" i="9"/>
  <c r="K103" i="9" s="1"/>
  <c r="Q101" i="9"/>
  <c r="C102" i="9" s="1"/>
  <c r="L102" i="9" s="1"/>
  <c r="P205" i="6"/>
  <c r="R205" i="6" s="1"/>
  <c r="D206" i="6" s="1"/>
  <c r="M206" i="6" s="1"/>
  <c r="J103" i="6"/>
  <c r="K103" i="6" s="1"/>
  <c r="Q101" i="6"/>
  <c r="C102" i="6" s="1"/>
  <c r="L102" i="6" s="1"/>
  <c r="Q106" i="5"/>
  <c r="C107" i="5" s="1"/>
  <c r="L107" i="5" s="1"/>
  <c r="O106" i="5"/>
  <c r="P206" i="5"/>
  <c r="R206" i="5" s="1"/>
  <c r="D207" i="5" s="1"/>
  <c r="M207" i="5" s="1"/>
  <c r="P205" i="4"/>
  <c r="R205" i="4" s="1"/>
  <c r="D206" i="4" s="1"/>
  <c r="M206" i="4" s="1"/>
  <c r="J105" i="4"/>
  <c r="K105" i="4" s="1"/>
  <c r="Q103" i="4"/>
  <c r="C104" i="4" s="1"/>
  <c r="L104" i="4" s="1"/>
  <c r="P205" i="3"/>
  <c r="R205" i="3" s="1"/>
  <c r="D206" i="3" s="1"/>
  <c r="M206" i="3" s="1"/>
  <c r="J106" i="3"/>
  <c r="K106" i="3" s="1"/>
  <c r="Q104" i="3"/>
  <c r="C105" i="3" s="1"/>
  <c r="L105" i="3" s="1"/>
  <c r="O141" i="1"/>
  <c r="R209" i="1"/>
  <c r="D210" i="1" s="1"/>
  <c r="M210" i="1" s="1"/>
  <c r="P210" i="1" s="1"/>
  <c r="P206" i="9" l="1"/>
  <c r="R206" i="9" s="1"/>
  <c r="D207" i="9" s="1"/>
  <c r="M207" i="9" s="1"/>
  <c r="O102" i="9"/>
  <c r="P206" i="6"/>
  <c r="R206" i="6" s="1"/>
  <c r="D207" i="6" s="1"/>
  <c r="M207" i="6" s="1"/>
  <c r="O102" i="6"/>
  <c r="R207" i="5"/>
  <c r="D208" i="5" s="1"/>
  <c r="M208" i="5" s="1"/>
  <c r="R208" i="5" s="1"/>
  <c r="D209" i="5" s="1"/>
  <c r="M209" i="5" s="1"/>
  <c r="P207" i="5"/>
  <c r="O107" i="5"/>
  <c r="J108" i="5"/>
  <c r="K108" i="5" s="1"/>
  <c r="P206" i="4"/>
  <c r="R206" i="4" s="1"/>
  <c r="D207" i="4" s="1"/>
  <c r="M207" i="4" s="1"/>
  <c r="R207" i="4" s="1"/>
  <c r="D208" i="4" s="1"/>
  <c r="M208" i="4" s="1"/>
  <c r="O104" i="4"/>
  <c r="P206" i="3"/>
  <c r="R206" i="3" s="1"/>
  <c r="D207" i="3" s="1"/>
  <c r="M207" i="3" s="1"/>
  <c r="O105" i="3"/>
  <c r="J143" i="1"/>
  <c r="K143" i="1" s="1"/>
  <c r="Q141" i="1"/>
  <c r="C142" i="1" s="1"/>
  <c r="L142" i="1" s="1"/>
  <c r="O142" i="1"/>
  <c r="R210" i="1"/>
  <c r="D211" i="1" s="1"/>
  <c r="M211" i="1" s="1"/>
  <c r="P211" i="1" s="1"/>
  <c r="P207" i="9" l="1"/>
  <c r="R207" i="9" s="1"/>
  <c r="D208" i="9" s="1"/>
  <c r="M208" i="9" s="1"/>
  <c r="R208" i="9" s="1"/>
  <c r="D209" i="9" s="1"/>
  <c r="M209" i="9" s="1"/>
  <c r="J105" i="9"/>
  <c r="K105" i="9" s="1"/>
  <c r="J104" i="9"/>
  <c r="K104" i="9" s="1"/>
  <c r="Q102" i="9"/>
  <c r="C103" i="9" s="1"/>
  <c r="L103" i="9" s="1"/>
  <c r="Q103" i="9" s="1"/>
  <c r="C104" i="9" s="1"/>
  <c r="F104" i="9" s="1"/>
  <c r="P207" i="6"/>
  <c r="R207" i="6" s="1"/>
  <c r="D208" i="6" s="1"/>
  <c r="M208" i="6" s="1"/>
  <c r="R208" i="6" s="1"/>
  <c r="D209" i="6" s="1"/>
  <c r="M209" i="6" s="1"/>
  <c r="J105" i="6"/>
  <c r="K105" i="6" s="1"/>
  <c r="J104" i="6"/>
  <c r="K104" i="6" s="1"/>
  <c r="Q102" i="6"/>
  <c r="C103" i="6" s="1"/>
  <c r="L103" i="6" s="1"/>
  <c r="Q103" i="6" s="1"/>
  <c r="C104" i="6" s="1"/>
  <c r="F104" i="6" s="1"/>
  <c r="L108" i="5"/>
  <c r="Q107" i="5"/>
  <c r="C108" i="5" s="1"/>
  <c r="P209" i="5"/>
  <c r="R209" i="5" s="1"/>
  <c r="D210" i="5" s="1"/>
  <c r="M210" i="5" s="1"/>
  <c r="J109" i="5"/>
  <c r="K109" i="5" s="1"/>
  <c r="P208" i="4"/>
  <c r="R208" i="4" s="1"/>
  <c r="D209" i="4" s="1"/>
  <c r="M209" i="4" s="1"/>
  <c r="J106" i="4"/>
  <c r="K106" i="4" s="1"/>
  <c r="Q104" i="4"/>
  <c r="C105" i="4" s="1"/>
  <c r="L105" i="4" s="1"/>
  <c r="P207" i="3"/>
  <c r="R207" i="3" s="1"/>
  <c r="D208" i="3" s="1"/>
  <c r="M208" i="3" s="1"/>
  <c r="R208" i="3" s="1"/>
  <c r="D209" i="3" s="1"/>
  <c r="M209" i="3" s="1"/>
  <c r="J107" i="3"/>
  <c r="K107" i="3" s="1"/>
  <c r="Q105" i="3"/>
  <c r="C106" i="3" s="1"/>
  <c r="L106" i="3" s="1"/>
  <c r="Q142" i="1"/>
  <c r="C143" i="1" s="1"/>
  <c r="L143" i="1" s="1"/>
  <c r="J144" i="1"/>
  <c r="O143" i="1"/>
  <c r="K144" i="1"/>
  <c r="R211" i="1"/>
  <c r="D212" i="1" s="1"/>
  <c r="M212" i="1" s="1"/>
  <c r="P212" i="1" s="1"/>
  <c r="L104" i="9" l="1"/>
  <c r="P209" i="9"/>
  <c r="R209" i="9" s="1"/>
  <c r="D210" i="9" s="1"/>
  <c r="M210" i="9" s="1"/>
  <c r="O104" i="9"/>
  <c r="P209" i="6"/>
  <c r="R209" i="6" s="1"/>
  <c r="D210" i="6" s="1"/>
  <c r="M210" i="6" s="1"/>
  <c r="L104" i="6"/>
  <c r="R210" i="5"/>
  <c r="D211" i="5" s="1"/>
  <c r="M211" i="5" s="1"/>
  <c r="P210" i="5"/>
  <c r="O108" i="5"/>
  <c r="Q108" i="5" s="1"/>
  <c r="C109" i="5" s="1"/>
  <c r="L109" i="5" s="1"/>
  <c r="P209" i="4"/>
  <c r="R209" i="4" s="1"/>
  <c r="D210" i="4" s="1"/>
  <c r="M210" i="4" s="1"/>
  <c r="O105" i="4"/>
  <c r="P209" i="3"/>
  <c r="R209" i="3" s="1"/>
  <c r="D210" i="3" s="1"/>
  <c r="M210" i="3" s="1"/>
  <c r="O106" i="3"/>
  <c r="Q143" i="1"/>
  <c r="C144" i="1" s="1"/>
  <c r="J145" i="1"/>
  <c r="K145" i="1" s="1"/>
  <c r="L144" i="1"/>
  <c r="O144" i="1" s="1"/>
  <c r="R212" i="1"/>
  <c r="D213" i="1" s="1"/>
  <c r="M213" i="1" s="1"/>
  <c r="P213" i="1" s="1"/>
  <c r="P210" i="9" l="1"/>
  <c r="R210" i="9" s="1"/>
  <c r="D211" i="9" s="1"/>
  <c r="M211" i="9" s="1"/>
  <c r="J106" i="9"/>
  <c r="K106" i="9" s="1"/>
  <c r="Q104" i="9"/>
  <c r="C105" i="9" s="1"/>
  <c r="L105" i="9" s="1"/>
  <c r="P210" i="6"/>
  <c r="R210" i="6" s="1"/>
  <c r="D211" i="6" s="1"/>
  <c r="M211" i="6" s="1"/>
  <c r="O104" i="6"/>
  <c r="Q109" i="5"/>
  <c r="C110" i="5" s="1"/>
  <c r="O109" i="5"/>
  <c r="J112" i="5" s="1"/>
  <c r="K112" i="5" s="1"/>
  <c r="P211" i="5"/>
  <c r="R211" i="5" s="1"/>
  <c r="D212" i="5" s="1"/>
  <c r="M212" i="5" s="1"/>
  <c r="J111" i="5"/>
  <c r="K111" i="5" s="1"/>
  <c r="J110" i="5"/>
  <c r="K110" i="5" s="1"/>
  <c r="L110" i="5" s="1"/>
  <c r="Q110" i="5" s="1"/>
  <c r="C111" i="5" s="1"/>
  <c r="F111" i="5" s="1"/>
  <c r="P210" i="4"/>
  <c r="R210" i="4" s="1"/>
  <c r="D211" i="4" s="1"/>
  <c r="M211" i="4" s="1"/>
  <c r="J107" i="4"/>
  <c r="K107" i="4" s="1"/>
  <c r="Q105" i="4"/>
  <c r="C106" i="4" s="1"/>
  <c r="L106" i="4" s="1"/>
  <c r="P210" i="3"/>
  <c r="R210" i="3" s="1"/>
  <c r="D211" i="3" s="1"/>
  <c r="M211" i="3" s="1"/>
  <c r="J108" i="3"/>
  <c r="K108" i="3" s="1"/>
  <c r="Q106" i="3"/>
  <c r="C107" i="3" s="1"/>
  <c r="L107" i="3" s="1"/>
  <c r="J147" i="1"/>
  <c r="K147" i="1" s="1"/>
  <c r="J146" i="1"/>
  <c r="K146" i="1"/>
  <c r="Q144" i="1"/>
  <c r="C145" i="1" s="1"/>
  <c r="L145" i="1" s="1"/>
  <c r="Q145" i="1" s="1"/>
  <c r="C146" i="1" s="1"/>
  <c r="R213" i="1"/>
  <c r="D214" i="1" s="1"/>
  <c r="M214" i="1" s="1"/>
  <c r="P214" i="1" s="1"/>
  <c r="P211" i="9" l="1"/>
  <c r="R211" i="9" s="1"/>
  <c r="D212" i="9" s="1"/>
  <c r="M212" i="9" s="1"/>
  <c r="O105" i="9"/>
  <c r="P211" i="6"/>
  <c r="R211" i="6" s="1"/>
  <c r="D212" i="6" s="1"/>
  <c r="M212" i="6" s="1"/>
  <c r="J106" i="6"/>
  <c r="K106" i="6" s="1"/>
  <c r="Q104" i="6"/>
  <c r="C105" i="6" s="1"/>
  <c r="L105" i="6" s="1"/>
  <c r="P212" i="5"/>
  <c r="R212" i="5" s="1"/>
  <c r="D213" i="5" s="1"/>
  <c r="M213" i="5" s="1"/>
  <c r="L111" i="5"/>
  <c r="P211" i="4"/>
  <c r="R211" i="4" s="1"/>
  <c r="D212" i="4" s="1"/>
  <c r="M212" i="4" s="1"/>
  <c r="O106" i="4"/>
  <c r="P211" i="3"/>
  <c r="R211" i="3" s="1"/>
  <c r="D212" i="3" s="1"/>
  <c r="M212" i="3" s="1"/>
  <c r="O107" i="3"/>
  <c r="F146" i="1"/>
  <c r="L146" i="1" s="1"/>
  <c r="R214" i="1"/>
  <c r="D215" i="1" s="1"/>
  <c r="M215" i="1" s="1"/>
  <c r="R215" i="1" s="1"/>
  <c r="D216" i="1" s="1"/>
  <c r="M216" i="1" s="1"/>
  <c r="P216" i="1" s="1"/>
  <c r="P212" i="9" l="1"/>
  <c r="R212" i="9" s="1"/>
  <c r="D213" i="9" s="1"/>
  <c r="M213" i="9" s="1"/>
  <c r="J107" i="9"/>
  <c r="K107" i="9" s="1"/>
  <c r="Q105" i="9"/>
  <c r="C106" i="9" s="1"/>
  <c r="L106" i="9" s="1"/>
  <c r="P212" i="6"/>
  <c r="R212" i="6" s="1"/>
  <c r="D213" i="6" s="1"/>
  <c r="M213" i="6" s="1"/>
  <c r="O105" i="6"/>
  <c r="P213" i="5"/>
  <c r="R213" i="5" s="1"/>
  <c r="D214" i="5" s="1"/>
  <c r="M214" i="5" s="1"/>
  <c r="O111" i="5"/>
  <c r="Q111" i="5" s="1"/>
  <c r="C112" i="5" s="1"/>
  <c r="L112" i="5" s="1"/>
  <c r="P212" i="4"/>
  <c r="R212" i="4" s="1"/>
  <c r="D213" i="4" s="1"/>
  <c r="M213" i="4" s="1"/>
  <c r="J108" i="4"/>
  <c r="K108" i="4" s="1"/>
  <c r="Q106" i="4"/>
  <c r="C107" i="4" s="1"/>
  <c r="L107" i="4" s="1"/>
  <c r="P212" i="3"/>
  <c r="R212" i="3" s="1"/>
  <c r="D213" i="3" s="1"/>
  <c r="M213" i="3" s="1"/>
  <c r="J109" i="3"/>
  <c r="K109" i="3" s="1"/>
  <c r="Q107" i="3"/>
  <c r="C108" i="3" s="1"/>
  <c r="L108" i="3" s="1"/>
  <c r="O146" i="1"/>
  <c r="R216" i="1"/>
  <c r="P213" i="9" l="1"/>
  <c r="R213" i="9" s="1"/>
  <c r="D214" i="9" s="1"/>
  <c r="M214" i="9" s="1"/>
  <c r="O106" i="9"/>
  <c r="P213" i="6"/>
  <c r="R213" i="6" s="1"/>
  <c r="D214" i="6" s="1"/>
  <c r="M214" i="6" s="1"/>
  <c r="J107" i="6"/>
  <c r="K107" i="6" s="1"/>
  <c r="Q105" i="6"/>
  <c r="C106" i="6" s="1"/>
  <c r="L106" i="6" s="1"/>
  <c r="O112" i="5"/>
  <c r="P214" i="5"/>
  <c r="R214" i="5" s="1"/>
  <c r="D215" i="5" s="1"/>
  <c r="M215" i="5" s="1"/>
  <c r="R215" i="5" s="1"/>
  <c r="D216" i="5" s="1"/>
  <c r="M216" i="5" s="1"/>
  <c r="J114" i="5"/>
  <c r="K114" i="5" s="1"/>
  <c r="J113" i="5"/>
  <c r="K113" i="5" s="1"/>
  <c r="P213" i="4"/>
  <c r="R213" i="4" s="1"/>
  <c r="D214" i="4" s="1"/>
  <c r="M214" i="4" s="1"/>
  <c r="R214" i="4" s="1"/>
  <c r="D215" i="4" s="1"/>
  <c r="M215" i="4" s="1"/>
  <c r="O107" i="4"/>
  <c r="P213" i="3"/>
  <c r="R213" i="3" s="1"/>
  <c r="D214" i="3" s="1"/>
  <c r="M214" i="3" s="1"/>
  <c r="O108" i="3"/>
  <c r="Q108" i="3" s="1"/>
  <c r="C109" i="3" s="1"/>
  <c r="L109" i="3" s="1"/>
  <c r="J148" i="1"/>
  <c r="K148" i="1" s="1"/>
  <c r="Q146" i="1"/>
  <c r="C147" i="1" s="1"/>
  <c r="L147" i="1" s="1"/>
  <c r="O147" i="1"/>
  <c r="P214" i="9" l="1"/>
  <c r="R214" i="9" s="1"/>
  <c r="D215" i="9" s="1"/>
  <c r="M215" i="9" s="1"/>
  <c r="R215" i="9" s="1"/>
  <c r="D216" i="9" s="1"/>
  <c r="M216" i="9" s="1"/>
  <c r="J108" i="9"/>
  <c r="K108" i="9" s="1"/>
  <c r="Q106" i="9"/>
  <c r="C107" i="9" s="1"/>
  <c r="L107" i="9" s="1"/>
  <c r="P214" i="6"/>
  <c r="R214" i="6" s="1"/>
  <c r="D215" i="6" s="1"/>
  <c r="M215" i="6" s="1"/>
  <c r="R215" i="6" s="1"/>
  <c r="D216" i="6" s="1"/>
  <c r="M216" i="6" s="1"/>
  <c r="O106" i="6"/>
  <c r="P216" i="5"/>
  <c r="R216" i="5" s="1"/>
  <c r="Q112" i="5"/>
  <c r="C113" i="5" s="1"/>
  <c r="L113" i="5" s="1"/>
  <c r="P215" i="4"/>
  <c r="R215" i="4" s="1"/>
  <c r="J109" i="4"/>
  <c r="K109" i="4" s="1"/>
  <c r="Q107" i="4"/>
  <c r="C108" i="4" s="1"/>
  <c r="L108" i="4" s="1"/>
  <c r="O109" i="3"/>
  <c r="J112" i="3" s="1"/>
  <c r="K112" i="3" s="1"/>
  <c r="P214" i="3"/>
  <c r="R214" i="3" s="1"/>
  <c r="D215" i="3" s="1"/>
  <c r="M215" i="3" s="1"/>
  <c r="R215" i="3" s="1"/>
  <c r="D216" i="3" s="1"/>
  <c r="M216" i="3" s="1"/>
  <c r="J111" i="3"/>
  <c r="K111" i="3" s="1"/>
  <c r="J110" i="3"/>
  <c r="K110" i="3" s="1"/>
  <c r="J149" i="1"/>
  <c r="K149" i="1" s="1"/>
  <c r="Q147" i="1"/>
  <c r="C148" i="1" s="1"/>
  <c r="L148" i="1" s="1"/>
  <c r="P216" i="9" l="1"/>
  <c r="R216" i="9" s="1"/>
  <c r="O107" i="9"/>
  <c r="P216" i="6"/>
  <c r="R216" i="6" s="1"/>
  <c r="J108" i="6"/>
  <c r="K108" i="6" s="1"/>
  <c r="Q106" i="6"/>
  <c r="C107" i="6" s="1"/>
  <c r="L107" i="6" s="1"/>
  <c r="O113" i="5"/>
  <c r="O108" i="4"/>
  <c r="P216" i="3"/>
  <c r="R216" i="3" s="1"/>
  <c r="Q109" i="3"/>
  <c r="C110" i="3" s="1"/>
  <c r="L110" i="3" s="1"/>
  <c r="Q110" i="3" s="1"/>
  <c r="C111" i="3" s="1"/>
  <c r="O148" i="1"/>
  <c r="J109" i="9" l="1"/>
  <c r="K109" i="9" s="1"/>
  <c r="Q107" i="9"/>
  <c r="C108" i="9" s="1"/>
  <c r="L108" i="9" s="1"/>
  <c r="O107" i="6"/>
  <c r="J115" i="5"/>
  <c r="K115" i="5" s="1"/>
  <c r="Q113" i="5"/>
  <c r="C114" i="5" s="1"/>
  <c r="L114" i="5" s="1"/>
  <c r="J111" i="4"/>
  <c r="K111" i="4" s="1"/>
  <c r="J110" i="4"/>
  <c r="K110" i="4" s="1"/>
  <c r="Q108" i="4"/>
  <c r="C109" i="4" s="1"/>
  <c r="L109" i="4" s="1"/>
  <c r="Q109" i="4" s="1"/>
  <c r="C110" i="4" s="1"/>
  <c r="F110" i="4" s="1"/>
  <c r="F111" i="3"/>
  <c r="L111" i="3"/>
  <c r="Q148" i="1"/>
  <c r="C149" i="1" s="1"/>
  <c r="L149" i="1" s="1"/>
  <c r="J150" i="1"/>
  <c r="O149" i="1"/>
  <c r="K150" i="1"/>
  <c r="O108" i="9" l="1"/>
  <c r="Q108" i="9" s="1"/>
  <c r="C109" i="9" s="1"/>
  <c r="L109" i="9" s="1"/>
  <c r="J109" i="6"/>
  <c r="K109" i="6" s="1"/>
  <c r="Q107" i="6"/>
  <c r="C108" i="6" s="1"/>
  <c r="L108" i="6" s="1"/>
  <c r="O114" i="5"/>
  <c r="L110" i="4"/>
  <c r="O111" i="3"/>
  <c r="Q149" i="1"/>
  <c r="C150" i="1" s="1"/>
  <c r="J151" i="1"/>
  <c r="K151" i="1" s="1"/>
  <c r="L150" i="1"/>
  <c r="O150" i="1"/>
  <c r="O109" i="9" l="1"/>
  <c r="J112" i="9" s="1"/>
  <c r="K112" i="9" s="1"/>
  <c r="J110" i="9"/>
  <c r="K110" i="9" s="1"/>
  <c r="O108" i="6"/>
  <c r="Q108" i="6" s="1"/>
  <c r="C109" i="6" s="1"/>
  <c r="L109" i="6" s="1"/>
  <c r="J116" i="5"/>
  <c r="K116" i="5" s="1"/>
  <c r="Q114" i="5"/>
  <c r="C115" i="5" s="1"/>
  <c r="L115" i="5" s="1"/>
  <c r="O110" i="4"/>
  <c r="J113" i="3"/>
  <c r="K113" i="3" s="1"/>
  <c r="Q111" i="3"/>
  <c r="C112" i="3" s="1"/>
  <c r="L112" i="3" s="1"/>
  <c r="Q150" i="1"/>
  <c r="C151" i="1" s="1"/>
  <c r="L151" i="1" s="1"/>
  <c r="J152" i="1"/>
  <c r="K152" i="1" s="1"/>
  <c r="O151" i="1"/>
  <c r="J111" i="9" l="1"/>
  <c r="K111" i="9" s="1"/>
  <c r="Q109" i="9"/>
  <c r="C110" i="9" s="1"/>
  <c r="L110" i="9" s="1"/>
  <c r="Q110" i="9" s="1"/>
  <c r="C111" i="9" s="1"/>
  <c r="F111" i="9" s="1"/>
  <c r="O109" i="6"/>
  <c r="J112" i="6" s="1"/>
  <c r="K112" i="6" s="1"/>
  <c r="J110" i="6"/>
  <c r="K110" i="6" s="1"/>
  <c r="O115" i="5"/>
  <c r="J112" i="4"/>
  <c r="K112" i="4" s="1"/>
  <c r="Q110" i="4"/>
  <c r="C111" i="4" s="1"/>
  <c r="L111" i="4" s="1"/>
  <c r="O112" i="3"/>
  <c r="J154" i="1"/>
  <c r="K154" i="1" s="1"/>
  <c r="J153" i="1"/>
  <c r="K153" i="1" s="1"/>
  <c r="Q151" i="1"/>
  <c r="C152" i="1" s="1"/>
  <c r="L152" i="1"/>
  <c r="Q152" i="1" s="1"/>
  <c r="C153" i="1" s="1"/>
  <c r="L111" i="9" l="1"/>
  <c r="J111" i="6"/>
  <c r="K111" i="6" s="1"/>
  <c r="Q109" i="6"/>
  <c r="C110" i="6" s="1"/>
  <c r="L110" i="6" s="1"/>
  <c r="Q110" i="6" s="1"/>
  <c r="C111" i="6" s="1"/>
  <c r="F111" i="6" s="1"/>
  <c r="J117" i="5"/>
  <c r="K117" i="5" s="1"/>
  <c r="Q115" i="5"/>
  <c r="C116" i="5" s="1"/>
  <c r="L116" i="5" s="1"/>
  <c r="O111" i="4"/>
  <c r="J114" i="3"/>
  <c r="K114" i="3" s="1"/>
  <c r="Q112" i="3"/>
  <c r="C113" i="3" s="1"/>
  <c r="L113" i="3" s="1"/>
  <c r="F153" i="1"/>
  <c r="L153" i="1" s="1"/>
  <c r="O111" i="9" l="1"/>
  <c r="L111" i="6"/>
  <c r="O116" i="5"/>
  <c r="Q116" i="5" s="1"/>
  <c r="C117" i="5" s="1"/>
  <c r="L117" i="5" s="1"/>
  <c r="Q117" i="5" s="1"/>
  <c r="C118" i="5" s="1"/>
  <c r="F118" i="5" s="1"/>
  <c r="J113" i="4"/>
  <c r="K113" i="4" s="1"/>
  <c r="Q111" i="4"/>
  <c r="C112" i="4" s="1"/>
  <c r="L112" i="4" s="1"/>
  <c r="O113" i="3"/>
  <c r="O153" i="1"/>
  <c r="J113" i="9" l="1"/>
  <c r="K113" i="9" s="1"/>
  <c r="Q111" i="9"/>
  <c r="C112" i="9" s="1"/>
  <c r="L112" i="9" s="1"/>
  <c r="O111" i="6"/>
  <c r="J119" i="5"/>
  <c r="K119" i="5" s="1"/>
  <c r="J118" i="5"/>
  <c r="K118" i="5" s="1"/>
  <c r="L118" i="5" s="1"/>
  <c r="O112" i="4"/>
  <c r="Q112" i="4" s="1"/>
  <c r="C113" i="4" s="1"/>
  <c r="L113" i="4" s="1"/>
  <c r="J115" i="3"/>
  <c r="K115" i="3" s="1"/>
  <c r="Q113" i="3"/>
  <c r="C114" i="3" s="1"/>
  <c r="L114" i="3" s="1"/>
  <c r="J155" i="1"/>
  <c r="K155" i="1" s="1"/>
  <c r="Q153" i="1"/>
  <c r="C154" i="1" s="1"/>
  <c r="L154" i="1" s="1"/>
  <c r="O154" i="1"/>
  <c r="O112" i="9" l="1"/>
  <c r="J113" i="6"/>
  <c r="K113" i="6" s="1"/>
  <c r="Q111" i="6"/>
  <c r="C112" i="6" s="1"/>
  <c r="L112" i="6" s="1"/>
  <c r="O118" i="5"/>
  <c r="O113" i="4"/>
  <c r="J115" i="4" s="1"/>
  <c r="K115" i="4" s="1"/>
  <c r="J114" i="4"/>
  <c r="K114" i="4" s="1"/>
  <c r="O114" i="3"/>
  <c r="J156" i="1"/>
  <c r="K156" i="1" s="1"/>
  <c r="Q154" i="1"/>
  <c r="C155" i="1" s="1"/>
  <c r="L155" i="1" s="1"/>
  <c r="J114" i="9" l="1"/>
  <c r="K114" i="9" s="1"/>
  <c r="Q112" i="9"/>
  <c r="C113" i="9" s="1"/>
  <c r="L113" i="9" s="1"/>
  <c r="O112" i="6"/>
  <c r="J120" i="5"/>
  <c r="K120" i="5" s="1"/>
  <c r="Q118" i="5"/>
  <c r="C119" i="5" s="1"/>
  <c r="L119" i="5" s="1"/>
  <c r="Q113" i="4"/>
  <c r="C114" i="4" s="1"/>
  <c r="L114" i="4" s="1"/>
  <c r="J116" i="3"/>
  <c r="K116" i="3" s="1"/>
  <c r="Q114" i="3"/>
  <c r="C115" i="3" s="1"/>
  <c r="L115" i="3" s="1"/>
  <c r="O155" i="1"/>
  <c r="O113" i="9" l="1"/>
  <c r="Q113" i="9" s="1"/>
  <c r="C114" i="9" s="1"/>
  <c r="L114" i="9" s="1"/>
  <c r="J114" i="6"/>
  <c r="K114" i="6" s="1"/>
  <c r="Q112" i="6"/>
  <c r="C113" i="6" s="1"/>
  <c r="L113" i="6" s="1"/>
  <c r="O119" i="5"/>
  <c r="O114" i="4"/>
  <c r="O115" i="3"/>
  <c r="Q155" i="1"/>
  <c r="C156" i="1" s="1"/>
  <c r="L156" i="1" s="1"/>
  <c r="J157" i="1"/>
  <c r="O156" i="1"/>
  <c r="K157" i="1"/>
  <c r="O114" i="9" l="1"/>
  <c r="J115" i="9"/>
  <c r="K115" i="9" s="1"/>
  <c r="O113" i="6"/>
  <c r="J121" i="5"/>
  <c r="K121" i="5" s="1"/>
  <c r="Q119" i="5"/>
  <c r="C120" i="5" s="1"/>
  <c r="L120" i="5" s="1"/>
  <c r="J116" i="4"/>
  <c r="K116" i="4" s="1"/>
  <c r="Q114" i="4"/>
  <c r="C115" i="4" s="1"/>
  <c r="L115" i="4" s="1"/>
  <c r="J117" i="3"/>
  <c r="K117" i="3" s="1"/>
  <c r="Q115" i="3"/>
  <c r="C116" i="3" s="1"/>
  <c r="L116" i="3" s="1"/>
  <c r="Q156" i="1"/>
  <c r="C157" i="1" s="1"/>
  <c r="J158" i="1"/>
  <c r="K158" i="1" s="1"/>
  <c r="L157" i="1"/>
  <c r="J116" i="9" l="1"/>
  <c r="K116" i="9" s="1"/>
  <c r="Q114" i="9"/>
  <c r="C115" i="9" s="1"/>
  <c r="L115" i="9" s="1"/>
  <c r="J115" i="6"/>
  <c r="K115" i="6" s="1"/>
  <c r="Q113" i="6"/>
  <c r="C114" i="6" s="1"/>
  <c r="L114" i="6" s="1"/>
  <c r="O120" i="5"/>
  <c r="O115" i="4"/>
  <c r="O116" i="3"/>
  <c r="O157" i="1"/>
  <c r="O115" i="9" l="1"/>
  <c r="O114" i="6"/>
  <c r="Q114" i="6" s="1"/>
  <c r="C115" i="6" s="1"/>
  <c r="L115" i="6" s="1"/>
  <c r="J122" i="5"/>
  <c r="K122" i="5" s="1"/>
  <c r="Q120" i="5"/>
  <c r="C121" i="5" s="1"/>
  <c r="L121" i="5" s="1"/>
  <c r="J118" i="4"/>
  <c r="K118" i="4" s="1"/>
  <c r="J117" i="4"/>
  <c r="K117" i="4" s="1"/>
  <c r="Q115" i="4"/>
  <c r="C116" i="4" s="1"/>
  <c r="L116" i="4" s="1"/>
  <c r="Q116" i="4" s="1"/>
  <c r="C117" i="4" s="1"/>
  <c r="F117" i="4" s="1"/>
  <c r="J119" i="3"/>
  <c r="K119" i="3" s="1"/>
  <c r="J118" i="3"/>
  <c r="K118" i="3" s="1"/>
  <c r="Q116" i="3"/>
  <c r="C117" i="3" s="1"/>
  <c r="L117" i="3" s="1"/>
  <c r="Q117" i="3" s="1"/>
  <c r="C118" i="3" s="1"/>
  <c r="F118" i="3" s="1"/>
  <c r="J159" i="1"/>
  <c r="K159" i="1" s="1"/>
  <c r="Q157" i="1"/>
  <c r="C158" i="1" s="1"/>
  <c r="L158" i="1" s="1"/>
  <c r="J117" i="9" l="1"/>
  <c r="K117" i="9" s="1"/>
  <c r="Q115" i="9"/>
  <c r="C116" i="9" s="1"/>
  <c r="L116" i="9" s="1"/>
  <c r="O115" i="6"/>
  <c r="J117" i="6" s="1"/>
  <c r="K117" i="6" s="1"/>
  <c r="J116" i="6"/>
  <c r="K116" i="6" s="1"/>
  <c r="O121" i="5"/>
  <c r="L117" i="4"/>
  <c r="L118" i="3"/>
  <c r="O158" i="1"/>
  <c r="O116" i="9" l="1"/>
  <c r="Q116" i="9" s="1"/>
  <c r="C117" i="9" s="1"/>
  <c r="L117" i="9" s="1"/>
  <c r="Q117" i="9" s="1"/>
  <c r="C118" i="9" s="1"/>
  <c r="F118" i="9" s="1"/>
  <c r="Q115" i="6"/>
  <c r="C116" i="6" s="1"/>
  <c r="L116" i="6" s="1"/>
  <c r="J123" i="5"/>
  <c r="K123" i="5" s="1"/>
  <c r="Q121" i="5"/>
  <c r="C122" i="5" s="1"/>
  <c r="L122" i="5" s="1"/>
  <c r="O117" i="4"/>
  <c r="O118" i="3"/>
  <c r="Q158" i="1"/>
  <c r="C159" i="1" s="1"/>
  <c r="L159" i="1" s="1"/>
  <c r="Q159" i="1" s="1"/>
  <c r="C160" i="1" s="1"/>
  <c r="J161" i="1"/>
  <c r="J160" i="1"/>
  <c r="F160" i="1"/>
  <c r="K161" i="1"/>
  <c r="J119" i="9" l="1"/>
  <c r="K119" i="9" s="1"/>
  <c r="J118" i="9"/>
  <c r="K118" i="9" s="1"/>
  <c r="L118" i="9" s="1"/>
  <c r="O116" i="6"/>
  <c r="O122" i="5"/>
  <c r="J119" i="4"/>
  <c r="K119" i="4" s="1"/>
  <c r="Q117" i="4"/>
  <c r="C118" i="4" s="1"/>
  <c r="L118" i="4" s="1"/>
  <c r="J120" i="3"/>
  <c r="K120" i="3" s="1"/>
  <c r="Q118" i="3"/>
  <c r="C119" i="3" s="1"/>
  <c r="L119" i="3" s="1"/>
  <c r="K160" i="1"/>
  <c r="L160" i="1" s="1"/>
  <c r="O118" i="9" l="1"/>
  <c r="J119" i="6"/>
  <c r="K119" i="6" s="1"/>
  <c r="J118" i="6"/>
  <c r="K118" i="6" s="1"/>
  <c r="Q116" i="6"/>
  <c r="C117" i="6" s="1"/>
  <c r="L117" i="6" s="1"/>
  <c r="Q117" i="6" s="1"/>
  <c r="C118" i="6" s="1"/>
  <c r="F118" i="6" s="1"/>
  <c r="J124" i="5"/>
  <c r="K124" i="5" s="1"/>
  <c r="Q122" i="5"/>
  <c r="C123" i="5" s="1"/>
  <c r="L123" i="5" s="1"/>
  <c r="O118" i="4"/>
  <c r="Q118" i="4" s="1"/>
  <c r="C119" i="4" s="1"/>
  <c r="L119" i="4" s="1"/>
  <c r="O119" i="3"/>
  <c r="O160" i="1"/>
  <c r="J120" i="9" l="1"/>
  <c r="K120" i="9" s="1"/>
  <c r="Q118" i="9"/>
  <c r="C119" i="9" s="1"/>
  <c r="L119" i="9" s="1"/>
  <c r="L118" i="6"/>
  <c r="O123" i="5"/>
  <c r="O119" i="4"/>
  <c r="J121" i="4" s="1"/>
  <c r="K121" i="4" s="1"/>
  <c r="J120" i="4"/>
  <c r="K120" i="4" s="1"/>
  <c r="J121" i="3"/>
  <c r="K121" i="3" s="1"/>
  <c r="Q119" i="3"/>
  <c r="C120" i="3" s="1"/>
  <c r="L120" i="3" s="1"/>
  <c r="Q160" i="1"/>
  <c r="C161" i="1" s="1"/>
  <c r="L161" i="1" s="1"/>
  <c r="O161" i="1" s="1"/>
  <c r="J163" i="1"/>
  <c r="J162" i="1"/>
  <c r="K162" i="1" s="1"/>
  <c r="L162" i="1" s="1"/>
  <c r="O162" i="1" s="1"/>
  <c r="Q161" i="1"/>
  <c r="C162" i="1" s="1"/>
  <c r="K163" i="1"/>
  <c r="O119" i="9" l="1"/>
  <c r="Q119" i="9" s="1"/>
  <c r="C120" i="9" s="1"/>
  <c r="L120" i="9" s="1"/>
  <c r="O118" i="6"/>
  <c r="J126" i="5"/>
  <c r="K126" i="5" s="1"/>
  <c r="J125" i="5"/>
  <c r="K125" i="5" s="1"/>
  <c r="Q123" i="5"/>
  <c r="C124" i="5" s="1"/>
  <c r="L124" i="5" s="1"/>
  <c r="Q124" i="5" s="1"/>
  <c r="C125" i="5" s="1"/>
  <c r="F125" i="5" s="1"/>
  <c r="Q119" i="4"/>
  <c r="C120" i="4" s="1"/>
  <c r="L120" i="4" s="1"/>
  <c r="O120" i="3"/>
  <c r="Q162" i="1"/>
  <c r="C163" i="1" s="1"/>
  <c r="L163" i="1" s="1"/>
  <c r="J164" i="1"/>
  <c r="K164" i="1" s="1"/>
  <c r="O163" i="1"/>
  <c r="O120" i="9" l="1"/>
  <c r="J122" i="9" s="1"/>
  <c r="K122" i="9" s="1"/>
  <c r="J121" i="9"/>
  <c r="K121" i="9" s="1"/>
  <c r="J120" i="6"/>
  <c r="K120" i="6" s="1"/>
  <c r="Q118" i="6"/>
  <c r="C119" i="6" s="1"/>
  <c r="L119" i="6" s="1"/>
  <c r="L125" i="5"/>
  <c r="O120" i="4"/>
  <c r="J122" i="3"/>
  <c r="K122" i="3" s="1"/>
  <c r="Q120" i="3"/>
  <c r="C121" i="3" s="1"/>
  <c r="L121" i="3" s="1"/>
  <c r="Q163" i="1"/>
  <c r="C164" i="1" s="1"/>
  <c r="J165" i="1"/>
  <c r="K165" i="1" s="1"/>
  <c r="L164" i="1"/>
  <c r="Q120" i="9" l="1"/>
  <c r="C121" i="9" s="1"/>
  <c r="L121" i="9" s="1"/>
  <c r="O119" i="6"/>
  <c r="Q119" i="6" s="1"/>
  <c r="C120" i="6" s="1"/>
  <c r="L120" i="6" s="1"/>
  <c r="O125" i="5"/>
  <c r="J122" i="4"/>
  <c r="K122" i="4" s="1"/>
  <c r="Q120" i="4"/>
  <c r="C121" i="4" s="1"/>
  <c r="L121" i="4" s="1"/>
  <c r="O121" i="3"/>
  <c r="O164" i="1"/>
  <c r="O121" i="9" l="1"/>
  <c r="O120" i="6"/>
  <c r="J122" i="6" s="1"/>
  <c r="K122" i="6" s="1"/>
  <c r="J121" i="6"/>
  <c r="K121" i="6" s="1"/>
  <c r="J127" i="5"/>
  <c r="K127" i="5" s="1"/>
  <c r="Q125" i="5"/>
  <c r="C126" i="5" s="1"/>
  <c r="L126" i="5" s="1"/>
  <c r="O121" i="4"/>
  <c r="J123" i="3"/>
  <c r="K123" i="3" s="1"/>
  <c r="Q121" i="3"/>
  <c r="C122" i="3" s="1"/>
  <c r="L122" i="3" s="1"/>
  <c r="J166" i="1"/>
  <c r="K166" i="1" s="1"/>
  <c r="Q164" i="1"/>
  <c r="C165" i="1" s="1"/>
  <c r="L165" i="1" s="1"/>
  <c r="J123" i="9" l="1"/>
  <c r="K123" i="9" s="1"/>
  <c r="Q121" i="9"/>
  <c r="C122" i="9" s="1"/>
  <c r="L122" i="9" s="1"/>
  <c r="Q120" i="6"/>
  <c r="C121" i="6" s="1"/>
  <c r="L121" i="6" s="1"/>
  <c r="O126" i="5"/>
  <c r="J123" i="4"/>
  <c r="K123" i="4" s="1"/>
  <c r="Q121" i="4"/>
  <c r="C122" i="4" s="1"/>
  <c r="L122" i="4" s="1"/>
  <c r="O122" i="3"/>
  <c r="O165" i="1"/>
  <c r="O122" i="9" l="1"/>
  <c r="Q122" i="9" s="1"/>
  <c r="C123" i="9" s="1"/>
  <c r="L123" i="9" s="1"/>
  <c r="O121" i="6"/>
  <c r="J128" i="5"/>
  <c r="K128" i="5" s="1"/>
  <c r="Q126" i="5"/>
  <c r="C127" i="5" s="1"/>
  <c r="L127" i="5" s="1"/>
  <c r="O122" i="4"/>
  <c r="J124" i="3"/>
  <c r="K124" i="3" s="1"/>
  <c r="Q122" i="3"/>
  <c r="C123" i="3" s="1"/>
  <c r="L123" i="3" s="1"/>
  <c r="Q165" i="1"/>
  <c r="C166" i="1" s="1"/>
  <c r="L166" i="1" s="1"/>
  <c r="Q166" i="1" s="1"/>
  <c r="C167" i="1" s="1"/>
  <c r="J168" i="1"/>
  <c r="K168" i="1" s="1"/>
  <c r="J167" i="1"/>
  <c r="F167" i="1"/>
  <c r="O123" i="9" l="1"/>
  <c r="J126" i="9" s="1"/>
  <c r="K126" i="9" s="1"/>
  <c r="J124" i="9"/>
  <c r="K124" i="9" s="1"/>
  <c r="J123" i="6"/>
  <c r="K123" i="6" s="1"/>
  <c r="Q121" i="6"/>
  <c r="C122" i="6" s="1"/>
  <c r="L122" i="6" s="1"/>
  <c r="O127" i="5"/>
  <c r="J125" i="4"/>
  <c r="K125" i="4" s="1"/>
  <c r="J124" i="4"/>
  <c r="K124" i="4" s="1"/>
  <c r="Q122" i="4"/>
  <c r="C123" i="4" s="1"/>
  <c r="L123" i="4" s="1"/>
  <c r="Q123" i="4" s="1"/>
  <c r="C124" i="4" s="1"/>
  <c r="F124" i="4" s="1"/>
  <c r="O123" i="3"/>
  <c r="K167" i="1"/>
  <c r="L167" i="1" s="1"/>
  <c r="O167" i="1" s="1"/>
  <c r="J125" i="9" l="1"/>
  <c r="K125" i="9" s="1"/>
  <c r="Q123" i="9"/>
  <c r="C124" i="9" s="1"/>
  <c r="L124" i="9" s="1"/>
  <c r="Q124" i="9" s="1"/>
  <c r="C125" i="9" s="1"/>
  <c r="F125" i="9" s="1"/>
  <c r="O122" i="6"/>
  <c r="Q122" i="6" s="1"/>
  <c r="C123" i="6" s="1"/>
  <c r="L123" i="6" s="1"/>
  <c r="J129" i="5"/>
  <c r="K129" i="5" s="1"/>
  <c r="Q127" i="5"/>
  <c r="C128" i="5" s="1"/>
  <c r="L128" i="5" s="1"/>
  <c r="L124" i="4"/>
  <c r="J126" i="3"/>
  <c r="K126" i="3" s="1"/>
  <c r="J125" i="3"/>
  <c r="K125" i="3" s="1"/>
  <c r="Q123" i="3"/>
  <c r="C124" i="3" s="1"/>
  <c r="L124" i="3" s="1"/>
  <c r="Q124" i="3" s="1"/>
  <c r="C125" i="3" s="1"/>
  <c r="F125" i="3" s="1"/>
  <c r="J169" i="1"/>
  <c r="K169" i="1" s="1"/>
  <c r="Q167" i="1"/>
  <c r="C168" i="1" s="1"/>
  <c r="L168" i="1" s="1"/>
  <c r="O168" i="1" s="1"/>
  <c r="L125" i="9" l="1"/>
  <c r="O123" i="6"/>
  <c r="J126" i="6" s="1"/>
  <c r="K126" i="6" s="1"/>
  <c r="J124" i="6"/>
  <c r="K124" i="6" s="1"/>
  <c r="O128" i="5"/>
  <c r="O124" i="4"/>
  <c r="L125" i="3"/>
  <c r="J170" i="1"/>
  <c r="K170" i="1" s="1"/>
  <c r="Q168" i="1"/>
  <c r="C169" i="1" s="1"/>
  <c r="L169" i="1" s="1"/>
  <c r="O169" i="1"/>
  <c r="O125" i="9" l="1"/>
  <c r="J125" i="6"/>
  <c r="K125" i="6" s="1"/>
  <c r="Q123" i="6"/>
  <c r="C124" i="6" s="1"/>
  <c r="L124" i="6" s="1"/>
  <c r="Q124" i="6" s="1"/>
  <c r="C125" i="6" s="1"/>
  <c r="F125" i="6" s="1"/>
  <c r="J130" i="5"/>
  <c r="K130" i="5" s="1"/>
  <c r="Q128" i="5"/>
  <c r="C129" i="5" s="1"/>
  <c r="L129" i="5" s="1"/>
  <c r="J126" i="4"/>
  <c r="K126" i="4" s="1"/>
  <c r="Q124" i="4"/>
  <c r="C125" i="4" s="1"/>
  <c r="L125" i="4" s="1"/>
  <c r="O125" i="3"/>
  <c r="J171" i="1"/>
  <c r="K171" i="1" s="1"/>
  <c r="Q169" i="1"/>
  <c r="C170" i="1" s="1"/>
  <c r="L170" i="1" s="1"/>
  <c r="O170" i="1"/>
  <c r="J127" i="9" l="1"/>
  <c r="K127" i="9" s="1"/>
  <c r="Q125" i="9"/>
  <c r="C126" i="9" s="1"/>
  <c r="L126" i="9" s="1"/>
  <c r="L125" i="6"/>
  <c r="O129" i="5"/>
  <c r="O125" i="4"/>
  <c r="J127" i="3"/>
  <c r="K127" i="3" s="1"/>
  <c r="Q125" i="3"/>
  <c r="C126" i="3" s="1"/>
  <c r="L126" i="3" s="1"/>
  <c r="J172" i="1"/>
  <c r="K172" i="1" s="1"/>
  <c r="Q170" i="1"/>
  <c r="C171" i="1" s="1"/>
  <c r="L171" i="1" s="1"/>
  <c r="O171" i="1"/>
  <c r="O126" i="9" l="1"/>
  <c r="O125" i="6"/>
  <c r="J131" i="5"/>
  <c r="K131" i="5" s="1"/>
  <c r="Q129" i="5"/>
  <c r="C130" i="5" s="1"/>
  <c r="L130" i="5" s="1"/>
  <c r="J127" i="4"/>
  <c r="K127" i="4" s="1"/>
  <c r="Q125" i="4"/>
  <c r="C126" i="4" s="1"/>
  <c r="L126" i="4" s="1"/>
  <c r="O126" i="3"/>
  <c r="J173" i="1"/>
  <c r="K173" i="1" s="1"/>
  <c r="Q171" i="1"/>
  <c r="C172" i="1" s="1"/>
  <c r="L172" i="1" s="1"/>
  <c r="O172" i="1" s="1"/>
  <c r="J175" i="1" s="1"/>
  <c r="J128" i="9" l="1"/>
  <c r="K128" i="9" s="1"/>
  <c r="Q126" i="9"/>
  <c r="C127" i="9" s="1"/>
  <c r="L127" i="9" s="1"/>
  <c r="J127" i="6"/>
  <c r="K127" i="6" s="1"/>
  <c r="Q125" i="6"/>
  <c r="C126" i="6" s="1"/>
  <c r="L126" i="6" s="1"/>
  <c r="O130" i="5"/>
  <c r="O126" i="4"/>
  <c r="J128" i="3"/>
  <c r="K128" i="3" s="1"/>
  <c r="Q126" i="3"/>
  <c r="C127" i="3" s="1"/>
  <c r="L127" i="3" s="1"/>
  <c r="J174" i="1"/>
  <c r="Q172" i="1"/>
  <c r="C173" i="1" s="1"/>
  <c r="L173" i="1" s="1"/>
  <c r="Q173" i="1" s="1"/>
  <c r="C174" i="1" s="1"/>
  <c r="F174" i="1" s="1"/>
  <c r="K175" i="1"/>
  <c r="O127" i="9" l="1"/>
  <c r="Q127" i="9" s="1"/>
  <c r="C128" i="9" s="1"/>
  <c r="L128" i="9" s="1"/>
  <c r="O126" i="6"/>
  <c r="J133" i="5"/>
  <c r="K133" i="5" s="1"/>
  <c r="J132" i="5"/>
  <c r="K132" i="5" s="1"/>
  <c r="Q130" i="5"/>
  <c r="C131" i="5" s="1"/>
  <c r="L131" i="5" s="1"/>
  <c r="Q131" i="5" s="1"/>
  <c r="C132" i="5" s="1"/>
  <c r="F132" i="5" s="1"/>
  <c r="J128" i="4"/>
  <c r="K128" i="4" s="1"/>
  <c r="Q126" i="4"/>
  <c r="C127" i="4" s="1"/>
  <c r="L127" i="4" s="1"/>
  <c r="O127" i="3"/>
  <c r="K174" i="1"/>
  <c r="L174" i="1" s="1"/>
  <c r="O174" i="1" s="1"/>
  <c r="O128" i="9" l="1"/>
  <c r="J129" i="9"/>
  <c r="K129" i="9" s="1"/>
  <c r="J128" i="6"/>
  <c r="K128" i="6" s="1"/>
  <c r="Q126" i="6"/>
  <c r="C127" i="6" s="1"/>
  <c r="L127" i="6" s="1"/>
  <c r="L132" i="5"/>
  <c r="O127" i="4"/>
  <c r="J129" i="3"/>
  <c r="K129" i="3" s="1"/>
  <c r="Q127" i="3"/>
  <c r="C128" i="3" s="1"/>
  <c r="L128" i="3" s="1"/>
  <c r="Q174" i="1"/>
  <c r="C175" i="1" s="1"/>
  <c r="L175" i="1" s="1"/>
  <c r="J176" i="1"/>
  <c r="K176" i="1" s="1"/>
  <c r="O175" i="1"/>
  <c r="J130" i="9" l="1"/>
  <c r="K130" i="9" s="1"/>
  <c r="Q128" i="9"/>
  <c r="C129" i="9" s="1"/>
  <c r="L129" i="9" s="1"/>
  <c r="O127" i="6"/>
  <c r="Q127" i="6" s="1"/>
  <c r="C128" i="6" s="1"/>
  <c r="L128" i="6" s="1"/>
  <c r="O132" i="5"/>
  <c r="J129" i="4"/>
  <c r="K129" i="4" s="1"/>
  <c r="Q127" i="4"/>
  <c r="C128" i="4" s="1"/>
  <c r="L128" i="4" s="1"/>
  <c r="O128" i="3"/>
  <c r="Q175" i="1"/>
  <c r="C176" i="1" s="1"/>
  <c r="J177" i="1"/>
  <c r="K177" i="1" s="1"/>
  <c r="L176" i="1"/>
  <c r="O176" i="1"/>
  <c r="O129" i="9" l="1"/>
  <c r="O128" i="6"/>
  <c r="J130" i="6" s="1"/>
  <c r="K130" i="6" s="1"/>
  <c r="J129" i="6"/>
  <c r="K129" i="6" s="1"/>
  <c r="J134" i="5"/>
  <c r="K134" i="5" s="1"/>
  <c r="Q132" i="5"/>
  <c r="C133" i="5" s="1"/>
  <c r="L133" i="5" s="1"/>
  <c r="O128" i="4"/>
  <c r="J130" i="3"/>
  <c r="K130" i="3" s="1"/>
  <c r="Q128" i="3"/>
  <c r="C129" i="3" s="1"/>
  <c r="L129" i="3" s="1"/>
  <c r="J178" i="1"/>
  <c r="K178" i="1" s="1"/>
  <c r="Q176" i="1"/>
  <c r="C177" i="1" s="1"/>
  <c r="L177" i="1" s="1"/>
  <c r="O177" i="1"/>
  <c r="J131" i="9" l="1"/>
  <c r="K131" i="9" s="1"/>
  <c r="Q129" i="9"/>
  <c r="C130" i="9" s="1"/>
  <c r="L130" i="9" s="1"/>
  <c r="Q128" i="6"/>
  <c r="C129" i="6" s="1"/>
  <c r="L129" i="6" s="1"/>
  <c r="O133" i="5"/>
  <c r="J130" i="4"/>
  <c r="K130" i="4" s="1"/>
  <c r="Q128" i="4"/>
  <c r="C129" i="4" s="1"/>
  <c r="L129" i="4" s="1"/>
  <c r="O129" i="3"/>
  <c r="Q129" i="3" s="1"/>
  <c r="C130" i="3" s="1"/>
  <c r="L130" i="3" s="1"/>
  <c r="J179" i="1"/>
  <c r="K179" i="1" s="1"/>
  <c r="Q177" i="1"/>
  <c r="C178" i="1" s="1"/>
  <c r="L178" i="1" s="1"/>
  <c r="O178" i="1"/>
  <c r="O130" i="9" l="1"/>
  <c r="Q130" i="9" s="1"/>
  <c r="C131" i="9" s="1"/>
  <c r="L131" i="9" s="1"/>
  <c r="Q131" i="9" s="1"/>
  <c r="C132" i="9" s="1"/>
  <c r="F132" i="9" s="1"/>
  <c r="O129" i="6"/>
  <c r="J135" i="5"/>
  <c r="K135" i="5" s="1"/>
  <c r="Q133" i="5"/>
  <c r="C134" i="5" s="1"/>
  <c r="L134" i="5" s="1"/>
  <c r="O129" i="4"/>
  <c r="Q129" i="4" s="1"/>
  <c r="C130" i="4" s="1"/>
  <c r="L130" i="4" s="1"/>
  <c r="Q130" i="4" s="1"/>
  <c r="C131" i="4" s="1"/>
  <c r="F131" i="4" s="1"/>
  <c r="O130" i="3"/>
  <c r="J133" i="3" s="1"/>
  <c r="K133" i="3" s="1"/>
  <c r="J131" i="3"/>
  <c r="K131" i="3" s="1"/>
  <c r="J180" i="1"/>
  <c r="K180" i="1" s="1"/>
  <c r="Q178" i="1"/>
  <c r="C179" i="1" s="1"/>
  <c r="L179" i="1" s="1"/>
  <c r="O179" i="1" s="1"/>
  <c r="J133" i="9" l="1"/>
  <c r="K133" i="9" s="1"/>
  <c r="J132" i="9"/>
  <c r="K132" i="9" s="1"/>
  <c r="L132" i="9" s="1"/>
  <c r="J131" i="6"/>
  <c r="K131" i="6" s="1"/>
  <c r="Q129" i="6"/>
  <c r="C130" i="6" s="1"/>
  <c r="L130" i="6" s="1"/>
  <c r="O134" i="5"/>
  <c r="Q134" i="5" s="1"/>
  <c r="C135" i="5" s="1"/>
  <c r="L135" i="5" s="1"/>
  <c r="J132" i="4"/>
  <c r="K132" i="4" s="1"/>
  <c r="J131" i="4"/>
  <c r="K131" i="4" s="1"/>
  <c r="L131" i="4" s="1"/>
  <c r="J132" i="3"/>
  <c r="K132" i="3" s="1"/>
  <c r="Q130" i="3"/>
  <c r="C131" i="3" s="1"/>
  <c r="L131" i="3" s="1"/>
  <c r="Q131" i="3" s="1"/>
  <c r="C132" i="3" s="1"/>
  <c r="F132" i="3" s="1"/>
  <c r="Q179" i="1"/>
  <c r="C180" i="1" s="1"/>
  <c r="L180" i="1" s="1"/>
  <c r="Q180" i="1" s="1"/>
  <c r="C181" i="1" s="1"/>
  <c r="J182" i="1"/>
  <c r="J181" i="1"/>
  <c r="F181" i="1"/>
  <c r="K182" i="1"/>
  <c r="O132" i="9" l="1"/>
  <c r="O130" i="6"/>
  <c r="O135" i="5"/>
  <c r="J137" i="5" s="1"/>
  <c r="K137" i="5" s="1"/>
  <c r="J136" i="5"/>
  <c r="K136" i="5" s="1"/>
  <c r="O131" i="4"/>
  <c r="L132" i="3"/>
  <c r="K181" i="1"/>
  <c r="L181" i="1" s="1"/>
  <c r="O181" i="1" s="1"/>
  <c r="J134" i="9" l="1"/>
  <c r="K134" i="9" s="1"/>
  <c r="Q132" i="9"/>
  <c r="C133" i="9" s="1"/>
  <c r="L133" i="9" s="1"/>
  <c r="J133" i="6"/>
  <c r="K133" i="6" s="1"/>
  <c r="J132" i="6"/>
  <c r="K132" i="6" s="1"/>
  <c r="Q130" i="6"/>
  <c r="C131" i="6" s="1"/>
  <c r="L131" i="6" s="1"/>
  <c r="Q131" i="6" s="1"/>
  <c r="C132" i="6" s="1"/>
  <c r="F132" i="6" s="1"/>
  <c r="Q135" i="5"/>
  <c r="C136" i="5" s="1"/>
  <c r="L136" i="5" s="1"/>
  <c r="J133" i="4"/>
  <c r="K133" i="4" s="1"/>
  <c r="Q131" i="4"/>
  <c r="C132" i="4" s="1"/>
  <c r="L132" i="4" s="1"/>
  <c r="O132" i="3"/>
  <c r="J183" i="1"/>
  <c r="K183" i="1" s="1"/>
  <c r="Q181" i="1"/>
  <c r="C182" i="1" s="1"/>
  <c r="L182" i="1" s="1"/>
  <c r="O133" i="9" l="1"/>
  <c r="Q133" i="9" s="1"/>
  <c r="C134" i="9" s="1"/>
  <c r="L134" i="9" s="1"/>
  <c r="L132" i="6"/>
  <c r="O136" i="5"/>
  <c r="O132" i="4"/>
  <c r="J134" i="3"/>
  <c r="K134" i="3" s="1"/>
  <c r="Q132" i="3"/>
  <c r="C133" i="3" s="1"/>
  <c r="L133" i="3" s="1"/>
  <c r="O182" i="1"/>
  <c r="O134" i="9" l="1"/>
  <c r="J135" i="9"/>
  <c r="K135" i="9" s="1"/>
  <c r="O132" i="6"/>
  <c r="J138" i="5"/>
  <c r="K138" i="5" s="1"/>
  <c r="Q136" i="5"/>
  <c r="C137" i="5" s="1"/>
  <c r="L137" i="5" s="1"/>
  <c r="J134" i="4"/>
  <c r="K134" i="4" s="1"/>
  <c r="Q132" i="4"/>
  <c r="C133" i="4" s="1"/>
  <c r="L133" i="4" s="1"/>
  <c r="O133" i="3"/>
  <c r="Q182" i="1"/>
  <c r="C183" i="1" s="1"/>
  <c r="L183" i="1" s="1"/>
  <c r="J184" i="1"/>
  <c r="O183" i="1"/>
  <c r="J185" i="1" s="1"/>
  <c r="K185" i="1" s="1"/>
  <c r="K184" i="1"/>
  <c r="J136" i="9" l="1"/>
  <c r="K136" i="9" s="1"/>
  <c r="Q134" i="9"/>
  <c r="C135" i="9" s="1"/>
  <c r="L135" i="9" s="1"/>
  <c r="J134" i="6"/>
  <c r="K134" i="6" s="1"/>
  <c r="Q132" i="6"/>
  <c r="C133" i="6" s="1"/>
  <c r="L133" i="6" s="1"/>
  <c r="O137" i="5"/>
  <c r="O133" i="4"/>
  <c r="J135" i="3"/>
  <c r="K135" i="3" s="1"/>
  <c r="Q133" i="3"/>
  <c r="C134" i="3" s="1"/>
  <c r="L134" i="3" s="1"/>
  <c r="Q183" i="1"/>
  <c r="C184" i="1" s="1"/>
  <c r="L184" i="1"/>
  <c r="O184" i="1" s="1"/>
  <c r="O135" i="9" l="1"/>
  <c r="O133" i="6"/>
  <c r="J140" i="5"/>
  <c r="K140" i="5" s="1"/>
  <c r="J139" i="5"/>
  <c r="K139" i="5" s="1"/>
  <c r="Q137" i="5"/>
  <c r="C138" i="5" s="1"/>
  <c r="L138" i="5" s="1"/>
  <c r="Q138" i="5" s="1"/>
  <c r="C139" i="5" s="1"/>
  <c r="F139" i="5" s="1"/>
  <c r="J135" i="4"/>
  <c r="K135" i="4" s="1"/>
  <c r="Q133" i="4"/>
  <c r="C134" i="4" s="1"/>
  <c r="L134" i="4" s="1"/>
  <c r="O134" i="3"/>
  <c r="J186" i="1"/>
  <c r="K186" i="1" s="1"/>
  <c r="Q184" i="1"/>
  <c r="C185" i="1" s="1"/>
  <c r="L185" i="1" s="1"/>
  <c r="J137" i="9" l="1"/>
  <c r="K137" i="9" s="1"/>
  <c r="Q135" i="9"/>
  <c r="C136" i="9" s="1"/>
  <c r="L136" i="9" s="1"/>
  <c r="J135" i="6"/>
  <c r="K135" i="6" s="1"/>
  <c r="Q133" i="6"/>
  <c r="C134" i="6" s="1"/>
  <c r="L134" i="6" s="1"/>
  <c r="L139" i="5"/>
  <c r="O134" i="4"/>
  <c r="J136" i="3"/>
  <c r="K136" i="3" s="1"/>
  <c r="Q134" i="3"/>
  <c r="C135" i="3" s="1"/>
  <c r="L135" i="3" s="1"/>
  <c r="O185" i="1"/>
  <c r="O136" i="9" l="1"/>
  <c r="O134" i="6"/>
  <c r="Q134" i="6" s="1"/>
  <c r="C135" i="6" s="1"/>
  <c r="L135" i="6" s="1"/>
  <c r="O139" i="5"/>
  <c r="J136" i="4"/>
  <c r="K136" i="4" s="1"/>
  <c r="Q134" i="4"/>
  <c r="C135" i="4" s="1"/>
  <c r="L135" i="4" s="1"/>
  <c r="O135" i="3"/>
  <c r="Q185" i="1"/>
  <c r="C186" i="1" s="1"/>
  <c r="L186" i="1" s="1"/>
  <c r="J187" i="1"/>
  <c r="K187" i="1" s="1"/>
  <c r="O186" i="1"/>
  <c r="J138" i="9" l="1"/>
  <c r="K138" i="9" s="1"/>
  <c r="Q136" i="9"/>
  <c r="C137" i="9" s="1"/>
  <c r="L137" i="9" s="1"/>
  <c r="O135" i="6"/>
  <c r="J137" i="6"/>
  <c r="K137" i="6" s="1"/>
  <c r="J136" i="6"/>
  <c r="K136" i="6" s="1"/>
  <c r="J141" i="5"/>
  <c r="K141" i="5" s="1"/>
  <c r="Q139" i="5"/>
  <c r="C140" i="5" s="1"/>
  <c r="L140" i="5" s="1"/>
  <c r="O135" i="4"/>
  <c r="J137" i="3"/>
  <c r="K137" i="3" s="1"/>
  <c r="Q135" i="3"/>
  <c r="C136" i="3" s="1"/>
  <c r="L136" i="3" s="1"/>
  <c r="J189" i="1"/>
  <c r="K189" i="1" s="1"/>
  <c r="J188" i="1"/>
  <c r="K188" i="1" s="1"/>
  <c r="Q186" i="1"/>
  <c r="C187" i="1" s="1"/>
  <c r="L187" i="1" s="1"/>
  <c r="Q187" i="1" s="1"/>
  <c r="C188" i="1" s="1"/>
  <c r="O137" i="9" l="1"/>
  <c r="Q135" i="6"/>
  <c r="C136" i="6" s="1"/>
  <c r="L136" i="6" s="1"/>
  <c r="O140" i="5"/>
  <c r="J137" i="4"/>
  <c r="K137" i="4" s="1"/>
  <c r="Q135" i="4"/>
  <c r="C136" i="4" s="1"/>
  <c r="L136" i="4" s="1"/>
  <c r="O136" i="3"/>
  <c r="F188" i="1"/>
  <c r="L188" i="1" s="1"/>
  <c r="J140" i="9" l="1"/>
  <c r="K140" i="9" s="1"/>
  <c r="J139" i="9"/>
  <c r="K139" i="9" s="1"/>
  <c r="Q137" i="9"/>
  <c r="C138" i="9" s="1"/>
  <c r="L138" i="9" s="1"/>
  <c r="Q138" i="9" s="1"/>
  <c r="C139" i="9" s="1"/>
  <c r="F139" i="9" s="1"/>
  <c r="O136" i="6"/>
  <c r="J142" i="5"/>
  <c r="K142" i="5" s="1"/>
  <c r="Q140" i="5"/>
  <c r="C141" i="5" s="1"/>
  <c r="L141" i="5" s="1"/>
  <c r="O136" i="4"/>
  <c r="J138" i="3"/>
  <c r="K138" i="3" s="1"/>
  <c r="Q136" i="3"/>
  <c r="C137" i="3" s="1"/>
  <c r="L137" i="3" s="1"/>
  <c r="O188" i="1"/>
  <c r="L139" i="9" l="1"/>
  <c r="J138" i="6"/>
  <c r="K138" i="6" s="1"/>
  <c r="Q136" i="6"/>
  <c r="C137" i="6" s="1"/>
  <c r="L137" i="6" s="1"/>
  <c r="O141" i="5"/>
  <c r="J139" i="4"/>
  <c r="K139" i="4" s="1"/>
  <c r="J138" i="4"/>
  <c r="K138" i="4" s="1"/>
  <c r="Q136" i="4"/>
  <c r="C137" i="4" s="1"/>
  <c r="L137" i="4" s="1"/>
  <c r="Q137" i="4" s="1"/>
  <c r="C138" i="4" s="1"/>
  <c r="F138" i="4" s="1"/>
  <c r="O137" i="3"/>
  <c r="J190" i="1"/>
  <c r="K190" i="1" s="1"/>
  <c r="Q188" i="1"/>
  <c r="C189" i="1" s="1"/>
  <c r="L189" i="1" s="1"/>
  <c r="O139" i="9" l="1"/>
  <c r="O137" i="6"/>
  <c r="J143" i="5"/>
  <c r="K143" i="5" s="1"/>
  <c r="Q141" i="5"/>
  <c r="C142" i="5" s="1"/>
  <c r="L142" i="5" s="1"/>
  <c r="L138" i="4"/>
  <c r="J140" i="3"/>
  <c r="K140" i="3" s="1"/>
  <c r="J139" i="3"/>
  <c r="K139" i="3" s="1"/>
  <c r="Q137" i="3"/>
  <c r="C138" i="3" s="1"/>
  <c r="L138" i="3" s="1"/>
  <c r="Q138" i="3" s="1"/>
  <c r="C139" i="3" s="1"/>
  <c r="F139" i="3" s="1"/>
  <c r="O189" i="1"/>
  <c r="J141" i="9" l="1"/>
  <c r="K141" i="9" s="1"/>
  <c r="Q139" i="9"/>
  <c r="C140" i="9" s="1"/>
  <c r="L140" i="9" s="1"/>
  <c r="J140" i="6"/>
  <c r="K140" i="6" s="1"/>
  <c r="J139" i="6"/>
  <c r="K139" i="6" s="1"/>
  <c r="Q137" i="6"/>
  <c r="C138" i="6" s="1"/>
  <c r="L138" i="6" s="1"/>
  <c r="Q138" i="6" s="1"/>
  <c r="C139" i="6" s="1"/>
  <c r="F139" i="6" s="1"/>
  <c r="O142" i="5"/>
  <c r="O138" i="4"/>
  <c r="L139" i="3"/>
  <c r="J191" i="1"/>
  <c r="K191" i="1" s="1"/>
  <c r="Q189" i="1"/>
  <c r="C190" i="1" s="1"/>
  <c r="L190" i="1" s="1"/>
  <c r="O140" i="9" l="1"/>
  <c r="L139" i="6"/>
  <c r="J144" i="5"/>
  <c r="K144" i="5" s="1"/>
  <c r="Q142" i="5"/>
  <c r="C143" i="5" s="1"/>
  <c r="L143" i="5" s="1"/>
  <c r="J140" i="4"/>
  <c r="K140" i="4" s="1"/>
  <c r="Q138" i="4"/>
  <c r="C139" i="4" s="1"/>
  <c r="L139" i="4" s="1"/>
  <c r="O139" i="3"/>
  <c r="O190" i="1"/>
  <c r="J142" i="9" l="1"/>
  <c r="K142" i="9" s="1"/>
  <c r="Q140" i="9"/>
  <c r="C141" i="9" s="1"/>
  <c r="L141" i="9" s="1"/>
  <c r="O139" i="6"/>
  <c r="O143" i="5"/>
  <c r="Q143" i="5" s="1"/>
  <c r="C144" i="5" s="1"/>
  <c r="L144" i="5" s="1"/>
  <c r="O139" i="4"/>
  <c r="J141" i="3"/>
  <c r="K141" i="3" s="1"/>
  <c r="Q139" i="3"/>
  <c r="C140" i="3" s="1"/>
  <c r="L140" i="3" s="1"/>
  <c r="J192" i="1"/>
  <c r="K192" i="1" s="1"/>
  <c r="Q190" i="1"/>
  <c r="C191" i="1" s="1"/>
  <c r="L191" i="1" s="1"/>
  <c r="O191" i="1" s="1"/>
  <c r="O141" i="9" l="1"/>
  <c r="J141" i="6"/>
  <c r="K141" i="6" s="1"/>
  <c r="Q139" i="6"/>
  <c r="C140" i="6" s="1"/>
  <c r="L140" i="6" s="1"/>
  <c r="O144" i="5"/>
  <c r="J147" i="5" s="1"/>
  <c r="K147" i="5" s="1"/>
  <c r="J145" i="5"/>
  <c r="K145" i="5" s="1"/>
  <c r="J141" i="4"/>
  <c r="K141" i="4" s="1"/>
  <c r="Q139" i="4"/>
  <c r="C140" i="4" s="1"/>
  <c r="L140" i="4" s="1"/>
  <c r="O140" i="3"/>
  <c r="Q140" i="3" s="1"/>
  <c r="C141" i="3" s="1"/>
  <c r="L141" i="3" s="1"/>
  <c r="Q191" i="1"/>
  <c r="C192" i="1" s="1"/>
  <c r="L192" i="1" s="1"/>
  <c r="J193" i="1"/>
  <c r="K193" i="1" s="1"/>
  <c r="O192" i="1"/>
  <c r="J143" i="9" l="1"/>
  <c r="K143" i="9" s="1"/>
  <c r="Q141" i="9"/>
  <c r="C142" i="9" s="1"/>
  <c r="L142" i="9" s="1"/>
  <c r="O140" i="6"/>
  <c r="Q140" i="6" s="1"/>
  <c r="C141" i="6" s="1"/>
  <c r="L141" i="6" s="1"/>
  <c r="J146" i="5"/>
  <c r="K146" i="5" s="1"/>
  <c r="Q144" i="5"/>
  <c r="C145" i="5" s="1"/>
  <c r="L145" i="5" s="1"/>
  <c r="Q145" i="5" s="1"/>
  <c r="C146" i="5" s="1"/>
  <c r="F146" i="5" s="1"/>
  <c r="O140" i="4"/>
  <c r="Q140" i="4" s="1"/>
  <c r="C141" i="4" s="1"/>
  <c r="L141" i="4" s="1"/>
  <c r="O141" i="3"/>
  <c r="J143" i="3"/>
  <c r="K143" i="3" s="1"/>
  <c r="J142" i="3"/>
  <c r="K142" i="3" s="1"/>
  <c r="Q192" i="1"/>
  <c r="C193" i="1" s="1"/>
  <c r="J194" i="1"/>
  <c r="K194" i="1" s="1"/>
  <c r="L193" i="1"/>
  <c r="O193" i="1"/>
  <c r="O142" i="9" l="1"/>
  <c r="Q142" i="9" s="1"/>
  <c r="C143" i="9" s="1"/>
  <c r="L143" i="9" s="1"/>
  <c r="O141" i="6"/>
  <c r="J142" i="6"/>
  <c r="K142" i="6" s="1"/>
  <c r="L146" i="5"/>
  <c r="O141" i="4"/>
  <c r="J143" i="4" s="1"/>
  <c r="K143" i="4" s="1"/>
  <c r="J142" i="4"/>
  <c r="K142" i="4" s="1"/>
  <c r="Q141" i="3"/>
  <c r="C142" i="3" s="1"/>
  <c r="L142" i="3" s="1"/>
  <c r="Q193" i="1"/>
  <c r="C194" i="1" s="1"/>
  <c r="L194" i="1" s="1"/>
  <c r="Q194" i="1" s="1"/>
  <c r="C195" i="1" s="1"/>
  <c r="J196" i="1"/>
  <c r="J195" i="1"/>
  <c r="F195" i="1"/>
  <c r="K196" i="1"/>
  <c r="O143" i="9" l="1"/>
  <c r="J145" i="9"/>
  <c r="K145" i="9" s="1"/>
  <c r="J144" i="9"/>
  <c r="K144" i="9" s="1"/>
  <c r="J143" i="6"/>
  <c r="K143" i="6" s="1"/>
  <c r="Q141" i="6"/>
  <c r="C142" i="6" s="1"/>
  <c r="L142" i="6" s="1"/>
  <c r="O146" i="5"/>
  <c r="Q141" i="4"/>
  <c r="C142" i="4" s="1"/>
  <c r="L142" i="4" s="1"/>
  <c r="O142" i="3"/>
  <c r="K195" i="1"/>
  <c r="L195" i="1" s="1"/>
  <c r="O195" i="1" s="1"/>
  <c r="Q143" i="9" l="1"/>
  <c r="C144" i="9" s="1"/>
  <c r="L144" i="9" s="1"/>
  <c r="O142" i="6"/>
  <c r="J148" i="5"/>
  <c r="K148" i="5" s="1"/>
  <c r="Q146" i="5"/>
  <c r="C147" i="5" s="1"/>
  <c r="L147" i="5" s="1"/>
  <c r="O142" i="4"/>
  <c r="J144" i="3"/>
  <c r="K144" i="3" s="1"/>
  <c r="Q142" i="3"/>
  <c r="C143" i="3" s="1"/>
  <c r="L143" i="3" s="1"/>
  <c r="J197" i="1"/>
  <c r="K197" i="1" s="1"/>
  <c r="Q195" i="1"/>
  <c r="C196" i="1" s="1"/>
  <c r="L196" i="1" s="1"/>
  <c r="O144" i="9" l="1"/>
  <c r="J144" i="6"/>
  <c r="K144" i="6" s="1"/>
  <c r="Q142" i="6"/>
  <c r="C143" i="6" s="1"/>
  <c r="L143" i="6" s="1"/>
  <c r="O147" i="5"/>
  <c r="J144" i="4"/>
  <c r="K144" i="4" s="1"/>
  <c r="Q142" i="4"/>
  <c r="C143" i="4" s="1"/>
  <c r="L143" i="4" s="1"/>
  <c r="O143" i="3"/>
  <c r="O196" i="1"/>
  <c r="J147" i="9" l="1"/>
  <c r="K147" i="9" s="1"/>
  <c r="J146" i="9"/>
  <c r="K146" i="9" s="1"/>
  <c r="Q144" i="9"/>
  <c r="C145" i="9" s="1"/>
  <c r="L145" i="9" s="1"/>
  <c r="Q145" i="9" s="1"/>
  <c r="C146" i="9" s="1"/>
  <c r="F146" i="9" s="1"/>
  <c r="O143" i="6"/>
  <c r="J149" i="5"/>
  <c r="K149" i="5" s="1"/>
  <c r="Q147" i="5"/>
  <c r="C148" i="5" s="1"/>
  <c r="L148" i="5" s="1"/>
  <c r="O143" i="4"/>
  <c r="Q143" i="4" s="1"/>
  <c r="C144" i="4" s="1"/>
  <c r="L144" i="4" s="1"/>
  <c r="Q144" i="4" s="1"/>
  <c r="C145" i="4" s="1"/>
  <c r="F145" i="4" s="1"/>
  <c r="J145" i="3"/>
  <c r="K145" i="3" s="1"/>
  <c r="Q143" i="3"/>
  <c r="C144" i="3" s="1"/>
  <c r="L144" i="3" s="1"/>
  <c r="Q196" i="1"/>
  <c r="C197" i="1" s="1"/>
  <c r="L197" i="1" s="1"/>
  <c r="J198" i="1"/>
  <c r="K198" i="1" s="1"/>
  <c r="O197" i="1"/>
  <c r="L146" i="9" l="1"/>
  <c r="J145" i="6"/>
  <c r="K145" i="6" s="1"/>
  <c r="Q143" i="6"/>
  <c r="C144" i="6" s="1"/>
  <c r="L144" i="6" s="1"/>
  <c r="O148" i="5"/>
  <c r="Q148" i="5" s="1"/>
  <c r="C149" i="5" s="1"/>
  <c r="L149" i="5" s="1"/>
  <c r="J146" i="4"/>
  <c r="K146" i="4" s="1"/>
  <c r="J145" i="4"/>
  <c r="K145" i="4" s="1"/>
  <c r="L145" i="4" s="1"/>
  <c r="O144" i="3"/>
  <c r="Q197" i="1"/>
  <c r="C198" i="1" s="1"/>
  <c r="J199" i="1"/>
  <c r="K199" i="1" s="1"/>
  <c r="L198" i="1"/>
  <c r="O146" i="9" l="1"/>
  <c r="O144" i="6"/>
  <c r="O149" i="5"/>
  <c r="J150" i="5"/>
  <c r="K150" i="5" s="1"/>
  <c r="O145" i="4"/>
  <c r="J147" i="3"/>
  <c r="K147" i="3" s="1"/>
  <c r="J146" i="3"/>
  <c r="K146" i="3" s="1"/>
  <c r="Q144" i="3"/>
  <c r="C145" i="3" s="1"/>
  <c r="L145" i="3" s="1"/>
  <c r="Q145" i="3" s="1"/>
  <c r="C146" i="3" s="1"/>
  <c r="F146" i="3" s="1"/>
  <c r="O198" i="1"/>
  <c r="J148" i="9" l="1"/>
  <c r="K148" i="9" s="1"/>
  <c r="Q146" i="9"/>
  <c r="C147" i="9" s="1"/>
  <c r="L147" i="9" s="1"/>
  <c r="J147" i="6"/>
  <c r="K147" i="6" s="1"/>
  <c r="J146" i="6"/>
  <c r="K146" i="6" s="1"/>
  <c r="Q144" i="6"/>
  <c r="C145" i="6" s="1"/>
  <c r="L145" i="6" s="1"/>
  <c r="Q145" i="6" s="1"/>
  <c r="C146" i="6" s="1"/>
  <c r="F146" i="6" s="1"/>
  <c r="J151" i="5"/>
  <c r="K151" i="5" s="1"/>
  <c r="Q149" i="5"/>
  <c r="C150" i="5" s="1"/>
  <c r="L150" i="5" s="1"/>
  <c r="J147" i="4"/>
  <c r="K147" i="4" s="1"/>
  <c r="Q145" i="4"/>
  <c r="C146" i="4" s="1"/>
  <c r="L146" i="4" s="1"/>
  <c r="L146" i="3"/>
  <c r="Q198" i="1"/>
  <c r="C199" i="1" s="1"/>
  <c r="L199" i="1" s="1"/>
  <c r="J200" i="1"/>
  <c r="K200" i="1" s="1"/>
  <c r="O199" i="1"/>
  <c r="O147" i="9" l="1"/>
  <c r="L146" i="6"/>
  <c r="O150" i="5"/>
  <c r="O146" i="4"/>
  <c r="O146" i="3"/>
  <c r="Q199" i="1"/>
  <c r="C200" i="1" s="1"/>
  <c r="J201" i="1"/>
  <c r="K201" i="1" s="1"/>
  <c r="L200" i="1"/>
  <c r="O200" i="1"/>
  <c r="J149" i="9" l="1"/>
  <c r="K149" i="9" s="1"/>
  <c r="Q147" i="9"/>
  <c r="C148" i="9" s="1"/>
  <c r="L148" i="9" s="1"/>
  <c r="O146" i="6"/>
  <c r="J152" i="5"/>
  <c r="K152" i="5" s="1"/>
  <c r="Q150" i="5"/>
  <c r="C151" i="5" s="1"/>
  <c r="L151" i="5" s="1"/>
  <c r="J148" i="4"/>
  <c r="K148" i="4" s="1"/>
  <c r="Q146" i="4"/>
  <c r="C147" i="4" s="1"/>
  <c r="L147" i="4" s="1"/>
  <c r="J148" i="3"/>
  <c r="K148" i="3" s="1"/>
  <c r="Q146" i="3"/>
  <c r="C147" i="3" s="1"/>
  <c r="L147" i="3" s="1"/>
  <c r="Q200" i="1"/>
  <c r="C201" i="1" s="1"/>
  <c r="L201" i="1" s="1"/>
  <c r="Q201" i="1" s="1"/>
  <c r="C202" i="1" s="1"/>
  <c r="J203" i="1"/>
  <c r="J202" i="1"/>
  <c r="F202" i="1"/>
  <c r="K203" i="1"/>
  <c r="O148" i="9" l="1"/>
  <c r="J148" i="6"/>
  <c r="K148" i="6" s="1"/>
  <c r="Q146" i="6"/>
  <c r="C147" i="6" s="1"/>
  <c r="L147" i="6" s="1"/>
  <c r="O151" i="5"/>
  <c r="O147" i="4"/>
  <c r="O147" i="3"/>
  <c r="K202" i="1"/>
  <c r="L202" i="1" s="1"/>
  <c r="O202" i="1" s="1"/>
  <c r="J150" i="9" l="1"/>
  <c r="K150" i="9" s="1"/>
  <c r="Q148" i="9"/>
  <c r="C149" i="9" s="1"/>
  <c r="L149" i="9" s="1"/>
  <c r="O147" i="6"/>
  <c r="J154" i="5"/>
  <c r="K154" i="5" s="1"/>
  <c r="J153" i="5"/>
  <c r="K153" i="5" s="1"/>
  <c r="Q151" i="5"/>
  <c r="C152" i="5" s="1"/>
  <c r="L152" i="5" s="1"/>
  <c r="Q152" i="5" s="1"/>
  <c r="C153" i="5" s="1"/>
  <c r="F153" i="5" s="1"/>
  <c r="J149" i="4"/>
  <c r="K149" i="4" s="1"/>
  <c r="Q147" i="4"/>
  <c r="C148" i="4" s="1"/>
  <c r="L148" i="4" s="1"/>
  <c r="J149" i="3"/>
  <c r="K149" i="3" s="1"/>
  <c r="Q147" i="3"/>
  <c r="C148" i="3" s="1"/>
  <c r="L148" i="3" s="1"/>
  <c r="Q202" i="1"/>
  <c r="C203" i="1" s="1"/>
  <c r="L203" i="1" s="1"/>
  <c r="J204" i="1"/>
  <c r="K204" i="1" s="1"/>
  <c r="O203" i="1"/>
  <c r="O149" i="9" l="1"/>
  <c r="J149" i="6"/>
  <c r="K149" i="6" s="1"/>
  <c r="Q147" i="6"/>
  <c r="C148" i="6" s="1"/>
  <c r="L148" i="6" s="1"/>
  <c r="L153" i="5"/>
  <c r="O148" i="4"/>
  <c r="O148" i="3"/>
  <c r="Q203" i="1"/>
  <c r="C204" i="1" s="1"/>
  <c r="J205" i="1"/>
  <c r="K205" i="1" s="1"/>
  <c r="L204" i="1"/>
  <c r="J151" i="9" l="1"/>
  <c r="K151" i="9" s="1"/>
  <c r="Q149" i="9"/>
  <c r="C150" i="9" s="1"/>
  <c r="L150" i="9" s="1"/>
  <c r="O148" i="6"/>
  <c r="O153" i="5"/>
  <c r="J150" i="4"/>
  <c r="K150" i="4" s="1"/>
  <c r="Q148" i="4"/>
  <c r="C149" i="4" s="1"/>
  <c r="L149" i="4" s="1"/>
  <c r="J150" i="3"/>
  <c r="K150" i="3" s="1"/>
  <c r="Q148" i="3"/>
  <c r="C149" i="3" s="1"/>
  <c r="L149" i="3" s="1"/>
  <c r="O204" i="1"/>
  <c r="O150" i="9" l="1"/>
  <c r="Q150" i="9" s="1"/>
  <c r="C151" i="9" s="1"/>
  <c r="L151" i="9" s="1"/>
  <c r="J150" i="6"/>
  <c r="K150" i="6" s="1"/>
  <c r="Q148" i="6"/>
  <c r="C149" i="6" s="1"/>
  <c r="L149" i="6" s="1"/>
  <c r="J155" i="5"/>
  <c r="K155" i="5" s="1"/>
  <c r="Q153" i="5"/>
  <c r="C154" i="5" s="1"/>
  <c r="L154" i="5" s="1"/>
  <c r="O149" i="4"/>
  <c r="O149" i="3"/>
  <c r="J206" i="1"/>
  <c r="K206" i="1" s="1"/>
  <c r="Q204" i="1"/>
  <c r="C205" i="1" s="1"/>
  <c r="L205" i="1" s="1"/>
  <c r="O205" i="1" s="1"/>
  <c r="O151" i="9" l="1"/>
  <c r="J154" i="9" s="1"/>
  <c r="K154" i="9" s="1"/>
  <c r="J152" i="9"/>
  <c r="K152" i="9" s="1"/>
  <c r="O149" i="6"/>
  <c r="O154" i="5"/>
  <c r="J151" i="4"/>
  <c r="K151" i="4" s="1"/>
  <c r="Q149" i="4"/>
  <c r="C150" i="4" s="1"/>
  <c r="L150" i="4" s="1"/>
  <c r="J151" i="3"/>
  <c r="K151" i="3" s="1"/>
  <c r="Q149" i="3"/>
  <c r="C150" i="3" s="1"/>
  <c r="L150" i="3" s="1"/>
  <c r="Q205" i="1"/>
  <c r="C206" i="1" s="1"/>
  <c r="L206" i="1" s="1"/>
  <c r="J207" i="1"/>
  <c r="K207" i="1" s="1"/>
  <c r="O206" i="1"/>
  <c r="J153" i="9" l="1"/>
  <c r="K153" i="9" s="1"/>
  <c r="Q151" i="9"/>
  <c r="C152" i="9" s="1"/>
  <c r="L152" i="9" s="1"/>
  <c r="Q152" i="9" s="1"/>
  <c r="C153" i="9" s="1"/>
  <c r="F153" i="9" s="1"/>
  <c r="J151" i="6"/>
  <c r="K151" i="6" s="1"/>
  <c r="Q149" i="6"/>
  <c r="C150" i="6" s="1"/>
  <c r="L150" i="6" s="1"/>
  <c r="J156" i="5"/>
  <c r="K156" i="5" s="1"/>
  <c r="Q154" i="5"/>
  <c r="C155" i="5" s="1"/>
  <c r="L155" i="5" s="1"/>
  <c r="O150" i="4"/>
  <c r="O150" i="3"/>
  <c r="Q206" i="1"/>
  <c r="C207" i="1" s="1"/>
  <c r="J208" i="1"/>
  <c r="K208" i="1" s="1"/>
  <c r="L207" i="1"/>
  <c r="L153" i="9" l="1"/>
  <c r="O150" i="6"/>
  <c r="O155" i="5"/>
  <c r="J153" i="4"/>
  <c r="K153" i="4" s="1"/>
  <c r="J152" i="4"/>
  <c r="K152" i="4" s="1"/>
  <c r="Q150" i="4"/>
  <c r="C151" i="4" s="1"/>
  <c r="L151" i="4" s="1"/>
  <c r="Q151" i="4" s="1"/>
  <c r="C152" i="4" s="1"/>
  <c r="F152" i="4" s="1"/>
  <c r="J152" i="3"/>
  <c r="K152" i="3" s="1"/>
  <c r="Q150" i="3"/>
  <c r="C151" i="3" s="1"/>
  <c r="L151" i="3" s="1"/>
  <c r="O207" i="1"/>
  <c r="O153" i="9" l="1"/>
  <c r="J152" i="6"/>
  <c r="K152" i="6" s="1"/>
  <c r="Q150" i="6"/>
  <c r="C151" i="6" s="1"/>
  <c r="L151" i="6" s="1"/>
  <c r="J157" i="5"/>
  <c r="K157" i="5" s="1"/>
  <c r="Q155" i="5"/>
  <c r="C156" i="5" s="1"/>
  <c r="L156" i="5" s="1"/>
  <c r="L152" i="4"/>
  <c r="O151" i="3"/>
  <c r="Q207" i="1"/>
  <c r="C208" i="1" s="1"/>
  <c r="L208" i="1" s="1"/>
  <c r="Q208" i="1" s="1"/>
  <c r="C209" i="1" s="1"/>
  <c r="J210" i="1"/>
  <c r="K210" i="1" s="1"/>
  <c r="J209" i="1"/>
  <c r="F209" i="1"/>
  <c r="J155" i="9" l="1"/>
  <c r="K155" i="9" s="1"/>
  <c r="Q153" i="9"/>
  <c r="C154" i="9" s="1"/>
  <c r="L154" i="9" s="1"/>
  <c r="O151" i="6"/>
  <c r="O156" i="5"/>
  <c r="Q156" i="5" s="1"/>
  <c r="C157" i="5" s="1"/>
  <c r="L157" i="5" s="1"/>
  <c r="O152" i="4"/>
  <c r="J154" i="3"/>
  <c r="K154" i="3" s="1"/>
  <c r="J153" i="3"/>
  <c r="K153" i="3" s="1"/>
  <c r="Q151" i="3"/>
  <c r="C152" i="3" s="1"/>
  <c r="L152" i="3" s="1"/>
  <c r="Q152" i="3" s="1"/>
  <c r="C153" i="3" s="1"/>
  <c r="F153" i="3" s="1"/>
  <c r="K209" i="1"/>
  <c r="L209" i="1" s="1"/>
  <c r="O154" i="9" l="1"/>
  <c r="Q154" i="9" s="1"/>
  <c r="C155" i="9" s="1"/>
  <c r="L155" i="9" s="1"/>
  <c r="J154" i="6"/>
  <c r="K154" i="6" s="1"/>
  <c r="J153" i="6"/>
  <c r="K153" i="6" s="1"/>
  <c r="L153" i="6" s="1"/>
  <c r="Q151" i="6"/>
  <c r="C152" i="6" s="1"/>
  <c r="L152" i="6" s="1"/>
  <c r="Q152" i="6" s="1"/>
  <c r="C153" i="6" s="1"/>
  <c r="F153" i="6" s="1"/>
  <c r="O157" i="5"/>
  <c r="J159" i="5"/>
  <c r="K159" i="5" s="1"/>
  <c r="J158" i="5"/>
  <c r="K158" i="5" s="1"/>
  <c r="J154" i="4"/>
  <c r="K154" i="4" s="1"/>
  <c r="Q152" i="4"/>
  <c r="C153" i="4" s="1"/>
  <c r="L153" i="4" s="1"/>
  <c r="L153" i="3"/>
  <c r="O209" i="1"/>
  <c r="O155" i="9" l="1"/>
  <c r="J156" i="9"/>
  <c r="K156" i="9" s="1"/>
  <c r="O153" i="6"/>
  <c r="Q157" i="5"/>
  <c r="C158" i="5" s="1"/>
  <c r="L158" i="5" s="1"/>
  <c r="O153" i="4"/>
  <c r="O153" i="3"/>
  <c r="Q209" i="1"/>
  <c r="C210" i="1" s="1"/>
  <c r="L210" i="1" s="1"/>
  <c r="J211" i="1"/>
  <c r="K211" i="1" s="1"/>
  <c r="O210" i="1"/>
  <c r="J157" i="9" l="1"/>
  <c r="K157" i="9" s="1"/>
  <c r="Q155" i="9"/>
  <c r="C156" i="9" s="1"/>
  <c r="L156" i="9" s="1"/>
  <c r="J155" i="6"/>
  <c r="K155" i="6" s="1"/>
  <c r="Q153" i="6"/>
  <c r="C154" i="6" s="1"/>
  <c r="L154" i="6" s="1"/>
  <c r="O158" i="5"/>
  <c r="J155" i="4"/>
  <c r="K155" i="4" s="1"/>
  <c r="Q153" i="4"/>
  <c r="C154" i="4" s="1"/>
  <c r="L154" i="4" s="1"/>
  <c r="J155" i="3"/>
  <c r="K155" i="3" s="1"/>
  <c r="Q153" i="3"/>
  <c r="C154" i="3" s="1"/>
  <c r="L154" i="3" s="1"/>
  <c r="J212" i="1"/>
  <c r="K212" i="1" s="1"/>
  <c r="Q210" i="1"/>
  <c r="C211" i="1" s="1"/>
  <c r="L211" i="1" s="1"/>
  <c r="O211" i="1"/>
  <c r="O156" i="9" l="1"/>
  <c r="O154" i="6"/>
  <c r="J161" i="5"/>
  <c r="K161" i="5" s="1"/>
  <c r="J160" i="5"/>
  <c r="K160" i="5" s="1"/>
  <c r="Q158" i="5"/>
  <c r="C159" i="5" s="1"/>
  <c r="L159" i="5" s="1"/>
  <c r="Q159" i="5" s="1"/>
  <c r="C160" i="5" s="1"/>
  <c r="F160" i="5" s="1"/>
  <c r="O154" i="4"/>
  <c r="O154" i="3"/>
  <c r="J213" i="1"/>
  <c r="K213" i="1" s="1"/>
  <c r="Q211" i="1"/>
  <c r="C212" i="1" s="1"/>
  <c r="L212" i="1" s="1"/>
  <c r="O212" i="1"/>
  <c r="J158" i="9" l="1"/>
  <c r="K158" i="9" s="1"/>
  <c r="Q156" i="9"/>
  <c r="C157" i="9" s="1"/>
  <c r="L157" i="9" s="1"/>
  <c r="J156" i="6"/>
  <c r="K156" i="6" s="1"/>
  <c r="Q154" i="6"/>
  <c r="C155" i="6" s="1"/>
  <c r="L155" i="6" s="1"/>
  <c r="L160" i="5"/>
  <c r="J156" i="4"/>
  <c r="K156" i="4" s="1"/>
  <c r="Q154" i="4"/>
  <c r="C155" i="4" s="1"/>
  <c r="L155" i="4" s="1"/>
  <c r="J156" i="3"/>
  <c r="K156" i="3" s="1"/>
  <c r="Q154" i="3"/>
  <c r="C155" i="3" s="1"/>
  <c r="L155" i="3" s="1"/>
  <c r="Q212" i="1"/>
  <c r="C213" i="1" s="1"/>
  <c r="L213" i="1" s="1"/>
  <c r="J214" i="1"/>
  <c r="K214" i="1" s="1"/>
  <c r="O213" i="1"/>
  <c r="O157" i="9" l="1"/>
  <c r="Q157" i="9" s="1"/>
  <c r="C158" i="9" s="1"/>
  <c r="L158" i="9" s="1"/>
  <c r="O155" i="6"/>
  <c r="O160" i="5"/>
  <c r="O155" i="4"/>
  <c r="Q155" i="4" s="1"/>
  <c r="C156" i="4" s="1"/>
  <c r="L156" i="4" s="1"/>
  <c r="O155" i="3"/>
  <c r="Q213" i="1"/>
  <c r="C214" i="1" s="1"/>
  <c r="J215" i="1"/>
  <c r="K215" i="1" s="1"/>
  <c r="L214" i="1"/>
  <c r="O214" i="1" s="1"/>
  <c r="Q214" i="1" s="1"/>
  <c r="C215" i="1" s="1"/>
  <c r="L215" i="1" s="1"/>
  <c r="Q215" i="1" s="1"/>
  <c r="C216" i="1" s="1"/>
  <c r="F216" i="1" s="1"/>
  <c r="O158" i="9" l="1"/>
  <c r="J161" i="9" s="1"/>
  <c r="K161" i="9" s="1"/>
  <c r="J159" i="9"/>
  <c r="K159" i="9" s="1"/>
  <c r="J157" i="6"/>
  <c r="K157" i="6" s="1"/>
  <c r="Q155" i="6"/>
  <c r="C156" i="6" s="1"/>
  <c r="L156" i="6" s="1"/>
  <c r="J162" i="5"/>
  <c r="K162" i="5" s="1"/>
  <c r="Q160" i="5"/>
  <c r="C161" i="5" s="1"/>
  <c r="L161" i="5" s="1"/>
  <c r="O156" i="4"/>
  <c r="J158" i="4" s="1"/>
  <c r="K158" i="4" s="1"/>
  <c r="J157" i="4"/>
  <c r="K157" i="4" s="1"/>
  <c r="J157" i="3"/>
  <c r="K157" i="3" s="1"/>
  <c r="Q155" i="3"/>
  <c r="C156" i="3" s="1"/>
  <c r="L156" i="3" s="1"/>
  <c r="J216" i="1"/>
  <c r="J160" i="9" l="1"/>
  <c r="K160" i="9" s="1"/>
  <c r="Q158" i="9"/>
  <c r="C159" i="9" s="1"/>
  <c r="L159" i="9" s="1"/>
  <c r="Q159" i="9" s="1"/>
  <c r="C160" i="9" s="1"/>
  <c r="F160" i="9" s="1"/>
  <c r="O156" i="6"/>
  <c r="O161" i="5"/>
  <c r="Q161" i="5" s="1"/>
  <c r="C162" i="5" s="1"/>
  <c r="L162" i="5" s="1"/>
  <c r="Q156" i="4"/>
  <c r="C157" i="4" s="1"/>
  <c r="L157" i="4" s="1"/>
  <c r="O156" i="3"/>
  <c r="K216" i="1"/>
  <c r="L216" i="1" s="1"/>
  <c r="O216" i="1" s="1"/>
  <c r="Q216" i="1" s="1"/>
  <c r="L160" i="9" l="1"/>
  <c r="J158" i="6"/>
  <c r="K158" i="6" s="1"/>
  <c r="Q156" i="6"/>
  <c r="C157" i="6" s="1"/>
  <c r="L157" i="6" s="1"/>
  <c r="O162" i="5"/>
  <c r="J164" i="5" s="1"/>
  <c r="K164" i="5" s="1"/>
  <c r="J163" i="5"/>
  <c r="K163" i="5" s="1"/>
  <c r="O157" i="4"/>
  <c r="J158" i="3"/>
  <c r="K158" i="3" s="1"/>
  <c r="Q156" i="3"/>
  <c r="C157" i="3" s="1"/>
  <c r="L157" i="3" s="1"/>
  <c r="O160" i="9" l="1"/>
  <c r="O157" i="6"/>
  <c r="Q162" i="5"/>
  <c r="C163" i="5" s="1"/>
  <c r="L163" i="5" s="1"/>
  <c r="J160" i="4"/>
  <c r="K160" i="4" s="1"/>
  <c r="J159" i="4"/>
  <c r="K159" i="4" s="1"/>
  <c r="Q157" i="4"/>
  <c r="C158" i="4" s="1"/>
  <c r="L158" i="4" s="1"/>
  <c r="Q158" i="4" s="1"/>
  <c r="C159" i="4" s="1"/>
  <c r="F159" i="4" s="1"/>
  <c r="O157" i="3"/>
  <c r="J162" i="9" l="1"/>
  <c r="K162" i="9" s="1"/>
  <c r="Q160" i="9"/>
  <c r="C161" i="9" s="1"/>
  <c r="L161" i="9" s="1"/>
  <c r="J159" i="6"/>
  <c r="K159" i="6" s="1"/>
  <c r="Q157" i="6"/>
  <c r="C158" i="6" s="1"/>
  <c r="L158" i="6" s="1"/>
  <c r="O163" i="5"/>
  <c r="L159" i="4"/>
  <c r="J159" i="3"/>
  <c r="K159" i="3" s="1"/>
  <c r="Q157" i="3"/>
  <c r="C158" i="3" s="1"/>
  <c r="L158" i="3" s="1"/>
  <c r="O161" i="9" l="1"/>
  <c r="O158" i="6"/>
  <c r="Q158" i="6" s="1"/>
  <c r="C159" i="6" s="1"/>
  <c r="L159" i="6" s="1"/>
  <c r="Q159" i="6" s="1"/>
  <c r="C160" i="6" s="1"/>
  <c r="F160" i="6" s="1"/>
  <c r="J165" i="5"/>
  <c r="K165" i="5" s="1"/>
  <c r="Q163" i="5"/>
  <c r="C164" i="5" s="1"/>
  <c r="L164" i="5" s="1"/>
  <c r="O159" i="4"/>
  <c r="O158" i="3"/>
  <c r="Q158" i="3" s="1"/>
  <c r="C159" i="3" s="1"/>
  <c r="L159" i="3" s="1"/>
  <c r="Q159" i="3" s="1"/>
  <c r="C160" i="3" s="1"/>
  <c r="F160" i="3" s="1"/>
  <c r="J163" i="9" l="1"/>
  <c r="K163" i="9" s="1"/>
  <c r="Q161" i="9"/>
  <c r="C162" i="9" s="1"/>
  <c r="L162" i="9" s="1"/>
  <c r="J161" i="6"/>
  <c r="K161" i="6" s="1"/>
  <c r="J160" i="6"/>
  <c r="K160" i="6" s="1"/>
  <c r="L160" i="6" s="1"/>
  <c r="O164" i="5"/>
  <c r="J161" i="4"/>
  <c r="K161" i="4" s="1"/>
  <c r="Q159" i="4"/>
  <c r="C160" i="4" s="1"/>
  <c r="L160" i="4" s="1"/>
  <c r="J161" i="3"/>
  <c r="K161" i="3" s="1"/>
  <c r="J160" i="3"/>
  <c r="K160" i="3" s="1"/>
  <c r="L160" i="3" s="1"/>
  <c r="O162" i="9" l="1"/>
  <c r="Q162" i="9" s="1"/>
  <c r="C163" i="9" s="1"/>
  <c r="L163" i="9" s="1"/>
  <c r="O160" i="6"/>
  <c r="J166" i="5"/>
  <c r="K166" i="5" s="1"/>
  <c r="Q164" i="5"/>
  <c r="C165" i="5" s="1"/>
  <c r="L165" i="5" s="1"/>
  <c r="O160" i="4"/>
  <c r="O160" i="3"/>
  <c r="O163" i="9" l="1"/>
  <c r="J165" i="9" s="1"/>
  <c r="K165" i="9" s="1"/>
  <c r="J164" i="9"/>
  <c r="K164" i="9" s="1"/>
  <c r="J162" i="6"/>
  <c r="K162" i="6" s="1"/>
  <c r="Q160" i="6"/>
  <c r="C161" i="6" s="1"/>
  <c r="L161" i="6" s="1"/>
  <c r="O165" i="5"/>
  <c r="J162" i="4"/>
  <c r="K162" i="4" s="1"/>
  <c r="Q160" i="4"/>
  <c r="C161" i="4" s="1"/>
  <c r="L161" i="4" s="1"/>
  <c r="J162" i="3"/>
  <c r="K162" i="3" s="1"/>
  <c r="Q160" i="3"/>
  <c r="C161" i="3" s="1"/>
  <c r="L161" i="3" s="1"/>
  <c r="Q163" i="9" l="1"/>
  <c r="C164" i="9" s="1"/>
  <c r="L164" i="9" s="1"/>
  <c r="O161" i="6"/>
  <c r="J168" i="5"/>
  <c r="K168" i="5" s="1"/>
  <c r="J167" i="5"/>
  <c r="K167" i="5" s="1"/>
  <c r="Q165" i="5"/>
  <c r="C166" i="5" s="1"/>
  <c r="L166" i="5" s="1"/>
  <c r="Q166" i="5" s="1"/>
  <c r="C167" i="5" s="1"/>
  <c r="F167" i="5" s="1"/>
  <c r="O161" i="4"/>
  <c r="O161" i="3"/>
  <c r="O164" i="9" l="1"/>
  <c r="J163" i="6"/>
  <c r="K163" i="6" s="1"/>
  <c r="Q161" i="6"/>
  <c r="C162" i="6" s="1"/>
  <c r="L162" i="6" s="1"/>
  <c r="L167" i="5"/>
  <c r="J163" i="4"/>
  <c r="K163" i="4" s="1"/>
  <c r="Q161" i="4"/>
  <c r="C162" i="4" s="1"/>
  <c r="L162" i="4" s="1"/>
  <c r="J163" i="3"/>
  <c r="K163" i="3" s="1"/>
  <c r="Q161" i="3"/>
  <c r="C162" i="3" s="1"/>
  <c r="L162" i="3" s="1"/>
  <c r="J166" i="9" l="1"/>
  <c r="K166" i="9" s="1"/>
  <c r="Q164" i="9"/>
  <c r="C165" i="9" s="1"/>
  <c r="L165" i="9" s="1"/>
  <c r="O162" i="6"/>
  <c r="O167" i="5"/>
  <c r="O162" i="4"/>
  <c r="O162" i="3"/>
  <c r="O165" i="9" l="1"/>
  <c r="Q165" i="9" s="1"/>
  <c r="C166" i="9" s="1"/>
  <c r="L166" i="9" s="1"/>
  <c r="Q166" i="9" s="1"/>
  <c r="C167" i="9" s="1"/>
  <c r="F167" i="9" s="1"/>
  <c r="J164" i="6"/>
  <c r="K164" i="6" s="1"/>
  <c r="Q162" i="6"/>
  <c r="C163" i="6" s="1"/>
  <c r="L163" i="6" s="1"/>
  <c r="J169" i="5"/>
  <c r="K169" i="5" s="1"/>
  <c r="Q167" i="5"/>
  <c r="C168" i="5" s="1"/>
  <c r="L168" i="5" s="1"/>
  <c r="J164" i="4"/>
  <c r="K164" i="4" s="1"/>
  <c r="Q162" i="4"/>
  <c r="C163" i="4" s="1"/>
  <c r="L163" i="4" s="1"/>
  <c r="J164" i="3"/>
  <c r="K164" i="3" s="1"/>
  <c r="Q162" i="3"/>
  <c r="C163" i="3" s="1"/>
  <c r="L163" i="3" s="1"/>
  <c r="J168" i="9" l="1"/>
  <c r="K168" i="9" s="1"/>
  <c r="J167" i="9"/>
  <c r="K167" i="9" s="1"/>
  <c r="L167" i="9" s="1"/>
  <c r="O163" i="6"/>
  <c r="O168" i="5"/>
  <c r="O163" i="4"/>
  <c r="O163" i="3"/>
  <c r="O167" i="9" l="1"/>
  <c r="J165" i="6"/>
  <c r="K165" i="6" s="1"/>
  <c r="Q163" i="6"/>
  <c r="C164" i="6" s="1"/>
  <c r="L164" i="6" s="1"/>
  <c r="J170" i="5"/>
  <c r="K170" i="5" s="1"/>
  <c r="Q168" i="5"/>
  <c r="C169" i="5" s="1"/>
  <c r="L169" i="5" s="1"/>
  <c r="J165" i="4"/>
  <c r="K165" i="4" s="1"/>
  <c r="Q163" i="4"/>
  <c r="C164" i="4" s="1"/>
  <c r="L164" i="4" s="1"/>
  <c r="J165" i="3"/>
  <c r="K165" i="3" s="1"/>
  <c r="Q163" i="3"/>
  <c r="C164" i="3" s="1"/>
  <c r="L164" i="3" s="1"/>
  <c r="J169" i="9" l="1"/>
  <c r="K169" i="9" s="1"/>
  <c r="Q167" i="9"/>
  <c r="C168" i="9" s="1"/>
  <c r="L168" i="9" s="1"/>
  <c r="O164" i="6"/>
  <c r="O169" i="5"/>
  <c r="O164" i="4"/>
  <c r="O164" i="3"/>
  <c r="O168" i="9" l="1"/>
  <c r="Q168" i="9" s="1"/>
  <c r="C169" i="9" s="1"/>
  <c r="L169" i="9" s="1"/>
  <c r="J166" i="6"/>
  <c r="K166" i="6" s="1"/>
  <c r="Q164" i="6"/>
  <c r="C165" i="6" s="1"/>
  <c r="L165" i="6" s="1"/>
  <c r="J171" i="5"/>
  <c r="K171" i="5" s="1"/>
  <c r="Q169" i="5"/>
  <c r="C170" i="5" s="1"/>
  <c r="L170" i="5" s="1"/>
  <c r="J167" i="4"/>
  <c r="K167" i="4" s="1"/>
  <c r="J166" i="4"/>
  <c r="K166" i="4" s="1"/>
  <c r="Q164" i="4"/>
  <c r="C165" i="4" s="1"/>
  <c r="L165" i="4" s="1"/>
  <c r="Q165" i="4" s="1"/>
  <c r="C166" i="4" s="1"/>
  <c r="F166" i="4" s="1"/>
  <c r="J166" i="3"/>
  <c r="K166" i="3" s="1"/>
  <c r="Q164" i="3"/>
  <c r="C165" i="3" s="1"/>
  <c r="L165" i="3" s="1"/>
  <c r="O169" i="9" l="1"/>
  <c r="J171" i="9" s="1"/>
  <c r="K171" i="9" s="1"/>
  <c r="J170" i="9"/>
  <c r="K170" i="9" s="1"/>
  <c r="O165" i="6"/>
  <c r="O170" i="5"/>
  <c r="L166" i="4"/>
  <c r="O165" i="3"/>
  <c r="Q169" i="9" l="1"/>
  <c r="C170" i="9" s="1"/>
  <c r="L170" i="9" s="1"/>
  <c r="J168" i="6"/>
  <c r="K168" i="6" s="1"/>
  <c r="J167" i="6"/>
  <c r="K167" i="6" s="1"/>
  <c r="Q165" i="6"/>
  <c r="C166" i="6" s="1"/>
  <c r="L166" i="6" s="1"/>
  <c r="Q166" i="6" s="1"/>
  <c r="C167" i="6" s="1"/>
  <c r="F167" i="6" s="1"/>
  <c r="J172" i="5"/>
  <c r="K172" i="5" s="1"/>
  <c r="Q170" i="5"/>
  <c r="C171" i="5" s="1"/>
  <c r="L171" i="5" s="1"/>
  <c r="O166" i="4"/>
  <c r="Q166" i="4" s="1"/>
  <c r="C167" i="4" s="1"/>
  <c r="L167" i="4" s="1"/>
  <c r="J168" i="3"/>
  <c r="K168" i="3" s="1"/>
  <c r="J167" i="3"/>
  <c r="K167" i="3" s="1"/>
  <c r="Q165" i="3"/>
  <c r="C166" i="3" s="1"/>
  <c r="L166" i="3" s="1"/>
  <c r="Q166" i="3" s="1"/>
  <c r="C167" i="3" s="1"/>
  <c r="F167" i="3" s="1"/>
  <c r="O170" i="9" l="1"/>
  <c r="L167" i="6"/>
  <c r="O171" i="5"/>
  <c r="O167" i="4"/>
  <c r="J169" i="4" s="1"/>
  <c r="K169" i="4" s="1"/>
  <c r="J168" i="4"/>
  <c r="K168" i="4" s="1"/>
  <c r="L167" i="3"/>
  <c r="J172" i="9" l="1"/>
  <c r="K172" i="9" s="1"/>
  <c r="Q170" i="9"/>
  <c r="C171" i="9" s="1"/>
  <c r="L171" i="9" s="1"/>
  <c r="O167" i="6"/>
  <c r="J173" i="5"/>
  <c r="K173" i="5" s="1"/>
  <c r="Q171" i="5"/>
  <c r="C172" i="5" s="1"/>
  <c r="L172" i="5" s="1"/>
  <c r="Q167" i="4"/>
  <c r="C168" i="4" s="1"/>
  <c r="L168" i="4" s="1"/>
  <c r="Q167" i="3"/>
  <c r="C168" i="3" s="1"/>
  <c r="L168" i="3" s="1"/>
  <c r="O167" i="3"/>
  <c r="O171" i="9" l="1"/>
  <c r="Q171" i="9" s="1"/>
  <c r="C172" i="9" s="1"/>
  <c r="L172" i="9" s="1"/>
  <c r="J169" i="6"/>
  <c r="K169" i="6" s="1"/>
  <c r="Q167" i="6"/>
  <c r="C168" i="6" s="1"/>
  <c r="L168" i="6" s="1"/>
  <c r="O172" i="5"/>
  <c r="O168" i="4"/>
  <c r="J169" i="3"/>
  <c r="K169" i="3" s="1"/>
  <c r="O168" i="3"/>
  <c r="O172" i="9" l="1"/>
  <c r="J175" i="9" s="1"/>
  <c r="K175" i="9" s="1"/>
  <c r="J173" i="9"/>
  <c r="K173" i="9" s="1"/>
  <c r="O168" i="6"/>
  <c r="J175" i="5"/>
  <c r="K175" i="5" s="1"/>
  <c r="J174" i="5"/>
  <c r="K174" i="5" s="1"/>
  <c r="L174" i="5" s="1"/>
  <c r="Q172" i="5"/>
  <c r="C173" i="5" s="1"/>
  <c r="L173" i="5" s="1"/>
  <c r="Q173" i="5" s="1"/>
  <c r="C174" i="5" s="1"/>
  <c r="F174" i="5" s="1"/>
  <c r="J170" i="4"/>
  <c r="K170" i="4" s="1"/>
  <c r="Q168" i="4"/>
  <c r="C169" i="4" s="1"/>
  <c r="L169" i="4" s="1"/>
  <c r="Q168" i="3"/>
  <c r="C169" i="3" s="1"/>
  <c r="L169" i="3"/>
  <c r="J170" i="3"/>
  <c r="K170" i="3" s="1"/>
  <c r="J174" i="9" l="1"/>
  <c r="K174" i="9" s="1"/>
  <c r="Q172" i="9"/>
  <c r="C173" i="9" s="1"/>
  <c r="L173" i="9" s="1"/>
  <c r="Q173" i="9" s="1"/>
  <c r="C174" i="9" s="1"/>
  <c r="F174" i="9" s="1"/>
  <c r="J170" i="6"/>
  <c r="K170" i="6" s="1"/>
  <c r="Q168" i="6"/>
  <c r="C169" i="6" s="1"/>
  <c r="L169" i="6" s="1"/>
  <c r="O174" i="5"/>
  <c r="O169" i="4"/>
  <c r="O169" i="3"/>
  <c r="L174" i="9" l="1"/>
  <c r="O169" i="6"/>
  <c r="J176" i="5"/>
  <c r="K176" i="5" s="1"/>
  <c r="Q174" i="5"/>
  <c r="C175" i="5" s="1"/>
  <c r="L175" i="5" s="1"/>
  <c r="J171" i="4"/>
  <c r="K171" i="4" s="1"/>
  <c r="Q169" i="4"/>
  <c r="C170" i="4" s="1"/>
  <c r="L170" i="4" s="1"/>
  <c r="J171" i="3"/>
  <c r="K171" i="3" s="1"/>
  <c r="Q169" i="3"/>
  <c r="C170" i="3" s="1"/>
  <c r="L170" i="3" s="1"/>
  <c r="O174" i="9" l="1"/>
  <c r="J171" i="6"/>
  <c r="K171" i="6" s="1"/>
  <c r="Q169" i="6"/>
  <c r="C170" i="6" s="1"/>
  <c r="L170" i="6" s="1"/>
  <c r="O175" i="5"/>
  <c r="O170" i="4"/>
  <c r="O170" i="3"/>
  <c r="J176" i="9" l="1"/>
  <c r="K176" i="9" s="1"/>
  <c r="Q174" i="9"/>
  <c r="C175" i="9" s="1"/>
  <c r="L175" i="9" s="1"/>
  <c r="O170" i="6"/>
  <c r="J177" i="5"/>
  <c r="K177" i="5" s="1"/>
  <c r="Q175" i="5"/>
  <c r="C176" i="5" s="1"/>
  <c r="L176" i="5" s="1"/>
  <c r="J172" i="4"/>
  <c r="K172" i="4" s="1"/>
  <c r="Q170" i="4"/>
  <c r="C171" i="4" s="1"/>
  <c r="L171" i="4" s="1"/>
  <c r="J172" i="3"/>
  <c r="K172" i="3" s="1"/>
  <c r="Q170" i="3"/>
  <c r="C171" i="3" s="1"/>
  <c r="L171" i="3" s="1"/>
  <c r="O175" i="9" l="1"/>
  <c r="Q175" i="9" s="1"/>
  <c r="C176" i="9" s="1"/>
  <c r="L176" i="9" s="1"/>
  <c r="J172" i="6"/>
  <c r="K172" i="6" s="1"/>
  <c r="Q170" i="6"/>
  <c r="C171" i="6" s="1"/>
  <c r="L171" i="6" s="1"/>
  <c r="O176" i="5"/>
  <c r="O171" i="4"/>
  <c r="O171" i="3"/>
  <c r="O176" i="9" l="1"/>
  <c r="J177" i="9"/>
  <c r="K177" i="9" s="1"/>
  <c r="O171" i="6"/>
  <c r="J178" i="5"/>
  <c r="K178" i="5" s="1"/>
  <c r="Q176" i="5"/>
  <c r="C177" i="5" s="1"/>
  <c r="L177" i="5" s="1"/>
  <c r="J174" i="4"/>
  <c r="K174" i="4" s="1"/>
  <c r="J173" i="4"/>
  <c r="K173" i="4" s="1"/>
  <c r="Q171" i="4"/>
  <c r="C172" i="4" s="1"/>
  <c r="L172" i="4" s="1"/>
  <c r="Q172" i="4" s="1"/>
  <c r="C173" i="4" s="1"/>
  <c r="F173" i="4" s="1"/>
  <c r="J173" i="3"/>
  <c r="K173" i="3" s="1"/>
  <c r="Q171" i="3"/>
  <c r="C172" i="3" s="1"/>
  <c r="L172" i="3" s="1"/>
  <c r="J178" i="9" l="1"/>
  <c r="K178" i="9" s="1"/>
  <c r="Q176" i="9"/>
  <c r="C177" i="9" s="1"/>
  <c r="L177" i="9" s="1"/>
  <c r="J173" i="6"/>
  <c r="K173" i="6" s="1"/>
  <c r="Q171" i="6"/>
  <c r="C172" i="6" s="1"/>
  <c r="L172" i="6" s="1"/>
  <c r="O177" i="5"/>
  <c r="L173" i="4"/>
  <c r="O172" i="3"/>
  <c r="O177" i="9" l="1"/>
  <c r="O172" i="6"/>
  <c r="J179" i="5"/>
  <c r="K179" i="5" s="1"/>
  <c r="Q177" i="5"/>
  <c r="C178" i="5" s="1"/>
  <c r="L178" i="5" s="1"/>
  <c r="O173" i="4"/>
  <c r="J175" i="3"/>
  <c r="K175" i="3" s="1"/>
  <c r="J174" i="3"/>
  <c r="K174" i="3" s="1"/>
  <c r="Q172" i="3"/>
  <c r="C173" i="3" s="1"/>
  <c r="L173" i="3" s="1"/>
  <c r="Q173" i="3" s="1"/>
  <c r="C174" i="3" s="1"/>
  <c r="F174" i="3" s="1"/>
  <c r="J179" i="9" l="1"/>
  <c r="K179" i="9" s="1"/>
  <c r="Q177" i="9"/>
  <c r="C178" i="9" s="1"/>
  <c r="L178" i="9" s="1"/>
  <c r="J175" i="6"/>
  <c r="K175" i="6" s="1"/>
  <c r="J174" i="6"/>
  <c r="K174" i="6" s="1"/>
  <c r="Q172" i="6"/>
  <c r="C173" i="6" s="1"/>
  <c r="L173" i="6" s="1"/>
  <c r="Q173" i="6" s="1"/>
  <c r="C174" i="6" s="1"/>
  <c r="F174" i="6" s="1"/>
  <c r="O178" i="5"/>
  <c r="J175" i="4"/>
  <c r="K175" i="4" s="1"/>
  <c r="Q173" i="4"/>
  <c r="C174" i="4" s="1"/>
  <c r="L174" i="4" s="1"/>
  <c r="L174" i="3"/>
  <c r="O178" i="9" l="1"/>
  <c r="L174" i="6"/>
  <c r="J180" i="5"/>
  <c r="K180" i="5" s="1"/>
  <c r="Q178" i="5"/>
  <c r="C179" i="5" s="1"/>
  <c r="L179" i="5" s="1"/>
  <c r="O174" i="4"/>
  <c r="O174" i="3"/>
  <c r="J180" i="9" l="1"/>
  <c r="K180" i="9" s="1"/>
  <c r="Q178" i="9"/>
  <c r="C179" i="9" s="1"/>
  <c r="L179" i="9" s="1"/>
  <c r="O174" i="6"/>
  <c r="O179" i="5"/>
  <c r="J176" i="4"/>
  <c r="K176" i="4" s="1"/>
  <c r="Q174" i="4"/>
  <c r="C175" i="4" s="1"/>
  <c r="L175" i="4" s="1"/>
  <c r="J176" i="3"/>
  <c r="K176" i="3" s="1"/>
  <c r="Q174" i="3"/>
  <c r="C175" i="3" s="1"/>
  <c r="L175" i="3" s="1"/>
  <c r="O179" i="9" l="1"/>
  <c r="Q179" i="9" s="1"/>
  <c r="C180" i="9" s="1"/>
  <c r="L180" i="9" s="1"/>
  <c r="Q180" i="9" s="1"/>
  <c r="C181" i="9" s="1"/>
  <c r="F181" i="9" s="1"/>
  <c r="J176" i="6"/>
  <c r="K176" i="6" s="1"/>
  <c r="Q174" i="6"/>
  <c r="C175" i="6" s="1"/>
  <c r="L175" i="6" s="1"/>
  <c r="J182" i="5"/>
  <c r="K182" i="5" s="1"/>
  <c r="J181" i="5"/>
  <c r="K181" i="5" s="1"/>
  <c r="Q179" i="5"/>
  <c r="C180" i="5" s="1"/>
  <c r="L180" i="5" s="1"/>
  <c r="Q180" i="5" s="1"/>
  <c r="C181" i="5" s="1"/>
  <c r="F181" i="5" s="1"/>
  <c r="O175" i="4"/>
  <c r="O175" i="3"/>
  <c r="J182" i="9" l="1"/>
  <c r="K182" i="9" s="1"/>
  <c r="J181" i="9"/>
  <c r="K181" i="9" s="1"/>
  <c r="L181" i="9" s="1"/>
  <c r="O175" i="6"/>
  <c r="L181" i="5"/>
  <c r="J177" i="4"/>
  <c r="K177" i="4" s="1"/>
  <c r="Q175" i="4"/>
  <c r="C176" i="4" s="1"/>
  <c r="L176" i="4" s="1"/>
  <c r="J177" i="3"/>
  <c r="K177" i="3" s="1"/>
  <c r="Q175" i="3"/>
  <c r="C176" i="3" s="1"/>
  <c r="L176" i="3" s="1"/>
  <c r="O181" i="9" l="1"/>
  <c r="J177" i="6"/>
  <c r="K177" i="6" s="1"/>
  <c r="Q175" i="6"/>
  <c r="C176" i="6" s="1"/>
  <c r="L176" i="6" s="1"/>
  <c r="O181" i="5"/>
  <c r="Q181" i="5" s="1"/>
  <c r="C182" i="5" s="1"/>
  <c r="L182" i="5" s="1"/>
  <c r="O176" i="4"/>
  <c r="O176" i="3"/>
  <c r="J183" i="9" l="1"/>
  <c r="K183" i="9" s="1"/>
  <c r="Q181" i="9"/>
  <c r="C182" i="9" s="1"/>
  <c r="L182" i="9" s="1"/>
  <c r="O176" i="6"/>
  <c r="Q176" i="6" s="1"/>
  <c r="C177" i="6" s="1"/>
  <c r="L177" i="6" s="1"/>
  <c r="O182" i="5"/>
  <c r="J183" i="5"/>
  <c r="K183" i="5" s="1"/>
  <c r="J184" i="5"/>
  <c r="K184" i="5" s="1"/>
  <c r="J178" i="4"/>
  <c r="K178" i="4" s="1"/>
  <c r="Q176" i="4"/>
  <c r="C177" i="4" s="1"/>
  <c r="L177" i="4" s="1"/>
  <c r="J178" i="3"/>
  <c r="K178" i="3" s="1"/>
  <c r="Q176" i="3"/>
  <c r="C177" i="3" s="1"/>
  <c r="L177" i="3" s="1"/>
  <c r="O182" i="9" l="1"/>
  <c r="O177" i="6"/>
  <c r="J179" i="6" s="1"/>
  <c r="K179" i="6" s="1"/>
  <c r="J178" i="6"/>
  <c r="K178" i="6" s="1"/>
  <c r="Q182" i="5"/>
  <c r="C183" i="5" s="1"/>
  <c r="L183" i="5" s="1"/>
  <c r="O177" i="4"/>
  <c r="O177" i="3"/>
  <c r="J184" i="9" l="1"/>
  <c r="K184" i="9" s="1"/>
  <c r="Q182" i="9"/>
  <c r="C183" i="9" s="1"/>
  <c r="L183" i="9" s="1"/>
  <c r="Q177" i="6"/>
  <c r="C178" i="6" s="1"/>
  <c r="L178" i="6" s="1"/>
  <c r="O183" i="5"/>
  <c r="J179" i="4"/>
  <c r="K179" i="4" s="1"/>
  <c r="Q177" i="4"/>
  <c r="C178" i="4" s="1"/>
  <c r="L178" i="4" s="1"/>
  <c r="J179" i="3"/>
  <c r="K179" i="3" s="1"/>
  <c r="Q177" i="3"/>
  <c r="C178" i="3" s="1"/>
  <c r="L178" i="3" s="1"/>
  <c r="O183" i="9" l="1"/>
  <c r="O178" i="6"/>
  <c r="J185" i="5"/>
  <c r="K185" i="5" s="1"/>
  <c r="Q183" i="5"/>
  <c r="C184" i="5" s="1"/>
  <c r="L184" i="5" s="1"/>
  <c r="O178" i="4"/>
  <c r="O178" i="3"/>
  <c r="J185" i="9" l="1"/>
  <c r="K185" i="9" s="1"/>
  <c r="Q183" i="9"/>
  <c r="C184" i="9" s="1"/>
  <c r="L184" i="9" s="1"/>
  <c r="J180" i="6"/>
  <c r="K180" i="6" s="1"/>
  <c r="Q178" i="6"/>
  <c r="C179" i="6" s="1"/>
  <c r="L179" i="6" s="1"/>
  <c r="O184" i="5"/>
  <c r="J181" i="4"/>
  <c r="K181" i="4" s="1"/>
  <c r="J180" i="4"/>
  <c r="K180" i="4" s="1"/>
  <c r="Q178" i="4"/>
  <c r="C179" i="4" s="1"/>
  <c r="L179" i="4" s="1"/>
  <c r="Q179" i="4" s="1"/>
  <c r="C180" i="4" s="1"/>
  <c r="F180" i="4" s="1"/>
  <c r="J180" i="3"/>
  <c r="K180" i="3" s="1"/>
  <c r="Q178" i="3"/>
  <c r="C179" i="3" s="1"/>
  <c r="L179" i="3" s="1"/>
  <c r="O184" i="9" l="1"/>
  <c r="O179" i="6"/>
  <c r="J186" i="5"/>
  <c r="K186" i="5" s="1"/>
  <c r="Q184" i="5"/>
  <c r="C185" i="5" s="1"/>
  <c r="L185" i="5" s="1"/>
  <c r="L180" i="4"/>
  <c r="O179" i="3"/>
  <c r="J186" i="9" l="1"/>
  <c r="K186" i="9" s="1"/>
  <c r="Q184" i="9"/>
  <c r="C185" i="9" s="1"/>
  <c r="L185" i="9" s="1"/>
  <c r="J182" i="6"/>
  <c r="K182" i="6" s="1"/>
  <c r="J181" i="6"/>
  <c r="K181" i="6" s="1"/>
  <c r="Q179" i="6"/>
  <c r="C180" i="6" s="1"/>
  <c r="L180" i="6" s="1"/>
  <c r="Q180" i="6" s="1"/>
  <c r="C181" i="6" s="1"/>
  <c r="F181" i="6" s="1"/>
  <c r="O185" i="5"/>
  <c r="O180" i="4"/>
  <c r="J182" i="3"/>
  <c r="K182" i="3" s="1"/>
  <c r="J181" i="3"/>
  <c r="K181" i="3" s="1"/>
  <c r="Q179" i="3"/>
  <c r="C180" i="3" s="1"/>
  <c r="L180" i="3" s="1"/>
  <c r="Q180" i="3" s="1"/>
  <c r="C181" i="3" s="1"/>
  <c r="F181" i="3" s="1"/>
  <c r="O185" i="9" l="1"/>
  <c r="Q185" i="9" s="1"/>
  <c r="C186" i="9" s="1"/>
  <c r="L186" i="9" s="1"/>
  <c r="L181" i="6"/>
  <c r="J187" i="5"/>
  <c r="K187" i="5" s="1"/>
  <c r="Q185" i="5"/>
  <c r="C186" i="5" s="1"/>
  <c r="L186" i="5" s="1"/>
  <c r="J182" i="4"/>
  <c r="K182" i="4" s="1"/>
  <c r="Q180" i="4"/>
  <c r="C181" i="4" s="1"/>
  <c r="L181" i="4" s="1"/>
  <c r="L181" i="3"/>
  <c r="O186" i="9" l="1"/>
  <c r="J189" i="9" s="1"/>
  <c r="K189" i="9" s="1"/>
  <c r="J187" i="9"/>
  <c r="K187" i="9" s="1"/>
  <c r="O181" i="6"/>
  <c r="O186" i="5"/>
  <c r="O181" i="4"/>
  <c r="O181" i="3"/>
  <c r="J188" i="9" l="1"/>
  <c r="K188" i="9" s="1"/>
  <c r="Q186" i="9"/>
  <c r="C187" i="9" s="1"/>
  <c r="L187" i="9" s="1"/>
  <c r="Q187" i="9" s="1"/>
  <c r="C188" i="9" s="1"/>
  <c r="F188" i="9" s="1"/>
  <c r="J183" i="6"/>
  <c r="K183" i="6" s="1"/>
  <c r="Q181" i="6"/>
  <c r="C182" i="6" s="1"/>
  <c r="L182" i="6" s="1"/>
  <c r="J189" i="5"/>
  <c r="K189" i="5" s="1"/>
  <c r="J188" i="5"/>
  <c r="K188" i="5" s="1"/>
  <c r="Q186" i="5"/>
  <c r="C187" i="5" s="1"/>
  <c r="L187" i="5" s="1"/>
  <c r="Q187" i="5" s="1"/>
  <c r="C188" i="5" s="1"/>
  <c r="F188" i="5" s="1"/>
  <c r="J183" i="4"/>
  <c r="K183" i="4" s="1"/>
  <c r="Q181" i="4"/>
  <c r="C182" i="4" s="1"/>
  <c r="L182" i="4" s="1"/>
  <c r="J183" i="3"/>
  <c r="K183" i="3" s="1"/>
  <c r="Q181" i="3"/>
  <c r="C182" i="3" s="1"/>
  <c r="L182" i="3" s="1"/>
  <c r="L188" i="9" l="1"/>
  <c r="O182" i="6"/>
  <c r="L188" i="5"/>
  <c r="O182" i="4"/>
  <c r="O182" i="3"/>
  <c r="O188" i="9" l="1"/>
  <c r="J184" i="6"/>
  <c r="K184" i="6" s="1"/>
  <c r="Q182" i="6"/>
  <c r="C183" i="6" s="1"/>
  <c r="L183" i="6" s="1"/>
  <c r="O188" i="5"/>
  <c r="J184" i="4"/>
  <c r="K184" i="4" s="1"/>
  <c r="Q182" i="4"/>
  <c r="C183" i="4" s="1"/>
  <c r="L183" i="4" s="1"/>
  <c r="J184" i="3"/>
  <c r="K184" i="3" s="1"/>
  <c r="Q182" i="3"/>
  <c r="C183" i="3" s="1"/>
  <c r="L183" i="3" s="1"/>
  <c r="J190" i="9" l="1"/>
  <c r="K190" i="9" s="1"/>
  <c r="Q188" i="9"/>
  <c r="C189" i="9" s="1"/>
  <c r="L189" i="9" s="1"/>
  <c r="O183" i="6"/>
  <c r="J190" i="5"/>
  <c r="K190" i="5" s="1"/>
  <c r="Q188" i="5"/>
  <c r="C189" i="5" s="1"/>
  <c r="L189" i="5" s="1"/>
  <c r="O183" i="4"/>
  <c r="O183" i="3"/>
  <c r="O189" i="9" l="1"/>
  <c r="J185" i="6"/>
  <c r="K185" i="6" s="1"/>
  <c r="Q183" i="6"/>
  <c r="C184" i="6" s="1"/>
  <c r="L184" i="6" s="1"/>
  <c r="O189" i="5"/>
  <c r="J185" i="4"/>
  <c r="K185" i="4" s="1"/>
  <c r="Q183" i="4"/>
  <c r="C184" i="4" s="1"/>
  <c r="L184" i="4" s="1"/>
  <c r="J185" i="3"/>
  <c r="K185" i="3" s="1"/>
  <c r="Q183" i="3"/>
  <c r="C184" i="3" s="1"/>
  <c r="L184" i="3" s="1"/>
  <c r="J191" i="9" l="1"/>
  <c r="K191" i="9" s="1"/>
  <c r="Q189" i="9"/>
  <c r="C190" i="9" s="1"/>
  <c r="L190" i="9" s="1"/>
  <c r="O184" i="6"/>
  <c r="Q184" i="6" s="1"/>
  <c r="C185" i="6" s="1"/>
  <c r="L185" i="6" s="1"/>
  <c r="J191" i="5"/>
  <c r="K191" i="5" s="1"/>
  <c r="Q189" i="5"/>
  <c r="C190" i="5" s="1"/>
  <c r="L190" i="5" s="1"/>
  <c r="O184" i="4"/>
  <c r="O184" i="3"/>
  <c r="O190" i="9" l="1"/>
  <c r="O185" i="6"/>
  <c r="J187" i="6"/>
  <c r="K187" i="6" s="1"/>
  <c r="J186" i="6"/>
  <c r="K186" i="6" s="1"/>
  <c r="O190" i="5"/>
  <c r="J186" i="4"/>
  <c r="K186" i="4" s="1"/>
  <c r="Q184" i="4"/>
  <c r="C185" i="4" s="1"/>
  <c r="L185" i="4" s="1"/>
  <c r="J186" i="3"/>
  <c r="K186" i="3" s="1"/>
  <c r="Q184" i="3"/>
  <c r="C185" i="3" s="1"/>
  <c r="L185" i="3" s="1"/>
  <c r="J192" i="9" l="1"/>
  <c r="K192" i="9" s="1"/>
  <c r="Q190" i="9"/>
  <c r="C191" i="9" s="1"/>
  <c r="L191" i="9" s="1"/>
  <c r="Q185" i="6"/>
  <c r="C186" i="6" s="1"/>
  <c r="L186" i="6" s="1"/>
  <c r="J192" i="5"/>
  <c r="K192" i="5" s="1"/>
  <c r="Q190" i="5"/>
  <c r="C191" i="5" s="1"/>
  <c r="L191" i="5" s="1"/>
  <c r="O185" i="4"/>
  <c r="O185" i="3"/>
  <c r="O191" i="9" l="1"/>
  <c r="O186" i="6"/>
  <c r="O191" i="5"/>
  <c r="J188" i="4"/>
  <c r="K188" i="4" s="1"/>
  <c r="J187" i="4"/>
  <c r="K187" i="4" s="1"/>
  <c r="Q185" i="4"/>
  <c r="C186" i="4" s="1"/>
  <c r="L186" i="4" s="1"/>
  <c r="Q186" i="4" s="1"/>
  <c r="C187" i="4" s="1"/>
  <c r="F187" i="4" s="1"/>
  <c r="J187" i="3"/>
  <c r="K187" i="3" s="1"/>
  <c r="Q185" i="3"/>
  <c r="C186" i="3" s="1"/>
  <c r="L186" i="3" s="1"/>
  <c r="J193" i="9" l="1"/>
  <c r="K193" i="9" s="1"/>
  <c r="Q191" i="9"/>
  <c r="C192" i="9" s="1"/>
  <c r="L192" i="9" s="1"/>
  <c r="J189" i="6"/>
  <c r="K189" i="6" s="1"/>
  <c r="J188" i="6"/>
  <c r="K188" i="6" s="1"/>
  <c r="Q186" i="6"/>
  <c r="C187" i="6" s="1"/>
  <c r="L187" i="6" s="1"/>
  <c r="Q187" i="6" s="1"/>
  <c r="C188" i="6" s="1"/>
  <c r="F188" i="6" s="1"/>
  <c r="J193" i="5"/>
  <c r="K193" i="5" s="1"/>
  <c r="Q191" i="5"/>
  <c r="C192" i="5" s="1"/>
  <c r="L192" i="5" s="1"/>
  <c r="L187" i="4"/>
  <c r="O186" i="3"/>
  <c r="O192" i="9" l="1"/>
  <c r="L188" i="6"/>
  <c r="O192" i="5"/>
  <c r="O187" i="4"/>
  <c r="J189" i="3"/>
  <c r="K189" i="3" s="1"/>
  <c r="J188" i="3"/>
  <c r="K188" i="3" s="1"/>
  <c r="Q186" i="3"/>
  <c r="C187" i="3" s="1"/>
  <c r="L187" i="3" s="1"/>
  <c r="Q187" i="3" s="1"/>
  <c r="C188" i="3" s="1"/>
  <c r="F188" i="3" s="1"/>
  <c r="J194" i="9" l="1"/>
  <c r="K194" i="9" s="1"/>
  <c r="Q192" i="9"/>
  <c r="C193" i="9" s="1"/>
  <c r="L193" i="9" s="1"/>
  <c r="O188" i="6"/>
  <c r="J194" i="5"/>
  <c r="K194" i="5" s="1"/>
  <c r="Q192" i="5"/>
  <c r="C193" i="5" s="1"/>
  <c r="L193" i="5" s="1"/>
  <c r="J189" i="4"/>
  <c r="K189" i="4" s="1"/>
  <c r="Q187" i="4"/>
  <c r="C188" i="4" s="1"/>
  <c r="L188" i="4" s="1"/>
  <c r="L188" i="3"/>
  <c r="O193" i="9" l="1"/>
  <c r="J190" i="6"/>
  <c r="K190" i="6" s="1"/>
  <c r="Q188" i="6"/>
  <c r="C189" i="6" s="1"/>
  <c r="L189" i="6" s="1"/>
  <c r="O193" i="5"/>
  <c r="Q193" i="5" s="1"/>
  <c r="C194" i="5" s="1"/>
  <c r="L194" i="5" s="1"/>
  <c r="Q194" i="5" s="1"/>
  <c r="C195" i="5" s="1"/>
  <c r="F195" i="5" s="1"/>
  <c r="O188" i="4"/>
  <c r="O188" i="3"/>
  <c r="J196" i="9" l="1"/>
  <c r="K196" i="9" s="1"/>
  <c r="J195" i="9"/>
  <c r="K195" i="9" s="1"/>
  <c r="Q193" i="9"/>
  <c r="C194" i="9" s="1"/>
  <c r="L194" i="9" s="1"/>
  <c r="Q194" i="9" s="1"/>
  <c r="C195" i="9" s="1"/>
  <c r="F195" i="9" s="1"/>
  <c r="O189" i="6"/>
  <c r="J196" i="5"/>
  <c r="K196" i="5" s="1"/>
  <c r="J195" i="5"/>
  <c r="K195" i="5" s="1"/>
  <c r="L195" i="5" s="1"/>
  <c r="J190" i="4"/>
  <c r="K190" i="4" s="1"/>
  <c r="Q188" i="4"/>
  <c r="C189" i="4" s="1"/>
  <c r="L189" i="4" s="1"/>
  <c r="J190" i="3"/>
  <c r="K190" i="3" s="1"/>
  <c r="Q188" i="3"/>
  <c r="C189" i="3" s="1"/>
  <c r="L189" i="3" s="1"/>
  <c r="L195" i="9" l="1"/>
  <c r="J191" i="6"/>
  <c r="K191" i="6" s="1"/>
  <c r="Q189" i="6"/>
  <c r="C190" i="6" s="1"/>
  <c r="L190" i="6" s="1"/>
  <c r="O195" i="5"/>
  <c r="O189" i="4"/>
  <c r="O189" i="3"/>
  <c r="O195" i="9" l="1"/>
  <c r="O190" i="6"/>
  <c r="Q190" i="6" s="1"/>
  <c r="C191" i="6" s="1"/>
  <c r="L191" i="6" s="1"/>
  <c r="J197" i="5"/>
  <c r="K197" i="5" s="1"/>
  <c r="Q195" i="5"/>
  <c r="C196" i="5" s="1"/>
  <c r="L196" i="5" s="1"/>
  <c r="J191" i="4"/>
  <c r="K191" i="4" s="1"/>
  <c r="Q189" i="4"/>
  <c r="C190" i="4" s="1"/>
  <c r="L190" i="4" s="1"/>
  <c r="J191" i="3"/>
  <c r="K191" i="3" s="1"/>
  <c r="Q189" i="3"/>
  <c r="C190" i="3" s="1"/>
  <c r="L190" i="3" s="1"/>
  <c r="J197" i="9" l="1"/>
  <c r="K197" i="9" s="1"/>
  <c r="Q195" i="9"/>
  <c r="C196" i="9" s="1"/>
  <c r="L196" i="9" s="1"/>
  <c r="O191" i="6"/>
  <c r="J193" i="6" s="1"/>
  <c r="K193" i="6" s="1"/>
  <c r="J192" i="6"/>
  <c r="K192" i="6" s="1"/>
  <c r="O196" i="5"/>
  <c r="O190" i="4"/>
  <c r="O190" i="3"/>
  <c r="O196" i="9" l="1"/>
  <c r="Q191" i="6"/>
  <c r="C192" i="6" s="1"/>
  <c r="L192" i="6" s="1"/>
  <c r="J198" i="5"/>
  <c r="K198" i="5" s="1"/>
  <c r="Q196" i="5"/>
  <c r="C197" i="5" s="1"/>
  <c r="L197" i="5" s="1"/>
  <c r="J192" i="4"/>
  <c r="K192" i="4" s="1"/>
  <c r="Q190" i="4"/>
  <c r="C191" i="4" s="1"/>
  <c r="L191" i="4" s="1"/>
  <c r="J192" i="3"/>
  <c r="K192" i="3" s="1"/>
  <c r="Q190" i="3"/>
  <c r="C191" i="3" s="1"/>
  <c r="L191" i="3" s="1"/>
  <c r="J198" i="9" l="1"/>
  <c r="K198" i="9" s="1"/>
  <c r="Q196" i="9"/>
  <c r="C197" i="9" s="1"/>
  <c r="L197" i="9" s="1"/>
  <c r="O192" i="6"/>
  <c r="O197" i="5"/>
  <c r="O191" i="4"/>
  <c r="Q191" i="4" s="1"/>
  <c r="C192" i="4" s="1"/>
  <c r="L192" i="4" s="1"/>
  <c r="O191" i="3"/>
  <c r="O197" i="9" l="1"/>
  <c r="Q197" i="9" s="1"/>
  <c r="C198" i="9" s="1"/>
  <c r="L198" i="9" s="1"/>
  <c r="J194" i="6"/>
  <c r="K194" i="6" s="1"/>
  <c r="Q192" i="6"/>
  <c r="C193" i="6" s="1"/>
  <c r="L193" i="6" s="1"/>
  <c r="J199" i="5"/>
  <c r="K199" i="5" s="1"/>
  <c r="Q197" i="5"/>
  <c r="C198" i="5" s="1"/>
  <c r="L198" i="5" s="1"/>
  <c r="O192" i="4"/>
  <c r="J195" i="4" s="1"/>
  <c r="K195" i="4" s="1"/>
  <c r="J194" i="4"/>
  <c r="K194" i="4" s="1"/>
  <c r="J193" i="4"/>
  <c r="K193" i="4" s="1"/>
  <c r="J193" i="3"/>
  <c r="K193" i="3" s="1"/>
  <c r="Q191" i="3"/>
  <c r="C192" i="3" s="1"/>
  <c r="L192" i="3" s="1"/>
  <c r="O198" i="9" l="1"/>
  <c r="J200" i="9" s="1"/>
  <c r="K200" i="9" s="1"/>
  <c r="J199" i="9"/>
  <c r="K199" i="9" s="1"/>
  <c r="O193" i="6"/>
  <c r="O198" i="5"/>
  <c r="Q192" i="4"/>
  <c r="C193" i="4" s="1"/>
  <c r="L193" i="4" s="1"/>
  <c r="Q193" i="4" s="1"/>
  <c r="C194" i="4" s="1"/>
  <c r="O192" i="3"/>
  <c r="Q198" i="9" l="1"/>
  <c r="C199" i="9" s="1"/>
  <c r="L199" i="9" s="1"/>
  <c r="J196" i="6"/>
  <c r="K196" i="6" s="1"/>
  <c r="J195" i="6"/>
  <c r="K195" i="6" s="1"/>
  <c r="Q193" i="6"/>
  <c r="C194" i="6" s="1"/>
  <c r="L194" i="6" s="1"/>
  <c r="Q194" i="6" s="1"/>
  <c r="C195" i="6" s="1"/>
  <c r="F195" i="6" s="1"/>
  <c r="J200" i="5"/>
  <c r="K200" i="5" s="1"/>
  <c r="Q198" i="5"/>
  <c r="C199" i="5" s="1"/>
  <c r="L199" i="5" s="1"/>
  <c r="F194" i="4"/>
  <c r="L194" i="4" s="1"/>
  <c r="J194" i="3"/>
  <c r="K194" i="3" s="1"/>
  <c r="Q192" i="3"/>
  <c r="C193" i="3" s="1"/>
  <c r="L193" i="3" s="1"/>
  <c r="O199" i="9" l="1"/>
  <c r="L195" i="6"/>
  <c r="O199" i="5"/>
  <c r="O194" i="4"/>
  <c r="O193" i="3"/>
  <c r="J201" i="9" l="1"/>
  <c r="K201" i="9" s="1"/>
  <c r="Q199" i="9"/>
  <c r="C200" i="9" s="1"/>
  <c r="L200" i="9" s="1"/>
  <c r="O195" i="6"/>
  <c r="J201" i="5"/>
  <c r="K201" i="5" s="1"/>
  <c r="Q199" i="5"/>
  <c r="C200" i="5" s="1"/>
  <c r="L200" i="5" s="1"/>
  <c r="J196" i="4"/>
  <c r="K196" i="4" s="1"/>
  <c r="Q194" i="4"/>
  <c r="C195" i="4" s="1"/>
  <c r="L195" i="4" s="1"/>
  <c r="J196" i="3"/>
  <c r="K196" i="3" s="1"/>
  <c r="J195" i="3"/>
  <c r="K195" i="3" s="1"/>
  <c r="Q193" i="3"/>
  <c r="C194" i="3" s="1"/>
  <c r="L194" i="3" s="1"/>
  <c r="Q194" i="3" s="1"/>
  <c r="C195" i="3" s="1"/>
  <c r="F195" i="3" s="1"/>
  <c r="O200" i="9" l="1"/>
  <c r="J197" i="6"/>
  <c r="K197" i="6" s="1"/>
  <c r="Q195" i="6"/>
  <c r="C196" i="6" s="1"/>
  <c r="L196" i="6" s="1"/>
  <c r="O200" i="5"/>
  <c r="O195" i="4"/>
  <c r="L195" i="3"/>
  <c r="J203" i="9" l="1"/>
  <c r="K203" i="9" s="1"/>
  <c r="J202" i="9"/>
  <c r="K202" i="9" s="1"/>
  <c r="Q200" i="9"/>
  <c r="C201" i="9" s="1"/>
  <c r="L201" i="9" s="1"/>
  <c r="Q201" i="9" s="1"/>
  <c r="C202" i="9" s="1"/>
  <c r="F202" i="9" s="1"/>
  <c r="Q196" i="6"/>
  <c r="C197" i="6" s="1"/>
  <c r="L197" i="6" s="1"/>
  <c r="O196" i="6"/>
  <c r="J203" i="5"/>
  <c r="K203" i="5" s="1"/>
  <c r="J202" i="5"/>
  <c r="K202" i="5" s="1"/>
  <c r="Q200" i="5"/>
  <c r="C201" i="5" s="1"/>
  <c r="L201" i="5" s="1"/>
  <c r="Q201" i="5" s="1"/>
  <c r="C202" i="5" s="1"/>
  <c r="F202" i="5" s="1"/>
  <c r="J197" i="4"/>
  <c r="K197" i="4" s="1"/>
  <c r="Q195" i="4"/>
  <c r="C196" i="4" s="1"/>
  <c r="L196" i="4" s="1"/>
  <c r="O195" i="3"/>
  <c r="L202" i="9" l="1"/>
  <c r="O197" i="6"/>
  <c r="J199" i="6" s="1"/>
  <c r="K199" i="6" s="1"/>
  <c r="J198" i="6"/>
  <c r="K198" i="6" s="1"/>
  <c r="L202" i="5"/>
  <c r="O196" i="4"/>
  <c r="J197" i="3"/>
  <c r="K197" i="3" s="1"/>
  <c r="Q195" i="3"/>
  <c r="C196" i="3" s="1"/>
  <c r="L196" i="3" s="1"/>
  <c r="O202" i="9" l="1"/>
  <c r="Q197" i="6"/>
  <c r="C198" i="6" s="1"/>
  <c r="L198" i="6" s="1"/>
  <c r="O202" i="5"/>
  <c r="J198" i="4"/>
  <c r="K198" i="4" s="1"/>
  <c r="Q196" i="4"/>
  <c r="C197" i="4" s="1"/>
  <c r="L197" i="4" s="1"/>
  <c r="O196" i="3"/>
  <c r="J204" i="9" l="1"/>
  <c r="K204" i="9" s="1"/>
  <c r="Q202" i="9"/>
  <c r="C203" i="9" s="1"/>
  <c r="L203" i="9" s="1"/>
  <c r="Q198" i="6"/>
  <c r="C199" i="6" s="1"/>
  <c r="L199" i="6" s="1"/>
  <c r="O198" i="6"/>
  <c r="J204" i="5"/>
  <c r="K204" i="5" s="1"/>
  <c r="Q202" i="5"/>
  <c r="C203" i="5" s="1"/>
  <c r="L203" i="5" s="1"/>
  <c r="O197" i="4"/>
  <c r="Q197" i="4" s="1"/>
  <c r="C198" i="4" s="1"/>
  <c r="L198" i="4" s="1"/>
  <c r="J198" i="3"/>
  <c r="K198" i="3" s="1"/>
  <c r="Q196" i="3"/>
  <c r="C197" i="3" s="1"/>
  <c r="L197" i="3" s="1"/>
  <c r="O203" i="9" l="1"/>
  <c r="O199" i="6"/>
  <c r="J200" i="6"/>
  <c r="K200" i="6" s="1"/>
  <c r="Q203" i="5"/>
  <c r="C204" i="5" s="1"/>
  <c r="L204" i="5" s="1"/>
  <c r="O203" i="5"/>
  <c r="O198" i="4"/>
  <c r="J200" i="4"/>
  <c r="K200" i="4" s="1"/>
  <c r="J199" i="4"/>
  <c r="K199" i="4" s="1"/>
  <c r="O197" i="3"/>
  <c r="J205" i="9" l="1"/>
  <c r="K205" i="9" s="1"/>
  <c r="Q203" i="9"/>
  <c r="C204" i="9" s="1"/>
  <c r="L204" i="9" s="1"/>
  <c r="J201" i="6"/>
  <c r="K201" i="6" s="1"/>
  <c r="Q199" i="6"/>
  <c r="C200" i="6" s="1"/>
  <c r="L200" i="6" s="1"/>
  <c r="Q204" i="5"/>
  <c r="C205" i="5" s="1"/>
  <c r="O204" i="5"/>
  <c r="J206" i="5"/>
  <c r="K206" i="5" s="1"/>
  <c r="J205" i="5"/>
  <c r="K205" i="5" s="1"/>
  <c r="L205" i="5" s="1"/>
  <c r="Q198" i="4"/>
  <c r="C199" i="4" s="1"/>
  <c r="L199" i="4" s="1"/>
  <c r="J199" i="3"/>
  <c r="K199" i="3" s="1"/>
  <c r="Q197" i="3"/>
  <c r="C198" i="3" s="1"/>
  <c r="L198" i="3" s="1"/>
  <c r="O204" i="9" l="1"/>
  <c r="O200" i="6"/>
  <c r="Q205" i="5"/>
  <c r="C206" i="5" s="1"/>
  <c r="L206" i="5" s="1"/>
  <c r="O205" i="5"/>
  <c r="J207" i="5"/>
  <c r="K207" i="5" s="1"/>
  <c r="O199" i="4"/>
  <c r="O198" i="3"/>
  <c r="J206" i="9" l="1"/>
  <c r="K206" i="9" s="1"/>
  <c r="Q204" i="9"/>
  <c r="C205" i="9" s="1"/>
  <c r="L205" i="9" s="1"/>
  <c r="J203" i="6"/>
  <c r="K203" i="6" s="1"/>
  <c r="J202" i="6"/>
  <c r="K202" i="6" s="1"/>
  <c r="Q200" i="6"/>
  <c r="C201" i="6" s="1"/>
  <c r="L201" i="6" s="1"/>
  <c r="Q201" i="6" s="1"/>
  <c r="C202" i="6" s="1"/>
  <c r="F202" i="6" s="1"/>
  <c r="Q206" i="5"/>
  <c r="C207" i="5" s="1"/>
  <c r="L207" i="5" s="1"/>
  <c r="O206" i="5"/>
  <c r="J208" i="5"/>
  <c r="K208" i="5" s="1"/>
  <c r="J202" i="4"/>
  <c r="K202" i="4" s="1"/>
  <c r="J201" i="4"/>
  <c r="K201" i="4" s="1"/>
  <c r="Q199" i="4"/>
  <c r="C200" i="4" s="1"/>
  <c r="L200" i="4" s="1"/>
  <c r="Q200" i="4" s="1"/>
  <c r="C201" i="4" s="1"/>
  <c r="F201" i="4" s="1"/>
  <c r="J200" i="3"/>
  <c r="K200" i="3" s="1"/>
  <c r="Q198" i="3"/>
  <c r="C199" i="3" s="1"/>
  <c r="L199" i="3" s="1"/>
  <c r="O205" i="9" l="1"/>
  <c r="L202" i="6"/>
  <c r="Q207" i="5"/>
  <c r="C208" i="5" s="1"/>
  <c r="L208" i="5" s="1"/>
  <c r="Q208" i="5" s="1"/>
  <c r="C209" i="5" s="1"/>
  <c r="F209" i="5" s="1"/>
  <c r="O207" i="5"/>
  <c r="J210" i="5" s="1"/>
  <c r="K210" i="5" s="1"/>
  <c r="J209" i="5"/>
  <c r="K209" i="5" s="1"/>
  <c r="L201" i="4"/>
  <c r="O199" i="3"/>
  <c r="J207" i="9" l="1"/>
  <c r="K207" i="9" s="1"/>
  <c r="Q205" i="9"/>
  <c r="C206" i="9" s="1"/>
  <c r="L206" i="9" s="1"/>
  <c r="O202" i="6"/>
  <c r="L209" i="5"/>
  <c r="O201" i="4"/>
  <c r="J201" i="3"/>
  <c r="K201" i="3" s="1"/>
  <c r="Q199" i="3"/>
  <c r="C200" i="3" s="1"/>
  <c r="L200" i="3" s="1"/>
  <c r="O206" i="9" l="1"/>
  <c r="J204" i="6"/>
  <c r="K204" i="6" s="1"/>
  <c r="Q202" i="6"/>
  <c r="C203" i="6" s="1"/>
  <c r="L203" i="6" s="1"/>
  <c r="O209" i="5"/>
  <c r="Q209" i="5" s="1"/>
  <c r="C210" i="5" s="1"/>
  <c r="L210" i="5" s="1"/>
  <c r="J203" i="4"/>
  <c r="K203" i="4" s="1"/>
  <c r="Q201" i="4"/>
  <c r="C202" i="4" s="1"/>
  <c r="L202" i="4" s="1"/>
  <c r="O200" i="3"/>
  <c r="J208" i="9" l="1"/>
  <c r="K208" i="9" s="1"/>
  <c r="Q206" i="9"/>
  <c r="C207" i="9" s="1"/>
  <c r="L207" i="9" s="1"/>
  <c r="O203" i="6"/>
  <c r="O210" i="5"/>
  <c r="J212" i="5"/>
  <c r="K212" i="5" s="1"/>
  <c r="J211" i="5"/>
  <c r="K211" i="5" s="1"/>
  <c r="O202" i="4"/>
  <c r="Q202" i="4" s="1"/>
  <c r="C203" i="4" s="1"/>
  <c r="L203" i="4" s="1"/>
  <c r="J203" i="3"/>
  <c r="K203" i="3" s="1"/>
  <c r="J202" i="3"/>
  <c r="K202" i="3" s="1"/>
  <c r="Q200" i="3"/>
  <c r="C201" i="3" s="1"/>
  <c r="L201" i="3" s="1"/>
  <c r="Q201" i="3" s="1"/>
  <c r="C202" i="3" s="1"/>
  <c r="F202" i="3" s="1"/>
  <c r="O207" i="9" l="1"/>
  <c r="J205" i="6"/>
  <c r="K205" i="6" s="1"/>
  <c r="Q203" i="6"/>
  <c r="C204" i="6" s="1"/>
  <c r="L204" i="6" s="1"/>
  <c r="Q210" i="5"/>
  <c r="C211" i="5" s="1"/>
  <c r="L211" i="5" s="1"/>
  <c r="O203" i="4"/>
  <c r="Q203" i="4" s="1"/>
  <c r="C204" i="4" s="1"/>
  <c r="J205" i="4"/>
  <c r="K205" i="4" s="1"/>
  <c r="J204" i="4"/>
  <c r="K204" i="4" s="1"/>
  <c r="L202" i="3"/>
  <c r="J210" i="9" l="1"/>
  <c r="K210" i="9" s="1"/>
  <c r="J209" i="9"/>
  <c r="K209" i="9" s="1"/>
  <c r="Q207" i="9"/>
  <c r="C208" i="9" s="1"/>
  <c r="L208" i="9" s="1"/>
  <c r="Q208" i="9" s="1"/>
  <c r="C209" i="9" s="1"/>
  <c r="F209" i="9" s="1"/>
  <c r="O204" i="6"/>
  <c r="O211" i="5"/>
  <c r="L204" i="4"/>
  <c r="O204" i="4"/>
  <c r="Q204" i="4" s="1"/>
  <c r="C205" i="4" s="1"/>
  <c r="L205" i="4" s="1"/>
  <c r="O202" i="3"/>
  <c r="L209" i="9" l="1"/>
  <c r="J206" i="6"/>
  <c r="K206" i="6" s="1"/>
  <c r="Q204" i="6"/>
  <c r="C205" i="6" s="1"/>
  <c r="L205" i="6" s="1"/>
  <c r="J213" i="5"/>
  <c r="K213" i="5" s="1"/>
  <c r="Q211" i="5"/>
  <c r="C212" i="5" s="1"/>
  <c r="L212" i="5" s="1"/>
  <c r="J206" i="4"/>
  <c r="K206" i="4" s="1"/>
  <c r="O205" i="4"/>
  <c r="Q205" i="4" s="1"/>
  <c r="C206" i="4" s="1"/>
  <c r="L206" i="4" s="1"/>
  <c r="J207" i="4"/>
  <c r="K207" i="4" s="1"/>
  <c r="J204" i="3"/>
  <c r="K204" i="3" s="1"/>
  <c r="Q202" i="3"/>
  <c r="C203" i="3" s="1"/>
  <c r="L203" i="3" s="1"/>
  <c r="O209" i="9" l="1"/>
  <c r="O205" i="6"/>
  <c r="O212" i="5"/>
  <c r="O206" i="4"/>
  <c r="J209" i="4" s="1"/>
  <c r="K209" i="4" s="1"/>
  <c r="O203" i="3"/>
  <c r="J211" i="9" l="1"/>
  <c r="K211" i="9" s="1"/>
  <c r="Q209" i="9"/>
  <c r="C210" i="9" s="1"/>
  <c r="L210" i="9" s="1"/>
  <c r="J207" i="6"/>
  <c r="K207" i="6" s="1"/>
  <c r="Q205" i="6"/>
  <c r="C206" i="6" s="1"/>
  <c r="L206" i="6" s="1"/>
  <c r="J214" i="5"/>
  <c r="K214" i="5" s="1"/>
  <c r="Q212" i="5"/>
  <c r="C213" i="5" s="1"/>
  <c r="L213" i="5" s="1"/>
  <c r="Q206" i="4"/>
  <c r="C207" i="4" s="1"/>
  <c r="L207" i="4" s="1"/>
  <c r="Q207" i="4" s="1"/>
  <c r="C208" i="4" s="1"/>
  <c r="F208" i="4" s="1"/>
  <c r="J208" i="4"/>
  <c r="K208" i="4" s="1"/>
  <c r="J205" i="3"/>
  <c r="K205" i="3" s="1"/>
  <c r="Q203" i="3"/>
  <c r="C204" i="3" s="1"/>
  <c r="L204" i="3" s="1"/>
  <c r="O210" i="9" l="1"/>
  <c r="O206" i="6"/>
  <c r="O213" i="5"/>
  <c r="L208" i="4"/>
  <c r="O204" i="3"/>
  <c r="J212" i="9" l="1"/>
  <c r="K212" i="9" s="1"/>
  <c r="Q210" i="9"/>
  <c r="C211" i="9" s="1"/>
  <c r="L211" i="9" s="1"/>
  <c r="J208" i="6"/>
  <c r="K208" i="6" s="1"/>
  <c r="Q206" i="6"/>
  <c r="C207" i="6" s="1"/>
  <c r="L207" i="6" s="1"/>
  <c r="J215" i="5"/>
  <c r="K215" i="5" s="1"/>
  <c r="Q213" i="5"/>
  <c r="C214" i="5" s="1"/>
  <c r="L214" i="5" s="1"/>
  <c r="O208" i="4"/>
  <c r="J206" i="3"/>
  <c r="K206" i="3" s="1"/>
  <c r="Q204" i="3"/>
  <c r="C205" i="3" s="1"/>
  <c r="L205" i="3" s="1"/>
  <c r="O211" i="9" l="1"/>
  <c r="O207" i="6"/>
  <c r="O214" i="5"/>
  <c r="J216" i="5" s="1"/>
  <c r="K216" i="5" s="1"/>
  <c r="J210" i="4"/>
  <c r="K210" i="4" s="1"/>
  <c r="Q208" i="4"/>
  <c r="C209" i="4" s="1"/>
  <c r="L209" i="4" s="1"/>
  <c r="Q205" i="3"/>
  <c r="C206" i="3" s="1"/>
  <c r="L206" i="3" s="1"/>
  <c r="O205" i="3"/>
  <c r="J213" i="9" l="1"/>
  <c r="K213" i="9" s="1"/>
  <c r="Q211" i="9"/>
  <c r="C212" i="9" s="1"/>
  <c r="L212" i="9" s="1"/>
  <c r="J210" i="6"/>
  <c r="K210" i="6" s="1"/>
  <c r="J209" i="6"/>
  <c r="K209" i="6" s="1"/>
  <c r="Q207" i="6"/>
  <c r="C208" i="6" s="1"/>
  <c r="L208" i="6" s="1"/>
  <c r="Q208" i="6" s="1"/>
  <c r="C209" i="6" s="1"/>
  <c r="F209" i="6" s="1"/>
  <c r="Q214" i="5"/>
  <c r="C215" i="5" s="1"/>
  <c r="L215" i="5" s="1"/>
  <c r="Q215" i="5" s="1"/>
  <c r="C216" i="5" s="1"/>
  <c r="F216" i="5" s="1"/>
  <c r="O209" i="4"/>
  <c r="Q209" i="4" s="1"/>
  <c r="C210" i="4" s="1"/>
  <c r="L210" i="4" s="1"/>
  <c r="Q206" i="3"/>
  <c r="C207" i="3" s="1"/>
  <c r="O206" i="3"/>
  <c r="J208" i="3"/>
  <c r="K208" i="3" s="1"/>
  <c r="J207" i="3"/>
  <c r="K207" i="3" s="1"/>
  <c r="L207" i="3" s="1"/>
  <c r="O212" i="9" l="1"/>
  <c r="L209" i="6"/>
  <c r="L216" i="5"/>
  <c r="O210" i="4"/>
  <c r="J212" i="4"/>
  <c r="K212" i="4" s="1"/>
  <c r="J211" i="4"/>
  <c r="K211" i="4" s="1"/>
  <c r="O207" i="3"/>
  <c r="J210" i="3" s="1"/>
  <c r="K210" i="3" s="1"/>
  <c r="J209" i="3"/>
  <c r="K209" i="3" s="1"/>
  <c r="J214" i="9" l="1"/>
  <c r="K214" i="9" s="1"/>
  <c r="Q212" i="9"/>
  <c r="C213" i="9" s="1"/>
  <c r="L213" i="9" s="1"/>
  <c r="O209" i="6"/>
  <c r="O216" i="5"/>
  <c r="Q216" i="5" s="1"/>
  <c r="Q210" i="4"/>
  <c r="C211" i="4" s="1"/>
  <c r="L211" i="4" s="1"/>
  <c r="Q207" i="3"/>
  <c r="C208" i="3" s="1"/>
  <c r="L208" i="3" s="1"/>
  <c r="Q208" i="3" s="1"/>
  <c r="C209" i="3" s="1"/>
  <c r="F209" i="3" s="1"/>
  <c r="O213" i="9" l="1"/>
  <c r="Q213" i="9" s="1"/>
  <c r="C214" i="9" s="1"/>
  <c r="L214" i="9" s="1"/>
  <c r="J211" i="6"/>
  <c r="K211" i="6" s="1"/>
  <c r="Q209" i="6"/>
  <c r="C210" i="6" s="1"/>
  <c r="L210" i="6" s="1"/>
  <c r="O211" i="4"/>
  <c r="L209" i="3"/>
  <c r="O214" i="9" l="1"/>
  <c r="Q214" i="9" s="1"/>
  <c r="C215" i="9" s="1"/>
  <c r="J215" i="9"/>
  <c r="K215" i="9" s="1"/>
  <c r="O210" i="6"/>
  <c r="Q210" i="6" s="1"/>
  <c r="C211" i="6" s="1"/>
  <c r="L211" i="6" s="1"/>
  <c r="J213" i="4"/>
  <c r="K213" i="4" s="1"/>
  <c r="Q211" i="4"/>
  <c r="C212" i="4" s="1"/>
  <c r="L212" i="4" s="1"/>
  <c r="O209" i="3"/>
  <c r="L215" i="9" l="1"/>
  <c r="Q215" i="9" s="1"/>
  <c r="C216" i="9" s="1"/>
  <c r="J216" i="9"/>
  <c r="U12" i="9" s="1"/>
  <c r="O211" i="6"/>
  <c r="J213" i="6" s="1"/>
  <c r="K213" i="6" s="1"/>
  <c r="J212" i="6"/>
  <c r="K212" i="6" s="1"/>
  <c r="O212" i="4"/>
  <c r="J211" i="3"/>
  <c r="K211" i="3" s="1"/>
  <c r="Q209" i="3"/>
  <c r="C210" i="3" s="1"/>
  <c r="L210" i="3" s="1"/>
  <c r="F216" i="9" l="1"/>
  <c r="U5" i="9"/>
  <c r="K216" i="9"/>
  <c r="L216" i="9" s="1"/>
  <c r="U6" i="9" s="1"/>
  <c r="Q211" i="6"/>
  <c r="C212" i="6" s="1"/>
  <c r="L212" i="6" s="1"/>
  <c r="J214" i="4"/>
  <c r="K214" i="4" s="1"/>
  <c r="Q212" i="4"/>
  <c r="C213" i="4" s="1"/>
  <c r="L213" i="4" s="1"/>
  <c r="O210" i="3"/>
  <c r="O216" i="9" l="1"/>
  <c r="Q216" i="9" s="1"/>
  <c r="U4" i="9" s="1"/>
  <c r="O212" i="6"/>
  <c r="O213" i="4"/>
  <c r="J215" i="4" s="1"/>
  <c r="K215" i="4" s="1"/>
  <c r="J212" i="3"/>
  <c r="K212" i="3" s="1"/>
  <c r="Q210" i="3"/>
  <c r="C211" i="3" s="1"/>
  <c r="L211" i="3" s="1"/>
  <c r="J214" i="6" l="1"/>
  <c r="K214" i="6" s="1"/>
  <c r="Q212" i="6"/>
  <c r="C213" i="6" s="1"/>
  <c r="L213" i="6" s="1"/>
  <c r="Q213" i="4"/>
  <c r="C214" i="4" s="1"/>
  <c r="L214" i="4" s="1"/>
  <c r="Q214" i="4" s="1"/>
  <c r="C215" i="4" s="1"/>
  <c r="F215" i="4" s="1"/>
  <c r="L215" i="4" s="1"/>
  <c r="O211" i="3"/>
  <c r="O213" i="6" l="1"/>
  <c r="O215" i="4"/>
  <c r="Q215" i="4" s="1"/>
  <c r="J213" i="3"/>
  <c r="K213" i="3" s="1"/>
  <c r="Q211" i="3"/>
  <c r="C212" i="3" s="1"/>
  <c r="L212" i="3" s="1"/>
  <c r="J215" i="6" l="1"/>
  <c r="K215" i="6" s="1"/>
  <c r="Q213" i="6"/>
  <c r="C214" i="6" s="1"/>
  <c r="L214" i="6" s="1"/>
  <c r="O212" i="3"/>
  <c r="O214" i="6" l="1"/>
  <c r="J216" i="6" s="1"/>
  <c r="K216" i="6" s="1"/>
  <c r="J214" i="3"/>
  <c r="K214" i="3" s="1"/>
  <c r="Q212" i="3"/>
  <c r="C213" i="3" s="1"/>
  <c r="L213" i="3" s="1"/>
  <c r="Q214" i="6" l="1"/>
  <c r="C215" i="6" s="1"/>
  <c r="L215" i="6" s="1"/>
  <c r="Q215" i="6" s="1"/>
  <c r="C216" i="6" s="1"/>
  <c r="F216" i="6" s="1"/>
  <c r="O213" i="3"/>
  <c r="L216" i="6" l="1"/>
  <c r="J215" i="3"/>
  <c r="K215" i="3" s="1"/>
  <c r="Q213" i="3"/>
  <c r="C214" i="3" s="1"/>
  <c r="L214" i="3" s="1"/>
  <c r="O216" i="6" l="1"/>
  <c r="Q216" i="6" s="1"/>
  <c r="O214" i="3"/>
  <c r="J216" i="3" s="1"/>
  <c r="K216" i="3" s="1"/>
  <c r="Q214" i="3" l="1"/>
  <c r="C215" i="3" s="1"/>
  <c r="L215" i="3" s="1"/>
  <c r="Q215" i="3" s="1"/>
  <c r="C216" i="3" s="1"/>
  <c r="F216" i="3" s="1"/>
  <c r="L216" i="3" l="1"/>
  <c r="O216" i="3" l="1"/>
  <c r="Q216" i="3" s="1"/>
</calcChain>
</file>

<file path=xl/sharedStrings.xml><?xml version="1.0" encoding="utf-8"?>
<sst xmlns="http://schemas.openxmlformats.org/spreadsheetml/2006/main" count="115" uniqueCount="20">
  <si>
    <t>Data</t>
  </si>
  <si>
    <t>dzien tygodnia</t>
  </si>
  <si>
    <t>stan jabloni</t>
  </si>
  <si>
    <t>stan wisni</t>
  </si>
  <si>
    <t>czy dostawa</t>
  </si>
  <si>
    <t>ile jablek</t>
  </si>
  <si>
    <t>ile wisni</t>
  </si>
  <si>
    <t>czy dodatkowo</t>
  </si>
  <si>
    <t>ile dodatkowo jablek</t>
  </si>
  <si>
    <t xml:space="preserve">stan jabloni </t>
  </si>
  <si>
    <t>czy sprzedaz</t>
  </si>
  <si>
    <t>ile sprzedajmy jablek</t>
  </si>
  <si>
    <t>ile sprzedajmy wisni</t>
  </si>
  <si>
    <t>stan jablek</t>
  </si>
  <si>
    <t>czy się psuja</t>
  </si>
  <si>
    <t>ile się psuje</t>
  </si>
  <si>
    <t>&lt;10</t>
  </si>
  <si>
    <t>&gt;=10</t>
  </si>
  <si>
    <t>&lt;20</t>
  </si>
  <si>
    <t>&gt;20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</si>
</sst>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2" borderId="0" xfId="1"/>
  </cellXfs>
  <cellStyles count="2">
    <cellStyle name="Dobry" xfId="1" builtinId="26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Sprzedaż</a:t>
            </a:r>
            <a:r>
              <a:rPr lang="pl-PL" baseline="0"/>
              <a:t> drzewek jabłoni i wiśni w okresie od 1 lipca do 31 sierpnia 2022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'2'!$W$3</c:f>
              <c:strCache>
                <c:ptCount val="1"/>
                <c:pt idx="0">
                  <c:v>ile sprzedajmy jablek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'2'!$V$4:$V$65</c:f>
              <c:numCache>
                <c:formatCode>m/d/yyyy</c:formatCode>
                <c:ptCount val="62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  <c:pt idx="30">
                  <c:v>44773</c:v>
                </c:pt>
                <c:pt idx="31">
                  <c:v>44774</c:v>
                </c:pt>
                <c:pt idx="32">
                  <c:v>44775</c:v>
                </c:pt>
                <c:pt idx="33">
                  <c:v>44776</c:v>
                </c:pt>
                <c:pt idx="34">
                  <c:v>44777</c:v>
                </c:pt>
                <c:pt idx="35">
                  <c:v>44778</c:v>
                </c:pt>
                <c:pt idx="36">
                  <c:v>44779</c:v>
                </c:pt>
                <c:pt idx="37">
                  <c:v>44780</c:v>
                </c:pt>
                <c:pt idx="38">
                  <c:v>44781</c:v>
                </c:pt>
                <c:pt idx="39">
                  <c:v>44782</c:v>
                </c:pt>
                <c:pt idx="40">
                  <c:v>44783</c:v>
                </c:pt>
                <c:pt idx="41">
                  <c:v>44784</c:v>
                </c:pt>
                <c:pt idx="42">
                  <c:v>44785</c:v>
                </c:pt>
                <c:pt idx="43">
                  <c:v>44786</c:v>
                </c:pt>
                <c:pt idx="44">
                  <c:v>44787</c:v>
                </c:pt>
                <c:pt idx="45">
                  <c:v>44788</c:v>
                </c:pt>
                <c:pt idx="46">
                  <c:v>44789</c:v>
                </c:pt>
                <c:pt idx="47">
                  <c:v>44790</c:v>
                </c:pt>
                <c:pt idx="48">
                  <c:v>44791</c:v>
                </c:pt>
                <c:pt idx="49">
                  <c:v>44792</c:v>
                </c:pt>
                <c:pt idx="50">
                  <c:v>44793</c:v>
                </c:pt>
                <c:pt idx="51">
                  <c:v>44794</c:v>
                </c:pt>
                <c:pt idx="52">
                  <c:v>44795</c:v>
                </c:pt>
                <c:pt idx="53">
                  <c:v>44796</c:v>
                </c:pt>
                <c:pt idx="54">
                  <c:v>44797</c:v>
                </c:pt>
                <c:pt idx="55">
                  <c:v>44798</c:v>
                </c:pt>
                <c:pt idx="56">
                  <c:v>44799</c:v>
                </c:pt>
                <c:pt idx="57">
                  <c:v>44800</c:v>
                </c:pt>
                <c:pt idx="58">
                  <c:v>44801</c:v>
                </c:pt>
                <c:pt idx="59">
                  <c:v>44802</c:v>
                </c:pt>
                <c:pt idx="60">
                  <c:v>44803</c:v>
                </c:pt>
                <c:pt idx="61">
                  <c:v>44804</c:v>
                </c:pt>
              </c:numCache>
            </c:numRef>
          </c:cat>
          <c:val>
            <c:numRef>
              <c:f>'2'!$W$4:$W$65</c:f>
              <c:numCache>
                <c:formatCode>General</c:formatCode>
                <c:ptCount val="62"/>
                <c:pt idx="0">
                  <c:v>12</c:v>
                </c:pt>
                <c:pt idx="1">
                  <c:v>8</c:v>
                </c:pt>
                <c:pt idx="2">
                  <c:v>0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17</c:v>
                </c:pt>
                <c:pt idx="7">
                  <c:v>12</c:v>
                </c:pt>
                <c:pt idx="8">
                  <c:v>8</c:v>
                </c:pt>
                <c:pt idx="9">
                  <c:v>0</c:v>
                </c:pt>
                <c:pt idx="10">
                  <c:v>5</c:v>
                </c:pt>
                <c:pt idx="11">
                  <c:v>4</c:v>
                </c:pt>
                <c:pt idx="12">
                  <c:v>3</c:v>
                </c:pt>
                <c:pt idx="13">
                  <c:v>17</c:v>
                </c:pt>
                <c:pt idx="14">
                  <c:v>12</c:v>
                </c:pt>
                <c:pt idx="15">
                  <c:v>8</c:v>
                </c:pt>
                <c:pt idx="16">
                  <c:v>0</c:v>
                </c:pt>
                <c:pt idx="17">
                  <c:v>5</c:v>
                </c:pt>
                <c:pt idx="18">
                  <c:v>4</c:v>
                </c:pt>
                <c:pt idx="19">
                  <c:v>3</c:v>
                </c:pt>
                <c:pt idx="20">
                  <c:v>17</c:v>
                </c:pt>
                <c:pt idx="21">
                  <c:v>12</c:v>
                </c:pt>
                <c:pt idx="22">
                  <c:v>8</c:v>
                </c:pt>
                <c:pt idx="23">
                  <c:v>0</c:v>
                </c:pt>
                <c:pt idx="24">
                  <c:v>5</c:v>
                </c:pt>
                <c:pt idx="25">
                  <c:v>4</c:v>
                </c:pt>
                <c:pt idx="26">
                  <c:v>3</c:v>
                </c:pt>
                <c:pt idx="27">
                  <c:v>17</c:v>
                </c:pt>
                <c:pt idx="28">
                  <c:v>12</c:v>
                </c:pt>
                <c:pt idx="29">
                  <c:v>8</c:v>
                </c:pt>
                <c:pt idx="30">
                  <c:v>0</c:v>
                </c:pt>
                <c:pt idx="31">
                  <c:v>5</c:v>
                </c:pt>
                <c:pt idx="32">
                  <c:v>4</c:v>
                </c:pt>
                <c:pt idx="33">
                  <c:v>3</c:v>
                </c:pt>
                <c:pt idx="34">
                  <c:v>17</c:v>
                </c:pt>
                <c:pt idx="35">
                  <c:v>12</c:v>
                </c:pt>
                <c:pt idx="36">
                  <c:v>8</c:v>
                </c:pt>
                <c:pt idx="37">
                  <c:v>0</c:v>
                </c:pt>
                <c:pt idx="38">
                  <c:v>5</c:v>
                </c:pt>
                <c:pt idx="39">
                  <c:v>4</c:v>
                </c:pt>
                <c:pt idx="40">
                  <c:v>3</c:v>
                </c:pt>
                <c:pt idx="41">
                  <c:v>17</c:v>
                </c:pt>
                <c:pt idx="42">
                  <c:v>12</c:v>
                </c:pt>
                <c:pt idx="43">
                  <c:v>8</c:v>
                </c:pt>
                <c:pt idx="44">
                  <c:v>0</c:v>
                </c:pt>
                <c:pt idx="45">
                  <c:v>5</c:v>
                </c:pt>
                <c:pt idx="46">
                  <c:v>4</c:v>
                </c:pt>
                <c:pt idx="47">
                  <c:v>3</c:v>
                </c:pt>
                <c:pt idx="48">
                  <c:v>17</c:v>
                </c:pt>
                <c:pt idx="49">
                  <c:v>12</c:v>
                </c:pt>
                <c:pt idx="50">
                  <c:v>8</c:v>
                </c:pt>
                <c:pt idx="51">
                  <c:v>0</c:v>
                </c:pt>
                <c:pt idx="52">
                  <c:v>5</c:v>
                </c:pt>
                <c:pt idx="53">
                  <c:v>4</c:v>
                </c:pt>
                <c:pt idx="54">
                  <c:v>3</c:v>
                </c:pt>
                <c:pt idx="55">
                  <c:v>17</c:v>
                </c:pt>
                <c:pt idx="56">
                  <c:v>12</c:v>
                </c:pt>
                <c:pt idx="57">
                  <c:v>8</c:v>
                </c:pt>
                <c:pt idx="58">
                  <c:v>0</c:v>
                </c:pt>
                <c:pt idx="59">
                  <c:v>5</c:v>
                </c:pt>
                <c:pt idx="60">
                  <c:v>4</c:v>
                </c:pt>
                <c:pt idx="6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9F-4600-93DF-A2DBB1F8F826}"/>
            </c:ext>
          </c:extLst>
        </c:ser>
        <c:ser>
          <c:idx val="1"/>
          <c:order val="1"/>
          <c:tx>
            <c:strRef>
              <c:f>'2'!$X$3</c:f>
              <c:strCache>
                <c:ptCount val="1"/>
                <c:pt idx="0">
                  <c:v>ile sprzedajmy wisni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'2'!$V$4:$V$65</c:f>
              <c:numCache>
                <c:formatCode>m/d/yyyy</c:formatCode>
                <c:ptCount val="62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  <c:pt idx="30">
                  <c:v>44773</c:v>
                </c:pt>
                <c:pt idx="31">
                  <c:v>44774</c:v>
                </c:pt>
                <c:pt idx="32">
                  <c:v>44775</c:v>
                </c:pt>
                <c:pt idx="33">
                  <c:v>44776</c:v>
                </c:pt>
                <c:pt idx="34">
                  <c:v>44777</c:v>
                </c:pt>
                <c:pt idx="35">
                  <c:v>44778</c:v>
                </c:pt>
                <c:pt idx="36">
                  <c:v>44779</c:v>
                </c:pt>
                <c:pt idx="37">
                  <c:v>44780</c:v>
                </c:pt>
                <c:pt idx="38">
                  <c:v>44781</c:v>
                </c:pt>
                <c:pt idx="39">
                  <c:v>44782</c:v>
                </c:pt>
                <c:pt idx="40">
                  <c:v>44783</c:v>
                </c:pt>
                <c:pt idx="41">
                  <c:v>44784</c:v>
                </c:pt>
                <c:pt idx="42">
                  <c:v>44785</c:v>
                </c:pt>
                <c:pt idx="43">
                  <c:v>44786</c:v>
                </c:pt>
                <c:pt idx="44">
                  <c:v>44787</c:v>
                </c:pt>
                <c:pt idx="45">
                  <c:v>44788</c:v>
                </c:pt>
                <c:pt idx="46">
                  <c:v>44789</c:v>
                </c:pt>
                <c:pt idx="47">
                  <c:v>44790</c:v>
                </c:pt>
                <c:pt idx="48">
                  <c:v>44791</c:v>
                </c:pt>
                <c:pt idx="49">
                  <c:v>44792</c:v>
                </c:pt>
                <c:pt idx="50">
                  <c:v>44793</c:v>
                </c:pt>
                <c:pt idx="51">
                  <c:v>44794</c:v>
                </c:pt>
                <c:pt idx="52">
                  <c:v>44795</c:v>
                </c:pt>
                <c:pt idx="53">
                  <c:v>44796</c:v>
                </c:pt>
                <c:pt idx="54">
                  <c:v>44797</c:v>
                </c:pt>
                <c:pt idx="55">
                  <c:v>44798</c:v>
                </c:pt>
                <c:pt idx="56">
                  <c:v>44799</c:v>
                </c:pt>
                <c:pt idx="57">
                  <c:v>44800</c:v>
                </c:pt>
                <c:pt idx="58">
                  <c:v>44801</c:v>
                </c:pt>
                <c:pt idx="59">
                  <c:v>44802</c:v>
                </c:pt>
                <c:pt idx="60">
                  <c:v>44803</c:v>
                </c:pt>
                <c:pt idx="61">
                  <c:v>44804</c:v>
                </c:pt>
              </c:numCache>
            </c:numRef>
          </c:cat>
          <c:val>
            <c:numRef>
              <c:f>'2'!$X$4:$X$65</c:f>
              <c:numCache>
                <c:formatCode>General</c:formatCode>
                <c:ptCount val="62"/>
                <c:pt idx="0">
                  <c:v>5</c:v>
                </c:pt>
                <c:pt idx="1">
                  <c:v>4</c:v>
                </c:pt>
                <c:pt idx="2">
                  <c:v>0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7</c:v>
                </c:pt>
                <c:pt idx="7">
                  <c:v>5</c:v>
                </c:pt>
                <c:pt idx="8">
                  <c:v>4</c:v>
                </c:pt>
                <c:pt idx="9">
                  <c:v>0</c:v>
                </c:pt>
                <c:pt idx="10">
                  <c:v>4</c:v>
                </c:pt>
                <c:pt idx="11">
                  <c:v>3</c:v>
                </c:pt>
                <c:pt idx="12">
                  <c:v>2</c:v>
                </c:pt>
                <c:pt idx="13">
                  <c:v>7</c:v>
                </c:pt>
                <c:pt idx="14">
                  <c:v>5</c:v>
                </c:pt>
                <c:pt idx="15">
                  <c:v>4</c:v>
                </c:pt>
                <c:pt idx="16">
                  <c:v>0</c:v>
                </c:pt>
                <c:pt idx="17">
                  <c:v>4</c:v>
                </c:pt>
                <c:pt idx="18">
                  <c:v>3</c:v>
                </c:pt>
                <c:pt idx="19">
                  <c:v>2</c:v>
                </c:pt>
                <c:pt idx="20">
                  <c:v>7</c:v>
                </c:pt>
                <c:pt idx="21">
                  <c:v>5</c:v>
                </c:pt>
                <c:pt idx="22">
                  <c:v>4</c:v>
                </c:pt>
                <c:pt idx="23">
                  <c:v>0</c:v>
                </c:pt>
                <c:pt idx="24">
                  <c:v>4</c:v>
                </c:pt>
                <c:pt idx="25">
                  <c:v>3</c:v>
                </c:pt>
                <c:pt idx="26">
                  <c:v>2</c:v>
                </c:pt>
                <c:pt idx="27">
                  <c:v>7</c:v>
                </c:pt>
                <c:pt idx="28">
                  <c:v>5</c:v>
                </c:pt>
                <c:pt idx="29">
                  <c:v>4</c:v>
                </c:pt>
                <c:pt idx="30">
                  <c:v>0</c:v>
                </c:pt>
                <c:pt idx="31">
                  <c:v>4</c:v>
                </c:pt>
                <c:pt idx="32">
                  <c:v>3</c:v>
                </c:pt>
                <c:pt idx="33">
                  <c:v>2</c:v>
                </c:pt>
                <c:pt idx="34">
                  <c:v>7</c:v>
                </c:pt>
                <c:pt idx="35">
                  <c:v>5</c:v>
                </c:pt>
                <c:pt idx="36">
                  <c:v>4</c:v>
                </c:pt>
                <c:pt idx="37">
                  <c:v>0</c:v>
                </c:pt>
                <c:pt idx="38">
                  <c:v>4</c:v>
                </c:pt>
                <c:pt idx="39">
                  <c:v>3</c:v>
                </c:pt>
                <c:pt idx="40">
                  <c:v>2</c:v>
                </c:pt>
                <c:pt idx="41">
                  <c:v>7</c:v>
                </c:pt>
                <c:pt idx="42">
                  <c:v>5</c:v>
                </c:pt>
                <c:pt idx="43">
                  <c:v>4</c:v>
                </c:pt>
                <c:pt idx="44">
                  <c:v>0</c:v>
                </c:pt>
                <c:pt idx="45">
                  <c:v>4</c:v>
                </c:pt>
                <c:pt idx="46">
                  <c:v>3</c:v>
                </c:pt>
                <c:pt idx="47">
                  <c:v>2</c:v>
                </c:pt>
                <c:pt idx="48">
                  <c:v>7</c:v>
                </c:pt>
                <c:pt idx="49">
                  <c:v>5</c:v>
                </c:pt>
                <c:pt idx="50">
                  <c:v>4</c:v>
                </c:pt>
                <c:pt idx="51">
                  <c:v>0</c:v>
                </c:pt>
                <c:pt idx="52">
                  <c:v>4</c:v>
                </c:pt>
                <c:pt idx="53">
                  <c:v>3</c:v>
                </c:pt>
                <c:pt idx="54">
                  <c:v>2</c:v>
                </c:pt>
                <c:pt idx="55">
                  <c:v>7</c:v>
                </c:pt>
                <c:pt idx="56">
                  <c:v>5</c:v>
                </c:pt>
                <c:pt idx="57">
                  <c:v>4</c:v>
                </c:pt>
                <c:pt idx="58">
                  <c:v>0</c:v>
                </c:pt>
                <c:pt idx="59">
                  <c:v>4</c:v>
                </c:pt>
                <c:pt idx="60">
                  <c:v>3</c:v>
                </c:pt>
                <c:pt idx="6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9F-4600-93DF-A2DBB1F8F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4449263"/>
        <c:axId val="824441583"/>
      </c:lineChart>
      <c:dateAx>
        <c:axId val="8244492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Data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24441583"/>
        <c:crosses val="autoZero"/>
        <c:auto val="1"/>
        <c:lblOffset val="100"/>
        <c:baseTimeUnit val="days"/>
      </c:dateAx>
      <c:valAx>
        <c:axId val="82444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</a:t>
                </a:r>
                <a:r>
                  <a:rPr lang="pl-PL" baseline="0"/>
                  <a:t> sprzedanych drzewek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24449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123824</xdr:colOff>
      <xdr:row>3</xdr:row>
      <xdr:rowOff>176211</xdr:rowOff>
    </xdr:from>
    <xdr:to>
      <xdr:col>38</xdr:col>
      <xdr:colOff>238125</xdr:colOff>
      <xdr:row>33</xdr:row>
      <xdr:rowOff>28575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3DBF8B7C-5BB6-C18D-A2D7-4339E900AD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216"/>
  <sheetViews>
    <sheetView workbookViewId="0">
      <selection activeCell="U8" sqref="U8"/>
    </sheetView>
  </sheetViews>
  <sheetFormatPr defaultRowHeight="15" x14ac:dyDescent="0.25"/>
  <cols>
    <col min="1" max="1" width="10.140625" bestFit="1" customWidth="1"/>
    <col min="2" max="2" width="14.140625" bestFit="1" customWidth="1"/>
    <col min="3" max="3" width="11.28515625" bestFit="1" customWidth="1"/>
    <col min="4" max="4" width="9.85546875" bestFit="1" customWidth="1"/>
    <col min="5" max="5" width="11.7109375" bestFit="1" customWidth="1"/>
    <col min="6" max="6" width="11.7109375" customWidth="1"/>
    <col min="7" max="7" width="11.5703125" bestFit="1" customWidth="1"/>
    <col min="9" max="9" width="8.42578125" bestFit="1" customWidth="1"/>
    <col min="10" max="10" width="14.28515625" bestFit="1" customWidth="1"/>
    <col min="11" max="11" width="19.85546875" bestFit="1" customWidth="1"/>
    <col min="12" max="12" width="11.7109375" bestFit="1" customWidth="1"/>
    <col min="13" max="13" width="9.85546875" bestFit="1" customWidth="1"/>
    <col min="14" max="14" width="11.85546875" bestFit="1" customWidth="1"/>
    <col min="15" max="15" width="20" bestFit="1" customWidth="1"/>
    <col min="16" max="16" width="19.28515625" bestFit="1" customWidth="1"/>
    <col min="17" max="17" width="10.5703125" bestFit="1" customWidth="1"/>
    <col min="18" max="18" width="9.85546875" bestFit="1" customWidth="1"/>
  </cols>
  <sheetData>
    <row r="2" spans="1:18" x14ac:dyDescent="0.25">
      <c r="A2" t="s">
        <v>0</v>
      </c>
      <c r="B2" t="s">
        <v>1</v>
      </c>
      <c r="C2" t="s">
        <v>2</v>
      </c>
      <c r="D2" t="s">
        <v>3</v>
      </c>
      <c r="E2" t="s">
        <v>14</v>
      </c>
      <c r="F2" t="s">
        <v>15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3</v>
      </c>
      <c r="N2" t="s">
        <v>10</v>
      </c>
      <c r="O2" t="s">
        <v>11</v>
      </c>
      <c r="P2" t="s">
        <v>12</v>
      </c>
      <c r="Q2" t="s">
        <v>13</v>
      </c>
      <c r="R2" t="s">
        <v>3</v>
      </c>
    </row>
    <row r="3" spans="1:18" x14ac:dyDescent="0.25">
      <c r="A3" s="1">
        <v>44652</v>
      </c>
      <c r="B3">
        <f>WEEKDAY(A3, 2)</f>
        <v>5</v>
      </c>
      <c r="C3">
        <v>100</v>
      </c>
      <c r="D3">
        <v>75</v>
      </c>
      <c r="E3">
        <f>IF(B3=1,1,0)</f>
        <v>0</v>
      </c>
      <c r="F3">
        <f>IF(E3=1,ROUNDUP(5% * C3,0),0)</f>
        <v>0</v>
      </c>
      <c r="G3">
        <f>IF(B3=4,1,0)</f>
        <v>0</v>
      </c>
      <c r="H3">
        <f>IF(G3=1,50,0)</f>
        <v>0</v>
      </c>
      <c r="I3">
        <f>IF(G3=1,25,0)</f>
        <v>0</v>
      </c>
      <c r="J3">
        <v>0</v>
      </c>
      <c r="K3">
        <f>IF(J3=1,15,0)</f>
        <v>0</v>
      </c>
      <c r="L3">
        <f>K3+H3+C3-F3</f>
        <v>100</v>
      </c>
      <c r="M3">
        <f>I3+D3</f>
        <v>75</v>
      </c>
      <c r="N3">
        <f>IF(B3&lt;&gt;7,1,0)</f>
        <v>1</v>
      </c>
      <c r="O3">
        <f>IF(N3=1,ROUNDUP(30% * L3,0),0)</f>
        <v>30</v>
      </c>
      <c r="P3">
        <f>IF(N3=1,ROUNDUP(20% * M3,0),0)</f>
        <v>15</v>
      </c>
      <c r="Q3">
        <f>L3-O3</f>
        <v>70</v>
      </c>
      <c r="R3">
        <f>M3-P3</f>
        <v>60</v>
      </c>
    </row>
    <row r="4" spans="1:18" x14ac:dyDescent="0.25">
      <c r="A4" s="1">
        <v>44653</v>
      </c>
      <c r="B4">
        <f t="shared" ref="B4:B67" si="0">WEEKDAY(A4, 2)</f>
        <v>6</v>
      </c>
      <c r="C4">
        <f>Q3</f>
        <v>70</v>
      </c>
      <c r="D4">
        <f>R3</f>
        <v>60</v>
      </c>
      <c r="E4">
        <f>IF(B4=1,1,0)</f>
        <v>0</v>
      </c>
      <c r="F4">
        <f t="shared" ref="F4:F67" si="1">IF(E4=1,ROUNDUP(5% * C4,0),0)</f>
        <v>0</v>
      </c>
      <c r="G4">
        <f>IF(B4=4,1,0)</f>
        <v>0</v>
      </c>
      <c r="H4">
        <f>IF(G4=1,50,0)</f>
        <v>0</v>
      </c>
      <c r="I4">
        <f>IF(G4=1,25,0)</f>
        <v>0</v>
      </c>
      <c r="J4">
        <f t="shared" ref="J4:J67" si="2">IF(AND(B4=1,SUM(O1:O2)&gt;25),1,0)</f>
        <v>0</v>
      </c>
      <c r="K4">
        <f t="shared" ref="K4:K67" si="3">IF(J4=1,15,0)</f>
        <v>0</v>
      </c>
      <c r="L4">
        <f>K4+H4+C4-F4</f>
        <v>70</v>
      </c>
      <c r="M4">
        <f>I4+D4</f>
        <v>60</v>
      </c>
      <c r="N4">
        <f>IF(B4&lt;&gt;7,1,0)</f>
        <v>1</v>
      </c>
      <c r="O4">
        <f>IF(N4=1,ROUNDUP(30% * L4,0),0)</f>
        <v>21</v>
      </c>
      <c r="P4">
        <f t="shared" ref="P4:P67" si="4">IF(N4=1,ROUNDUP(20% * M4,0),0)</f>
        <v>12</v>
      </c>
      <c r="Q4">
        <f>L4-O4</f>
        <v>49</v>
      </c>
      <c r="R4">
        <f>M4-P4</f>
        <v>48</v>
      </c>
    </row>
    <row r="5" spans="1:18" x14ac:dyDescent="0.25">
      <c r="A5" s="1">
        <v>44654</v>
      </c>
      <c r="B5">
        <f t="shared" si="0"/>
        <v>7</v>
      </c>
      <c r="C5">
        <f t="shared" ref="C5:C68" si="5">Q4</f>
        <v>49</v>
      </c>
      <c r="D5">
        <f t="shared" ref="D5:D68" si="6">R4</f>
        <v>48</v>
      </c>
      <c r="E5">
        <f t="shared" ref="E5:E68" si="7">IF(B5=1,1,0)</f>
        <v>0</v>
      </c>
      <c r="F5">
        <f t="shared" si="1"/>
        <v>0</v>
      </c>
      <c r="G5">
        <f t="shared" ref="G5:G68" si="8">IF(B5=4,1,0)</f>
        <v>0</v>
      </c>
      <c r="H5">
        <f t="shared" ref="H5:H68" si="9">IF(G5=1,50,0)</f>
        <v>0</v>
      </c>
      <c r="I5">
        <f t="shared" ref="I5:I68" si="10">IF(G5=1,25,0)</f>
        <v>0</v>
      </c>
      <c r="J5">
        <f t="shared" si="2"/>
        <v>0</v>
      </c>
      <c r="K5">
        <f t="shared" si="3"/>
        <v>0</v>
      </c>
      <c r="L5">
        <f t="shared" ref="L5:L68" si="11">K5+H5+C5-F5</f>
        <v>49</v>
      </c>
      <c r="M5">
        <f t="shared" ref="M5:M68" si="12">I5+D5</f>
        <v>48</v>
      </c>
      <c r="N5">
        <f t="shared" ref="N5:N68" si="13">IF(B5&lt;&gt;7,1,0)</f>
        <v>0</v>
      </c>
      <c r="O5">
        <f t="shared" ref="O5:O68" si="14">IF(N5=1,ROUNDUP(30% * L5,0),0)</f>
        <v>0</v>
      </c>
      <c r="P5">
        <f t="shared" si="4"/>
        <v>0</v>
      </c>
      <c r="Q5">
        <f t="shared" ref="Q5:Q68" si="15">L5-O5</f>
        <v>49</v>
      </c>
      <c r="R5">
        <f t="shared" ref="R5:R68" si="16">M5-P5</f>
        <v>48</v>
      </c>
    </row>
    <row r="6" spans="1:18" x14ac:dyDescent="0.25">
      <c r="A6" s="1">
        <v>44655</v>
      </c>
      <c r="B6">
        <f t="shared" si="0"/>
        <v>1</v>
      </c>
      <c r="C6">
        <f t="shared" si="5"/>
        <v>49</v>
      </c>
      <c r="D6">
        <f t="shared" si="6"/>
        <v>48</v>
      </c>
      <c r="E6">
        <f t="shared" si="7"/>
        <v>1</v>
      </c>
      <c r="F6">
        <f t="shared" si="1"/>
        <v>3</v>
      </c>
      <c r="G6">
        <f t="shared" si="8"/>
        <v>0</v>
      </c>
      <c r="H6">
        <f t="shared" si="9"/>
        <v>0</v>
      </c>
      <c r="I6">
        <f t="shared" si="10"/>
        <v>0</v>
      </c>
      <c r="J6">
        <f t="shared" si="2"/>
        <v>1</v>
      </c>
      <c r="K6">
        <f t="shared" si="3"/>
        <v>15</v>
      </c>
      <c r="L6">
        <f t="shared" si="11"/>
        <v>61</v>
      </c>
      <c r="M6">
        <f t="shared" si="12"/>
        <v>48</v>
      </c>
      <c r="N6">
        <f t="shared" si="13"/>
        <v>1</v>
      </c>
      <c r="O6">
        <f t="shared" si="14"/>
        <v>19</v>
      </c>
      <c r="P6">
        <f t="shared" si="4"/>
        <v>10</v>
      </c>
      <c r="Q6">
        <f t="shared" si="15"/>
        <v>42</v>
      </c>
      <c r="R6">
        <f t="shared" si="16"/>
        <v>38</v>
      </c>
    </row>
    <row r="7" spans="1:18" x14ac:dyDescent="0.25">
      <c r="A7" s="1">
        <v>44656</v>
      </c>
      <c r="B7">
        <f t="shared" si="0"/>
        <v>2</v>
      </c>
      <c r="C7">
        <f t="shared" si="5"/>
        <v>42</v>
      </c>
      <c r="D7">
        <f t="shared" si="6"/>
        <v>38</v>
      </c>
      <c r="E7">
        <f t="shared" si="7"/>
        <v>0</v>
      </c>
      <c r="F7">
        <f t="shared" si="1"/>
        <v>0</v>
      </c>
      <c r="G7">
        <f t="shared" si="8"/>
        <v>0</v>
      </c>
      <c r="H7">
        <f t="shared" si="9"/>
        <v>0</v>
      </c>
      <c r="I7">
        <f t="shared" si="10"/>
        <v>0</v>
      </c>
      <c r="J7">
        <f t="shared" si="2"/>
        <v>0</v>
      </c>
      <c r="K7">
        <f t="shared" si="3"/>
        <v>0</v>
      </c>
      <c r="L7">
        <f t="shared" si="11"/>
        <v>42</v>
      </c>
      <c r="M7">
        <f t="shared" si="12"/>
        <v>38</v>
      </c>
      <c r="N7">
        <f t="shared" si="13"/>
        <v>1</v>
      </c>
      <c r="O7">
        <f t="shared" si="14"/>
        <v>13</v>
      </c>
      <c r="P7">
        <f t="shared" si="4"/>
        <v>8</v>
      </c>
      <c r="Q7">
        <f t="shared" si="15"/>
        <v>29</v>
      </c>
      <c r="R7">
        <f t="shared" si="16"/>
        <v>30</v>
      </c>
    </row>
    <row r="8" spans="1:18" x14ac:dyDescent="0.25">
      <c r="A8" s="1">
        <v>44657</v>
      </c>
      <c r="B8">
        <f t="shared" si="0"/>
        <v>3</v>
      </c>
      <c r="C8">
        <f t="shared" si="5"/>
        <v>29</v>
      </c>
      <c r="D8">
        <f t="shared" si="6"/>
        <v>30</v>
      </c>
      <c r="E8">
        <f t="shared" si="7"/>
        <v>0</v>
      </c>
      <c r="F8">
        <f t="shared" si="1"/>
        <v>0</v>
      </c>
      <c r="G8">
        <f t="shared" si="8"/>
        <v>0</v>
      </c>
      <c r="H8">
        <f t="shared" si="9"/>
        <v>0</v>
      </c>
      <c r="I8">
        <f t="shared" si="10"/>
        <v>0</v>
      </c>
      <c r="J8">
        <f t="shared" si="2"/>
        <v>0</v>
      </c>
      <c r="K8">
        <f t="shared" si="3"/>
        <v>0</v>
      </c>
      <c r="L8">
        <f t="shared" si="11"/>
        <v>29</v>
      </c>
      <c r="M8">
        <f t="shared" si="12"/>
        <v>30</v>
      </c>
      <c r="N8">
        <f t="shared" si="13"/>
        <v>1</v>
      </c>
      <c r="O8">
        <f t="shared" si="14"/>
        <v>9</v>
      </c>
      <c r="P8">
        <f t="shared" si="4"/>
        <v>6</v>
      </c>
      <c r="Q8">
        <f t="shared" si="15"/>
        <v>20</v>
      </c>
      <c r="R8">
        <f t="shared" si="16"/>
        <v>24</v>
      </c>
    </row>
    <row r="9" spans="1:18" x14ac:dyDescent="0.25">
      <c r="A9" s="1">
        <v>44658</v>
      </c>
      <c r="B9">
        <f t="shared" si="0"/>
        <v>4</v>
      </c>
      <c r="C9">
        <f t="shared" si="5"/>
        <v>20</v>
      </c>
      <c r="D9">
        <f t="shared" si="6"/>
        <v>24</v>
      </c>
      <c r="E9">
        <f t="shared" si="7"/>
        <v>0</v>
      </c>
      <c r="F9">
        <f t="shared" si="1"/>
        <v>0</v>
      </c>
      <c r="G9">
        <f t="shared" si="8"/>
        <v>1</v>
      </c>
      <c r="H9">
        <f t="shared" si="9"/>
        <v>50</v>
      </c>
      <c r="I9">
        <f t="shared" si="10"/>
        <v>25</v>
      </c>
      <c r="J9">
        <f t="shared" si="2"/>
        <v>0</v>
      </c>
      <c r="K9">
        <f t="shared" si="3"/>
        <v>0</v>
      </c>
      <c r="L9">
        <f t="shared" si="11"/>
        <v>70</v>
      </c>
      <c r="M9">
        <f t="shared" si="12"/>
        <v>49</v>
      </c>
      <c r="N9">
        <f t="shared" si="13"/>
        <v>1</v>
      </c>
      <c r="O9">
        <f t="shared" si="14"/>
        <v>21</v>
      </c>
      <c r="P9">
        <f t="shared" si="4"/>
        <v>10</v>
      </c>
      <c r="Q9">
        <f t="shared" si="15"/>
        <v>49</v>
      </c>
      <c r="R9">
        <f t="shared" si="16"/>
        <v>39</v>
      </c>
    </row>
    <row r="10" spans="1:18" x14ac:dyDescent="0.25">
      <c r="A10" s="1">
        <v>44659</v>
      </c>
      <c r="B10">
        <f t="shared" si="0"/>
        <v>5</v>
      </c>
      <c r="C10">
        <f t="shared" si="5"/>
        <v>49</v>
      </c>
      <c r="D10">
        <f t="shared" si="6"/>
        <v>39</v>
      </c>
      <c r="E10">
        <f t="shared" si="7"/>
        <v>0</v>
      </c>
      <c r="F10">
        <f t="shared" si="1"/>
        <v>0</v>
      </c>
      <c r="G10">
        <f t="shared" si="8"/>
        <v>0</v>
      </c>
      <c r="H10">
        <f t="shared" si="9"/>
        <v>0</v>
      </c>
      <c r="I10">
        <f t="shared" si="10"/>
        <v>0</v>
      </c>
      <c r="J10">
        <f t="shared" si="2"/>
        <v>0</v>
      </c>
      <c r="K10">
        <f t="shared" si="3"/>
        <v>0</v>
      </c>
      <c r="L10">
        <f t="shared" si="11"/>
        <v>49</v>
      </c>
      <c r="M10">
        <f t="shared" si="12"/>
        <v>39</v>
      </c>
      <c r="N10">
        <f t="shared" si="13"/>
        <v>1</v>
      </c>
      <c r="O10">
        <f t="shared" si="14"/>
        <v>15</v>
      </c>
      <c r="P10">
        <f t="shared" si="4"/>
        <v>8</v>
      </c>
      <c r="Q10">
        <f t="shared" si="15"/>
        <v>34</v>
      </c>
      <c r="R10">
        <f t="shared" si="16"/>
        <v>31</v>
      </c>
    </row>
    <row r="11" spans="1:18" x14ac:dyDescent="0.25">
      <c r="A11" s="1">
        <v>44660</v>
      </c>
      <c r="B11">
        <f t="shared" si="0"/>
        <v>6</v>
      </c>
      <c r="C11">
        <f t="shared" si="5"/>
        <v>34</v>
      </c>
      <c r="D11">
        <f t="shared" si="6"/>
        <v>31</v>
      </c>
      <c r="E11">
        <f t="shared" si="7"/>
        <v>0</v>
      </c>
      <c r="F11">
        <f t="shared" si="1"/>
        <v>0</v>
      </c>
      <c r="G11">
        <f t="shared" si="8"/>
        <v>0</v>
      </c>
      <c r="H11">
        <f t="shared" si="9"/>
        <v>0</v>
      </c>
      <c r="I11">
        <f t="shared" si="10"/>
        <v>0</v>
      </c>
      <c r="J11">
        <f t="shared" si="2"/>
        <v>0</v>
      </c>
      <c r="K11">
        <f t="shared" si="3"/>
        <v>0</v>
      </c>
      <c r="L11">
        <f t="shared" si="11"/>
        <v>34</v>
      </c>
      <c r="M11">
        <f t="shared" si="12"/>
        <v>31</v>
      </c>
      <c r="N11">
        <f t="shared" si="13"/>
        <v>1</v>
      </c>
      <c r="O11">
        <f t="shared" si="14"/>
        <v>11</v>
      </c>
      <c r="P11">
        <f t="shared" si="4"/>
        <v>7</v>
      </c>
      <c r="Q11">
        <f t="shared" si="15"/>
        <v>23</v>
      </c>
      <c r="R11">
        <f t="shared" si="16"/>
        <v>24</v>
      </c>
    </row>
    <row r="12" spans="1:18" x14ac:dyDescent="0.25">
      <c r="A12" s="1">
        <v>44661</v>
      </c>
      <c r="B12">
        <f t="shared" si="0"/>
        <v>7</v>
      </c>
      <c r="C12">
        <f t="shared" si="5"/>
        <v>23</v>
      </c>
      <c r="D12">
        <f t="shared" si="6"/>
        <v>24</v>
      </c>
      <c r="E12">
        <f t="shared" si="7"/>
        <v>0</v>
      </c>
      <c r="F12">
        <f t="shared" si="1"/>
        <v>0</v>
      </c>
      <c r="G12">
        <f t="shared" si="8"/>
        <v>0</v>
      </c>
      <c r="H12">
        <f t="shared" si="9"/>
        <v>0</v>
      </c>
      <c r="I12">
        <f t="shared" si="10"/>
        <v>0</v>
      </c>
      <c r="J12">
        <f t="shared" si="2"/>
        <v>0</v>
      </c>
      <c r="K12">
        <f t="shared" si="3"/>
        <v>0</v>
      </c>
      <c r="L12">
        <f t="shared" si="11"/>
        <v>23</v>
      </c>
      <c r="M12">
        <f t="shared" si="12"/>
        <v>24</v>
      </c>
      <c r="N12">
        <f t="shared" si="13"/>
        <v>0</v>
      </c>
      <c r="O12">
        <f t="shared" si="14"/>
        <v>0</v>
      </c>
      <c r="P12">
        <f t="shared" si="4"/>
        <v>0</v>
      </c>
      <c r="Q12">
        <f t="shared" si="15"/>
        <v>23</v>
      </c>
      <c r="R12">
        <f t="shared" si="16"/>
        <v>24</v>
      </c>
    </row>
    <row r="13" spans="1:18" x14ac:dyDescent="0.25">
      <c r="A13" s="1">
        <v>44662</v>
      </c>
      <c r="B13">
        <f t="shared" si="0"/>
        <v>1</v>
      </c>
      <c r="C13">
        <f t="shared" si="5"/>
        <v>23</v>
      </c>
      <c r="D13">
        <f t="shared" si="6"/>
        <v>24</v>
      </c>
      <c r="E13">
        <f t="shared" si="7"/>
        <v>1</v>
      </c>
      <c r="F13">
        <f t="shared" si="1"/>
        <v>2</v>
      </c>
      <c r="G13">
        <f t="shared" si="8"/>
        <v>0</v>
      </c>
      <c r="H13">
        <f t="shared" si="9"/>
        <v>0</v>
      </c>
      <c r="I13">
        <f t="shared" si="10"/>
        <v>0</v>
      </c>
      <c r="J13">
        <f t="shared" si="2"/>
        <v>1</v>
      </c>
      <c r="K13">
        <f t="shared" si="3"/>
        <v>15</v>
      </c>
      <c r="L13">
        <f t="shared" si="11"/>
        <v>36</v>
      </c>
      <c r="M13">
        <f t="shared" si="12"/>
        <v>24</v>
      </c>
      <c r="N13">
        <f t="shared" si="13"/>
        <v>1</v>
      </c>
      <c r="O13">
        <f t="shared" si="14"/>
        <v>11</v>
      </c>
      <c r="P13">
        <f t="shared" si="4"/>
        <v>5</v>
      </c>
      <c r="Q13">
        <f t="shared" si="15"/>
        <v>25</v>
      </c>
      <c r="R13">
        <f t="shared" si="16"/>
        <v>19</v>
      </c>
    </row>
    <row r="14" spans="1:18" x14ac:dyDescent="0.25">
      <c r="A14" s="1">
        <v>44663</v>
      </c>
      <c r="B14">
        <f t="shared" si="0"/>
        <v>2</v>
      </c>
      <c r="C14">
        <f t="shared" si="5"/>
        <v>25</v>
      </c>
      <c r="D14">
        <f t="shared" si="6"/>
        <v>19</v>
      </c>
      <c r="E14">
        <f t="shared" si="7"/>
        <v>0</v>
      </c>
      <c r="F14">
        <f t="shared" si="1"/>
        <v>0</v>
      </c>
      <c r="G14">
        <f t="shared" si="8"/>
        <v>0</v>
      </c>
      <c r="H14">
        <f t="shared" si="9"/>
        <v>0</v>
      </c>
      <c r="I14">
        <f t="shared" si="10"/>
        <v>0</v>
      </c>
      <c r="J14">
        <f t="shared" si="2"/>
        <v>0</v>
      </c>
      <c r="K14">
        <f t="shared" si="3"/>
        <v>0</v>
      </c>
      <c r="L14">
        <f t="shared" si="11"/>
        <v>25</v>
      </c>
      <c r="M14">
        <f t="shared" si="12"/>
        <v>19</v>
      </c>
      <c r="N14">
        <f t="shared" si="13"/>
        <v>1</v>
      </c>
      <c r="O14">
        <f t="shared" si="14"/>
        <v>8</v>
      </c>
      <c r="P14">
        <f t="shared" si="4"/>
        <v>4</v>
      </c>
      <c r="Q14">
        <f t="shared" si="15"/>
        <v>17</v>
      </c>
      <c r="R14">
        <f t="shared" si="16"/>
        <v>15</v>
      </c>
    </row>
    <row r="15" spans="1:18" x14ac:dyDescent="0.25">
      <c r="A15" s="1">
        <v>44664</v>
      </c>
      <c r="B15">
        <f t="shared" si="0"/>
        <v>3</v>
      </c>
      <c r="C15">
        <f t="shared" si="5"/>
        <v>17</v>
      </c>
      <c r="D15">
        <f t="shared" si="6"/>
        <v>15</v>
      </c>
      <c r="E15">
        <f t="shared" si="7"/>
        <v>0</v>
      </c>
      <c r="F15">
        <f t="shared" si="1"/>
        <v>0</v>
      </c>
      <c r="G15">
        <f t="shared" si="8"/>
        <v>0</v>
      </c>
      <c r="H15">
        <f t="shared" si="9"/>
        <v>0</v>
      </c>
      <c r="I15">
        <f t="shared" si="10"/>
        <v>0</v>
      </c>
      <c r="J15">
        <f t="shared" si="2"/>
        <v>0</v>
      </c>
      <c r="K15">
        <f t="shared" si="3"/>
        <v>0</v>
      </c>
      <c r="L15">
        <f t="shared" si="11"/>
        <v>17</v>
      </c>
      <c r="M15">
        <f t="shared" si="12"/>
        <v>15</v>
      </c>
      <c r="N15">
        <f t="shared" si="13"/>
        <v>1</v>
      </c>
      <c r="O15">
        <f t="shared" si="14"/>
        <v>6</v>
      </c>
      <c r="P15">
        <f t="shared" si="4"/>
        <v>3</v>
      </c>
      <c r="Q15">
        <f t="shared" si="15"/>
        <v>11</v>
      </c>
      <c r="R15">
        <f t="shared" si="16"/>
        <v>12</v>
      </c>
    </row>
    <row r="16" spans="1:18" x14ac:dyDescent="0.25">
      <c r="A16" s="1">
        <v>44665</v>
      </c>
      <c r="B16">
        <f t="shared" si="0"/>
        <v>4</v>
      </c>
      <c r="C16">
        <f t="shared" si="5"/>
        <v>11</v>
      </c>
      <c r="D16">
        <f t="shared" si="6"/>
        <v>12</v>
      </c>
      <c r="E16">
        <f t="shared" si="7"/>
        <v>0</v>
      </c>
      <c r="F16">
        <f t="shared" si="1"/>
        <v>0</v>
      </c>
      <c r="G16">
        <f t="shared" si="8"/>
        <v>1</v>
      </c>
      <c r="H16">
        <f t="shared" si="9"/>
        <v>50</v>
      </c>
      <c r="I16">
        <f t="shared" si="10"/>
        <v>25</v>
      </c>
      <c r="J16">
        <f t="shared" si="2"/>
        <v>0</v>
      </c>
      <c r="K16">
        <f t="shared" si="3"/>
        <v>0</v>
      </c>
      <c r="L16">
        <f t="shared" si="11"/>
        <v>61</v>
      </c>
      <c r="M16">
        <f t="shared" si="12"/>
        <v>37</v>
      </c>
      <c r="N16">
        <f t="shared" si="13"/>
        <v>1</v>
      </c>
      <c r="O16">
        <f t="shared" si="14"/>
        <v>19</v>
      </c>
      <c r="P16">
        <f t="shared" si="4"/>
        <v>8</v>
      </c>
      <c r="Q16">
        <f t="shared" si="15"/>
        <v>42</v>
      </c>
      <c r="R16">
        <f t="shared" si="16"/>
        <v>29</v>
      </c>
    </row>
    <row r="17" spans="1:18" x14ac:dyDescent="0.25">
      <c r="A17" s="1">
        <v>44666</v>
      </c>
      <c r="B17">
        <f t="shared" si="0"/>
        <v>5</v>
      </c>
      <c r="C17">
        <f t="shared" si="5"/>
        <v>42</v>
      </c>
      <c r="D17">
        <f t="shared" si="6"/>
        <v>29</v>
      </c>
      <c r="E17">
        <f t="shared" si="7"/>
        <v>0</v>
      </c>
      <c r="F17">
        <f t="shared" si="1"/>
        <v>0</v>
      </c>
      <c r="G17">
        <f t="shared" si="8"/>
        <v>0</v>
      </c>
      <c r="H17">
        <f t="shared" si="9"/>
        <v>0</v>
      </c>
      <c r="I17">
        <f t="shared" si="10"/>
        <v>0</v>
      </c>
      <c r="J17">
        <f t="shared" si="2"/>
        <v>0</v>
      </c>
      <c r="K17">
        <f t="shared" si="3"/>
        <v>0</v>
      </c>
      <c r="L17">
        <f t="shared" si="11"/>
        <v>42</v>
      </c>
      <c r="M17">
        <f t="shared" si="12"/>
        <v>29</v>
      </c>
      <c r="N17">
        <f t="shared" si="13"/>
        <v>1</v>
      </c>
      <c r="O17">
        <f t="shared" si="14"/>
        <v>13</v>
      </c>
      <c r="P17">
        <f t="shared" si="4"/>
        <v>6</v>
      </c>
      <c r="Q17">
        <f t="shared" si="15"/>
        <v>29</v>
      </c>
      <c r="R17">
        <f t="shared" si="16"/>
        <v>23</v>
      </c>
    </row>
    <row r="18" spans="1:18" x14ac:dyDescent="0.25">
      <c r="A18" s="1">
        <v>44667</v>
      </c>
      <c r="B18">
        <f t="shared" si="0"/>
        <v>6</v>
      </c>
      <c r="C18">
        <f t="shared" si="5"/>
        <v>29</v>
      </c>
      <c r="D18">
        <f t="shared" si="6"/>
        <v>23</v>
      </c>
      <c r="E18">
        <f t="shared" si="7"/>
        <v>0</v>
      </c>
      <c r="F18">
        <f t="shared" si="1"/>
        <v>0</v>
      </c>
      <c r="G18">
        <f t="shared" si="8"/>
        <v>0</v>
      </c>
      <c r="H18">
        <f t="shared" si="9"/>
        <v>0</v>
      </c>
      <c r="I18">
        <f t="shared" si="10"/>
        <v>0</v>
      </c>
      <c r="J18">
        <f t="shared" si="2"/>
        <v>0</v>
      </c>
      <c r="K18">
        <f t="shared" si="3"/>
        <v>0</v>
      </c>
      <c r="L18">
        <f t="shared" si="11"/>
        <v>29</v>
      </c>
      <c r="M18">
        <f t="shared" si="12"/>
        <v>23</v>
      </c>
      <c r="N18">
        <f t="shared" si="13"/>
        <v>1</v>
      </c>
      <c r="O18">
        <f t="shared" si="14"/>
        <v>9</v>
      </c>
      <c r="P18">
        <f t="shared" si="4"/>
        <v>5</v>
      </c>
      <c r="Q18">
        <f t="shared" si="15"/>
        <v>20</v>
      </c>
      <c r="R18">
        <f t="shared" si="16"/>
        <v>18</v>
      </c>
    </row>
    <row r="19" spans="1:18" x14ac:dyDescent="0.25">
      <c r="A19" s="1">
        <v>44668</v>
      </c>
      <c r="B19">
        <f t="shared" si="0"/>
        <v>7</v>
      </c>
      <c r="C19">
        <f t="shared" si="5"/>
        <v>20</v>
      </c>
      <c r="D19">
        <f t="shared" si="6"/>
        <v>18</v>
      </c>
      <c r="E19">
        <f t="shared" si="7"/>
        <v>0</v>
      </c>
      <c r="F19">
        <f t="shared" si="1"/>
        <v>0</v>
      </c>
      <c r="G19">
        <f t="shared" si="8"/>
        <v>0</v>
      </c>
      <c r="H19">
        <f t="shared" si="9"/>
        <v>0</v>
      </c>
      <c r="I19">
        <f t="shared" si="10"/>
        <v>0</v>
      </c>
      <c r="J19">
        <f t="shared" si="2"/>
        <v>0</v>
      </c>
      <c r="K19">
        <f t="shared" si="3"/>
        <v>0</v>
      </c>
      <c r="L19">
        <f t="shared" si="11"/>
        <v>20</v>
      </c>
      <c r="M19">
        <f t="shared" si="12"/>
        <v>18</v>
      </c>
      <c r="N19">
        <f t="shared" si="13"/>
        <v>0</v>
      </c>
      <c r="O19">
        <f t="shared" si="14"/>
        <v>0</v>
      </c>
      <c r="P19">
        <f t="shared" si="4"/>
        <v>0</v>
      </c>
      <c r="Q19">
        <f t="shared" si="15"/>
        <v>20</v>
      </c>
      <c r="R19">
        <f t="shared" si="16"/>
        <v>18</v>
      </c>
    </row>
    <row r="20" spans="1:18" x14ac:dyDescent="0.25">
      <c r="A20" s="1">
        <v>44669</v>
      </c>
      <c r="B20">
        <f t="shared" si="0"/>
        <v>1</v>
      </c>
      <c r="C20">
        <f t="shared" si="5"/>
        <v>20</v>
      </c>
      <c r="D20">
        <f t="shared" si="6"/>
        <v>18</v>
      </c>
      <c r="E20">
        <f t="shared" si="7"/>
        <v>1</v>
      </c>
      <c r="F20">
        <f t="shared" si="1"/>
        <v>1</v>
      </c>
      <c r="G20">
        <f t="shared" si="8"/>
        <v>0</v>
      </c>
      <c r="H20">
        <f t="shared" si="9"/>
        <v>0</v>
      </c>
      <c r="I20">
        <f t="shared" si="10"/>
        <v>0</v>
      </c>
      <c r="J20">
        <f t="shared" si="2"/>
        <v>0</v>
      </c>
      <c r="K20">
        <f t="shared" si="3"/>
        <v>0</v>
      </c>
      <c r="L20">
        <f t="shared" si="11"/>
        <v>19</v>
      </c>
      <c r="M20">
        <f t="shared" si="12"/>
        <v>18</v>
      </c>
      <c r="N20">
        <f t="shared" si="13"/>
        <v>1</v>
      </c>
      <c r="O20">
        <f t="shared" si="14"/>
        <v>6</v>
      </c>
      <c r="P20">
        <f t="shared" si="4"/>
        <v>4</v>
      </c>
      <c r="Q20">
        <f t="shared" si="15"/>
        <v>13</v>
      </c>
      <c r="R20">
        <f t="shared" si="16"/>
        <v>14</v>
      </c>
    </row>
    <row r="21" spans="1:18" x14ac:dyDescent="0.25">
      <c r="A21" s="1">
        <v>44670</v>
      </c>
      <c r="B21">
        <f t="shared" si="0"/>
        <v>2</v>
      </c>
      <c r="C21">
        <f t="shared" si="5"/>
        <v>13</v>
      </c>
      <c r="D21">
        <f t="shared" si="6"/>
        <v>14</v>
      </c>
      <c r="E21">
        <f t="shared" si="7"/>
        <v>0</v>
      </c>
      <c r="F21">
        <f t="shared" si="1"/>
        <v>0</v>
      </c>
      <c r="G21">
        <f t="shared" si="8"/>
        <v>0</v>
      </c>
      <c r="H21">
        <f t="shared" si="9"/>
        <v>0</v>
      </c>
      <c r="I21">
        <f t="shared" si="10"/>
        <v>0</v>
      </c>
      <c r="J21">
        <f t="shared" si="2"/>
        <v>0</v>
      </c>
      <c r="K21">
        <f t="shared" si="3"/>
        <v>0</v>
      </c>
      <c r="L21">
        <f t="shared" si="11"/>
        <v>13</v>
      </c>
      <c r="M21">
        <f t="shared" si="12"/>
        <v>14</v>
      </c>
      <c r="N21">
        <f t="shared" si="13"/>
        <v>1</v>
      </c>
      <c r="O21">
        <f t="shared" si="14"/>
        <v>4</v>
      </c>
      <c r="P21">
        <f t="shared" si="4"/>
        <v>3</v>
      </c>
      <c r="Q21">
        <f t="shared" si="15"/>
        <v>9</v>
      </c>
      <c r="R21">
        <f t="shared" si="16"/>
        <v>11</v>
      </c>
    </row>
    <row r="22" spans="1:18" x14ac:dyDescent="0.25">
      <c r="A22" s="1">
        <v>44671</v>
      </c>
      <c r="B22">
        <f t="shared" si="0"/>
        <v>3</v>
      </c>
      <c r="C22">
        <f t="shared" si="5"/>
        <v>9</v>
      </c>
      <c r="D22">
        <f t="shared" si="6"/>
        <v>11</v>
      </c>
      <c r="E22">
        <f t="shared" si="7"/>
        <v>0</v>
      </c>
      <c r="F22">
        <f t="shared" si="1"/>
        <v>0</v>
      </c>
      <c r="G22">
        <f t="shared" si="8"/>
        <v>0</v>
      </c>
      <c r="H22">
        <f t="shared" si="9"/>
        <v>0</v>
      </c>
      <c r="I22">
        <f t="shared" si="10"/>
        <v>0</v>
      </c>
      <c r="J22">
        <f t="shared" si="2"/>
        <v>0</v>
      </c>
      <c r="K22">
        <f t="shared" si="3"/>
        <v>0</v>
      </c>
      <c r="L22">
        <f t="shared" si="11"/>
        <v>9</v>
      </c>
      <c r="M22">
        <f t="shared" si="12"/>
        <v>11</v>
      </c>
      <c r="N22">
        <f t="shared" si="13"/>
        <v>1</v>
      </c>
      <c r="O22">
        <f t="shared" si="14"/>
        <v>3</v>
      </c>
      <c r="P22">
        <f t="shared" si="4"/>
        <v>3</v>
      </c>
      <c r="Q22">
        <f t="shared" si="15"/>
        <v>6</v>
      </c>
      <c r="R22">
        <f t="shared" si="16"/>
        <v>8</v>
      </c>
    </row>
    <row r="23" spans="1:18" x14ac:dyDescent="0.25">
      <c r="A23" s="1">
        <v>44672</v>
      </c>
      <c r="B23">
        <f t="shared" si="0"/>
        <v>4</v>
      </c>
      <c r="C23">
        <f t="shared" si="5"/>
        <v>6</v>
      </c>
      <c r="D23">
        <f t="shared" si="6"/>
        <v>8</v>
      </c>
      <c r="E23">
        <f t="shared" si="7"/>
        <v>0</v>
      </c>
      <c r="F23">
        <f t="shared" si="1"/>
        <v>0</v>
      </c>
      <c r="G23">
        <f t="shared" si="8"/>
        <v>1</v>
      </c>
      <c r="H23">
        <f t="shared" si="9"/>
        <v>50</v>
      </c>
      <c r="I23">
        <f t="shared" si="10"/>
        <v>25</v>
      </c>
      <c r="J23">
        <f t="shared" si="2"/>
        <v>0</v>
      </c>
      <c r="K23">
        <f t="shared" si="3"/>
        <v>0</v>
      </c>
      <c r="L23">
        <f t="shared" si="11"/>
        <v>56</v>
      </c>
      <c r="M23">
        <f t="shared" si="12"/>
        <v>33</v>
      </c>
      <c r="N23">
        <f t="shared" si="13"/>
        <v>1</v>
      </c>
      <c r="O23">
        <f t="shared" si="14"/>
        <v>17</v>
      </c>
      <c r="P23">
        <f t="shared" si="4"/>
        <v>7</v>
      </c>
      <c r="Q23">
        <f t="shared" si="15"/>
        <v>39</v>
      </c>
      <c r="R23">
        <f t="shared" si="16"/>
        <v>26</v>
      </c>
    </row>
    <row r="24" spans="1:18" x14ac:dyDescent="0.25">
      <c r="A24" s="1">
        <v>44673</v>
      </c>
      <c r="B24">
        <f t="shared" si="0"/>
        <v>5</v>
      </c>
      <c r="C24">
        <f t="shared" si="5"/>
        <v>39</v>
      </c>
      <c r="D24">
        <f t="shared" si="6"/>
        <v>26</v>
      </c>
      <c r="E24">
        <f t="shared" si="7"/>
        <v>0</v>
      </c>
      <c r="F24">
        <f t="shared" si="1"/>
        <v>0</v>
      </c>
      <c r="G24">
        <f t="shared" si="8"/>
        <v>0</v>
      </c>
      <c r="H24">
        <f t="shared" si="9"/>
        <v>0</v>
      </c>
      <c r="I24">
        <f t="shared" si="10"/>
        <v>0</v>
      </c>
      <c r="J24">
        <f t="shared" si="2"/>
        <v>0</v>
      </c>
      <c r="K24">
        <f t="shared" si="3"/>
        <v>0</v>
      </c>
      <c r="L24">
        <f t="shared" si="11"/>
        <v>39</v>
      </c>
      <c r="M24">
        <f t="shared" si="12"/>
        <v>26</v>
      </c>
      <c r="N24">
        <f t="shared" si="13"/>
        <v>1</v>
      </c>
      <c r="O24">
        <f t="shared" si="14"/>
        <v>12</v>
      </c>
      <c r="P24">
        <f t="shared" si="4"/>
        <v>6</v>
      </c>
      <c r="Q24">
        <f t="shared" si="15"/>
        <v>27</v>
      </c>
      <c r="R24">
        <f t="shared" si="16"/>
        <v>20</v>
      </c>
    </row>
    <row r="25" spans="1:18" x14ac:dyDescent="0.25">
      <c r="A25" s="1">
        <v>44674</v>
      </c>
      <c r="B25">
        <f t="shared" si="0"/>
        <v>6</v>
      </c>
      <c r="C25">
        <f t="shared" si="5"/>
        <v>27</v>
      </c>
      <c r="D25">
        <f t="shared" si="6"/>
        <v>20</v>
      </c>
      <c r="E25">
        <f t="shared" si="7"/>
        <v>0</v>
      </c>
      <c r="F25">
        <f t="shared" si="1"/>
        <v>0</v>
      </c>
      <c r="G25">
        <f t="shared" si="8"/>
        <v>0</v>
      </c>
      <c r="H25">
        <f t="shared" si="9"/>
        <v>0</v>
      </c>
      <c r="I25">
        <f t="shared" si="10"/>
        <v>0</v>
      </c>
      <c r="J25">
        <f t="shared" si="2"/>
        <v>0</v>
      </c>
      <c r="K25">
        <f t="shared" si="3"/>
        <v>0</v>
      </c>
      <c r="L25">
        <f t="shared" si="11"/>
        <v>27</v>
      </c>
      <c r="M25">
        <f t="shared" si="12"/>
        <v>20</v>
      </c>
      <c r="N25">
        <f t="shared" si="13"/>
        <v>1</v>
      </c>
      <c r="O25">
        <f t="shared" si="14"/>
        <v>9</v>
      </c>
      <c r="P25">
        <f t="shared" si="4"/>
        <v>4</v>
      </c>
      <c r="Q25">
        <f t="shared" si="15"/>
        <v>18</v>
      </c>
      <c r="R25">
        <f t="shared" si="16"/>
        <v>16</v>
      </c>
    </row>
    <row r="26" spans="1:18" x14ac:dyDescent="0.25">
      <c r="A26" s="1">
        <v>44675</v>
      </c>
      <c r="B26">
        <f t="shared" si="0"/>
        <v>7</v>
      </c>
      <c r="C26">
        <f t="shared" si="5"/>
        <v>18</v>
      </c>
      <c r="D26">
        <f t="shared" si="6"/>
        <v>16</v>
      </c>
      <c r="E26">
        <f t="shared" si="7"/>
        <v>0</v>
      </c>
      <c r="F26">
        <f t="shared" si="1"/>
        <v>0</v>
      </c>
      <c r="G26">
        <f t="shared" si="8"/>
        <v>0</v>
      </c>
      <c r="H26">
        <f t="shared" si="9"/>
        <v>0</v>
      </c>
      <c r="I26">
        <f t="shared" si="10"/>
        <v>0</v>
      </c>
      <c r="J26">
        <f t="shared" si="2"/>
        <v>0</v>
      </c>
      <c r="K26">
        <f t="shared" si="3"/>
        <v>0</v>
      </c>
      <c r="L26">
        <f t="shared" si="11"/>
        <v>18</v>
      </c>
      <c r="M26">
        <f t="shared" si="12"/>
        <v>16</v>
      </c>
      <c r="N26">
        <f t="shared" si="13"/>
        <v>0</v>
      </c>
      <c r="O26">
        <f t="shared" si="14"/>
        <v>0</v>
      </c>
      <c r="P26">
        <f t="shared" si="4"/>
        <v>0</v>
      </c>
      <c r="Q26">
        <f t="shared" si="15"/>
        <v>18</v>
      </c>
      <c r="R26">
        <f t="shared" si="16"/>
        <v>16</v>
      </c>
    </row>
    <row r="27" spans="1:18" x14ac:dyDescent="0.25">
      <c r="A27" s="1">
        <v>44676</v>
      </c>
      <c r="B27">
        <f t="shared" si="0"/>
        <v>1</v>
      </c>
      <c r="C27">
        <f t="shared" si="5"/>
        <v>18</v>
      </c>
      <c r="D27">
        <f t="shared" si="6"/>
        <v>16</v>
      </c>
      <c r="E27">
        <f t="shared" si="7"/>
        <v>1</v>
      </c>
      <c r="F27">
        <f t="shared" si="1"/>
        <v>1</v>
      </c>
      <c r="G27">
        <f t="shared" si="8"/>
        <v>0</v>
      </c>
      <c r="H27">
        <f t="shared" si="9"/>
        <v>0</v>
      </c>
      <c r="I27">
        <f t="shared" si="10"/>
        <v>0</v>
      </c>
      <c r="J27">
        <f t="shared" si="2"/>
        <v>0</v>
      </c>
      <c r="K27">
        <f t="shared" si="3"/>
        <v>0</v>
      </c>
      <c r="L27">
        <f t="shared" si="11"/>
        <v>17</v>
      </c>
      <c r="M27">
        <f t="shared" si="12"/>
        <v>16</v>
      </c>
      <c r="N27">
        <f t="shared" si="13"/>
        <v>1</v>
      </c>
      <c r="O27">
        <f t="shared" si="14"/>
        <v>6</v>
      </c>
      <c r="P27">
        <f t="shared" si="4"/>
        <v>4</v>
      </c>
      <c r="Q27">
        <f t="shared" si="15"/>
        <v>11</v>
      </c>
      <c r="R27">
        <f t="shared" si="16"/>
        <v>12</v>
      </c>
    </row>
    <row r="28" spans="1:18" x14ac:dyDescent="0.25">
      <c r="A28" s="1">
        <v>44677</v>
      </c>
      <c r="B28">
        <f t="shared" si="0"/>
        <v>2</v>
      </c>
      <c r="C28">
        <f t="shared" si="5"/>
        <v>11</v>
      </c>
      <c r="D28">
        <f t="shared" si="6"/>
        <v>12</v>
      </c>
      <c r="E28">
        <f t="shared" si="7"/>
        <v>0</v>
      </c>
      <c r="F28">
        <f t="shared" si="1"/>
        <v>0</v>
      </c>
      <c r="G28">
        <f t="shared" si="8"/>
        <v>0</v>
      </c>
      <c r="H28">
        <f t="shared" si="9"/>
        <v>0</v>
      </c>
      <c r="I28">
        <f t="shared" si="10"/>
        <v>0</v>
      </c>
      <c r="J28">
        <f t="shared" si="2"/>
        <v>0</v>
      </c>
      <c r="K28">
        <f t="shared" si="3"/>
        <v>0</v>
      </c>
      <c r="L28">
        <f t="shared" si="11"/>
        <v>11</v>
      </c>
      <c r="M28">
        <f t="shared" si="12"/>
        <v>12</v>
      </c>
      <c r="N28">
        <f t="shared" si="13"/>
        <v>1</v>
      </c>
      <c r="O28">
        <f t="shared" si="14"/>
        <v>4</v>
      </c>
      <c r="P28">
        <f t="shared" si="4"/>
        <v>3</v>
      </c>
      <c r="Q28">
        <f t="shared" si="15"/>
        <v>7</v>
      </c>
      <c r="R28">
        <f t="shared" si="16"/>
        <v>9</v>
      </c>
    </row>
    <row r="29" spans="1:18" x14ac:dyDescent="0.25">
      <c r="A29" s="1">
        <v>44678</v>
      </c>
      <c r="B29">
        <f t="shared" si="0"/>
        <v>3</v>
      </c>
      <c r="C29">
        <f t="shared" si="5"/>
        <v>7</v>
      </c>
      <c r="D29">
        <f t="shared" si="6"/>
        <v>9</v>
      </c>
      <c r="E29">
        <f t="shared" si="7"/>
        <v>0</v>
      </c>
      <c r="F29">
        <f t="shared" si="1"/>
        <v>0</v>
      </c>
      <c r="G29">
        <f t="shared" si="8"/>
        <v>0</v>
      </c>
      <c r="H29">
        <f t="shared" si="9"/>
        <v>0</v>
      </c>
      <c r="I29">
        <f t="shared" si="10"/>
        <v>0</v>
      </c>
      <c r="J29">
        <f t="shared" si="2"/>
        <v>0</v>
      </c>
      <c r="K29">
        <f t="shared" si="3"/>
        <v>0</v>
      </c>
      <c r="L29">
        <f t="shared" si="11"/>
        <v>7</v>
      </c>
      <c r="M29">
        <f t="shared" si="12"/>
        <v>9</v>
      </c>
      <c r="N29">
        <f t="shared" si="13"/>
        <v>1</v>
      </c>
      <c r="O29">
        <f t="shared" si="14"/>
        <v>3</v>
      </c>
      <c r="P29">
        <f t="shared" si="4"/>
        <v>2</v>
      </c>
      <c r="Q29">
        <f t="shared" si="15"/>
        <v>4</v>
      </c>
      <c r="R29">
        <f t="shared" si="16"/>
        <v>7</v>
      </c>
    </row>
    <row r="30" spans="1:18" x14ac:dyDescent="0.25">
      <c r="A30" s="1">
        <v>44679</v>
      </c>
      <c r="B30">
        <f t="shared" si="0"/>
        <v>4</v>
      </c>
      <c r="C30">
        <f t="shared" si="5"/>
        <v>4</v>
      </c>
      <c r="D30">
        <f t="shared" si="6"/>
        <v>7</v>
      </c>
      <c r="E30">
        <f t="shared" si="7"/>
        <v>0</v>
      </c>
      <c r="F30">
        <f t="shared" si="1"/>
        <v>0</v>
      </c>
      <c r="G30">
        <f t="shared" si="8"/>
        <v>1</v>
      </c>
      <c r="H30">
        <f t="shared" si="9"/>
        <v>50</v>
      </c>
      <c r="I30">
        <f t="shared" si="10"/>
        <v>25</v>
      </c>
      <c r="J30">
        <f t="shared" si="2"/>
        <v>0</v>
      </c>
      <c r="K30">
        <f t="shared" si="3"/>
        <v>0</v>
      </c>
      <c r="L30">
        <f t="shared" si="11"/>
        <v>54</v>
      </c>
      <c r="M30">
        <f t="shared" si="12"/>
        <v>32</v>
      </c>
      <c r="N30">
        <f t="shared" si="13"/>
        <v>1</v>
      </c>
      <c r="O30">
        <f t="shared" si="14"/>
        <v>17</v>
      </c>
      <c r="P30">
        <f t="shared" si="4"/>
        <v>7</v>
      </c>
      <c r="Q30">
        <f t="shared" si="15"/>
        <v>37</v>
      </c>
      <c r="R30">
        <f t="shared" si="16"/>
        <v>25</v>
      </c>
    </row>
    <row r="31" spans="1:18" x14ac:dyDescent="0.25">
      <c r="A31" s="1">
        <v>44680</v>
      </c>
      <c r="B31">
        <f t="shared" si="0"/>
        <v>5</v>
      </c>
      <c r="C31">
        <f t="shared" si="5"/>
        <v>37</v>
      </c>
      <c r="D31">
        <f t="shared" si="6"/>
        <v>25</v>
      </c>
      <c r="E31">
        <f t="shared" si="7"/>
        <v>0</v>
      </c>
      <c r="F31">
        <f t="shared" si="1"/>
        <v>0</v>
      </c>
      <c r="G31">
        <f t="shared" si="8"/>
        <v>0</v>
      </c>
      <c r="H31">
        <f t="shared" si="9"/>
        <v>0</v>
      </c>
      <c r="I31">
        <f t="shared" si="10"/>
        <v>0</v>
      </c>
      <c r="J31">
        <f t="shared" si="2"/>
        <v>0</v>
      </c>
      <c r="K31">
        <f t="shared" si="3"/>
        <v>0</v>
      </c>
      <c r="L31">
        <f t="shared" si="11"/>
        <v>37</v>
      </c>
      <c r="M31">
        <f t="shared" si="12"/>
        <v>25</v>
      </c>
      <c r="N31">
        <f t="shared" si="13"/>
        <v>1</v>
      </c>
      <c r="O31">
        <f t="shared" si="14"/>
        <v>12</v>
      </c>
      <c r="P31">
        <f t="shared" si="4"/>
        <v>5</v>
      </c>
      <c r="Q31">
        <f t="shared" si="15"/>
        <v>25</v>
      </c>
      <c r="R31">
        <f t="shared" si="16"/>
        <v>20</v>
      </c>
    </row>
    <row r="32" spans="1:18" x14ac:dyDescent="0.25">
      <c r="A32" s="1">
        <v>44681</v>
      </c>
      <c r="B32">
        <f t="shared" si="0"/>
        <v>6</v>
      </c>
      <c r="C32">
        <f t="shared" si="5"/>
        <v>25</v>
      </c>
      <c r="D32">
        <f t="shared" si="6"/>
        <v>20</v>
      </c>
      <c r="E32">
        <f t="shared" si="7"/>
        <v>0</v>
      </c>
      <c r="F32">
        <f t="shared" si="1"/>
        <v>0</v>
      </c>
      <c r="G32">
        <f t="shared" si="8"/>
        <v>0</v>
      </c>
      <c r="H32">
        <f t="shared" si="9"/>
        <v>0</v>
      </c>
      <c r="I32">
        <f t="shared" si="10"/>
        <v>0</v>
      </c>
      <c r="J32">
        <f t="shared" si="2"/>
        <v>0</v>
      </c>
      <c r="K32">
        <f t="shared" si="3"/>
        <v>0</v>
      </c>
      <c r="L32">
        <f t="shared" si="11"/>
        <v>25</v>
      </c>
      <c r="M32">
        <f t="shared" si="12"/>
        <v>20</v>
      </c>
      <c r="N32">
        <f t="shared" si="13"/>
        <v>1</v>
      </c>
      <c r="O32">
        <f t="shared" si="14"/>
        <v>8</v>
      </c>
      <c r="P32">
        <f t="shared" si="4"/>
        <v>4</v>
      </c>
      <c r="Q32">
        <f t="shared" si="15"/>
        <v>17</v>
      </c>
      <c r="R32">
        <f t="shared" si="16"/>
        <v>16</v>
      </c>
    </row>
    <row r="33" spans="1:18" x14ac:dyDescent="0.25">
      <c r="A33" s="1">
        <v>44682</v>
      </c>
      <c r="B33">
        <f t="shared" si="0"/>
        <v>7</v>
      </c>
      <c r="C33">
        <f t="shared" si="5"/>
        <v>17</v>
      </c>
      <c r="D33">
        <f t="shared" si="6"/>
        <v>16</v>
      </c>
      <c r="E33">
        <f t="shared" si="7"/>
        <v>0</v>
      </c>
      <c r="F33">
        <f t="shared" si="1"/>
        <v>0</v>
      </c>
      <c r="G33">
        <f t="shared" si="8"/>
        <v>0</v>
      </c>
      <c r="H33">
        <f t="shared" si="9"/>
        <v>0</v>
      </c>
      <c r="I33">
        <f t="shared" si="10"/>
        <v>0</v>
      </c>
      <c r="J33">
        <f t="shared" si="2"/>
        <v>0</v>
      </c>
      <c r="K33">
        <f t="shared" si="3"/>
        <v>0</v>
      </c>
      <c r="L33">
        <f t="shared" si="11"/>
        <v>17</v>
      </c>
      <c r="M33">
        <f t="shared" si="12"/>
        <v>16</v>
      </c>
      <c r="N33">
        <f t="shared" si="13"/>
        <v>0</v>
      </c>
      <c r="O33">
        <f t="shared" si="14"/>
        <v>0</v>
      </c>
      <c r="P33">
        <f t="shared" si="4"/>
        <v>0</v>
      </c>
      <c r="Q33">
        <f t="shared" si="15"/>
        <v>17</v>
      </c>
      <c r="R33">
        <f t="shared" si="16"/>
        <v>16</v>
      </c>
    </row>
    <row r="34" spans="1:18" x14ac:dyDescent="0.25">
      <c r="A34" s="1">
        <v>44683</v>
      </c>
      <c r="B34">
        <f t="shared" si="0"/>
        <v>1</v>
      </c>
      <c r="C34">
        <f t="shared" si="5"/>
        <v>17</v>
      </c>
      <c r="D34">
        <f t="shared" si="6"/>
        <v>16</v>
      </c>
      <c r="E34">
        <f t="shared" si="7"/>
        <v>1</v>
      </c>
      <c r="F34">
        <f t="shared" si="1"/>
        <v>1</v>
      </c>
      <c r="G34">
        <f t="shared" si="8"/>
        <v>0</v>
      </c>
      <c r="H34">
        <f t="shared" si="9"/>
        <v>0</v>
      </c>
      <c r="I34">
        <f t="shared" si="10"/>
        <v>0</v>
      </c>
      <c r="J34">
        <f t="shared" si="2"/>
        <v>0</v>
      </c>
      <c r="K34">
        <f t="shared" si="3"/>
        <v>0</v>
      </c>
      <c r="L34">
        <f t="shared" si="11"/>
        <v>16</v>
      </c>
      <c r="M34">
        <f t="shared" si="12"/>
        <v>16</v>
      </c>
      <c r="N34">
        <f t="shared" si="13"/>
        <v>1</v>
      </c>
      <c r="O34">
        <f t="shared" si="14"/>
        <v>5</v>
      </c>
      <c r="P34">
        <f t="shared" si="4"/>
        <v>4</v>
      </c>
      <c r="Q34">
        <f t="shared" si="15"/>
        <v>11</v>
      </c>
      <c r="R34">
        <f t="shared" si="16"/>
        <v>12</v>
      </c>
    </row>
    <row r="35" spans="1:18" x14ac:dyDescent="0.25">
      <c r="A35" s="1">
        <v>44684</v>
      </c>
      <c r="B35">
        <f t="shared" si="0"/>
        <v>2</v>
      </c>
      <c r="C35">
        <f t="shared" si="5"/>
        <v>11</v>
      </c>
      <c r="D35">
        <f t="shared" si="6"/>
        <v>12</v>
      </c>
      <c r="E35">
        <f t="shared" si="7"/>
        <v>0</v>
      </c>
      <c r="F35">
        <f t="shared" si="1"/>
        <v>0</v>
      </c>
      <c r="G35">
        <f t="shared" si="8"/>
        <v>0</v>
      </c>
      <c r="H35">
        <f t="shared" si="9"/>
        <v>0</v>
      </c>
      <c r="I35">
        <f t="shared" si="10"/>
        <v>0</v>
      </c>
      <c r="J35">
        <f t="shared" si="2"/>
        <v>0</v>
      </c>
      <c r="K35">
        <f t="shared" si="3"/>
        <v>0</v>
      </c>
      <c r="L35">
        <f t="shared" si="11"/>
        <v>11</v>
      </c>
      <c r="M35">
        <f t="shared" si="12"/>
        <v>12</v>
      </c>
      <c r="N35">
        <f t="shared" si="13"/>
        <v>1</v>
      </c>
      <c r="O35">
        <f t="shared" si="14"/>
        <v>4</v>
      </c>
      <c r="P35">
        <f t="shared" si="4"/>
        <v>3</v>
      </c>
      <c r="Q35">
        <f t="shared" si="15"/>
        <v>7</v>
      </c>
      <c r="R35">
        <f t="shared" si="16"/>
        <v>9</v>
      </c>
    </row>
    <row r="36" spans="1:18" x14ac:dyDescent="0.25">
      <c r="A36" s="1">
        <v>44685</v>
      </c>
      <c r="B36">
        <f t="shared" si="0"/>
        <v>3</v>
      </c>
      <c r="C36">
        <f t="shared" si="5"/>
        <v>7</v>
      </c>
      <c r="D36">
        <f t="shared" si="6"/>
        <v>9</v>
      </c>
      <c r="E36">
        <f t="shared" si="7"/>
        <v>0</v>
      </c>
      <c r="F36">
        <f t="shared" si="1"/>
        <v>0</v>
      </c>
      <c r="G36">
        <f t="shared" si="8"/>
        <v>0</v>
      </c>
      <c r="H36">
        <f t="shared" si="9"/>
        <v>0</v>
      </c>
      <c r="I36">
        <f t="shared" si="10"/>
        <v>0</v>
      </c>
      <c r="J36">
        <f t="shared" si="2"/>
        <v>0</v>
      </c>
      <c r="K36">
        <f t="shared" si="3"/>
        <v>0</v>
      </c>
      <c r="L36">
        <f t="shared" si="11"/>
        <v>7</v>
      </c>
      <c r="M36">
        <f t="shared" si="12"/>
        <v>9</v>
      </c>
      <c r="N36">
        <f t="shared" si="13"/>
        <v>1</v>
      </c>
      <c r="O36">
        <f t="shared" si="14"/>
        <v>3</v>
      </c>
      <c r="P36">
        <f t="shared" si="4"/>
        <v>2</v>
      </c>
      <c r="Q36">
        <f t="shared" si="15"/>
        <v>4</v>
      </c>
      <c r="R36">
        <f t="shared" si="16"/>
        <v>7</v>
      </c>
    </row>
    <row r="37" spans="1:18" x14ac:dyDescent="0.25">
      <c r="A37" s="1">
        <v>44686</v>
      </c>
      <c r="B37">
        <f t="shared" si="0"/>
        <v>4</v>
      </c>
      <c r="C37">
        <f t="shared" si="5"/>
        <v>4</v>
      </c>
      <c r="D37">
        <f t="shared" si="6"/>
        <v>7</v>
      </c>
      <c r="E37">
        <f t="shared" si="7"/>
        <v>0</v>
      </c>
      <c r="F37">
        <f t="shared" si="1"/>
        <v>0</v>
      </c>
      <c r="G37">
        <f t="shared" si="8"/>
        <v>1</v>
      </c>
      <c r="H37">
        <f t="shared" si="9"/>
        <v>50</v>
      </c>
      <c r="I37">
        <f t="shared" si="10"/>
        <v>25</v>
      </c>
      <c r="J37">
        <f t="shared" si="2"/>
        <v>0</v>
      </c>
      <c r="K37">
        <f t="shared" si="3"/>
        <v>0</v>
      </c>
      <c r="L37">
        <f t="shared" si="11"/>
        <v>54</v>
      </c>
      <c r="M37">
        <f t="shared" si="12"/>
        <v>32</v>
      </c>
      <c r="N37">
        <f t="shared" si="13"/>
        <v>1</v>
      </c>
      <c r="O37">
        <f t="shared" si="14"/>
        <v>17</v>
      </c>
      <c r="P37">
        <f t="shared" si="4"/>
        <v>7</v>
      </c>
      <c r="Q37">
        <f t="shared" si="15"/>
        <v>37</v>
      </c>
      <c r="R37">
        <f t="shared" si="16"/>
        <v>25</v>
      </c>
    </row>
    <row r="38" spans="1:18" x14ac:dyDescent="0.25">
      <c r="A38" s="1">
        <v>44687</v>
      </c>
      <c r="B38">
        <f t="shared" si="0"/>
        <v>5</v>
      </c>
      <c r="C38">
        <f t="shared" si="5"/>
        <v>37</v>
      </c>
      <c r="D38">
        <f t="shared" si="6"/>
        <v>25</v>
      </c>
      <c r="E38">
        <f t="shared" si="7"/>
        <v>0</v>
      </c>
      <c r="F38">
        <f t="shared" si="1"/>
        <v>0</v>
      </c>
      <c r="G38">
        <f t="shared" si="8"/>
        <v>0</v>
      </c>
      <c r="H38">
        <f t="shared" si="9"/>
        <v>0</v>
      </c>
      <c r="I38">
        <f t="shared" si="10"/>
        <v>0</v>
      </c>
      <c r="J38">
        <f t="shared" si="2"/>
        <v>0</v>
      </c>
      <c r="K38">
        <f t="shared" si="3"/>
        <v>0</v>
      </c>
      <c r="L38">
        <f t="shared" si="11"/>
        <v>37</v>
      </c>
      <c r="M38">
        <f t="shared" si="12"/>
        <v>25</v>
      </c>
      <c r="N38">
        <f t="shared" si="13"/>
        <v>1</v>
      </c>
      <c r="O38">
        <f t="shared" si="14"/>
        <v>12</v>
      </c>
      <c r="P38">
        <f t="shared" si="4"/>
        <v>5</v>
      </c>
      <c r="Q38">
        <f t="shared" si="15"/>
        <v>25</v>
      </c>
      <c r="R38">
        <f t="shared" si="16"/>
        <v>20</v>
      </c>
    </row>
    <row r="39" spans="1:18" x14ac:dyDescent="0.25">
      <c r="A39" s="1">
        <v>44688</v>
      </c>
      <c r="B39">
        <f t="shared" si="0"/>
        <v>6</v>
      </c>
      <c r="C39">
        <f t="shared" si="5"/>
        <v>25</v>
      </c>
      <c r="D39">
        <f t="shared" si="6"/>
        <v>20</v>
      </c>
      <c r="E39">
        <f t="shared" si="7"/>
        <v>0</v>
      </c>
      <c r="F39">
        <f t="shared" si="1"/>
        <v>0</v>
      </c>
      <c r="G39">
        <f t="shared" si="8"/>
        <v>0</v>
      </c>
      <c r="H39">
        <f t="shared" si="9"/>
        <v>0</v>
      </c>
      <c r="I39">
        <f t="shared" si="10"/>
        <v>0</v>
      </c>
      <c r="J39">
        <f t="shared" si="2"/>
        <v>0</v>
      </c>
      <c r="K39">
        <f t="shared" si="3"/>
        <v>0</v>
      </c>
      <c r="L39">
        <f t="shared" si="11"/>
        <v>25</v>
      </c>
      <c r="M39">
        <f t="shared" si="12"/>
        <v>20</v>
      </c>
      <c r="N39">
        <f t="shared" si="13"/>
        <v>1</v>
      </c>
      <c r="O39">
        <f t="shared" si="14"/>
        <v>8</v>
      </c>
      <c r="P39">
        <f t="shared" si="4"/>
        <v>4</v>
      </c>
      <c r="Q39">
        <f t="shared" si="15"/>
        <v>17</v>
      </c>
      <c r="R39">
        <f t="shared" si="16"/>
        <v>16</v>
      </c>
    </row>
    <row r="40" spans="1:18" x14ac:dyDescent="0.25">
      <c r="A40" s="1">
        <v>44689</v>
      </c>
      <c r="B40">
        <f t="shared" si="0"/>
        <v>7</v>
      </c>
      <c r="C40">
        <f t="shared" si="5"/>
        <v>17</v>
      </c>
      <c r="D40">
        <f t="shared" si="6"/>
        <v>16</v>
      </c>
      <c r="E40">
        <f t="shared" si="7"/>
        <v>0</v>
      </c>
      <c r="F40">
        <f t="shared" si="1"/>
        <v>0</v>
      </c>
      <c r="G40">
        <f t="shared" si="8"/>
        <v>0</v>
      </c>
      <c r="H40">
        <f t="shared" si="9"/>
        <v>0</v>
      </c>
      <c r="I40">
        <f t="shared" si="10"/>
        <v>0</v>
      </c>
      <c r="J40">
        <f t="shared" si="2"/>
        <v>0</v>
      </c>
      <c r="K40">
        <f t="shared" si="3"/>
        <v>0</v>
      </c>
      <c r="L40">
        <f t="shared" si="11"/>
        <v>17</v>
      </c>
      <c r="M40">
        <f t="shared" si="12"/>
        <v>16</v>
      </c>
      <c r="N40">
        <f t="shared" si="13"/>
        <v>0</v>
      </c>
      <c r="O40">
        <f t="shared" si="14"/>
        <v>0</v>
      </c>
      <c r="P40">
        <f t="shared" si="4"/>
        <v>0</v>
      </c>
      <c r="Q40">
        <f t="shared" si="15"/>
        <v>17</v>
      </c>
      <c r="R40">
        <f t="shared" si="16"/>
        <v>16</v>
      </c>
    </row>
    <row r="41" spans="1:18" x14ac:dyDescent="0.25">
      <c r="A41" s="1">
        <v>44690</v>
      </c>
      <c r="B41">
        <f t="shared" si="0"/>
        <v>1</v>
      </c>
      <c r="C41">
        <f t="shared" si="5"/>
        <v>17</v>
      </c>
      <c r="D41">
        <f t="shared" si="6"/>
        <v>16</v>
      </c>
      <c r="E41">
        <f t="shared" si="7"/>
        <v>1</v>
      </c>
      <c r="F41">
        <f t="shared" si="1"/>
        <v>1</v>
      </c>
      <c r="G41">
        <f t="shared" si="8"/>
        <v>0</v>
      </c>
      <c r="H41">
        <f t="shared" si="9"/>
        <v>0</v>
      </c>
      <c r="I41">
        <f t="shared" si="10"/>
        <v>0</v>
      </c>
      <c r="J41">
        <f t="shared" si="2"/>
        <v>0</v>
      </c>
      <c r="K41">
        <f t="shared" si="3"/>
        <v>0</v>
      </c>
      <c r="L41">
        <f t="shared" si="11"/>
        <v>16</v>
      </c>
      <c r="M41">
        <f t="shared" si="12"/>
        <v>16</v>
      </c>
      <c r="N41">
        <f t="shared" si="13"/>
        <v>1</v>
      </c>
      <c r="O41">
        <f t="shared" si="14"/>
        <v>5</v>
      </c>
      <c r="P41">
        <f t="shared" si="4"/>
        <v>4</v>
      </c>
      <c r="Q41">
        <f t="shared" si="15"/>
        <v>11</v>
      </c>
      <c r="R41">
        <f t="shared" si="16"/>
        <v>12</v>
      </c>
    </row>
    <row r="42" spans="1:18" x14ac:dyDescent="0.25">
      <c r="A42" s="1">
        <v>44691</v>
      </c>
      <c r="B42">
        <f t="shared" si="0"/>
        <v>2</v>
      </c>
      <c r="C42">
        <f t="shared" si="5"/>
        <v>11</v>
      </c>
      <c r="D42">
        <f t="shared" si="6"/>
        <v>12</v>
      </c>
      <c r="E42">
        <f t="shared" si="7"/>
        <v>0</v>
      </c>
      <c r="F42">
        <f t="shared" si="1"/>
        <v>0</v>
      </c>
      <c r="G42">
        <f t="shared" si="8"/>
        <v>0</v>
      </c>
      <c r="H42">
        <f t="shared" si="9"/>
        <v>0</v>
      </c>
      <c r="I42">
        <f t="shared" si="10"/>
        <v>0</v>
      </c>
      <c r="J42">
        <f t="shared" si="2"/>
        <v>0</v>
      </c>
      <c r="K42">
        <f t="shared" si="3"/>
        <v>0</v>
      </c>
      <c r="L42">
        <f t="shared" si="11"/>
        <v>11</v>
      </c>
      <c r="M42">
        <f t="shared" si="12"/>
        <v>12</v>
      </c>
      <c r="N42">
        <f t="shared" si="13"/>
        <v>1</v>
      </c>
      <c r="O42">
        <f t="shared" si="14"/>
        <v>4</v>
      </c>
      <c r="P42">
        <f t="shared" si="4"/>
        <v>3</v>
      </c>
      <c r="Q42">
        <f t="shared" si="15"/>
        <v>7</v>
      </c>
      <c r="R42">
        <f t="shared" si="16"/>
        <v>9</v>
      </c>
    </row>
    <row r="43" spans="1:18" x14ac:dyDescent="0.25">
      <c r="A43" s="1">
        <v>44692</v>
      </c>
      <c r="B43">
        <f t="shared" si="0"/>
        <v>3</v>
      </c>
      <c r="C43">
        <f t="shared" si="5"/>
        <v>7</v>
      </c>
      <c r="D43">
        <f t="shared" si="6"/>
        <v>9</v>
      </c>
      <c r="E43">
        <f t="shared" si="7"/>
        <v>0</v>
      </c>
      <c r="F43">
        <f t="shared" si="1"/>
        <v>0</v>
      </c>
      <c r="G43">
        <f t="shared" si="8"/>
        <v>0</v>
      </c>
      <c r="H43">
        <f t="shared" si="9"/>
        <v>0</v>
      </c>
      <c r="I43">
        <f t="shared" si="10"/>
        <v>0</v>
      </c>
      <c r="J43">
        <f t="shared" si="2"/>
        <v>0</v>
      </c>
      <c r="K43">
        <f t="shared" si="3"/>
        <v>0</v>
      </c>
      <c r="L43">
        <f t="shared" si="11"/>
        <v>7</v>
      </c>
      <c r="M43">
        <f t="shared" si="12"/>
        <v>9</v>
      </c>
      <c r="N43">
        <f t="shared" si="13"/>
        <v>1</v>
      </c>
      <c r="O43">
        <f t="shared" si="14"/>
        <v>3</v>
      </c>
      <c r="P43">
        <f t="shared" si="4"/>
        <v>2</v>
      </c>
      <c r="Q43">
        <f t="shared" si="15"/>
        <v>4</v>
      </c>
      <c r="R43">
        <f t="shared" si="16"/>
        <v>7</v>
      </c>
    </row>
    <row r="44" spans="1:18" x14ac:dyDescent="0.25">
      <c r="A44" s="1">
        <v>44693</v>
      </c>
      <c r="B44">
        <f t="shared" si="0"/>
        <v>4</v>
      </c>
      <c r="C44">
        <f t="shared" si="5"/>
        <v>4</v>
      </c>
      <c r="D44">
        <f t="shared" si="6"/>
        <v>7</v>
      </c>
      <c r="E44">
        <f t="shared" si="7"/>
        <v>0</v>
      </c>
      <c r="F44">
        <f t="shared" si="1"/>
        <v>0</v>
      </c>
      <c r="G44">
        <f t="shared" si="8"/>
        <v>1</v>
      </c>
      <c r="H44">
        <f t="shared" si="9"/>
        <v>50</v>
      </c>
      <c r="I44">
        <f t="shared" si="10"/>
        <v>25</v>
      </c>
      <c r="J44">
        <f t="shared" si="2"/>
        <v>0</v>
      </c>
      <c r="K44">
        <f t="shared" si="3"/>
        <v>0</v>
      </c>
      <c r="L44">
        <f t="shared" si="11"/>
        <v>54</v>
      </c>
      <c r="M44">
        <f t="shared" si="12"/>
        <v>32</v>
      </c>
      <c r="N44">
        <f t="shared" si="13"/>
        <v>1</v>
      </c>
      <c r="O44">
        <f t="shared" si="14"/>
        <v>17</v>
      </c>
      <c r="P44">
        <f t="shared" si="4"/>
        <v>7</v>
      </c>
      <c r="Q44">
        <f t="shared" si="15"/>
        <v>37</v>
      </c>
      <c r="R44">
        <f t="shared" si="16"/>
        <v>25</v>
      </c>
    </row>
    <row r="45" spans="1:18" x14ac:dyDescent="0.25">
      <c r="A45" s="1">
        <v>44694</v>
      </c>
      <c r="B45">
        <f t="shared" si="0"/>
        <v>5</v>
      </c>
      <c r="C45">
        <f t="shared" si="5"/>
        <v>37</v>
      </c>
      <c r="D45">
        <f t="shared" si="6"/>
        <v>25</v>
      </c>
      <c r="E45">
        <f t="shared" si="7"/>
        <v>0</v>
      </c>
      <c r="F45">
        <f t="shared" si="1"/>
        <v>0</v>
      </c>
      <c r="G45">
        <f t="shared" si="8"/>
        <v>0</v>
      </c>
      <c r="H45">
        <f t="shared" si="9"/>
        <v>0</v>
      </c>
      <c r="I45">
        <f t="shared" si="10"/>
        <v>0</v>
      </c>
      <c r="J45">
        <f t="shared" si="2"/>
        <v>0</v>
      </c>
      <c r="K45">
        <f t="shared" si="3"/>
        <v>0</v>
      </c>
      <c r="L45">
        <f t="shared" si="11"/>
        <v>37</v>
      </c>
      <c r="M45">
        <f t="shared" si="12"/>
        <v>25</v>
      </c>
      <c r="N45">
        <f t="shared" si="13"/>
        <v>1</v>
      </c>
      <c r="O45">
        <f t="shared" si="14"/>
        <v>12</v>
      </c>
      <c r="P45">
        <f t="shared" si="4"/>
        <v>5</v>
      </c>
      <c r="Q45">
        <f t="shared" si="15"/>
        <v>25</v>
      </c>
      <c r="R45">
        <f t="shared" si="16"/>
        <v>20</v>
      </c>
    </row>
    <row r="46" spans="1:18" x14ac:dyDescent="0.25">
      <c r="A46" s="1">
        <v>44695</v>
      </c>
      <c r="B46">
        <f t="shared" si="0"/>
        <v>6</v>
      </c>
      <c r="C46">
        <f t="shared" si="5"/>
        <v>25</v>
      </c>
      <c r="D46">
        <f t="shared" si="6"/>
        <v>20</v>
      </c>
      <c r="E46">
        <f t="shared" si="7"/>
        <v>0</v>
      </c>
      <c r="F46">
        <f t="shared" si="1"/>
        <v>0</v>
      </c>
      <c r="G46">
        <f t="shared" si="8"/>
        <v>0</v>
      </c>
      <c r="H46">
        <f t="shared" si="9"/>
        <v>0</v>
      </c>
      <c r="I46">
        <f t="shared" si="10"/>
        <v>0</v>
      </c>
      <c r="J46">
        <f t="shared" si="2"/>
        <v>0</v>
      </c>
      <c r="K46">
        <f t="shared" si="3"/>
        <v>0</v>
      </c>
      <c r="L46">
        <f t="shared" si="11"/>
        <v>25</v>
      </c>
      <c r="M46">
        <f t="shared" si="12"/>
        <v>20</v>
      </c>
      <c r="N46">
        <f t="shared" si="13"/>
        <v>1</v>
      </c>
      <c r="O46">
        <f t="shared" si="14"/>
        <v>8</v>
      </c>
      <c r="P46">
        <f t="shared" si="4"/>
        <v>4</v>
      </c>
      <c r="Q46">
        <f t="shared" si="15"/>
        <v>17</v>
      </c>
      <c r="R46">
        <f t="shared" si="16"/>
        <v>16</v>
      </c>
    </row>
    <row r="47" spans="1:18" x14ac:dyDescent="0.25">
      <c r="A47" s="1">
        <v>44696</v>
      </c>
      <c r="B47">
        <f t="shared" si="0"/>
        <v>7</v>
      </c>
      <c r="C47">
        <f t="shared" si="5"/>
        <v>17</v>
      </c>
      <c r="D47">
        <f t="shared" si="6"/>
        <v>16</v>
      </c>
      <c r="E47">
        <f t="shared" si="7"/>
        <v>0</v>
      </c>
      <c r="F47">
        <f t="shared" si="1"/>
        <v>0</v>
      </c>
      <c r="G47">
        <f t="shared" si="8"/>
        <v>0</v>
      </c>
      <c r="H47">
        <f t="shared" si="9"/>
        <v>0</v>
      </c>
      <c r="I47">
        <f t="shared" si="10"/>
        <v>0</v>
      </c>
      <c r="J47">
        <f t="shared" si="2"/>
        <v>0</v>
      </c>
      <c r="K47">
        <f t="shared" si="3"/>
        <v>0</v>
      </c>
      <c r="L47">
        <f t="shared" si="11"/>
        <v>17</v>
      </c>
      <c r="M47">
        <f t="shared" si="12"/>
        <v>16</v>
      </c>
      <c r="N47">
        <f t="shared" si="13"/>
        <v>0</v>
      </c>
      <c r="O47">
        <f t="shared" si="14"/>
        <v>0</v>
      </c>
      <c r="P47">
        <f t="shared" si="4"/>
        <v>0</v>
      </c>
      <c r="Q47">
        <f t="shared" si="15"/>
        <v>17</v>
      </c>
      <c r="R47">
        <f t="shared" si="16"/>
        <v>16</v>
      </c>
    </row>
    <row r="48" spans="1:18" x14ac:dyDescent="0.25">
      <c r="A48" s="1">
        <v>44697</v>
      </c>
      <c r="B48">
        <f t="shared" si="0"/>
        <v>1</v>
      </c>
      <c r="C48">
        <f t="shared" si="5"/>
        <v>17</v>
      </c>
      <c r="D48">
        <f t="shared" si="6"/>
        <v>16</v>
      </c>
      <c r="E48">
        <f t="shared" si="7"/>
        <v>1</v>
      </c>
      <c r="F48">
        <f t="shared" si="1"/>
        <v>1</v>
      </c>
      <c r="G48">
        <f t="shared" si="8"/>
        <v>0</v>
      </c>
      <c r="H48">
        <f t="shared" si="9"/>
        <v>0</v>
      </c>
      <c r="I48">
        <f t="shared" si="10"/>
        <v>0</v>
      </c>
      <c r="J48">
        <f t="shared" si="2"/>
        <v>0</v>
      </c>
      <c r="K48">
        <f t="shared" si="3"/>
        <v>0</v>
      </c>
      <c r="L48">
        <f t="shared" si="11"/>
        <v>16</v>
      </c>
      <c r="M48">
        <f t="shared" si="12"/>
        <v>16</v>
      </c>
      <c r="N48">
        <f t="shared" si="13"/>
        <v>1</v>
      </c>
      <c r="O48">
        <f t="shared" si="14"/>
        <v>5</v>
      </c>
      <c r="P48">
        <f t="shared" si="4"/>
        <v>4</v>
      </c>
      <c r="Q48">
        <f t="shared" si="15"/>
        <v>11</v>
      </c>
      <c r="R48">
        <f t="shared" si="16"/>
        <v>12</v>
      </c>
    </row>
    <row r="49" spans="1:18" x14ac:dyDescent="0.25">
      <c r="A49" s="1">
        <v>44698</v>
      </c>
      <c r="B49">
        <f t="shared" si="0"/>
        <v>2</v>
      </c>
      <c r="C49">
        <f t="shared" si="5"/>
        <v>11</v>
      </c>
      <c r="D49">
        <f t="shared" si="6"/>
        <v>12</v>
      </c>
      <c r="E49">
        <f t="shared" si="7"/>
        <v>0</v>
      </c>
      <c r="F49">
        <f t="shared" si="1"/>
        <v>0</v>
      </c>
      <c r="G49">
        <f t="shared" si="8"/>
        <v>0</v>
      </c>
      <c r="H49">
        <f t="shared" si="9"/>
        <v>0</v>
      </c>
      <c r="I49">
        <f t="shared" si="10"/>
        <v>0</v>
      </c>
      <c r="J49">
        <f t="shared" si="2"/>
        <v>0</v>
      </c>
      <c r="K49">
        <f t="shared" si="3"/>
        <v>0</v>
      </c>
      <c r="L49">
        <f t="shared" si="11"/>
        <v>11</v>
      </c>
      <c r="M49">
        <f t="shared" si="12"/>
        <v>12</v>
      </c>
      <c r="N49">
        <f t="shared" si="13"/>
        <v>1</v>
      </c>
      <c r="O49">
        <f t="shared" si="14"/>
        <v>4</v>
      </c>
      <c r="P49">
        <f t="shared" si="4"/>
        <v>3</v>
      </c>
      <c r="Q49">
        <f t="shared" si="15"/>
        <v>7</v>
      </c>
      <c r="R49">
        <f t="shared" si="16"/>
        <v>9</v>
      </c>
    </row>
    <row r="50" spans="1:18" x14ac:dyDescent="0.25">
      <c r="A50" s="1">
        <v>44699</v>
      </c>
      <c r="B50">
        <f t="shared" si="0"/>
        <v>3</v>
      </c>
      <c r="C50">
        <f t="shared" si="5"/>
        <v>7</v>
      </c>
      <c r="D50">
        <f t="shared" si="6"/>
        <v>9</v>
      </c>
      <c r="E50">
        <f t="shared" si="7"/>
        <v>0</v>
      </c>
      <c r="F50">
        <f t="shared" si="1"/>
        <v>0</v>
      </c>
      <c r="G50">
        <f t="shared" si="8"/>
        <v>0</v>
      </c>
      <c r="H50">
        <f t="shared" si="9"/>
        <v>0</v>
      </c>
      <c r="I50">
        <f t="shared" si="10"/>
        <v>0</v>
      </c>
      <c r="J50">
        <f t="shared" si="2"/>
        <v>0</v>
      </c>
      <c r="K50">
        <f t="shared" si="3"/>
        <v>0</v>
      </c>
      <c r="L50">
        <f t="shared" si="11"/>
        <v>7</v>
      </c>
      <c r="M50">
        <f t="shared" si="12"/>
        <v>9</v>
      </c>
      <c r="N50">
        <f t="shared" si="13"/>
        <v>1</v>
      </c>
      <c r="O50">
        <f t="shared" si="14"/>
        <v>3</v>
      </c>
      <c r="P50">
        <f t="shared" si="4"/>
        <v>2</v>
      </c>
      <c r="Q50">
        <f t="shared" si="15"/>
        <v>4</v>
      </c>
      <c r="R50">
        <f t="shared" si="16"/>
        <v>7</v>
      </c>
    </row>
    <row r="51" spans="1:18" x14ac:dyDescent="0.25">
      <c r="A51" s="1">
        <v>44700</v>
      </c>
      <c r="B51">
        <f t="shared" si="0"/>
        <v>4</v>
      </c>
      <c r="C51">
        <f t="shared" si="5"/>
        <v>4</v>
      </c>
      <c r="D51">
        <f t="shared" si="6"/>
        <v>7</v>
      </c>
      <c r="E51">
        <f t="shared" si="7"/>
        <v>0</v>
      </c>
      <c r="F51">
        <f t="shared" si="1"/>
        <v>0</v>
      </c>
      <c r="G51">
        <f t="shared" si="8"/>
        <v>1</v>
      </c>
      <c r="H51">
        <f t="shared" si="9"/>
        <v>50</v>
      </c>
      <c r="I51">
        <f t="shared" si="10"/>
        <v>25</v>
      </c>
      <c r="J51">
        <f t="shared" si="2"/>
        <v>0</v>
      </c>
      <c r="K51">
        <f t="shared" si="3"/>
        <v>0</v>
      </c>
      <c r="L51">
        <f t="shared" si="11"/>
        <v>54</v>
      </c>
      <c r="M51">
        <f t="shared" si="12"/>
        <v>32</v>
      </c>
      <c r="N51">
        <f t="shared" si="13"/>
        <v>1</v>
      </c>
      <c r="O51">
        <f t="shared" si="14"/>
        <v>17</v>
      </c>
      <c r="P51">
        <f t="shared" si="4"/>
        <v>7</v>
      </c>
      <c r="Q51">
        <f t="shared" si="15"/>
        <v>37</v>
      </c>
      <c r="R51">
        <f t="shared" si="16"/>
        <v>25</v>
      </c>
    </row>
    <row r="52" spans="1:18" x14ac:dyDescent="0.25">
      <c r="A52" s="1">
        <v>44701</v>
      </c>
      <c r="B52">
        <f t="shared" si="0"/>
        <v>5</v>
      </c>
      <c r="C52">
        <f t="shared" si="5"/>
        <v>37</v>
      </c>
      <c r="D52">
        <f t="shared" si="6"/>
        <v>25</v>
      </c>
      <c r="E52">
        <f t="shared" si="7"/>
        <v>0</v>
      </c>
      <c r="F52">
        <f t="shared" si="1"/>
        <v>0</v>
      </c>
      <c r="G52">
        <f t="shared" si="8"/>
        <v>0</v>
      </c>
      <c r="H52">
        <f t="shared" si="9"/>
        <v>0</v>
      </c>
      <c r="I52">
        <f t="shared" si="10"/>
        <v>0</v>
      </c>
      <c r="J52">
        <f t="shared" si="2"/>
        <v>0</v>
      </c>
      <c r="K52">
        <f t="shared" si="3"/>
        <v>0</v>
      </c>
      <c r="L52">
        <f t="shared" si="11"/>
        <v>37</v>
      </c>
      <c r="M52">
        <f t="shared" si="12"/>
        <v>25</v>
      </c>
      <c r="N52">
        <f t="shared" si="13"/>
        <v>1</v>
      </c>
      <c r="O52">
        <f t="shared" si="14"/>
        <v>12</v>
      </c>
      <c r="P52">
        <f t="shared" si="4"/>
        <v>5</v>
      </c>
      <c r="Q52">
        <f t="shared" si="15"/>
        <v>25</v>
      </c>
      <c r="R52">
        <f t="shared" si="16"/>
        <v>20</v>
      </c>
    </row>
    <row r="53" spans="1:18" x14ac:dyDescent="0.25">
      <c r="A53" s="1">
        <v>44702</v>
      </c>
      <c r="B53">
        <f t="shared" si="0"/>
        <v>6</v>
      </c>
      <c r="C53">
        <f t="shared" si="5"/>
        <v>25</v>
      </c>
      <c r="D53">
        <f t="shared" si="6"/>
        <v>20</v>
      </c>
      <c r="E53">
        <f t="shared" si="7"/>
        <v>0</v>
      </c>
      <c r="F53">
        <f t="shared" si="1"/>
        <v>0</v>
      </c>
      <c r="G53">
        <f t="shared" si="8"/>
        <v>0</v>
      </c>
      <c r="H53">
        <f t="shared" si="9"/>
        <v>0</v>
      </c>
      <c r="I53">
        <f t="shared" si="10"/>
        <v>0</v>
      </c>
      <c r="J53">
        <f t="shared" si="2"/>
        <v>0</v>
      </c>
      <c r="K53">
        <f t="shared" si="3"/>
        <v>0</v>
      </c>
      <c r="L53">
        <f t="shared" si="11"/>
        <v>25</v>
      </c>
      <c r="M53">
        <f t="shared" si="12"/>
        <v>20</v>
      </c>
      <c r="N53">
        <f t="shared" si="13"/>
        <v>1</v>
      </c>
      <c r="O53">
        <f t="shared" si="14"/>
        <v>8</v>
      </c>
      <c r="P53">
        <f t="shared" si="4"/>
        <v>4</v>
      </c>
      <c r="Q53">
        <f t="shared" si="15"/>
        <v>17</v>
      </c>
      <c r="R53">
        <f t="shared" si="16"/>
        <v>16</v>
      </c>
    </row>
    <row r="54" spans="1:18" x14ac:dyDescent="0.25">
      <c r="A54" s="1">
        <v>44703</v>
      </c>
      <c r="B54">
        <f t="shared" si="0"/>
        <v>7</v>
      </c>
      <c r="C54">
        <f t="shared" si="5"/>
        <v>17</v>
      </c>
      <c r="D54">
        <f t="shared" si="6"/>
        <v>16</v>
      </c>
      <c r="E54">
        <f t="shared" si="7"/>
        <v>0</v>
      </c>
      <c r="F54">
        <f t="shared" si="1"/>
        <v>0</v>
      </c>
      <c r="G54">
        <f t="shared" si="8"/>
        <v>0</v>
      </c>
      <c r="H54">
        <f t="shared" si="9"/>
        <v>0</v>
      </c>
      <c r="I54">
        <f t="shared" si="10"/>
        <v>0</v>
      </c>
      <c r="J54">
        <f t="shared" si="2"/>
        <v>0</v>
      </c>
      <c r="K54">
        <f t="shared" si="3"/>
        <v>0</v>
      </c>
      <c r="L54">
        <f t="shared" si="11"/>
        <v>17</v>
      </c>
      <c r="M54">
        <f t="shared" si="12"/>
        <v>16</v>
      </c>
      <c r="N54">
        <f t="shared" si="13"/>
        <v>0</v>
      </c>
      <c r="O54">
        <f t="shared" si="14"/>
        <v>0</v>
      </c>
      <c r="P54">
        <f t="shared" si="4"/>
        <v>0</v>
      </c>
      <c r="Q54">
        <f t="shared" si="15"/>
        <v>17</v>
      </c>
      <c r="R54">
        <f t="shared" si="16"/>
        <v>16</v>
      </c>
    </row>
    <row r="55" spans="1:18" x14ac:dyDescent="0.25">
      <c r="A55" s="1">
        <v>44704</v>
      </c>
      <c r="B55">
        <f t="shared" si="0"/>
        <v>1</v>
      </c>
      <c r="C55">
        <f t="shared" si="5"/>
        <v>17</v>
      </c>
      <c r="D55">
        <f t="shared" si="6"/>
        <v>16</v>
      </c>
      <c r="E55">
        <f t="shared" si="7"/>
        <v>1</v>
      </c>
      <c r="F55">
        <f t="shared" si="1"/>
        <v>1</v>
      </c>
      <c r="G55">
        <f t="shared" si="8"/>
        <v>0</v>
      </c>
      <c r="H55">
        <f t="shared" si="9"/>
        <v>0</v>
      </c>
      <c r="I55">
        <f t="shared" si="10"/>
        <v>0</v>
      </c>
      <c r="J55">
        <f t="shared" si="2"/>
        <v>0</v>
      </c>
      <c r="K55">
        <f t="shared" si="3"/>
        <v>0</v>
      </c>
      <c r="L55">
        <f t="shared" si="11"/>
        <v>16</v>
      </c>
      <c r="M55">
        <f t="shared" si="12"/>
        <v>16</v>
      </c>
      <c r="N55">
        <f t="shared" si="13"/>
        <v>1</v>
      </c>
      <c r="O55">
        <f t="shared" si="14"/>
        <v>5</v>
      </c>
      <c r="P55">
        <f t="shared" si="4"/>
        <v>4</v>
      </c>
      <c r="Q55">
        <f t="shared" si="15"/>
        <v>11</v>
      </c>
      <c r="R55">
        <f t="shared" si="16"/>
        <v>12</v>
      </c>
    </row>
    <row r="56" spans="1:18" x14ac:dyDescent="0.25">
      <c r="A56" s="1">
        <v>44705</v>
      </c>
      <c r="B56">
        <f t="shared" si="0"/>
        <v>2</v>
      </c>
      <c r="C56">
        <f t="shared" si="5"/>
        <v>11</v>
      </c>
      <c r="D56">
        <f t="shared" si="6"/>
        <v>12</v>
      </c>
      <c r="E56">
        <f t="shared" si="7"/>
        <v>0</v>
      </c>
      <c r="F56">
        <f t="shared" si="1"/>
        <v>0</v>
      </c>
      <c r="G56">
        <f t="shared" si="8"/>
        <v>0</v>
      </c>
      <c r="H56">
        <f t="shared" si="9"/>
        <v>0</v>
      </c>
      <c r="I56">
        <f t="shared" si="10"/>
        <v>0</v>
      </c>
      <c r="J56">
        <f t="shared" si="2"/>
        <v>0</v>
      </c>
      <c r="K56">
        <f t="shared" si="3"/>
        <v>0</v>
      </c>
      <c r="L56">
        <f t="shared" si="11"/>
        <v>11</v>
      </c>
      <c r="M56">
        <f t="shared" si="12"/>
        <v>12</v>
      </c>
      <c r="N56">
        <f t="shared" si="13"/>
        <v>1</v>
      </c>
      <c r="O56">
        <f t="shared" si="14"/>
        <v>4</v>
      </c>
      <c r="P56">
        <f t="shared" si="4"/>
        <v>3</v>
      </c>
      <c r="Q56">
        <f t="shared" si="15"/>
        <v>7</v>
      </c>
      <c r="R56">
        <f t="shared" si="16"/>
        <v>9</v>
      </c>
    </row>
    <row r="57" spans="1:18" x14ac:dyDescent="0.25">
      <c r="A57" s="1">
        <v>44706</v>
      </c>
      <c r="B57">
        <f t="shared" si="0"/>
        <v>3</v>
      </c>
      <c r="C57">
        <f t="shared" si="5"/>
        <v>7</v>
      </c>
      <c r="D57">
        <f t="shared" si="6"/>
        <v>9</v>
      </c>
      <c r="E57">
        <f t="shared" si="7"/>
        <v>0</v>
      </c>
      <c r="F57">
        <f t="shared" si="1"/>
        <v>0</v>
      </c>
      <c r="G57">
        <f t="shared" si="8"/>
        <v>0</v>
      </c>
      <c r="H57">
        <f t="shared" si="9"/>
        <v>0</v>
      </c>
      <c r="I57">
        <f t="shared" si="10"/>
        <v>0</v>
      </c>
      <c r="J57">
        <f t="shared" si="2"/>
        <v>0</v>
      </c>
      <c r="K57">
        <f t="shared" si="3"/>
        <v>0</v>
      </c>
      <c r="L57">
        <f t="shared" si="11"/>
        <v>7</v>
      </c>
      <c r="M57">
        <f t="shared" si="12"/>
        <v>9</v>
      </c>
      <c r="N57">
        <f t="shared" si="13"/>
        <v>1</v>
      </c>
      <c r="O57">
        <f t="shared" si="14"/>
        <v>3</v>
      </c>
      <c r="P57">
        <f t="shared" si="4"/>
        <v>2</v>
      </c>
      <c r="Q57">
        <f t="shared" si="15"/>
        <v>4</v>
      </c>
      <c r="R57">
        <f t="shared" si="16"/>
        <v>7</v>
      </c>
    </row>
    <row r="58" spans="1:18" x14ac:dyDescent="0.25">
      <c r="A58" s="1">
        <v>44707</v>
      </c>
      <c r="B58">
        <f t="shared" si="0"/>
        <v>4</v>
      </c>
      <c r="C58">
        <f t="shared" si="5"/>
        <v>4</v>
      </c>
      <c r="D58">
        <f t="shared" si="6"/>
        <v>7</v>
      </c>
      <c r="E58">
        <f t="shared" si="7"/>
        <v>0</v>
      </c>
      <c r="F58">
        <f t="shared" si="1"/>
        <v>0</v>
      </c>
      <c r="G58">
        <f t="shared" si="8"/>
        <v>1</v>
      </c>
      <c r="H58">
        <f t="shared" si="9"/>
        <v>50</v>
      </c>
      <c r="I58">
        <f t="shared" si="10"/>
        <v>25</v>
      </c>
      <c r="J58">
        <f t="shared" si="2"/>
        <v>0</v>
      </c>
      <c r="K58">
        <f t="shared" si="3"/>
        <v>0</v>
      </c>
      <c r="L58">
        <f t="shared" si="11"/>
        <v>54</v>
      </c>
      <c r="M58">
        <f t="shared" si="12"/>
        <v>32</v>
      </c>
      <c r="N58">
        <f t="shared" si="13"/>
        <v>1</v>
      </c>
      <c r="O58">
        <f t="shared" si="14"/>
        <v>17</v>
      </c>
      <c r="P58">
        <f t="shared" si="4"/>
        <v>7</v>
      </c>
      <c r="Q58">
        <f t="shared" si="15"/>
        <v>37</v>
      </c>
      <c r="R58">
        <f t="shared" si="16"/>
        <v>25</v>
      </c>
    </row>
    <row r="59" spans="1:18" x14ac:dyDescent="0.25">
      <c r="A59" s="1">
        <v>44708</v>
      </c>
      <c r="B59">
        <f t="shared" si="0"/>
        <v>5</v>
      </c>
      <c r="C59">
        <f t="shared" si="5"/>
        <v>37</v>
      </c>
      <c r="D59">
        <f t="shared" si="6"/>
        <v>25</v>
      </c>
      <c r="E59">
        <f t="shared" si="7"/>
        <v>0</v>
      </c>
      <c r="F59">
        <f t="shared" si="1"/>
        <v>0</v>
      </c>
      <c r="G59">
        <f t="shared" si="8"/>
        <v>0</v>
      </c>
      <c r="H59">
        <f t="shared" si="9"/>
        <v>0</v>
      </c>
      <c r="I59">
        <f t="shared" si="10"/>
        <v>0</v>
      </c>
      <c r="J59">
        <f t="shared" si="2"/>
        <v>0</v>
      </c>
      <c r="K59">
        <f t="shared" si="3"/>
        <v>0</v>
      </c>
      <c r="L59">
        <f t="shared" si="11"/>
        <v>37</v>
      </c>
      <c r="M59">
        <f t="shared" si="12"/>
        <v>25</v>
      </c>
      <c r="N59">
        <f t="shared" si="13"/>
        <v>1</v>
      </c>
      <c r="O59">
        <f t="shared" si="14"/>
        <v>12</v>
      </c>
      <c r="P59">
        <f t="shared" si="4"/>
        <v>5</v>
      </c>
      <c r="Q59">
        <f t="shared" si="15"/>
        <v>25</v>
      </c>
      <c r="R59">
        <f t="shared" si="16"/>
        <v>20</v>
      </c>
    </row>
    <row r="60" spans="1:18" x14ac:dyDescent="0.25">
      <c r="A60" s="1">
        <v>44709</v>
      </c>
      <c r="B60">
        <f t="shared" si="0"/>
        <v>6</v>
      </c>
      <c r="C60">
        <f t="shared" si="5"/>
        <v>25</v>
      </c>
      <c r="D60">
        <f t="shared" si="6"/>
        <v>20</v>
      </c>
      <c r="E60">
        <f t="shared" si="7"/>
        <v>0</v>
      </c>
      <c r="F60">
        <f t="shared" si="1"/>
        <v>0</v>
      </c>
      <c r="G60">
        <f t="shared" si="8"/>
        <v>0</v>
      </c>
      <c r="H60">
        <f t="shared" si="9"/>
        <v>0</v>
      </c>
      <c r="I60">
        <f t="shared" si="10"/>
        <v>0</v>
      </c>
      <c r="J60">
        <f t="shared" si="2"/>
        <v>0</v>
      </c>
      <c r="K60">
        <f t="shared" si="3"/>
        <v>0</v>
      </c>
      <c r="L60">
        <f t="shared" si="11"/>
        <v>25</v>
      </c>
      <c r="M60">
        <f t="shared" si="12"/>
        <v>20</v>
      </c>
      <c r="N60">
        <f t="shared" si="13"/>
        <v>1</v>
      </c>
      <c r="O60">
        <f t="shared" si="14"/>
        <v>8</v>
      </c>
      <c r="P60">
        <f t="shared" si="4"/>
        <v>4</v>
      </c>
      <c r="Q60">
        <f t="shared" si="15"/>
        <v>17</v>
      </c>
      <c r="R60">
        <f t="shared" si="16"/>
        <v>16</v>
      </c>
    </row>
    <row r="61" spans="1:18" x14ac:dyDescent="0.25">
      <c r="A61" s="1">
        <v>44710</v>
      </c>
      <c r="B61">
        <f t="shared" si="0"/>
        <v>7</v>
      </c>
      <c r="C61">
        <f t="shared" si="5"/>
        <v>17</v>
      </c>
      <c r="D61">
        <f t="shared" si="6"/>
        <v>16</v>
      </c>
      <c r="E61">
        <f t="shared" si="7"/>
        <v>0</v>
      </c>
      <c r="F61">
        <f t="shared" si="1"/>
        <v>0</v>
      </c>
      <c r="G61">
        <f t="shared" si="8"/>
        <v>0</v>
      </c>
      <c r="H61">
        <f t="shared" si="9"/>
        <v>0</v>
      </c>
      <c r="I61">
        <f t="shared" si="10"/>
        <v>0</v>
      </c>
      <c r="J61">
        <f t="shared" si="2"/>
        <v>0</v>
      </c>
      <c r="K61">
        <f t="shared" si="3"/>
        <v>0</v>
      </c>
      <c r="L61">
        <f t="shared" si="11"/>
        <v>17</v>
      </c>
      <c r="M61">
        <f t="shared" si="12"/>
        <v>16</v>
      </c>
      <c r="N61">
        <f t="shared" si="13"/>
        <v>0</v>
      </c>
      <c r="O61">
        <f t="shared" si="14"/>
        <v>0</v>
      </c>
      <c r="P61">
        <f t="shared" si="4"/>
        <v>0</v>
      </c>
      <c r="Q61">
        <f t="shared" si="15"/>
        <v>17</v>
      </c>
      <c r="R61">
        <f t="shared" si="16"/>
        <v>16</v>
      </c>
    </row>
    <row r="62" spans="1:18" x14ac:dyDescent="0.25">
      <c r="A62" s="1">
        <v>44711</v>
      </c>
      <c r="B62">
        <f t="shared" si="0"/>
        <v>1</v>
      </c>
      <c r="C62">
        <f t="shared" si="5"/>
        <v>17</v>
      </c>
      <c r="D62">
        <f t="shared" si="6"/>
        <v>16</v>
      </c>
      <c r="E62">
        <f t="shared" si="7"/>
        <v>1</v>
      </c>
      <c r="F62">
        <f t="shared" si="1"/>
        <v>1</v>
      </c>
      <c r="G62">
        <f t="shared" si="8"/>
        <v>0</v>
      </c>
      <c r="H62">
        <f t="shared" si="9"/>
        <v>0</v>
      </c>
      <c r="I62">
        <f t="shared" si="10"/>
        <v>0</v>
      </c>
      <c r="J62">
        <f t="shared" si="2"/>
        <v>0</v>
      </c>
      <c r="K62">
        <f t="shared" si="3"/>
        <v>0</v>
      </c>
      <c r="L62">
        <f t="shared" si="11"/>
        <v>16</v>
      </c>
      <c r="M62">
        <f t="shared" si="12"/>
        <v>16</v>
      </c>
      <c r="N62">
        <f t="shared" si="13"/>
        <v>1</v>
      </c>
      <c r="O62">
        <f t="shared" si="14"/>
        <v>5</v>
      </c>
      <c r="P62">
        <f t="shared" si="4"/>
        <v>4</v>
      </c>
      <c r="Q62">
        <f t="shared" si="15"/>
        <v>11</v>
      </c>
      <c r="R62">
        <f t="shared" si="16"/>
        <v>12</v>
      </c>
    </row>
    <row r="63" spans="1:18" x14ac:dyDescent="0.25">
      <c r="A63" s="1">
        <v>44712</v>
      </c>
      <c r="B63">
        <f t="shared" si="0"/>
        <v>2</v>
      </c>
      <c r="C63">
        <f t="shared" si="5"/>
        <v>11</v>
      </c>
      <c r="D63">
        <f t="shared" si="6"/>
        <v>12</v>
      </c>
      <c r="E63">
        <f t="shared" si="7"/>
        <v>0</v>
      </c>
      <c r="F63">
        <f t="shared" si="1"/>
        <v>0</v>
      </c>
      <c r="G63">
        <f t="shared" si="8"/>
        <v>0</v>
      </c>
      <c r="H63">
        <f t="shared" si="9"/>
        <v>0</v>
      </c>
      <c r="I63">
        <f t="shared" si="10"/>
        <v>0</v>
      </c>
      <c r="J63">
        <f t="shared" si="2"/>
        <v>0</v>
      </c>
      <c r="K63">
        <f t="shared" si="3"/>
        <v>0</v>
      </c>
      <c r="L63">
        <f t="shared" si="11"/>
        <v>11</v>
      </c>
      <c r="M63">
        <f t="shared" si="12"/>
        <v>12</v>
      </c>
      <c r="N63">
        <f t="shared" si="13"/>
        <v>1</v>
      </c>
      <c r="O63">
        <f t="shared" si="14"/>
        <v>4</v>
      </c>
      <c r="P63">
        <f t="shared" si="4"/>
        <v>3</v>
      </c>
      <c r="Q63">
        <f t="shared" si="15"/>
        <v>7</v>
      </c>
      <c r="R63">
        <f t="shared" si="16"/>
        <v>9</v>
      </c>
    </row>
    <row r="64" spans="1:18" x14ac:dyDescent="0.25">
      <c r="A64" s="1">
        <v>44713</v>
      </c>
      <c r="B64">
        <f t="shared" si="0"/>
        <v>3</v>
      </c>
      <c r="C64">
        <f t="shared" si="5"/>
        <v>7</v>
      </c>
      <c r="D64">
        <f t="shared" si="6"/>
        <v>9</v>
      </c>
      <c r="E64">
        <f t="shared" si="7"/>
        <v>0</v>
      </c>
      <c r="F64">
        <f t="shared" si="1"/>
        <v>0</v>
      </c>
      <c r="G64">
        <f t="shared" si="8"/>
        <v>0</v>
      </c>
      <c r="H64">
        <f t="shared" si="9"/>
        <v>0</v>
      </c>
      <c r="I64">
        <f t="shared" si="10"/>
        <v>0</v>
      </c>
      <c r="J64">
        <f t="shared" si="2"/>
        <v>0</v>
      </c>
      <c r="K64">
        <f t="shared" si="3"/>
        <v>0</v>
      </c>
      <c r="L64">
        <f t="shared" si="11"/>
        <v>7</v>
      </c>
      <c r="M64">
        <f t="shared" si="12"/>
        <v>9</v>
      </c>
      <c r="N64">
        <f t="shared" si="13"/>
        <v>1</v>
      </c>
      <c r="O64">
        <f t="shared" si="14"/>
        <v>3</v>
      </c>
      <c r="P64">
        <f t="shared" si="4"/>
        <v>2</v>
      </c>
      <c r="Q64">
        <f t="shared" si="15"/>
        <v>4</v>
      </c>
      <c r="R64">
        <f t="shared" si="16"/>
        <v>7</v>
      </c>
    </row>
    <row r="65" spans="1:18" x14ac:dyDescent="0.25">
      <c r="A65" s="1">
        <v>44714</v>
      </c>
      <c r="B65">
        <f t="shared" si="0"/>
        <v>4</v>
      </c>
      <c r="C65">
        <f t="shared" si="5"/>
        <v>4</v>
      </c>
      <c r="D65">
        <f t="shared" si="6"/>
        <v>7</v>
      </c>
      <c r="E65">
        <f t="shared" si="7"/>
        <v>0</v>
      </c>
      <c r="F65">
        <f t="shared" si="1"/>
        <v>0</v>
      </c>
      <c r="G65">
        <f t="shared" si="8"/>
        <v>1</v>
      </c>
      <c r="H65">
        <f t="shared" si="9"/>
        <v>50</v>
      </c>
      <c r="I65">
        <f t="shared" si="10"/>
        <v>25</v>
      </c>
      <c r="J65">
        <f t="shared" si="2"/>
        <v>0</v>
      </c>
      <c r="K65">
        <f t="shared" si="3"/>
        <v>0</v>
      </c>
      <c r="L65">
        <f t="shared" si="11"/>
        <v>54</v>
      </c>
      <c r="M65">
        <f t="shared" si="12"/>
        <v>32</v>
      </c>
      <c r="N65">
        <f t="shared" si="13"/>
        <v>1</v>
      </c>
      <c r="O65">
        <f t="shared" si="14"/>
        <v>17</v>
      </c>
      <c r="P65">
        <f t="shared" si="4"/>
        <v>7</v>
      </c>
      <c r="Q65">
        <f t="shared" si="15"/>
        <v>37</v>
      </c>
      <c r="R65">
        <f t="shared" si="16"/>
        <v>25</v>
      </c>
    </row>
    <row r="66" spans="1:18" x14ac:dyDescent="0.25">
      <c r="A66" s="1">
        <v>44715</v>
      </c>
      <c r="B66">
        <f t="shared" si="0"/>
        <v>5</v>
      </c>
      <c r="C66">
        <f t="shared" si="5"/>
        <v>37</v>
      </c>
      <c r="D66">
        <f t="shared" si="6"/>
        <v>25</v>
      </c>
      <c r="E66">
        <f t="shared" si="7"/>
        <v>0</v>
      </c>
      <c r="F66">
        <f t="shared" si="1"/>
        <v>0</v>
      </c>
      <c r="G66">
        <f t="shared" si="8"/>
        <v>0</v>
      </c>
      <c r="H66">
        <f t="shared" si="9"/>
        <v>0</v>
      </c>
      <c r="I66">
        <f t="shared" si="10"/>
        <v>0</v>
      </c>
      <c r="J66">
        <f t="shared" si="2"/>
        <v>0</v>
      </c>
      <c r="K66">
        <f t="shared" si="3"/>
        <v>0</v>
      </c>
      <c r="L66">
        <f t="shared" si="11"/>
        <v>37</v>
      </c>
      <c r="M66">
        <f t="shared" si="12"/>
        <v>25</v>
      </c>
      <c r="N66">
        <f t="shared" si="13"/>
        <v>1</v>
      </c>
      <c r="O66">
        <f t="shared" si="14"/>
        <v>12</v>
      </c>
      <c r="P66">
        <f t="shared" si="4"/>
        <v>5</v>
      </c>
      <c r="Q66">
        <f t="shared" si="15"/>
        <v>25</v>
      </c>
      <c r="R66">
        <f t="shared" si="16"/>
        <v>20</v>
      </c>
    </row>
    <row r="67" spans="1:18" x14ac:dyDescent="0.25">
      <c r="A67" s="1">
        <v>44716</v>
      </c>
      <c r="B67">
        <f t="shared" si="0"/>
        <v>6</v>
      </c>
      <c r="C67">
        <f t="shared" si="5"/>
        <v>25</v>
      </c>
      <c r="D67">
        <f t="shared" si="6"/>
        <v>20</v>
      </c>
      <c r="E67">
        <f t="shared" si="7"/>
        <v>0</v>
      </c>
      <c r="F67">
        <f t="shared" si="1"/>
        <v>0</v>
      </c>
      <c r="G67">
        <f t="shared" si="8"/>
        <v>0</v>
      </c>
      <c r="H67">
        <f t="shared" si="9"/>
        <v>0</v>
      </c>
      <c r="I67">
        <f t="shared" si="10"/>
        <v>0</v>
      </c>
      <c r="J67">
        <f t="shared" si="2"/>
        <v>0</v>
      </c>
      <c r="K67">
        <f t="shared" si="3"/>
        <v>0</v>
      </c>
      <c r="L67">
        <f t="shared" si="11"/>
        <v>25</v>
      </c>
      <c r="M67">
        <f t="shared" si="12"/>
        <v>20</v>
      </c>
      <c r="N67">
        <f t="shared" si="13"/>
        <v>1</v>
      </c>
      <c r="O67">
        <f t="shared" si="14"/>
        <v>8</v>
      </c>
      <c r="P67">
        <f t="shared" si="4"/>
        <v>4</v>
      </c>
      <c r="Q67">
        <f t="shared" si="15"/>
        <v>17</v>
      </c>
      <c r="R67">
        <f t="shared" si="16"/>
        <v>16</v>
      </c>
    </row>
    <row r="68" spans="1:18" x14ac:dyDescent="0.25">
      <c r="A68" s="1">
        <v>44717</v>
      </c>
      <c r="B68">
        <f t="shared" ref="B68:B131" si="17">WEEKDAY(A68, 2)</f>
        <v>7</v>
      </c>
      <c r="C68">
        <f t="shared" si="5"/>
        <v>17</v>
      </c>
      <c r="D68">
        <f t="shared" si="6"/>
        <v>16</v>
      </c>
      <c r="E68">
        <f t="shared" si="7"/>
        <v>0</v>
      </c>
      <c r="F68">
        <f t="shared" ref="F68:F131" si="18">IF(E68=1,ROUNDUP(5% * C68,0),0)</f>
        <v>0</v>
      </c>
      <c r="G68">
        <f t="shared" si="8"/>
        <v>0</v>
      </c>
      <c r="H68">
        <f t="shared" si="9"/>
        <v>0</v>
      </c>
      <c r="I68">
        <f t="shared" si="10"/>
        <v>0</v>
      </c>
      <c r="J68">
        <f t="shared" ref="J68:J131" si="19">IF(AND(B68=1,SUM(O65:O66)&gt;25),1,0)</f>
        <v>0</v>
      </c>
      <c r="K68">
        <f t="shared" ref="K68:K131" si="20">IF(J68=1,15,0)</f>
        <v>0</v>
      </c>
      <c r="L68">
        <f t="shared" si="11"/>
        <v>17</v>
      </c>
      <c r="M68">
        <f t="shared" si="12"/>
        <v>16</v>
      </c>
      <c r="N68">
        <f t="shared" si="13"/>
        <v>0</v>
      </c>
      <c r="O68">
        <f t="shared" si="14"/>
        <v>0</v>
      </c>
      <c r="P68">
        <f t="shared" ref="P68:P131" si="21">IF(N68=1,ROUNDUP(20% * M68,0),0)</f>
        <v>0</v>
      </c>
      <c r="Q68">
        <f t="shared" si="15"/>
        <v>17</v>
      </c>
      <c r="R68">
        <f t="shared" si="16"/>
        <v>16</v>
      </c>
    </row>
    <row r="69" spans="1:18" x14ac:dyDescent="0.25">
      <c r="A69" s="1">
        <v>44718</v>
      </c>
      <c r="B69">
        <f t="shared" si="17"/>
        <v>1</v>
      </c>
      <c r="C69">
        <f t="shared" ref="C69:C132" si="22">Q68</f>
        <v>17</v>
      </c>
      <c r="D69">
        <f t="shared" ref="D69:D132" si="23">R68</f>
        <v>16</v>
      </c>
      <c r="E69">
        <f t="shared" ref="E69:E132" si="24">IF(B69=1,1,0)</f>
        <v>1</v>
      </c>
      <c r="F69">
        <f t="shared" si="18"/>
        <v>1</v>
      </c>
      <c r="G69">
        <f t="shared" ref="G69:G132" si="25">IF(B69=4,1,0)</f>
        <v>0</v>
      </c>
      <c r="H69">
        <f t="shared" ref="H69:H132" si="26">IF(G69=1,50,0)</f>
        <v>0</v>
      </c>
      <c r="I69">
        <f t="shared" ref="I69:I132" si="27">IF(G69=1,25,0)</f>
        <v>0</v>
      </c>
      <c r="J69">
        <f t="shared" si="19"/>
        <v>0</v>
      </c>
      <c r="K69">
        <f t="shared" si="20"/>
        <v>0</v>
      </c>
      <c r="L69">
        <f t="shared" ref="L69:L132" si="28">K69+H69+C69-F69</f>
        <v>16</v>
      </c>
      <c r="M69">
        <f t="shared" ref="M69:M132" si="29">I69+D69</f>
        <v>16</v>
      </c>
      <c r="N69">
        <f t="shared" ref="N69:N132" si="30">IF(B69&lt;&gt;7,1,0)</f>
        <v>1</v>
      </c>
      <c r="O69">
        <f t="shared" ref="O69:O132" si="31">IF(N69=1,ROUNDUP(30% * L69,0),0)</f>
        <v>5</v>
      </c>
      <c r="P69">
        <f t="shared" si="21"/>
        <v>4</v>
      </c>
      <c r="Q69">
        <f t="shared" ref="Q69:Q132" si="32">L69-O69</f>
        <v>11</v>
      </c>
      <c r="R69">
        <f t="shared" ref="R69:R132" si="33">M69-P69</f>
        <v>12</v>
      </c>
    </row>
    <row r="70" spans="1:18" x14ac:dyDescent="0.25">
      <c r="A70" s="1">
        <v>44719</v>
      </c>
      <c r="B70">
        <f t="shared" si="17"/>
        <v>2</v>
      </c>
      <c r="C70">
        <f t="shared" si="22"/>
        <v>11</v>
      </c>
      <c r="D70">
        <f t="shared" si="23"/>
        <v>12</v>
      </c>
      <c r="E70">
        <f t="shared" si="24"/>
        <v>0</v>
      </c>
      <c r="F70">
        <f t="shared" si="18"/>
        <v>0</v>
      </c>
      <c r="G70">
        <f t="shared" si="25"/>
        <v>0</v>
      </c>
      <c r="H70">
        <f t="shared" si="26"/>
        <v>0</v>
      </c>
      <c r="I70">
        <f t="shared" si="27"/>
        <v>0</v>
      </c>
      <c r="J70">
        <f t="shared" si="19"/>
        <v>0</v>
      </c>
      <c r="K70">
        <f t="shared" si="20"/>
        <v>0</v>
      </c>
      <c r="L70">
        <f t="shared" si="28"/>
        <v>11</v>
      </c>
      <c r="M70">
        <f t="shared" si="29"/>
        <v>12</v>
      </c>
      <c r="N70">
        <f t="shared" si="30"/>
        <v>1</v>
      </c>
      <c r="O70">
        <f t="shared" si="31"/>
        <v>4</v>
      </c>
      <c r="P70">
        <f t="shared" si="21"/>
        <v>3</v>
      </c>
      <c r="Q70">
        <f t="shared" si="32"/>
        <v>7</v>
      </c>
      <c r="R70">
        <f t="shared" si="33"/>
        <v>9</v>
      </c>
    </row>
    <row r="71" spans="1:18" x14ac:dyDescent="0.25">
      <c r="A71" s="1">
        <v>44720</v>
      </c>
      <c r="B71">
        <f t="shared" si="17"/>
        <v>3</v>
      </c>
      <c r="C71">
        <f t="shared" si="22"/>
        <v>7</v>
      </c>
      <c r="D71">
        <f t="shared" si="23"/>
        <v>9</v>
      </c>
      <c r="E71">
        <f t="shared" si="24"/>
        <v>0</v>
      </c>
      <c r="F71">
        <f t="shared" si="18"/>
        <v>0</v>
      </c>
      <c r="G71">
        <f t="shared" si="25"/>
        <v>0</v>
      </c>
      <c r="H71">
        <f t="shared" si="26"/>
        <v>0</v>
      </c>
      <c r="I71">
        <f t="shared" si="27"/>
        <v>0</v>
      </c>
      <c r="J71">
        <f t="shared" si="19"/>
        <v>0</v>
      </c>
      <c r="K71">
        <f t="shared" si="20"/>
        <v>0</v>
      </c>
      <c r="L71">
        <f t="shared" si="28"/>
        <v>7</v>
      </c>
      <c r="M71">
        <f t="shared" si="29"/>
        <v>9</v>
      </c>
      <c r="N71">
        <f t="shared" si="30"/>
        <v>1</v>
      </c>
      <c r="O71">
        <f t="shared" si="31"/>
        <v>3</v>
      </c>
      <c r="P71">
        <f t="shared" si="21"/>
        <v>2</v>
      </c>
      <c r="Q71">
        <f t="shared" si="32"/>
        <v>4</v>
      </c>
      <c r="R71">
        <f t="shared" si="33"/>
        <v>7</v>
      </c>
    </row>
    <row r="72" spans="1:18" x14ac:dyDescent="0.25">
      <c r="A72" s="1">
        <v>44721</v>
      </c>
      <c r="B72">
        <f t="shared" si="17"/>
        <v>4</v>
      </c>
      <c r="C72">
        <f t="shared" si="22"/>
        <v>4</v>
      </c>
      <c r="D72">
        <f t="shared" si="23"/>
        <v>7</v>
      </c>
      <c r="E72">
        <f t="shared" si="24"/>
        <v>0</v>
      </c>
      <c r="F72">
        <f t="shared" si="18"/>
        <v>0</v>
      </c>
      <c r="G72">
        <f t="shared" si="25"/>
        <v>1</v>
      </c>
      <c r="H72">
        <f t="shared" si="26"/>
        <v>50</v>
      </c>
      <c r="I72">
        <f t="shared" si="27"/>
        <v>25</v>
      </c>
      <c r="J72">
        <f t="shared" si="19"/>
        <v>0</v>
      </c>
      <c r="K72">
        <f t="shared" si="20"/>
        <v>0</v>
      </c>
      <c r="L72">
        <f t="shared" si="28"/>
        <v>54</v>
      </c>
      <c r="M72">
        <f t="shared" si="29"/>
        <v>32</v>
      </c>
      <c r="N72">
        <f t="shared" si="30"/>
        <v>1</v>
      </c>
      <c r="O72">
        <f t="shared" si="31"/>
        <v>17</v>
      </c>
      <c r="P72">
        <f t="shared" si="21"/>
        <v>7</v>
      </c>
      <c r="Q72">
        <f t="shared" si="32"/>
        <v>37</v>
      </c>
      <c r="R72">
        <f t="shared" si="33"/>
        <v>25</v>
      </c>
    </row>
    <row r="73" spans="1:18" x14ac:dyDescent="0.25">
      <c r="A73" s="1">
        <v>44722</v>
      </c>
      <c r="B73">
        <f t="shared" si="17"/>
        <v>5</v>
      </c>
      <c r="C73">
        <f t="shared" si="22"/>
        <v>37</v>
      </c>
      <c r="D73">
        <f t="shared" si="23"/>
        <v>25</v>
      </c>
      <c r="E73">
        <f t="shared" si="24"/>
        <v>0</v>
      </c>
      <c r="F73">
        <f t="shared" si="18"/>
        <v>0</v>
      </c>
      <c r="G73">
        <f t="shared" si="25"/>
        <v>0</v>
      </c>
      <c r="H73">
        <f t="shared" si="26"/>
        <v>0</v>
      </c>
      <c r="I73">
        <f t="shared" si="27"/>
        <v>0</v>
      </c>
      <c r="J73">
        <f t="shared" si="19"/>
        <v>0</v>
      </c>
      <c r="K73">
        <f t="shared" si="20"/>
        <v>0</v>
      </c>
      <c r="L73">
        <f t="shared" si="28"/>
        <v>37</v>
      </c>
      <c r="M73">
        <f t="shared" si="29"/>
        <v>25</v>
      </c>
      <c r="N73">
        <f t="shared" si="30"/>
        <v>1</v>
      </c>
      <c r="O73">
        <f t="shared" si="31"/>
        <v>12</v>
      </c>
      <c r="P73">
        <f t="shared" si="21"/>
        <v>5</v>
      </c>
      <c r="Q73">
        <f t="shared" si="32"/>
        <v>25</v>
      </c>
      <c r="R73">
        <f t="shared" si="33"/>
        <v>20</v>
      </c>
    </row>
    <row r="74" spans="1:18" x14ac:dyDescent="0.25">
      <c r="A74" s="1">
        <v>44723</v>
      </c>
      <c r="B74">
        <f t="shared" si="17"/>
        <v>6</v>
      </c>
      <c r="C74">
        <f t="shared" si="22"/>
        <v>25</v>
      </c>
      <c r="D74">
        <f t="shared" si="23"/>
        <v>20</v>
      </c>
      <c r="E74">
        <f t="shared" si="24"/>
        <v>0</v>
      </c>
      <c r="F74">
        <f t="shared" si="18"/>
        <v>0</v>
      </c>
      <c r="G74">
        <f t="shared" si="25"/>
        <v>0</v>
      </c>
      <c r="H74">
        <f t="shared" si="26"/>
        <v>0</v>
      </c>
      <c r="I74">
        <f t="shared" si="27"/>
        <v>0</v>
      </c>
      <c r="J74">
        <f t="shared" si="19"/>
        <v>0</v>
      </c>
      <c r="K74">
        <f t="shared" si="20"/>
        <v>0</v>
      </c>
      <c r="L74">
        <f t="shared" si="28"/>
        <v>25</v>
      </c>
      <c r="M74">
        <f t="shared" si="29"/>
        <v>20</v>
      </c>
      <c r="N74">
        <f t="shared" si="30"/>
        <v>1</v>
      </c>
      <c r="O74">
        <f t="shared" si="31"/>
        <v>8</v>
      </c>
      <c r="P74">
        <f t="shared" si="21"/>
        <v>4</v>
      </c>
      <c r="Q74">
        <f t="shared" si="32"/>
        <v>17</v>
      </c>
      <c r="R74">
        <f t="shared" si="33"/>
        <v>16</v>
      </c>
    </row>
    <row r="75" spans="1:18" x14ac:dyDescent="0.25">
      <c r="A75" s="1">
        <v>44724</v>
      </c>
      <c r="B75">
        <f t="shared" si="17"/>
        <v>7</v>
      </c>
      <c r="C75">
        <f t="shared" si="22"/>
        <v>17</v>
      </c>
      <c r="D75">
        <f t="shared" si="23"/>
        <v>16</v>
      </c>
      <c r="E75">
        <f t="shared" si="24"/>
        <v>0</v>
      </c>
      <c r="F75">
        <f t="shared" si="18"/>
        <v>0</v>
      </c>
      <c r="G75">
        <f t="shared" si="25"/>
        <v>0</v>
      </c>
      <c r="H75">
        <f t="shared" si="26"/>
        <v>0</v>
      </c>
      <c r="I75">
        <f t="shared" si="27"/>
        <v>0</v>
      </c>
      <c r="J75">
        <f t="shared" si="19"/>
        <v>0</v>
      </c>
      <c r="K75">
        <f t="shared" si="20"/>
        <v>0</v>
      </c>
      <c r="L75">
        <f t="shared" si="28"/>
        <v>17</v>
      </c>
      <c r="M75">
        <f t="shared" si="29"/>
        <v>16</v>
      </c>
      <c r="N75">
        <f t="shared" si="30"/>
        <v>0</v>
      </c>
      <c r="O75">
        <f t="shared" si="31"/>
        <v>0</v>
      </c>
      <c r="P75">
        <f t="shared" si="21"/>
        <v>0</v>
      </c>
      <c r="Q75">
        <f t="shared" si="32"/>
        <v>17</v>
      </c>
      <c r="R75">
        <f t="shared" si="33"/>
        <v>16</v>
      </c>
    </row>
    <row r="76" spans="1:18" x14ac:dyDescent="0.25">
      <c r="A76" s="1">
        <v>44725</v>
      </c>
      <c r="B76">
        <f t="shared" si="17"/>
        <v>1</v>
      </c>
      <c r="C76">
        <f t="shared" si="22"/>
        <v>17</v>
      </c>
      <c r="D76">
        <f t="shared" si="23"/>
        <v>16</v>
      </c>
      <c r="E76">
        <f t="shared" si="24"/>
        <v>1</v>
      </c>
      <c r="F76">
        <f t="shared" si="18"/>
        <v>1</v>
      </c>
      <c r="G76">
        <f t="shared" si="25"/>
        <v>0</v>
      </c>
      <c r="H76">
        <f t="shared" si="26"/>
        <v>0</v>
      </c>
      <c r="I76">
        <f t="shared" si="27"/>
        <v>0</v>
      </c>
      <c r="J76">
        <f t="shared" si="19"/>
        <v>0</v>
      </c>
      <c r="K76">
        <f t="shared" si="20"/>
        <v>0</v>
      </c>
      <c r="L76">
        <f t="shared" si="28"/>
        <v>16</v>
      </c>
      <c r="M76">
        <f t="shared" si="29"/>
        <v>16</v>
      </c>
      <c r="N76">
        <f t="shared" si="30"/>
        <v>1</v>
      </c>
      <c r="O76">
        <f t="shared" si="31"/>
        <v>5</v>
      </c>
      <c r="P76">
        <f t="shared" si="21"/>
        <v>4</v>
      </c>
      <c r="Q76">
        <f t="shared" si="32"/>
        <v>11</v>
      </c>
      <c r="R76">
        <f t="shared" si="33"/>
        <v>12</v>
      </c>
    </row>
    <row r="77" spans="1:18" x14ac:dyDescent="0.25">
      <c r="A77" s="1">
        <v>44726</v>
      </c>
      <c r="B77">
        <f t="shared" si="17"/>
        <v>2</v>
      </c>
      <c r="C77">
        <f t="shared" si="22"/>
        <v>11</v>
      </c>
      <c r="D77">
        <f t="shared" si="23"/>
        <v>12</v>
      </c>
      <c r="E77">
        <f t="shared" si="24"/>
        <v>0</v>
      </c>
      <c r="F77">
        <f t="shared" si="18"/>
        <v>0</v>
      </c>
      <c r="G77">
        <f t="shared" si="25"/>
        <v>0</v>
      </c>
      <c r="H77">
        <f t="shared" si="26"/>
        <v>0</v>
      </c>
      <c r="I77">
        <f t="shared" si="27"/>
        <v>0</v>
      </c>
      <c r="J77">
        <f t="shared" si="19"/>
        <v>0</v>
      </c>
      <c r="K77">
        <f t="shared" si="20"/>
        <v>0</v>
      </c>
      <c r="L77">
        <f t="shared" si="28"/>
        <v>11</v>
      </c>
      <c r="M77">
        <f t="shared" si="29"/>
        <v>12</v>
      </c>
      <c r="N77">
        <f t="shared" si="30"/>
        <v>1</v>
      </c>
      <c r="O77">
        <f t="shared" si="31"/>
        <v>4</v>
      </c>
      <c r="P77">
        <f t="shared" si="21"/>
        <v>3</v>
      </c>
      <c r="Q77">
        <f t="shared" si="32"/>
        <v>7</v>
      </c>
      <c r="R77">
        <f t="shared" si="33"/>
        <v>9</v>
      </c>
    </row>
    <row r="78" spans="1:18" x14ac:dyDescent="0.25">
      <c r="A78" s="1">
        <v>44727</v>
      </c>
      <c r="B78">
        <f t="shared" si="17"/>
        <v>3</v>
      </c>
      <c r="C78">
        <f t="shared" si="22"/>
        <v>7</v>
      </c>
      <c r="D78">
        <f t="shared" si="23"/>
        <v>9</v>
      </c>
      <c r="E78">
        <f t="shared" si="24"/>
        <v>0</v>
      </c>
      <c r="F78">
        <f t="shared" si="18"/>
        <v>0</v>
      </c>
      <c r="G78">
        <f t="shared" si="25"/>
        <v>0</v>
      </c>
      <c r="H78">
        <f t="shared" si="26"/>
        <v>0</v>
      </c>
      <c r="I78">
        <f t="shared" si="27"/>
        <v>0</v>
      </c>
      <c r="J78">
        <f t="shared" si="19"/>
        <v>0</v>
      </c>
      <c r="K78">
        <f t="shared" si="20"/>
        <v>0</v>
      </c>
      <c r="L78">
        <f t="shared" si="28"/>
        <v>7</v>
      </c>
      <c r="M78">
        <f t="shared" si="29"/>
        <v>9</v>
      </c>
      <c r="N78">
        <f t="shared" si="30"/>
        <v>1</v>
      </c>
      <c r="O78">
        <f t="shared" si="31"/>
        <v>3</v>
      </c>
      <c r="P78">
        <f t="shared" si="21"/>
        <v>2</v>
      </c>
      <c r="Q78">
        <f t="shared" si="32"/>
        <v>4</v>
      </c>
      <c r="R78">
        <f t="shared" si="33"/>
        <v>7</v>
      </c>
    </row>
    <row r="79" spans="1:18" x14ac:dyDescent="0.25">
      <c r="A79" s="1">
        <v>44728</v>
      </c>
      <c r="B79">
        <f t="shared" si="17"/>
        <v>4</v>
      </c>
      <c r="C79">
        <f t="shared" si="22"/>
        <v>4</v>
      </c>
      <c r="D79">
        <f t="shared" si="23"/>
        <v>7</v>
      </c>
      <c r="E79">
        <f t="shared" si="24"/>
        <v>0</v>
      </c>
      <c r="F79">
        <f t="shared" si="18"/>
        <v>0</v>
      </c>
      <c r="G79">
        <f t="shared" si="25"/>
        <v>1</v>
      </c>
      <c r="H79">
        <f t="shared" si="26"/>
        <v>50</v>
      </c>
      <c r="I79">
        <f t="shared" si="27"/>
        <v>25</v>
      </c>
      <c r="J79">
        <f t="shared" si="19"/>
        <v>0</v>
      </c>
      <c r="K79">
        <f t="shared" si="20"/>
        <v>0</v>
      </c>
      <c r="L79">
        <f t="shared" si="28"/>
        <v>54</v>
      </c>
      <c r="M79">
        <f t="shared" si="29"/>
        <v>32</v>
      </c>
      <c r="N79">
        <f t="shared" si="30"/>
        <v>1</v>
      </c>
      <c r="O79">
        <f t="shared" si="31"/>
        <v>17</v>
      </c>
      <c r="P79">
        <f t="shared" si="21"/>
        <v>7</v>
      </c>
      <c r="Q79">
        <f t="shared" si="32"/>
        <v>37</v>
      </c>
      <c r="R79">
        <f t="shared" si="33"/>
        <v>25</v>
      </c>
    </row>
    <row r="80" spans="1:18" x14ac:dyDescent="0.25">
      <c r="A80" s="1">
        <v>44729</v>
      </c>
      <c r="B80">
        <f t="shared" si="17"/>
        <v>5</v>
      </c>
      <c r="C80">
        <f t="shared" si="22"/>
        <v>37</v>
      </c>
      <c r="D80">
        <f t="shared" si="23"/>
        <v>25</v>
      </c>
      <c r="E80">
        <f t="shared" si="24"/>
        <v>0</v>
      </c>
      <c r="F80">
        <f t="shared" si="18"/>
        <v>0</v>
      </c>
      <c r="G80">
        <f t="shared" si="25"/>
        <v>0</v>
      </c>
      <c r="H80">
        <f t="shared" si="26"/>
        <v>0</v>
      </c>
      <c r="I80">
        <f t="shared" si="27"/>
        <v>0</v>
      </c>
      <c r="J80">
        <f t="shared" si="19"/>
        <v>0</v>
      </c>
      <c r="K80">
        <f t="shared" si="20"/>
        <v>0</v>
      </c>
      <c r="L80">
        <f t="shared" si="28"/>
        <v>37</v>
      </c>
      <c r="M80">
        <f t="shared" si="29"/>
        <v>25</v>
      </c>
      <c r="N80">
        <f t="shared" si="30"/>
        <v>1</v>
      </c>
      <c r="O80">
        <f t="shared" si="31"/>
        <v>12</v>
      </c>
      <c r="P80">
        <f t="shared" si="21"/>
        <v>5</v>
      </c>
      <c r="Q80">
        <f t="shared" si="32"/>
        <v>25</v>
      </c>
      <c r="R80">
        <f t="shared" si="33"/>
        <v>20</v>
      </c>
    </row>
    <row r="81" spans="1:18" x14ac:dyDescent="0.25">
      <c r="A81" s="1">
        <v>44730</v>
      </c>
      <c r="B81">
        <f t="shared" si="17"/>
        <v>6</v>
      </c>
      <c r="C81">
        <f t="shared" si="22"/>
        <v>25</v>
      </c>
      <c r="D81">
        <f t="shared" si="23"/>
        <v>20</v>
      </c>
      <c r="E81">
        <f t="shared" si="24"/>
        <v>0</v>
      </c>
      <c r="F81">
        <f t="shared" si="18"/>
        <v>0</v>
      </c>
      <c r="G81">
        <f t="shared" si="25"/>
        <v>0</v>
      </c>
      <c r="H81">
        <f t="shared" si="26"/>
        <v>0</v>
      </c>
      <c r="I81">
        <f t="shared" si="27"/>
        <v>0</v>
      </c>
      <c r="J81">
        <f t="shared" si="19"/>
        <v>0</v>
      </c>
      <c r="K81">
        <f t="shared" si="20"/>
        <v>0</v>
      </c>
      <c r="L81">
        <f t="shared" si="28"/>
        <v>25</v>
      </c>
      <c r="M81">
        <f t="shared" si="29"/>
        <v>20</v>
      </c>
      <c r="N81">
        <f t="shared" si="30"/>
        <v>1</v>
      </c>
      <c r="O81">
        <f t="shared" si="31"/>
        <v>8</v>
      </c>
      <c r="P81">
        <f t="shared" si="21"/>
        <v>4</v>
      </c>
      <c r="Q81">
        <f t="shared" si="32"/>
        <v>17</v>
      </c>
      <c r="R81">
        <f t="shared" si="33"/>
        <v>16</v>
      </c>
    </row>
    <row r="82" spans="1:18" x14ac:dyDescent="0.25">
      <c r="A82" s="1">
        <v>44731</v>
      </c>
      <c r="B82">
        <f t="shared" si="17"/>
        <v>7</v>
      </c>
      <c r="C82">
        <f t="shared" si="22"/>
        <v>17</v>
      </c>
      <c r="D82">
        <f t="shared" si="23"/>
        <v>16</v>
      </c>
      <c r="E82">
        <f t="shared" si="24"/>
        <v>0</v>
      </c>
      <c r="F82">
        <f t="shared" si="18"/>
        <v>0</v>
      </c>
      <c r="G82">
        <f t="shared" si="25"/>
        <v>0</v>
      </c>
      <c r="H82">
        <f t="shared" si="26"/>
        <v>0</v>
      </c>
      <c r="I82">
        <f t="shared" si="27"/>
        <v>0</v>
      </c>
      <c r="J82">
        <f t="shared" si="19"/>
        <v>0</v>
      </c>
      <c r="K82">
        <f t="shared" si="20"/>
        <v>0</v>
      </c>
      <c r="L82">
        <f t="shared" si="28"/>
        <v>17</v>
      </c>
      <c r="M82">
        <f t="shared" si="29"/>
        <v>16</v>
      </c>
      <c r="N82">
        <f t="shared" si="30"/>
        <v>0</v>
      </c>
      <c r="O82">
        <f t="shared" si="31"/>
        <v>0</v>
      </c>
      <c r="P82">
        <f t="shared" si="21"/>
        <v>0</v>
      </c>
      <c r="Q82">
        <f t="shared" si="32"/>
        <v>17</v>
      </c>
      <c r="R82">
        <f t="shared" si="33"/>
        <v>16</v>
      </c>
    </row>
    <row r="83" spans="1:18" x14ac:dyDescent="0.25">
      <c r="A83" s="1">
        <v>44732</v>
      </c>
      <c r="B83">
        <f t="shared" si="17"/>
        <v>1</v>
      </c>
      <c r="C83">
        <f t="shared" si="22"/>
        <v>17</v>
      </c>
      <c r="D83">
        <f t="shared" si="23"/>
        <v>16</v>
      </c>
      <c r="E83">
        <f t="shared" si="24"/>
        <v>1</v>
      </c>
      <c r="F83">
        <f t="shared" si="18"/>
        <v>1</v>
      </c>
      <c r="G83">
        <f t="shared" si="25"/>
        <v>0</v>
      </c>
      <c r="H83">
        <f t="shared" si="26"/>
        <v>0</v>
      </c>
      <c r="I83">
        <f t="shared" si="27"/>
        <v>0</v>
      </c>
      <c r="J83">
        <f t="shared" si="19"/>
        <v>0</v>
      </c>
      <c r="K83">
        <f t="shared" si="20"/>
        <v>0</v>
      </c>
      <c r="L83">
        <f t="shared" si="28"/>
        <v>16</v>
      </c>
      <c r="M83">
        <f t="shared" si="29"/>
        <v>16</v>
      </c>
      <c r="N83">
        <f t="shared" si="30"/>
        <v>1</v>
      </c>
      <c r="O83">
        <f t="shared" si="31"/>
        <v>5</v>
      </c>
      <c r="P83">
        <f t="shared" si="21"/>
        <v>4</v>
      </c>
      <c r="Q83">
        <f t="shared" si="32"/>
        <v>11</v>
      </c>
      <c r="R83">
        <f t="shared" si="33"/>
        <v>12</v>
      </c>
    </row>
    <row r="84" spans="1:18" x14ac:dyDescent="0.25">
      <c r="A84" s="1">
        <v>44733</v>
      </c>
      <c r="B84">
        <f t="shared" si="17"/>
        <v>2</v>
      </c>
      <c r="C84">
        <f t="shared" si="22"/>
        <v>11</v>
      </c>
      <c r="D84">
        <f t="shared" si="23"/>
        <v>12</v>
      </c>
      <c r="E84">
        <f t="shared" si="24"/>
        <v>0</v>
      </c>
      <c r="F84">
        <f t="shared" si="18"/>
        <v>0</v>
      </c>
      <c r="G84">
        <f t="shared" si="25"/>
        <v>0</v>
      </c>
      <c r="H84">
        <f t="shared" si="26"/>
        <v>0</v>
      </c>
      <c r="I84">
        <f t="shared" si="27"/>
        <v>0</v>
      </c>
      <c r="J84">
        <f t="shared" si="19"/>
        <v>0</v>
      </c>
      <c r="K84">
        <f t="shared" si="20"/>
        <v>0</v>
      </c>
      <c r="L84">
        <f t="shared" si="28"/>
        <v>11</v>
      </c>
      <c r="M84">
        <f t="shared" si="29"/>
        <v>12</v>
      </c>
      <c r="N84">
        <f t="shared" si="30"/>
        <v>1</v>
      </c>
      <c r="O84">
        <f t="shared" si="31"/>
        <v>4</v>
      </c>
      <c r="P84">
        <f t="shared" si="21"/>
        <v>3</v>
      </c>
      <c r="Q84">
        <f t="shared" si="32"/>
        <v>7</v>
      </c>
      <c r="R84">
        <f t="shared" si="33"/>
        <v>9</v>
      </c>
    </row>
    <row r="85" spans="1:18" x14ac:dyDescent="0.25">
      <c r="A85" s="1">
        <v>44734</v>
      </c>
      <c r="B85">
        <f t="shared" si="17"/>
        <v>3</v>
      </c>
      <c r="C85">
        <f t="shared" si="22"/>
        <v>7</v>
      </c>
      <c r="D85">
        <f t="shared" si="23"/>
        <v>9</v>
      </c>
      <c r="E85">
        <f t="shared" si="24"/>
        <v>0</v>
      </c>
      <c r="F85">
        <f t="shared" si="18"/>
        <v>0</v>
      </c>
      <c r="G85">
        <f t="shared" si="25"/>
        <v>0</v>
      </c>
      <c r="H85">
        <f t="shared" si="26"/>
        <v>0</v>
      </c>
      <c r="I85">
        <f t="shared" si="27"/>
        <v>0</v>
      </c>
      <c r="J85">
        <f t="shared" si="19"/>
        <v>0</v>
      </c>
      <c r="K85">
        <f t="shared" si="20"/>
        <v>0</v>
      </c>
      <c r="L85">
        <f t="shared" si="28"/>
        <v>7</v>
      </c>
      <c r="M85">
        <f t="shared" si="29"/>
        <v>9</v>
      </c>
      <c r="N85">
        <f t="shared" si="30"/>
        <v>1</v>
      </c>
      <c r="O85">
        <f t="shared" si="31"/>
        <v>3</v>
      </c>
      <c r="P85">
        <f t="shared" si="21"/>
        <v>2</v>
      </c>
      <c r="Q85">
        <f t="shared" si="32"/>
        <v>4</v>
      </c>
      <c r="R85">
        <f t="shared" si="33"/>
        <v>7</v>
      </c>
    </row>
    <row r="86" spans="1:18" x14ac:dyDescent="0.25">
      <c r="A86" s="1">
        <v>44735</v>
      </c>
      <c r="B86">
        <f t="shared" si="17"/>
        <v>4</v>
      </c>
      <c r="C86">
        <f t="shared" si="22"/>
        <v>4</v>
      </c>
      <c r="D86">
        <f t="shared" si="23"/>
        <v>7</v>
      </c>
      <c r="E86">
        <f t="shared" si="24"/>
        <v>0</v>
      </c>
      <c r="F86">
        <f t="shared" si="18"/>
        <v>0</v>
      </c>
      <c r="G86">
        <f t="shared" si="25"/>
        <v>1</v>
      </c>
      <c r="H86">
        <f t="shared" si="26"/>
        <v>50</v>
      </c>
      <c r="I86">
        <f t="shared" si="27"/>
        <v>25</v>
      </c>
      <c r="J86">
        <f t="shared" si="19"/>
        <v>0</v>
      </c>
      <c r="K86">
        <f t="shared" si="20"/>
        <v>0</v>
      </c>
      <c r="L86">
        <f t="shared" si="28"/>
        <v>54</v>
      </c>
      <c r="M86">
        <f t="shared" si="29"/>
        <v>32</v>
      </c>
      <c r="N86">
        <f t="shared" si="30"/>
        <v>1</v>
      </c>
      <c r="O86">
        <f t="shared" si="31"/>
        <v>17</v>
      </c>
      <c r="P86">
        <f t="shared" si="21"/>
        <v>7</v>
      </c>
      <c r="Q86">
        <f t="shared" si="32"/>
        <v>37</v>
      </c>
      <c r="R86">
        <f t="shared" si="33"/>
        <v>25</v>
      </c>
    </row>
    <row r="87" spans="1:18" x14ac:dyDescent="0.25">
      <c r="A87" s="1">
        <v>44736</v>
      </c>
      <c r="B87">
        <f t="shared" si="17"/>
        <v>5</v>
      </c>
      <c r="C87">
        <f t="shared" si="22"/>
        <v>37</v>
      </c>
      <c r="D87">
        <f t="shared" si="23"/>
        <v>25</v>
      </c>
      <c r="E87">
        <f t="shared" si="24"/>
        <v>0</v>
      </c>
      <c r="F87">
        <f t="shared" si="18"/>
        <v>0</v>
      </c>
      <c r="G87">
        <f t="shared" si="25"/>
        <v>0</v>
      </c>
      <c r="H87">
        <f t="shared" si="26"/>
        <v>0</v>
      </c>
      <c r="I87">
        <f t="shared" si="27"/>
        <v>0</v>
      </c>
      <c r="J87">
        <f t="shared" si="19"/>
        <v>0</v>
      </c>
      <c r="K87">
        <f t="shared" si="20"/>
        <v>0</v>
      </c>
      <c r="L87">
        <f t="shared" si="28"/>
        <v>37</v>
      </c>
      <c r="M87">
        <f t="shared" si="29"/>
        <v>25</v>
      </c>
      <c r="N87">
        <f t="shared" si="30"/>
        <v>1</v>
      </c>
      <c r="O87">
        <f t="shared" si="31"/>
        <v>12</v>
      </c>
      <c r="P87">
        <f t="shared" si="21"/>
        <v>5</v>
      </c>
      <c r="Q87">
        <f t="shared" si="32"/>
        <v>25</v>
      </c>
      <c r="R87">
        <f t="shared" si="33"/>
        <v>20</v>
      </c>
    </row>
    <row r="88" spans="1:18" x14ac:dyDescent="0.25">
      <c r="A88" s="1">
        <v>44737</v>
      </c>
      <c r="B88">
        <f t="shared" si="17"/>
        <v>6</v>
      </c>
      <c r="C88">
        <f t="shared" si="22"/>
        <v>25</v>
      </c>
      <c r="D88">
        <f t="shared" si="23"/>
        <v>20</v>
      </c>
      <c r="E88">
        <f t="shared" si="24"/>
        <v>0</v>
      </c>
      <c r="F88">
        <f t="shared" si="18"/>
        <v>0</v>
      </c>
      <c r="G88">
        <f t="shared" si="25"/>
        <v>0</v>
      </c>
      <c r="H88">
        <f t="shared" si="26"/>
        <v>0</v>
      </c>
      <c r="I88">
        <f t="shared" si="27"/>
        <v>0</v>
      </c>
      <c r="J88">
        <f t="shared" si="19"/>
        <v>0</v>
      </c>
      <c r="K88">
        <f t="shared" si="20"/>
        <v>0</v>
      </c>
      <c r="L88">
        <f t="shared" si="28"/>
        <v>25</v>
      </c>
      <c r="M88">
        <f t="shared" si="29"/>
        <v>20</v>
      </c>
      <c r="N88">
        <f t="shared" si="30"/>
        <v>1</v>
      </c>
      <c r="O88">
        <f t="shared" si="31"/>
        <v>8</v>
      </c>
      <c r="P88">
        <f t="shared" si="21"/>
        <v>4</v>
      </c>
      <c r="Q88">
        <f t="shared" si="32"/>
        <v>17</v>
      </c>
      <c r="R88">
        <f t="shared" si="33"/>
        <v>16</v>
      </c>
    </row>
    <row r="89" spans="1:18" x14ac:dyDescent="0.25">
      <c r="A89" s="1">
        <v>44738</v>
      </c>
      <c r="B89">
        <f t="shared" si="17"/>
        <v>7</v>
      </c>
      <c r="C89">
        <f t="shared" si="22"/>
        <v>17</v>
      </c>
      <c r="D89">
        <f t="shared" si="23"/>
        <v>16</v>
      </c>
      <c r="E89">
        <f t="shared" si="24"/>
        <v>0</v>
      </c>
      <c r="F89">
        <f t="shared" si="18"/>
        <v>0</v>
      </c>
      <c r="G89">
        <f t="shared" si="25"/>
        <v>0</v>
      </c>
      <c r="H89">
        <f t="shared" si="26"/>
        <v>0</v>
      </c>
      <c r="I89">
        <f t="shared" si="27"/>
        <v>0</v>
      </c>
      <c r="J89">
        <f t="shared" si="19"/>
        <v>0</v>
      </c>
      <c r="K89">
        <f t="shared" si="20"/>
        <v>0</v>
      </c>
      <c r="L89">
        <f t="shared" si="28"/>
        <v>17</v>
      </c>
      <c r="M89">
        <f t="shared" si="29"/>
        <v>16</v>
      </c>
      <c r="N89">
        <f t="shared" si="30"/>
        <v>0</v>
      </c>
      <c r="O89">
        <f t="shared" si="31"/>
        <v>0</v>
      </c>
      <c r="P89">
        <f t="shared" si="21"/>
        <v>0</v>
      </c>
      <c r="Q89">
        <f t="shared" si="32"/>
        <v>17</v>
      </c>
      <c r="R89">
        <f t="shared" si="33"/>
        <v>16</v>
      </c>
    </row>
    <row r="90" spans="1:18" x14ac:dyDescent="0.25">
      <c r="A90" s="1">
        <v>44739</v>
      </c>
      <c r="B90">
        <f t="shared" si="17"/>
        <v>1</v>
      </c>
      <c r="C90">
        <f t="shared" si="22"/>
        <v>17</v>
      </c>
      <c r="D90">
        <f t="shared" si="23"/>
        <v>16</v>
      </c>
      <c r="E90">
        <f t="shared" si="24"/>
        <v>1</v>
      </c>
      <c r="F90">
        <f t="shared" si="18"/>
        <v>1</v>
      </c>
      <c r="G90">
        <f t="shared" si="25"/>
        <v>0</v>
      </c>
      <c r="H90">
        <f t="shared" si="26"/>
        <v>0</v>
      </c>
      <c r="I90">
        <f t="shared" si="27"/>
        <v>0</v>
      </c>
      <c r="J90">
        <f t="shared" si="19"/>
        <v>0</v>
      </c>
      <c r="K90">
        <f t="shared" si="20"/>
        <v>0</v>
      </c>
      <c r="L90">
        <f t="shared" si="28"/>
        <v>16</v>
      </c>
      <c r="M90">
        <f t="shared" si="29"/>
        <v>16</v>
      </c>
      <c r="N90">
        <f t="shared" si="30"/>
        <v>1</v>
      </c>
      <c r="O90">
        <f t="shared" si="31"/>
        <v>5</v>
      </c>
      <c r="P90">
        <f t="shared" si="21"/>
        <v>4</v>
      </c>
      <c r="Q90">
        <f t="shared" si="32"/>
        <v>11</v>
      </c>
      <c r="R90">
        <f t="shared" si="33"/>
        <v>12</v>
      </c>
    </row>
    <row r="91" spans="1:18" x14ac:dyDescent="0.25">
      <c r="A91" s="1">
        <v>44740</v>
      </c>
      <c r="B91">
        <f t="shared" si="17"/>
        <v>2</v>
      </c>
      <c r="C91">
        <f t="shared" si="22"/>
        <v>11</v>
      </c>
      <c r="D91">
        <f t="shared" si="23"/>
        <v>12</v>
      </c>
      <c r="E91">
        <f t="shared" si="24"/>
        <v>0</v>
      </c>
      <c r="F91">
        <f t="shared" si="18"/>
        <v>0</v>
      </c>
      <c r="G91">
        <f t="shared" si="25"/>
        <v>0</v>
      </c>
      <c r="H91">
        <f t="shared" si="26"/>
        <v>0</v>
      </c>
      <c r="I91">
        <f t="shared" si="27"/>
        <v>0</v>
      </c>
      <c r="J91">
        <f t="shared" si="19"/>
        <v>0</v>
      </c>
      <c r="K91">
        <f t="shared" si="20"/>
        <v>0</v>
      </c>
      <c r="L91">
        <f t="shared" si="28"/>
        <v>11</v>
      </c>
      <c r="M91">
        <f t="shared" si="29"/>
        <v>12</v>
      </c>
      <c r="N91">
        <f t="shared" si="30"/>
        <v>1</v>
      </c>
      <c r="O91">
        <f t="shared" si="31"/>
        <v>4</v>
      </c>
      <c r="P91">
        <f t="shared" si="21"/>
        <v>3</v>
      </c>
      <c r="Q91">
        <f t="shared" si="32"/>
        <v>7</v>
      </c>
      <c r="R91">
        <f t="shared" si="33"/>
        <v>9</v>
      </c>
    </row>
    <row r="92" spans="1:18" x14ac:dyDescent="0.25">
      <c r="A92" s="1">
        <v>44741</v>
      </c>
      <c r="B92">
        <f t="shared" si="17"/>
        <v>3</v>
      </c>
      <c r="C92">
        <f t="shared" si="22"/>
        <v>7</v>
      </c>
      <c r="D92">
        <f t="shared" si="23"/>
        <v>9</v>
      </c>
      <c r="E92">
        <f t="shared" si="24"/>
        <v>0</v>
      </c>
      <c r="F92">
        <f t="shared" si="18"/>
        <v>0</v>
      </c>
      <c r="G92">
        <f t="shared" si="25"/>
        <v>0</v>
      </c>
      <c r="H92">
        <f t="shared" si="26"/>
        <v>0</v>
      </c>
      <c r="I92">
        <f t="shared" si="27"/>
        <v>0</v>
      </c>
      <c r="J92">
        <f t="shared" si="19"/>
        <v>0</v>
      </c>
      <c r="K92">
        <f t="shared" si="20"/>
        <v>0</v>
      </c>
      <c r="L92">
        <f t="shared" si="28"/>
        <v>7</v>
      </c>
      <c r="M92">
        <f t="shared" si="29"/>
        <v>9</v>
      </c>
      <c r="N92">
        <f t="shared" si="30"/>
        <v>1</v>
      </c>
      <c r="O92">
        <f t="shared" si="31"/>
        <v>3</v>
      </c>
      <c r="P92">
        <f t="shared" si="21"/>
        <v>2</v>
      </c>
      <c r="Q92">
        <f t="shared" si="32"/>
        <v>4</v>
      </c>
      <c r="R92">
        <f t="shared" si="33"/>
        <v>7</v>
      </c>
    </row>
    <row r="93" spans="1:18" x14ac:dyDescent="0.25">
      <c r="A93" s="1">
        <v>44742</v>
      </c>
      <c r="B93">
        <f t="shared" si="17"/>
        <v>4</v>
      </c>
      <c r="C93">
        <f t="shared" si="22"/>
        <v>4</v>
      </c>
      <c r="D93">
        <f t="shared" si="23"/>
        <v>7</v>
      </c>
      <c r="E93">
        <f t="shared" si="24"/>
        <v>0</v>
      </c>
      <c r="F93">
        <f t="shared" si="18"/>
        <v>0</v>
      </c>
      <c r="G93">
        <f t="shared" si="25"/>
        <v>1</v>
      </c>
      <c r="H93">
        <f t="shared" si="26"/>
        <v>50</v>
      </c>
      <c r="I93">
        <f t="shared" si="27"/>
        <v>25</v>
      </c>
      <c r="J93">
        <f t="shared" si="19"/>
        <v>0</v>
      </c>
      <c r="K93">
        <f t="shared" si="20"/>
        <v>0</v>
      </c>
      <c r="L93">
        <f t="shared" si="28"/>
        <v>54</v>
      </c>
      <c r="M93">
        <f t="shared" si="29"/>
        <v>32</v>
      </c>
      <c r="N93">
        <f t="shared" si="30"/>
        <v>1</v>
      </c>
      <c r="O93">
        <f t="shared" si="31"/>
        <v>17</v>
      </c>
      <c r="P93">
        <f t="shared" si="21"/>
        <v>7</v>
      </c>
      <c r="Q93">
        <f t="shared" si="32"/>
        <v>37</v>
      </c>
      <c r="R93">
        <f t="shared" si="33"/>
        <v>25</v>
      </c>
    </row>
    <row r="94" spans="1:18" x14ac:dyDescent="0.25">
      <c r="A94" s="1">
        <v>44743</v>
      </c>
      <c r="B94">
        <f t="shared" si="17"/>
        <v>5</v>
      </c>
      <c r="C94">
        <f t="shared" si="22"/>
        <v>37</v>
      </c>
      <c r="D94">
        <f t="shared" si="23"/>
        <v>25</v>
      </c>
      <c r="E94">
        <f t="shared" si="24"/>
        <v>0</v>
      </c>
      <c r="F94">
        <f t="shared" si="18"/>
        <v>0</v>
      </c>
      <c r="G94">
        <f t="shared" si="25"/>
        <v>0</v>
      </c>
      <c r="H94">
        <f t="shared" si="26"/>
        <v>0</v>
      </c>
      <c r="I94">
        <f t="shared" si="27"/>
        <v>0</v>
      </c>
      <c r="J94">
        <f t="shared" si="19"/>
        <v>0</v>
      </c>
      <c r="K94">
        <f t="shared" si="20"/>
        <v>0</v>
      </c>
      <c r="L94">
        <f t="shared" si="28"/>
        <v>37</v>
      </c>
      <c r="M94">
        <f t="shared" si="29"/>
        <v>25</v>
      </c>
      <c r="N94">
        <f t="shared" si="30"/>
        <v>1</v>
      </c>
      <c r="O94">
        <f t="shared" si="31"/>
        <v>12</v>
      </c>
      <c r="P94">
        <f t="shared" si="21"/>
        <v>5</v>
      </c>
      <c r="Q94">
        <f t="shared" si="32"/>
        <v>25</v>
      </c>
      <c r="R94">
        <f t="shared" si="33"/>
        <v>20</v>
      </c>
    </row>
    <row r="95" spans="1:18" x14ac:dyDescent="0.25">
      <c r="A95" s="1">
        <v>44744</v>
      </c>
      <c r="B95">
        <f t="shared" si="17"/>
        <v>6</v>
      </c>
      <c r="C95">
        <f t="shared" si="22"/>
        <v>25</v>
      </c>
      <c r="D95">
        <f t="shared" si="23"/>
        <v>20</v>
      </c>
      <c r="E95">
        <f t="shared" si="24"/>
        <v>0</v>
      </c>
      <c r="F95">
        <f t="shared" si="18"/>
        <v>0</v>
      </c>
      <c r="G95">
        <f t="shared" si="25"/>
        <v>0</v>
      </c>
      <c r="H95">
        <f t="shared" si="26"/>
        <v>0</v>
      </c>
      <c r="I95">
        <f t="shared" si="27"/>
        <v>0</v>
      </c>
      <c r="J95">
        <f t="shared" si="19"/>
        <v>0</v>
      </c>
      <c r="K95">
        <f t="shared" si="20"/>
        <v>0</v>
      </c>
      <c r="L95">
        <f t="shared" si="28"/>
        <v>25</v>
      </c>
      <c r="M95">
        <f t="shared" si="29"/>
        <v>20</v>
      </c>
      <c r="N95">
        <f t="shared" si="30"/>
        <v>1</v>
      </c>
      <c r="O95">
        <f t="shared" si="31"/>
        <v>8</v>
      </c>
      <c r="P95">
        <f t="shared" si="21"/>
        <v>4</v>
      </c>
      <c r="Q95">
        <f t="shared" si="32"/>
        <v>17</v>
      </c>
      <c r="R95">
        <f t="shared" si="33"/>
        <v>16</v>
      </c>
    </row>
    <row r="96" spans="1:18" x14ac:dyDescent="0.25">
      <c r="A96" s="1">
        <v>44745</v>
      </c>
      <c r="B96">
        <f t="shared" si="17"/>
        <v>7</v>
      </c>
      <c r="C96">
        <f t="shared" si="22"/>
        <v>17</v>
      </c>
      <c r="D96">
        <f t="shared" si="23"/>
        <v>16</v>
      </c>
      <c r="E96">
        <f t="shared" si="24"/>
        <v>0</v>
      </c>
      <c r="F96">
        <f t="shared" si="18"/>
        <v>0</v>
      </c>
      <c r="G96">
        <f t="shared" si="25"/>
        <v>0</v>
      </c>
      <c r="H96">
        <f t="shared" si="26"/>
        <v>0</v>
      </c>
      <c r="I96">
        <f t="shared" si="27"/>
        <v>0</v>
      </c>
      <c r="J96">
        <f t="shared" si="19"/>
        <v>0</v>
      </c>
      <c r="K96">
        <f t="shared" si="20"/>
        <v>0</v>
      </c>
      <c r="L96">
        <f t="shared" si="28"/>
        <v>17</v>
      </c>
      <c r="M96">
        <f t="shared" si="29"/>
        <v>16</v>
      </c>
      <c r="N96">
        <f t="shared" si="30"/>
        <v>0</v>
      </c>
      <c r="O96">
        <f t="shared" si="31"/>
        <v>0</v>
      </c>
      <c r="P96">
        <f t="shared" si="21"/>
        <v>0</v>
      </c>
      <c r="Q96">
        <f t="shared" si="32"/>
        <v>17</v>
      </c>
      <c r="R96">
        <f t="shared" si="33"/>
        <v>16</v>
      </c>
    </row>
    <row r="97" spans="1:18" x14ac:dyDescent="0.25">
      <c r="A97" s="1">
        <v>44746</v>
      </c>
      <c r="B97">
        <f t="shared" si="17"/>
        <v>1</v>
      </c>
      <c r="C97">
        <f t="shared" si="22"/>
        <v>17</v>
      </c>
      <c r="D97">
        <f t="shared" si="23"/>
        <v>16</v>
      </c>
      <c r="E97">
        <f t="shared" si="24"/>
        <v>1</v>
      </c>
      <c r="F97">
        <f t="shared" si="18"/>
        <v>1</v>
      </c>
      <c r="G97">
        <f t="shared" si="25"/>
        <v>0</v>
      </c>
      <c r="H97">
        <f t="shared" si="26"/>
        <v>0</v>
      </c>
      <c r="I97">
        <f t="shared" si="27"/>
        <v>0</v>
      </c>
      <c r="J97">
        <f t="shared" si="19"/>
        <v>0</v>
      </c>
      <c r="K97">
        <f t="shared" si="20"/>
        <v>0</v>
      </c>
      <c r="L97">
        <f t="shared" si="28"/>
        <v>16</v>
      </c>
      <c r="M97">
        <f t="shared" si="29"/>
        <v>16</v>
      </c>
      <c r="N97">
        <f t="shared" si="30"/>
        <v>1</v>
      </c>
      <c r="O97">
        <f t="shared" si="31"/>
        <v>5</v>
      </c>
      <c r="P97">
        <f t="shared" si="21"/>
        <v>4</v>
      </c>
      <c r="Q97">
        <f t="shared" si="32"/>
        <v>11</v>
      </c>
      <c r="R97">
        <f t="shared" si="33"/>
        <v>12</v>
      </c>
    </row>
    <row r="98" spans="1:18" x14ac:dyDescent="0.25">
      <c r="A98" s="1">
        <v>44747</v>
      </c>
      <c r="B98">
        <f t="shared" si="17"/>
        <v>2</v>
      </c>
      <c r="C98">
        <f t="shared" si="22"/>
        <v>11</v>
      </c>
      <c r="D98">
        <f t="shared" si="23"/>
        <v>12</v>
      </c>
      <c r="E98">
        <f t="shared" si="24"/>
        <v>0</v>
      </c>
      <c r="F98">
        <f t="shared" si="18"/>
        <v>0</v>
      </c>
      <c r="G98">
        <f t="shared" si="25"/>
        <v>0</v>
      </c>
      <c r="H98">
        <f t="shared" si="26"/>
        <v>0</v>
      </c>
      <c r="I98">
        <f t="shared" si="27"/>
        <v>0</v>
      </c>
      <c r="J98">
        <f t="shared" si="19"/>
        <v>0</v>
      </c>
      <c r="K98">
        <f t="shared" si="20"/>
        <v>0</v>
      </c>
      <c r="L98">
        <f t="shared" si="28"/>
        <v>11</v>
      </c>
      <c r="M98">
        <f t="shared" si="29"/>
        <v>12</v>
      </c>
      <c r="N98">
        <f t="shared" si="30"/>
        <v>1</v>
      </c>
      <c r="O98">
        <f t="shared" si="31"/>
        <v>4</v>
      </c>
      <c r="P98">
        <f t="shared" si="21"/>
        <v>3</v>
      </c>
      <c r="Q98">
        <f t="shared" si="32"/>
        <v>7</v>
      </c>
      <c r="R98">
        <f t="shared" si="33"/>
        <v>9</v>
      </c>
    </row>
    <row r="99" spans="1:18" x14ac:dyDescent="0.25">
      <c r="A99" s="1">
        <v>44748</v>
      </c>
      <c r="B99">
        <f t="shared" si="17"/>
        <v>3</v>
      </c>
      <c r="C99">
        <f t="shared" si="22"/>
        <v>7</v>
      </c>
      <c r="D99">
        <f t="shared" si="23"/>
        <v>9</v>
      </c>
      <c r="E99">
        <f t="shared" si="24"/>
        <v>0</v>
      </c>
      <c r="F99">
        <f t="shared" si="18"/>
        <v>0</v>
      </c>
      <c r="G99">
        <f t="shared" si="25"/>
        <v>0</v>
      </c>
      <c r="H99">
        <f t="shared" si="26"/>
        <v>0</v>
      </c>
      <c r="I99">
        <f t="shared" si="27"/>
        <v>0</v>
      </c>
      <c r="J99">
        <f t="shared" si="19"/>
        <v>0</v>
      </c>
      <c r="K99">
        <f t="shared" si="20"/>
        <v>0</v>
      </c>
      <c r="L99">
        <f t="shared" si="28"/>
        <v>7</v>
      </c>
      <c r="M99">
        <f t="shared" si="29"/>
        <v>9</v>
      </c>
      <c r="N99">
        <f t="shared" si="30"/>
        <v>1</v>
      </c>
      <c r="O99">
        <f t="shared" si="31"/>
        <v>3</v>
      </c>
      <c r="P99">
        <f t="shared" si="21"/>
        <v>2</v>
      </c>
      <c r="Q99">
        <f t="shared" si="32"/>
        <v>4</v>
      </c>
      <c r="R99">
        <f t="shared" si="33"/>
        <v>7</v>
      </c>
    </row>
    <row r="100" spans="1:18" x14ac:dyDescent="0.25">
      <c r="A100" s="1">
        <v>44749</v>
      </c>
      <c r="B100">
        <f t="shared" si="17"/>
        <v>4</v>
      </c>
      <c r="C100">
        <f t="shared" si="22"/>
        <v>4</v>
      </c>
      <c r="D100">
        <f t="shared" si="23"/>
        <v>7</v>
      </c>
      <c r="E100">
        <f t="shared" si="24"/>
        <v>0</v>
      </c>
      <c r="F100">
        <f t="shared" si="18"/>
        <v>0</v>
      </c>
      <c r="G100">
        <f t="shared" si="25"/>
        <v>1</v>
      </c>
      <c r="H100">
        <f t="shared" si="26"/>
        <v>50</v>
      </c>
      <c r="I100">
        <f t="shared" si="27"/>
        <v>25</v>
      </c>
      <c r="J100">
        <f t="shared" si="19"/>
        <v>0</v>
      </c>
      <c r="K100">
        <f t="shared" si="20"/>
        <v>0</v>
      </c>
      <c r="L100">
        <f t="shared" si="28"/>
        <v>54</v>
      </c>
      <c r="M100">
        <f t="shared" si="29"/>
        <v>32</v>
      </c>
      <c r="N100">
        <f t="shared" si="30"/>
        <v>1</v>
      </c>
      <c r="O100">
        <f t="shared" si="31"/>
        <v>17</v>
      </c>
      <c r="P100">
        <f t="shared" si="21"/>
        <v>7</v>
      </c>
      <c r="Q100">
        <f t="shared" si="32"/>
        <v>37</v>
      </c>
      <c r="R100">
        <f t="shared" si="33"/>
        <v>25</v>
      </c>
    </row>
    <row r="101" spans="1:18" x14ac:dyDescent="0.25">
      <c r="A101" s="1">
        <v>44750</v>
      </c>
      <c r="B101">
        <f t="shared" si="17"/>
        <v>5</v>
      </c>
      <c r="C101">
        <f t="shared" si="22"/>
        <v>37</v>
      </c>
      <c r="D101">
        <f t="shared" si="23"/>
        <v>25</v>
      </c>
      <c r="E101">
        <f t="shared" si="24"/>
        <v>0</v>
      </c>
      <c r="F101">
        <f t="shared" si="18"/>
        <v>0</v>
      </c>
      <c r="G101">
        <f t="shared" si="25"/>
        <v>0</v>
      </c>
      <c r="H101">
        <f t="shared" si="26"/>
        <v>0</v>
      </c>
      <c r="I101">
        <f t="shared" si="27"/>
        <v>0</v>
      </c>
      <c r="J101">
        <f t="shared" si="19"/>
        <v>0</v>
      </c>
      <c r="K101">
        <f t="shared" si="20"/>
        <v>0</v>
      </c>
      <c r="L101">
        <f t="shared" si="28"/>
        <v>37</v>
      </c>
      <c r="M101">
        <f t="shared" si="29"/>
        <v>25</v>
      </c>
      <c r="N101">
        <f t="shared" si="30"/>
        <v>1</v>
      </c>
      <c r="O101">
        <f t="shared" si="31"/>
        <v>12</v>
      </c>
      <c r="P101">
        <f t="shared" si="21"/>
        <v>5</v>
      </c>
      <c r="Q101">
        <f t="shared" si="32"/>
        <v>25</v>
      </c>
      <c r="R101">
        <f t="shared" si="33"/>
        <v>20</v>
      </c>
    </row>
    <row r="102" spans="1:18" x14ac:dyDescent="0.25">
      <c r="A102" s="1">
        <v>44751</v>
      </c>
      <c r="B102">
        <f t="shared" si="17"/>
        <v>6</v>
      </c>
      <c r="C102">
        <f t="shared" si="22"/>
        <v>25</v>
      </c>
      <c r="D102">
        <f t="shared" si="23"/>
        <v>20</v>
      </c>
      <c r="E102">
        <f t="shared" si="24"/>
        <v>0</v>
      </c>
      <c r="F102">
        <f t="shared" si="18"/>
        <v>0</v>
      </c>
      <c r="G102">
        <f t="shared" si="25"/>
        <v>0</v>
      </c>
      <c r="H102">
        <f t="shared" si="26"/>
        <v>0</v>
      </c>
      <c r="I102">
        <f t="shared" si="27"/>
        <v>0</v>
      </c>
      <c r="J102">
        <f t="shared" si="19"/>
        <v>0</v>
      </c>
      <c r="K102">
        <f t="shared" si="20"/>
        <v>0</v>
      </c>
      <c r="L102">
        <f t="shared" si="28"/>
        <v>25</v>
      </c>
      <c r="M102">
        <f t="shared" si="29"/>
        <v>20</v>
      </c>
      <c r="N102">
        <f t="shared" si="30"/>
        <v>1</v>
      </c>
      <c r="O102">
        <f t="shared" si="31"/>
        <v>8</v>
      </c>
      <c r="P102">
        <f t="shared" si="21"/>
        <v>4</v>
      </c>
      <c r="Q102">
        <f t="shared" si="32"/>
        <v>17</v>
      </c>
      <c r="R102">
        <f t="shared" si="33"/>
        <v>16</v>
      </c>
    </row>
    <row r="103" spans="1:18" x14ac:dyDescent="0.25">
      <c r="A103" s="1">
        <v>44752</v>
      </c>
      <c r="B103">
        <f t="shared" si="17"/>
        <v>7</v>
      </c>
      <c r="C103">
        <f t="shared" si="22"/>
        <v>17</v>
      </c>
      <c r="D103">
        <f t="shared" si="23"/>
        <v>16</v>
      </c>
      <c r="E103">
        <f t="shared" si="24"/>
        <v>0</v>
      </c>
      <c r="F103">
        <f t="shared" si="18"/>
        <v>0</v>
      </c>
      <c r="G103">
        <f t="shared" si="25"/>
        <v>0</v>
      </c>
      <c r="H103">
        <f t="shared" si="26"/>
        <v>0</v>
      </c>
      <c r="I103">
        <f t="shared" si="27"/>
        <v>0</v>
      </c>
      <c r="J103">
        <f t="shared" si="19"/>
        <v>0</v>
      </c>
      <c r="K103">
        <f t="shared" si="20"/>
        <v>0</v>
      </c>
      <c r="L103">
        <f t="shared" si="28"/>
        <v>17</v>
      </c>
      <c r="M103">
        <f t="shared" si="29"/>
        <v>16</v>
      </c>
      <c r="N103">
        <f t="shared" si="30"/>
        <v>0</v>
      </c>
      <c r="O103">
        <f t="shared" si="31"/>
        <v>0</v>
      </c>
      <c r="P103">
        <f t="shared" si="21"/>
        <v>0</v>
      </c>
      <c r="Q103">
        <f t="shared" si="32"/>
        <v>17</v>
      </c>
      <c r="R103">
        <f t="shared" si="33"/>
        <v>16</v>
      </c>
    </row>
    <row r="104" spans="1:18" x14ac:dyDescent="0.25">
      <c r="A104" s="1">
        <v>44753</v>
      </c>
      <c r="B104">
        <f t="shared" si="17"/>
        <v>1</v>
      </c>
      <c r="C104">
        <f t="shared" si="22"/>
        <v>17</v>
      </c>
      <c r="D104">
        <f t="shared" si="23"/>
        <v>16</v>
      </c>
      <c r="E104">
        <f t="shared" si="24"/>
        <v>1</v>
      </c>
      <c r="F104">
        <f t="shared" si="18"/>
        <v>1</v>
      </c>
      <c r="G104">
        <f t="shared" si="25"/>
        <v>0</v>
      </c>
      <c r="H104">
        <f t="shared" si="26"/>
        <v>0</v>
      </c>
      <c r="I104">
        <f t="shared" si="27"/>
        <v>0</v>
      </c>
      <c r="J104">
        <f t="shared" si="19"/>
        <v>0</v>
      </c>
      <c r="K104">
        <f t="shared" si="20"/>
        <v>0</v>
      </c>
      <c r="L104">
        <f t="shared" si="28"/>
        <v>16</v>
      </c>
      <c r="M104">
        <f t="shared" si="29"/>
        <v>16</v>
      </c>
      <c r="N104">
        <f t="shared" si="30"/>
        <v>1</v>
      </c>
      <c r="O104">
        <f t="shared" si="31"/>
        <v>5</v>
      </c>
      <c r="P104">
        <f t="shared" si="21"/>
        <v>4</v>
      </c>
      <c r="Q104">
        <f t="shared" si="32"/>
        <v>11</v>
      </c>
      <c r="R104">
        <f t="shared" si="33"/>
        <v>12</v>
      </c>
    </row>
    <row r="105" spans="1:18" x14ac:dyDescent="0.25">
      <c r="A105" s="1">
        <v>44754</v>
      </c>
      <c r="B105">
        <f t="shared" si="17"/>
        <v>2</v>
      </c>
      <c r="C105">
        <f t="shared" si="22"/>
        <v>11</v>
      </c>
      <c r="D105">
        <f t="shared" si="23"/>
        <v>12</v>
      </c>
      <c r="E105">
        <f t="shared" si="24"/>
        <v>0</v>
      </c>
      <c r="F105">
        <f t="shared" si="18"/>
        <v>0</v>
      </c>
      <c r="G105">
        <f t="shared" si="25"/>
        <v>0</v>
      </c>
      <c r="H105">
        <f t="shared" si="26"/>
        <v>0</v>
      </c>
      <c r="I105">
        <f t="shared" si="27"/>
        <v>0</v>
      </c>
      <c r="J105">
        <f t="shared" si="19"/>
        <v>0</v>
      </c>
      <c r="K105">
        <f t="shared" si="20"/>
        <v>0</v>
      </c>
      <c r="L105">
        <f t="shared" si="28"/>
        <v>11</v>
      </c>
      <c r="M105">
        <f t="shared" si="29"/>
        <v>12</v>
      </c>
      <c r="N105">
        <f t="shared" si="30"/>
        <v>1</v>
      </c>
      <c r="O105">
        <f t="shared" si="31"/>
        <v>4</v>
      </c>
      <c r="P105">
        <f t="shared" si="21"/>
        <v>3</v>
      </c>
      <c r="Q105">
        <f t="shared" si="32"/>
        <v>7</v>
      </c>
      <c r="R105">
        <f t="shared" si="33"/>
        <v>9</v>
      </c>
    </row>
    <row r="106" spans="1:18" x14ac:dyDescent="0.25">
      <c r="A106" s="1">
        <v>44755</v>
      </c>
      <c r="B106">
        <f t="shared" si="17"/>
        <v>3</v>
      </c>
      <c r="C106">
        <f t="shared" si="22"/>
        <v>7</v>
      </c>
      <c r="D106">
        <f t="shared" si="23"/>
        <v>9</v>
      </c>
      <c r="E106">
        <f t="shared" si="24"/>
        <v>0</v>
      </c>
      <c r="F106">
        <f t="shared" si="18"/>
        <v>0</v>
      </c>
      <c r="G106">
        <f t="shared" si="25"/>
        <v>0</v>
      </c>
      <c r="H106">
        <f t="shared" si="26"/>
        <v>0</v>
      </c>
      <c r="I106">
        <f t="shared" si="27"/>
        <v>0</v>
      </c>
      <c r="J106">
        <f t="shared" si="19"/>
        <v>0</v>
      </c>
      <c r="K106">
        <f t="shared" si="20"/>
        <v>0</v>
      </c>
      <c r="L106">
        <f t="shared" si="28"/>
        <v>7</v>
      </c>
      <c r="M106">
        <f t="shared" si="29"/>
        <v>9</v>
      </c>
      <c r="N106">
        <f t="shared" si="30"/>
        <v>1</v>
      </c>
      <c r="O106">
        <f t="shared" si="31"/>
        <v>3</v>
      </c>
      <c r="P106">
        <f t="shared" si="21"/>
        <v>2</v>
      </c>
      <c r="Q106">
        <f t="shared" si="32"/>
        <v>4</v>
      </c>
      <c r="R106">
        <f t="shared" si="33"/>
        <v>7</v>
      </c>
    </row>
    <row r="107" spans="1:18" x14ac:dyDescent="0.25">
      <c r="A107" s="1">
        <v>44756</v>
      </c>
      <c r="B107">
        <f t="shared" si="17"/>
        <v>4</v>
      </c>
      <c r="C107">
        <f t="shared" si="22"/>
        <v>4</v>
      </c>
      <c r="D107">
        <f t="shared" si="23"/>
        <v>7</v>
      </c>
      <c r="E107">
        <f t="shared" si="24"/>
        <v>0</v>
      </c>
      <c r="F107">
        <f t="shared" si="18"/>
        <v>0</v>
      </c>
      <c r="G107">
        <f t="shared" si="25"/>
        <v>1</v>
      </c>
      <c r="H107">
        <f t="shared" si="26"/>
        <v>50</v>
      </c>
      <c r="I107">
        <f t="shared" si="27"/>
        <v>25</v>
      </c>
      <c r="J107">
        <f t="shared" si="19"/>
        <v>0</v>
      </c>
      <c r="K107">
        <f t="shared" si="20"/>
        <v>0</v>
      </c>
      <c r="L107">
        <f t="shared" si="28"/>
        <v>54</v>
      </c>
      <c r="M107">
        <f t="shared" si="29"/>
        <v>32</v>
      </c>
      <c r="N107">
        <f t="shared" si="30"/>
        <v>1</v>
      </c>
      <c r="O107">
        <f t="shared" si="31"/>
        <v>17</v>
      </c>
      <c r="P107">
        <f t="shared" si="21"/>
        <v>7</v>
      </c>
      <c r="Q107">
        <f t="shared" si="32"/>
        <v>37</v>
      </c>
      <c r="R107">
        <f t="shared" si="33"/>
        <v>25</v>
      </c>
    </row>
    <row r="108" spans="1:18" x14ac:dyDescent="0.25">
      <c r="A108" s="1">
        <v>44757</v>
      </c>
      <c r="B108">
        <f t="shared" si="17"/>
        <v>5</v>
      </c>
      <c r="C108">
        <f t="shared" si="22"/>
        <v>37</v>
      </c>
      <c r="D108">
        <f t="shared" si="23"/>
        <v>25</v>
      </c>
      <c r="E108">
        <f t="shared" si="24"/>
        <v>0</v>
      </c>
      <c r="F108">
        <f t="shared" si="18"/>
        <v>0</v>
      </c>
      <c r="G108">
        <f t="shared" si="25"/>
        <v>0</v>
      </c>
      <c r="H108">
        <f t="shared" si="26"/>
        <v>0</v>
      </c>
      <c r="I108">
        <f t="shared" si="27"/>
        <v>0</v>
      </c>
      <c r="J108">
        <f t="shared" si="19"/>
        <v>0</v>
      </c>
      <c r="K108">
        <f t="shared" si="20"/>
        <v>0</v>
      </c>
      <c r="L108">
        <f t="shared" si="28"/>
        <v>37</v>
      </c>
      <c r="M108">
        <f t="shared" si="29"/>
        <v>25</v>
      </c>
      <c r="N108">
        <f t="shared" si="30"/>
        <v>1</v>
      </c>
      <c r="O108">
        <f t="shared" si="31"/>
        <v>12</v>
      </c>
      <c r="P108">
        <f t="shared" si="21"/>
        <v>5</v>
      </c>
      <c r="Q108">
        <f t="shared" si="32"/>
        <v>25</v>
      </c>
      <c r="R108">
        <f t="shared" si="33"/>
        <v>20</v>
      </c>
    </row>
    <row r="109" spans="1:18" x14ac:dyDescent="0.25">
      <c r="A109" s="1">
        <v>44758</v>
      </c>
      <c r="B109">
        <f t="shared" si="17"/>
        <v>6</v>
      </c>
      <c r="C109">
        <f t="shared" si="22"/>
        <v>25</v>
      </c>
      <c r="D109">
        <f t="shared" si="23"/>
        <v>20</v>
      </c>
      <c r="E109">
        <f t="shared" si="24"/>
        <v>0</v>
      </c>
      <c r="F109">
        <f t="shared" si="18"/>
        <v>0</v>
      </c>
      <c r="G109">
        <f t="shared" si="25"/>
        <v>0</v>
      </c>
      <c r="H109">
        <f t="shared" si="26"/>
        <v>0</v>
      </c>
      <c r="I109">
        <f t="shared" si="27"/>
        <v>0</v>
      </c>
      <c r="J109">
        <f t="shared" si="19"/>
        <v>0</v>
      </c>
      <c r="K109">
        <f t="shared" si="20"/>
        <v>0</v>
      </c>
      <c r="L109">
        <f t="shared" si="28"/>
        <v>25</v>
      </c>
      <c r="M109">
        <f t="shared" si="29"/>
        <v>20</v>
      </c>
      <c r="N109">
        <f t="shared" si="30"/>
        <v>1</v>
      </c>
      <c r="O109">
        <f t="shared" si="31"/>
        <v>8</v>
      </c>
      <c r="P109">
        <f t="shared" si="21"/>
        <v>4</v>
      </c>
      <c r="Q109">
        <f t="shared" si="32"/>
        <v>17</v>
      </c>
      <c r="R109">
        <f t="shared" si="33"/>
        <v>16</v>
      </c>
    </row>
    <row r="110" spans="1:18" x14ac:dyDescent="0.25">
      <c r="A110" s="1">
        <v>44759</v>
      </c>
      <c r="B110">
        <f t="shared" si="17"/>
        <v>7</v>
      </c>
      <c r="C110">
        <f t="shared" si="22"/>
        <v>17</v>
      </c>
      <c r="D110">
        <f t="shared" si="23"/>
        <v>16</v>
      </c>
      <c r="E110">
        <f t="shared" si="24"/>
        <v>0</v>
      </c>
      <c r="F110">
        <f t="shared" si="18"/>
        <v>0</v>
      </c>
      <c r="G110">
        <f t="shared" si="25"/>
        <v>0</v>
      </c>
      <c r="H110">
        <f t="shared" si="26"/>
        <v>0</v>
      </c>
      <c r="I110">
        <f t="shared" si="27"/>
        <v>0</v>
      </c>
      <c r="J110">
        <f t="shared" si="19"/>
        <v>0</v>
      </c>
      <c r="K110">
        <f t="shared" si="20"/>
        <v>0</v>
      </c>
      <c r="L110">
        <f t="shared" si="28"/>
        <v>17</v>
      </c>
      <c r="M110">
        <f t="shared" si="29"/>
        <v>16</v>
      </c>
      <c r="N110">
        <f t="shared" si="30"/>
        <v>0</v>
      </c>
      <c r="O110">
        <f t="shared" si="31"/>
        <v>0</v>
      </c>
      <c r="P110">
        <f t="shared" si="21"/>
        <v>0</v>
      </c>
      <c r="Q110">
        <f t="shared" si="32"/>
        <v>17</v>
      </c>
      <c r="R110">
        <f t="shared" si="33"/>
        <v>16</v>
      </c>
    </row>
    <row r="111" spans="1:18" x14ac:dyDescent="0.25">
      <c r="A111" s="1">
        <v>44760</v>
      </c>
      <c r="B111">
        <f t="shared" si="17"/>
        <v>1</v>
      </c>
      <c r="C111">
        <f t="shared" si="22"/>
        <v>17</v>
      </c>
      <c r="D111">
        <f t="shared" si="23"/>
        <v>16</v>
      </c>
      <c r="E111">
        <f t="shared" si="24"/>
        <v>1</v>
      </c>
      <c r="F111">
        <f t="shared" si="18"/>
        <v>1</v>
      </c>
      <c r="G111">
        <f t="shared" si="25"/>
        <v>0</v>
      </c>
      <c r="H111">
        <f t="shared" si="26"/>
        <v>0</v>
      </c>
      <c r="I111">
        <f t="shared" si="27"/>
        <v>0</v>
      </c>
      <c r="J111">
        <f t="shared" si="19"/>
        <v>0</v>
      </c>
      <c r="K111">
        <f t="shared" si="20"/>
        <v>0</v>
      </c>
      <c r="L111">
        <f t="shared" si="28"/>
        <v>16</v>
      </c>
      <c r="M111">
        <f t="shared" si="29"/>
        <v>16</v>
      </c>
      <c r="N111">
        <f t="shared" si="30"/>
        <v>1</v>
      </c>
      <c r="O111">
        <f t="shared" si="31"/>
        <v>5</v>
      </c>
      <c r="P111">
        <f t="shared" si="21"/>
        <v>4</v>
      </c>
      <c r="Q111">
        <f t="shared" si="32"/>
        <v>11</v>
      </c>
      <c r="R111">
        <f t="shared" si="33"/>
        <v>12</v>
      </c>
    </row>
    <row r="112" spans="1:18" x14ac:dyDescent="0.25">
      <c r="A112" s="1">
        <v>44761</v>
      </c>
      <c r="B112">
        <f t="shared" si="17"/>
        <v>2</v>
      </c>
      <c r="C112">
        <f t="shared" si="22"/>
        <v>11</v>
      </c>
      <c r="D112">
        <f t="shared" si="23"/>
        <v>12</v>
      </c>
      <c r="E112">
        <f t="shared" si="24"/>
        <v>0</v>
      </c>
      <c r="F112">
        <f t="shared" si="18"/>
        <v>0</v>
      </c>
      <c r="G112">
        <f t="shared" si="25"/>
        <v>0</v>
      </c>
      <c r="H112">
        <f t="shared" si="26"/>
        <v>0</v>
      </c>
      <c r="I112">
        <f t="shared" si="27"/>
        <v>0</v>
      </c>
      <c r="J112">
        <f t="shared" si="19"/>
        <v>0</v>
      </c>
      <c r="K112">
        <f t="shared" si="20"/>
        <v>0</v>
      </c>
      <c r="L112">
        <f t="shared" si="28"/>
        <v>11</v>
      </c>
      <c r="M112">
        <f t="shared" si="29"/>
        <v>12</v>
      </c>
      <c r="N112">
        <f t="shared" si="30"/>
        <v>1</v>
      </c>
      <c r="O112">
        <f t="shared" si="31"/>
        <v>4</v>
      </c>
      <c r="P112">
        <f t="shared" si="21"/>
        <v>3</v>
      </c>
      <c r="Q112">
        <f t="shared" si="32"/>
        <v>7</v>
      </c>
      <c r="R112">
        <f t="shared" si="33"/>
        <v>9</v>
      </c>
    </row>
    <row r="113" spans="1:18" x14ac:dyDescent="0.25">
      <c r="A113" s="1">
        <v>44762</v>
      </c>
      <c r="B113">
        <f t="shared" si="17"/>
        <v>3</v>
      </c>
      <c r="C113">
        <f t="shared" si="22"/>
        <v>7</v>
      </c>
      <c r="D113">
        <f t="shared" si="23"/>
        <v>9</v>
      </c>
      <c r="E113">
        <f t="shared" si="24"/>
        <v>0</v>
      </c>
      <c r="F113">
        <f t="shared" si="18"/>
        <v>0</v>
      </c>
      <c r="G113">
        <f t="shared" si="25"/>
        <v>0</v>
      </c>
      <c r="H113">
        <f t="shared" si="26"/>
        <v>0</v>
      </c>
      <c r="I113">
        <f t="shared" si="27"/>
        <v>0</v>
      </c>
      <c r="J113">
        <f t="shared" si="19"/>
        <v>0</v>
      </c>
      <c r="K113">
        <f t="shared" si="20"/>
        <v>0</v>
      </c>
      <c r="L113">
        <f t="shared" si="28"/>
        <v>7</v>
      </c>
      <c r="M113">
        <f t="shared" si="29"/>
        <v>9</v>
      </c>
      <c r="N113">
        <f t="shared" si="30"/>
        <v>1</v>
      </c>
      <c r="O113">
        <f t="shared" si="31"/>
        <v>3</v>
      </c>
      <c r="P113">
        <f t="shared" si="21"/>
        <v>2</v>
      </c>
      <c r="Q113">
        <f t="shared" si="32"/>
        <v>4</v>
      </c>
      <c r="R113">
        <f t="shared" si="33"/>
        <v>7</v>
      </c>
    </row>
    <row r="114" spans="1:18" x14ac:dyDescent="0.25">
      <c r="A114" s="1">
        <v>44763</v>
      </c>
      <c r="B114">
        <f t="shared" si="17"/>
        <v>4</v>
      </c>
      <c r="C114">
        <f t="shared" si="22"/>
        <v>4</v>
      </c>
      <c r="D114">
        <f t="shared" si="23"/>
        <v>7</v>
      </c>
      <c r="E114">
        <f t="shared" si="24"/>
        <v>0</v>
      </c>
      <c r="F114">
        <f t="shared" si="18"/>
        <v>0</v>
      </c>
      <c r="G114">
        <f t="shared" si="25"/>
        <v>1</v>
      </c>
      <c r="H114">
        <f t="shared" si="26"/>
        <v>50</v>
      </c>
      <c r="I114">
        <f t="shared" si="27"/>
        <v>25</v>
      </c>
      <c r="J114">
        <f t="shared" si="19"/>
        <v>0</v>
      </c>
      <c r="K114">
        <f t="shared" si="20"/>
        <v>0</v>
      </c>
      <c r="L114">
        <f t="shared" si="28"/>
        <v>54</v>
      </c>
      <c r="M114">
        <f t="shared" si="29"/>
        <v>32</v>
      </c>
      <c r="N114">
        <f t="shared" si="30"/>
        <v>1</v>
      </c>
      <c r="O114">
        <f t="shared" si="31"/>
        <v>17</v>
      </c>
      <c r="P114">
        <f t="shared" si="21"/>
        <v>7</v>
      </c>
      <c r="Q114">
        <f t="shared" si="32"/>
        <v>37</v>
      </c>
      <c r="R114">
        <f t="shared" si="33"/>
        <v>25</v>
      </c>
    </row>
    <row r="115" spans="1:18" x14ac:dyDescent="0.25">
      <c r="A115" s="1">
        <v>44764</v>
      </c>
      <c r="B115">
        <f t="shared" si="17"/>
        <v>5</v>
      </c>
      <c r="C115">
        <f t="shared" si="22"/>
        <v>37</v>
      </c>
      <c r="D115">
        <f t="shared" si="23"/>
        <v>25</v>
      </c>
      <c r="E115">
        <f t="shared" si="24"/>
        <v>0</v>
      </c>
      <c r="F115">
        <f t="shared" si="18"/>
        <v>0</v>
      </c>
      <c r="G115">
        <f t="shared" si="25"/>
        <v>0</v>
      </c>
      <c r="H115">
        <f t="shared" si="26"/>
        <v>0</v>
      </c>
      <c r="I115">
        <f t="shared" si="27"/>
        <v>0</v>
      </c>
      <c r="J115">
        <f t="shared" si="19"/>
        <v>0</v>
      </c>
      <c r="K115">
        <f t="shared" si="20"/>
        <v>0</v>
      </c>
      <c r="L115">
        <f t="shared" si="28"/>
        <v>37</v>
      </c>
      <c r="M115">
        <f t="shared" si="29"/>
        <v>25</v>
      </c>
      <c r="N115">
        <f t="shared" si="30"/>
        <v>1</v>
      </c>
      <c r="O115">
        <f t="shared" si="31"/>
        <v>12</v>
      </c>
      <c r="P115">
        <f t="shared" si="21"/>
        <v>5</v>
      </c>
      <c r="Q115">
        <f t="shared" si="32"/>
        <v>25</v>
      </c>
      <c r="R115">
        <f t="shared" si="33"/>
        <v>20</v>
      </c>
    </row>
    <row r="116" spans="1:18" x14ac:dyDescent="0.25">
      <c r="A116" s="1">
        <v>44765</v>
      </c>
      <c r="B116">
        <f t="shared" si="17"/>
        <v>6</v>
      </c>
      <c r="C116">
        <f t="shared" si="22"/>
        <v>25</v>
      </c>
      <c r="D116">
        <f t="shared" si="23"/>
        <v>20</v>
      </c>
      <c r="E116">
        <f t="shared" si="24"/>
        <v>0</v>
      </c>
      <c r="F116">
        <f t="shared" si="18"/>
        <v>0</v>
      </c>
      <c r="G116">
        <f t="shared" si="25"/>
        <v>0</v>
      </c>
      <c r="H116">
        <f t="shared" si="26"/>
        <v>0</v>
      </c>
      <c r="I116">
        <f t="shared" si="27"/>
        <v>0</v>
      </c>
      <c r="J116">
        <f t="shared" si="19"/>
        <v>0</v>
      </c>
      <c r="K116">
        <f t="shared" si="20"/>
        <v>0</v>
      </c>
      <c r="L116">
        <f t="shared" si="28"/>
        <v>25</v>
      </c>
      <c r="M116">
        <f t="shared" si="29"/>
        <v>20</v>
      </c>
      <c r="N116">
        <f t="shared" si="30"/>
        <v>1</v>
      </c>
      <c r="O116">
        <f t="shared" si="31"/>
        <v>8</v>
      </c>
      <c r="P116">
        <f t="shared" si="21"/>
        <v>4</v>
      </c>
      <c r="Q116">
        <f t="shared" si="32"/>
        <v>17</v>
      </c>
      <c r="R116">
        <f t="shared" si="33"/>
        <v>16</v>
      </c>
    </row>
    <row r="117" spans="1:18" x14ac:dyDescent="0.25">
      <c r="A117" s="1">
        <v>44766</v>
      </c>
      <c r="B117">
        <f t="shared" si="17"/>
        <v>7</v>
      </c>
      <c r="C117">
        <f t="shared" si="22"/>
        <v>17</v>
      </c>
      <c r="D117">
        <f t="shared" si="23"/>
        <v>16</v>
      </c>
      <c r="E117">
        <f t="shared" si="24"/>
        <v>0</v>
      </c>
      <c r="F117">
        <f t="shared" si="18"/>
        <v>0</v>
      </c>
      <c r="G117">
        <f t="shared" si="25"/>
        <v>0</v>
      </c>
      <c r="H117">
        <f t="shared" si="26"/>
        <v>0</v>
      </c>
      <c r="I117">
        <f t="shared" si="27"/>
        <v>0</v>
      </c>
      <c r="J117">
        <f t="shared" si="19"/>
        <v>0</v>
      </c>
      <c r="K117">
        <f t="shared" si="20"/>
        <v>0</v>
      </c>
      <c r="L117">
        <f t="shared" si="28"/>
        <v>17</v>
      </c>
      <c r="M117">
        <f t="shared" si="29"/>
        <v>16</v>
      </c>
      <c r="N117">
        <f t="shared" si="30"/>
        <v>0</v>
      </c>
      <c r="O117">
        <f t="shared" si="31"/>
        <v>0</v>
      </c>
      <c r="P117">
        <f t="shared" si="21"/>
        <v>0</v>
      </c>
      <c r="Q117">
        <f t="shared" si="32"/>
        <v>17</v>
      </c>
      <c r="R117">
        <f t="shared" si="33"/>
        <v>16</v>
      </c>
    </row>
    <row r="118" spans="1:18" x14ac:dyDescent="0.25">
      <c r="A118" s="1">
        <v>44767</v>
      </c>
      <c r="B118">
        <f t="shared" si="17"/>
        <v>1</v>
      </c>
      <c r="C118">
        <f t="shared" si="22"/>
        <v>17</v>
      </c>
      <c r="D118">
        <f t="shared" si="23"/>
        <v>16</v>
      </c>
      <c r="E118">
        <f t="shared" si="24"/>
        <v>1</v>
      </c>
      <c r="F118">
        <f t="shared" si="18"/>
        <v>1</v>
      </c>
      <c r="G118">
        <f t="shared" si="25"/>
        <v>0</v>
      </c>
      <c r="H118">
        <f t="shared" si="26"/>
        <v>0</v>
      </c>
      <c r="I118">
        <f t="shared" si="27"/>
        <v>0</v>
      </c>
      <c r="J118">
        <f t="shared" si="19"/>
        <v>0</v>
      </c>
      <c r="K118">
        <f t="shared" si="20"/>
        <v>0</v>
      </c>
      <c r="L118">
        <f t="shared" si="28"/>
        <v>16</v>
      </c>
      <c r="M118">
        <f t="shared" si="29"/>
        <v>16</v>
      </c>
      <c r="N118">
        <f t="shared" si="30"/>
        <v>1</v>
      </c>
      <c r="O118">
        <f t="shared" si="31"/>
        <v>5</v>
      </c>
      <c r="P118">
        <f t="shared" si="21"/>
        <v>4</v>
      </c>
      <c r="Q118">
        <f t="shared" si="32"/>
        <v>11</v>
      </c>
      <c r="R118">
        <f t="shared" si="33"/>
        <v>12</v>
      </c>
    </row>
    <row r="119" spans="1:18" x14ac:dyDescent="0.25">
      <c r="A119" s="1">
        <v>44768</v>
      </c>
      <c r="B119">
        <f t="shared" si="17"/>
        <v>2</v>
      </c>
      <c r="C119">
        <f t="shared" si="22"/>
        <v>11</v>
      </c>
      <c r="D119">
        <f t="shared" si="23"/>
        <v>12</v>
      </c>
      <c r="E119">
        <f t="shared" si="24"/>
        <v>0</v>
      </c>
      <c r="F119">
        <f t="shared" si="18"/>
        <v>0</v>
      </c>
      <c r="G119">
        <f t="shared" si="25"/>
        <v>0</v>
      </c>
      <c r="H119">
        <f t="shared" si="26"/>
        <v>0</v>
      </c>
      <c r="I119">
        <f t="shared" si="27"/>
        <v>0</v>
      </c>
      <c r="J119">
        <f t="shared" si="19"/>
        <v>0</v>
      </c>
      <c r="K119">
        <f t="shared" si="20"/>
        <v>0</v>
      </c>
      <c r="L119">
        <f t="shared" si="28"/>
        <v>11</v>
      </c>
      <c r="M119">
        <f t="shared" si="29"/>
        <v>12</v>
      </c>
      <c r="N119">
        <f t="shared" si="30"/>
        <v>1</v>
      </c>
      <c r="O119">
        <f t="shared" si="31"/>
        <v>4</v>
      </c>
      <c r="P119">
        <f t="shared" si="21"/>
        <v>3</v>
      </c>
      <c r="Q119">
        <f t="shared" si="32"/>
        <v>7</v>
      </c>
      <c r="R119">
        <f t="shared" si="33"/>
        <v>9</v>
      </c>
    </row>
    <row r="120" spans="1:18" x14ac:dyDescent="0.25">
      <c r="A120" s="1">
        <v>44769</v>
      </c>
      <c r="B120">
        <f t="shared" si="17"/>
        <v>3</v>
      </c>
      <c r="C120">
        <f t="shared" si="22"/>
        <v>7</v>
      </c>
      <c r="D120">
        <f t="shared" si="23"/>
        <v>9</v>
      </c>
      <c r="E120">
        <f t="shared" si="24"/>
        <v>0</v>
      </c>
      <c r="F120">
        <f t="shared" si="18"/>
        <v>0</v>
      </c>
      <c r="G120">
        <f t="shared" si="25"/>
        <v>0</v>
      </c>
      <c r="H120">
        <f t="shared" si="26"/>
        <v>0</v>
      </c>
      <c r="I120">
        <f t="shared" si="27"/>
        <v>0</v>
      </c>
      <c r="J120">
        <f t="shared" si="19"/>
        <v>0</v>
      </c>
      <c r="K120">
        <f t="shared" si="20"/>
        <v>0</v>
      </c>
      <c r="L120">
        <f t="shared" si="28"/>
        <v>7</v>
      </c>
      <c r="M120">
        <f t="shared" si="29"/>
        <v>9</v>
      </c>
      <c r="N120">
        <f t="shared" si="30"/>
        <v>1</v>
      </c>
      <c r="O120">
        <f t="shared" si="31"/>
        <v>3</v>
      </c>
      <c r="P120">
        <f t="shared" si="21"/>
        <v>2</v>
      </c>
      <c r="Q120">
        <f t="shared" si="32"/>
        <v>4</v>
      </c>
      <c r="R120">
        <f t="shared" si="33"/>
        <v>7</v>
      </c>
    </row>
    <row r="121" spans="1:18" x14ac:dyDescent="0.25">
      <c r="A121" s="1">
        <v>44770</v>
      </c>
      <c r="B121">
        <f t="shared" si="17"/>
        <v>4</v>
      </c>
      <c r="C121">
        <f t="shared" si="22"/>
        <v>4</v>
      </c>
      <c r="D121">
        <f t="shared" si="23"/>
        <v>7</v>
      </c>
      <c r="E121">
        <f t="shared" si="24"/>
        <v>0</v>
      </c>
      <c r="F121">
        <f t="shared" si="18"/>
        <v>0</v>
      </c>
      <c r="G121">
        <f t="shared" si="25"/>
        <v>1</v>
      </c>
      <c r="H121">
        <f t="shared" si="26"/>
        <v>50</v>
      </c>
      <c r="I121">
        <f t="shared" si="27"/>
        <v>25</v>
      </c>
      <c r="J121">
        <f t="shared" si="19"/>
        <v>0</v>
      </c>
      <c r="K121">
        <f t="shared" si="20"/>
        <v>0</v>
      </c>
      <c r="L121">
        <f t="shared" si="28"/>
        <v>54</v>
      </c>
      <c r="M121">
        <f t="shared" si="29"/>
        <v>32</v>
      </c>
      <c r="N121">
        <f t="shared" si="30"/>
        <v>1</v>
      </c>
      <c r="O121">
        <f t="shared" si="31"/>
        <v>17</v>
      </c>
      <c r="P121">
        <f t="shared" si="21"/>
        <v>7</v>
      </c>
      <c r="Q121">
        <f t="shared" si="32"/>
        <v>37</v>
      </c>
      <c r="R121">
        <f t="shared" si="33"/>
        <v>25</v>
      </c>
    </row>
    <row r="122" spans="1:18" x14ac:dyDescent="0.25">
      <c r="A122" s="1">
        <v>44771</v>
      </c>
      <c r="B122">
        <f t="shared" si="17"/>
        <v>5</v>
      </c>
      <c r="C122">
        <f t="shared" si="22"/>
        <v>37</v>
      </c>
      <c r="D122">
        <f t="shared" si="23"/>
        <v>25</v>
      </c>
      <c r="E122">
        <f t="shared" si="24"/>
        <v>0</v>
      </c>
      <c r="F122">
        <f t="shared" si="18"/>
        <v>0</v>
      </c>
      <c r="G122">
        <f t="shared" si="25"/>
        <v>0</v>
      </c>
      <c r="H122">
        <f t="shared" si="26"/>
        <v>0</v>
      </c>
      <c r="I122">
        <f t="shared" si="27"/>
        <v>0</v>
      </c>
      <c r="J122">
        <f t="shared" si="19"/>
        <v>0</v>
      </c>
      <c r="K122">
        <f t="shared" si="20"/>
        <v>0</v>
      </c>
      <c r="L122">
        <f t="shared" si="28"/>
        <v>37</v>
      </c>
      <c r="M122">
        <f t="shared" si="29"/>
        <v>25</v>
      </c>
      <c r="N122">
        <f t="shared" si="30"/>
        <v>1</v>
      </c>
      <c r="O122">
        <f t="shared" si="31"/>
        <v>12</v>
      </c>
      <c r="P122">
        <f t="shared" si="21"/>
        <v>5</v>
      </c>
      <c r="Q122">
        <f t="shared" si="32"/>
        <v>25</v>
      </c>
      <c r="R122">
        <f t="shared" si="33"/>
        <v>20</v>
      </c>
    </row>
    <row r="123" spans="1:18" x14ac:dyDescent="0.25">
      <c r="A123" s="1">
        <v>44772</v>
      </c>
      <c r="B123">
        <f t="shared" si="17"/>
        <v>6</v>
      </c>
      <c r="C123">
        <f t="shared" si="22"/>
        <v>25</v>
      </c>
      <c r="D123">
        <f t="shared" si="23"/>
        <v>20</v>
      </c>
      <c r="E123">
        <f t="shared" si="24"/>
        <v>0</v>
      </c>
      <c r="F123">
        <f t="shared" si="18"/>
        <v>0</v>
      </c>
      <c r="G123">
        <f t="shared" si="25"/>
        <v>0</v>
      </c>
      <c r="H123">
        <f t="shared" si="26"/>
        <v>0</v>
      </c>
      <c r="I123">
        <f t="shared" si="27"/>
        <v>0</v>
      </c>
      <c r="J123">
        <f t="shared" si="19"/>
        <v>0</v>
      </c>
      <c r="K123">
        <f t="shared" si="20"/>
        <v>0</v>
      </c>
      <c r="L123">
        <f t="shared" si="28"/>
        <v>25</v>
      </c>
      <c r="M123">
        <f t="shared" si="29"/>
        <v>20</v>
      </c>
      <c r="N123">
        <f t="shared" si="30"/>
        <v>1</v>
      </c>
      <c r="O123">
        <f t="shared" si="31"/>
        <v>8</v>
      </c>
      <c r="P123">
        <f t="shared" si="21"/>
        <v>4</v>
      </c>
      <c r="Q123">
        <f t="shared" si="32"/>
        <v>17</v>
      </c>
      <c r="R123">
        <f t="shared" si="33"/>
        <v>16</v>
      </c>
    </row>
    <row r="124" spans="1:18" x14ac:dyDescent="0.25">
      <c r="A124" s="1">
        <v>44773</v>
      </c>
      <c r="B124">
        <f t="shared" si="17"/>
        <v>7</v>
      </c>
      <c r="C124">
        <f t="shared" si="22"/>
        <v>17</v>
      </c>
      <c r="D124">
        <f t="shared" si="23"/>
        <v>16</v>
      </c>
      <c r="E124">
        <f t="shared" si="24"/>
        <v>0</v>
      </c>
      <c r="F124">
        <f t="shared" si="18"/>
        <v>0</v>
      </c>
      <c r="G124">
        <f t="shared" si="25"/>
        <v>0</v>
      </c>
      <c r="H124">
        <f t="shared" si="26"/>
        <v>0</v>
      </c>
      <c r="I124">
        <f t="shared" si="27"/>
        <v>0</v>
      </c>
      <c r="J124">
        <f t="shared" si="19"/>
        <v>0</v>
      </c>
      <c r="K124">
        <f t="shared" si="20"/>
        <v>0</v>
      </c>
      <c r="L124">
        <f t="shared" si="28"/>
        <v>17</v>
      </c>
      <c r="M124">
        <f t="shared" si="29"/>
        <v>16</v>
      </c>
      <c r="N124">
        <f t="shared" si="30"/>
        <v>0</v>
      </c>
      <c r="O124">
        <f t="shared" si="31"/>
        <v>0</v>
      </c>
      <c r="P124">
        <f t="shared" si="21"/>
        <v>0</v>
      </c>
      <c r="Q124">
        <f t="shared" si="32"/>
        <v>17</v>
      </c>
      <c r="R124">
        <f t="shared" si="33"/>
        <v>16</v>
      </c>
    </row>
    <row r="125" spans="1:18" x14ac:dyDescent="0.25">
      <c r="A125" s="1">
        <v>44774</v>
      </c>
      <c r="B125">
        <f t="shared" si="17"/>
        <v>1</v>
      </c>
      <c r="C125">
        <f t="shared" si="22"/>
        <v>17</v>
      </c>
      <c r="D125">
        <f t="shared" si="23"/>
        <v>16</v>
      </c>
      <c r="E125">
        <f t="shared" si="24"/>
        <v>1</v>
      </c>
      <c r="F125">
        <f t="shared" si="18"/>
        <v>1</v>
      </c>
      <c r="G125">
        <f t="shared" si="25"/>
        <v>0</v>
      </c>
      <c r="H125">
        <f t="shared" si="26"/>
        <v>0</v>
      </c>
      <c r="I125">
        <f t="shared" si="27"/>
        <v>0</v>
      </c>
      <c r="J125">
        <f t="shared" si="19"/>
        <v>0</v>
      </c>
      <c r="K125">
        <f t="shared" si="20"/>
        <v>0</v>
      </c>
      <c r="L125">
        <f t="shared" si="28"/>
        <v>16</v>
      </c>
      <c r="M125">
        <f t="shared" si="29"/>
        <v>16</v>
      </c>
      <c r="N125">
        <f t="shared" si="30"/>
        <v>1</v>
      </c>
      <c r="O125">
        <f t="shared" si="31"/>
        <v>5</v>
      </c>
      <c r="P125">
        <f t="shared" si="21"/>
        <v>4</v>
      </c>
      <c r="Q125">
        <f t="shared" si="32"/>
        <v>11</v>
      </c>
      <c r="R125">
        <f t="shared" si="33"/>
        <v>12</v>
      </c>
    </row>
    <row r="126" spans="1:18" x14ac:dyDescent="0.25">
      <c r="A126" s="1">
        <v>44775</v>
      </c>
      <c r="B126">
        <f t="shared" si="17"/>
        <v>2</v>
      </c>
      <c r="C126">
        <f t="shared" si="22"/>
        <v>11</v>
      </c>
      <c r="D126">
        <f t="shared" si="23"/>
        <v>12</v>
      </c>
      <c r="E126">
        <f t="shared" si="24"/>
        <v>0</v>
      </c>
      <c r="F126">
        <f t="shared" si="18"/>
        <v>0</v>
      </c>
      <c r="G126">
        <f t="shared" si="25"/>
        <v>0</v>
      </c>
      <c r="H126">
        <f t="shared" si="26"/>
        <v>0</v>
      </c>
      <c r="I126">
        <f t="shared" si="27"/>
        <v>0</v>
      </c>
      <c r="J126">
        <f t="shared" si="19"/>
        <v>0</v>
      </c>
      <c r="K126">
        <f t="shared" si="20"/>
        <v>0</v>
      </c>
      <c r="L126">
        <f t="shared" si="28"/>
        <v>11</v>
      </c>
      <c r="M126">
        <f t="shared" si="29"/>
        <v>12</v>
      </c>
      <c r="N126">
        <f t="shared" si="30"/>
        <v>1</v>
      </c>
      <c r="O126">
        <f t="shared" si="31"/>
        <v>4</v>
      </c>
      <c r="P126">
        <f t="shared" si="21"/>
        <v>3</v>
      </c>
      <c r="Q126">
        <f t="shared" si="32"/>
        <v>7</v>
      </c>
      <c r="R126">
        <f t="shared" si="33"/>
        <v>9</v>
      </c>
    </row>
    <row r="127" spans="1:18" x14ac:dyDescent="0.25">
      <c r="A127" s="1">
        <v>44776</v>
      </c>
      <c r="B127">
        <f t="shared" si="17"/>
        <v>3</v>
      </c>
      <c r="C127">
        <f t="shared" si="22"/>
        <v>7</v>
      </c>
      <c r="D127">
        <f t="shared" si="23"/>
        <v>9</v>
      </c>
      <c r="E127">
        <f t="shared" si="24"/>
        <v>0</v>
      </c>
      <c r="F127">
        <f t="shared" si="18"/>
        <v>0</v>
      </c>
      <c r="G127">
        <f t="shared" si="25"/>
        <v>0</v>
      </c>
      <c r="H127">
        <f t="shared" si="26"/>
        <v>0</v>
      </c>
      <c r="I127">
        <f t="shared" si="27"/>
        <v>0</v>
      </c>
      <c r="J127">
        <f t="shared" si="19"/>
        <v>0</v>
      </c>
      <c r="K127">
        <f t="shared" si="20"/>
        <v>0</v>
      </c>
      <c r="L127">
        <f t="shared" si="28"/>
        <v>7</v>
      </c>
      <c r="M127">
        <f t="shared" si="29"/>
        <v>9</v>
      </c>
      <c r="N127">
        <f t="shared" si="30"/>
        <v>1</v>
      </c>
      <c r="O127">
        <f t="shared" si="31"/>
        <v>3</v>
      </c>
      <c r="P127">
        <f t="shared" si="21"/>
        <v>2</v>
      </c>
      <c r="Q127">
        <f t="shared" si="32"/>
        <v>4</v>
      </c>
      <c r="R127">
        <f t="shared" si="33"/>
        <v>7</v>
      </c>
    </row>
    <row r="128" spans="1:18" x14ac:dyDescent="0.25">
      <c r="A128" s="1">
        <v>44777</v>
      </c>
      <c r="B128">
        <f t="shared" si="17"/>
        <v>4</v>
      </c>
      <c r="C128">
        <f t="shared" si="22"/>
        <v>4</v>
      </c>
      <c r="D128">
        <f t="shared" si="23"/>
        <v>7</v>
      </c>
      <c r="E128">
        <f t="shared" si="24"/>
        <v>0</v>
      </c>
      <c r="F128">
        <f t="shared" si="18"/>
        <v>0</v>
      </c>
      <c r="G128">
        <f t="shared" si="25"/>
        <v>1</v>
      </c>
      <c r="H128">
        <f t="shared" si="26"/>
        <v>50</v>
      </c>
      <c r="I128">
        <f t="shared" si="27"/>
        <v>25</v>
      </c>
      <c r="J128">
        <f t="shared" si="19"/>
        <v>0</v>
      </c>
      <c r="K128">
        <f t="shared" si="20"/>
        <v>0</v>
      </c>
      <c r="L128">
        <f t="shared" si="28"/>
        <v>54</v>
      </c>
      <c r="M128">
        <f t="shared" si="29"/>
        <v>32</v>
      </c>
      <c r="N128">
        <f t="shared" si="30"/>
        <v>1</v>
      </c>
      <c r="O128">
        <f t="shared" si="31"/>
        <v>17</v>
      </c>
      <c r="P128">
        <f t="shared" si="21"/>
        <v>7</v>
      </c>
      <c r="Q128">
        <f t="shared" si="32"/>
        <v>37</v>
      </c>
      <c r="R128">
        <f t="shared" si="33"/>
        <v>25</v>
      </c>
    </row>
    <row r="129" spans="1:18" x14ac:dyDescent="0.25">
      <c r="A129" s="1">
        <v>44778</v>
      </c>
      <c r="B129">
        <f t="shared" si="17"/>
        <v>5</v>
      </c>
      <c r="C129">
        <f t="shared" si="22"/>
        <v>37</v>
      </c>
      <c r="D129">
        <f t="shared" si="23"/>
        <v>25</v>
      </c>
      <c r="E129">
        <f t="shared" si="24"/>
        <v>0</v>
      </c>
      <c r="F129">
        <f t="shared" si="18"/>
        <v>0</v>
      </c>
      <c r="G129">
        <f t="shared" si="25"/>
        <v>0</v>
      </c>
      <c r="H129">
        <f t="shared" si="26"/>
        <v>0</v>
      </c>
      <c r="I129">
        <f t="shared" si="27"/>
        <v>0</v>
      </c>
      <c r="J129">
        <f t="shared" si="19"/>
        <v>0</v>
      </c>
      <c r="K129">
        <f t="shared" si="20"/>
        <v>0</v>
      </c>
      <c r="L129">
        <f t="shared" si="28"/>
        <v>37</v>
      </c>
      <c r="M129">
        <f t="shared" si="29"/>
        <v>25</v>
      </c>
      <c r="N129">
        <f t="shared" si="30"/>
        <v>1</v>
      </c>
      <c r="O129">
        <f t="shared" si="31"/>
        <v>12</v>
      </c>
      <c r="P129">
        <f t="shared" si="21"/>
        <v>5</v>
      </c>
      <c r="Q129">
        <f t="shared" si="32"/>
        <v>25</v>
      </c>
      <c r="R129">
        <f t="shared" si="33"/>
        <v>20</v>
      </c>
    </row>
    <row r="130" spans="1:18" x14ac:dyDescent="0.25">
      <c r="A130" s="1">
        <v>44779</v>
      </c>
      <c r="B130">
        <f t="shared" si="17"/>
        <v>6</v>
      </c>
      <c r="C130">
        <f t="shared" si="22"/>
        <v>25</v>
      </c>
      <c r="D130">
        <f t="shared" si="23"/>
        <v>20</v>
      </c>
      <c r="E130">
        <f t="shared" si="24"/>
        <v>0</v>
      </c>
      <c r="F130">
        <f t="shared" si="18"/>
        <v>0</v>
      </c>
      <c r="G130">
        <f t="shared" si="25"/>
        <v>0</v>
      </c>
      <c r="H130">
        <f t="shared" si="26"/>
        <v>0</v>
      </c>
      <c r="I130">
        <f t="shared" si="27"/>
        <v>0</v>
      </c>
      <c r="J130">
        <f t="shared" si="19"/>
        <v>0</v>
      </c>
      <c r="K130">
        <f t="shared" si="20"/>
        <v>0</v>
      </c>
      <c r="L130">
        <f t="shared" si="28"/>
        <v>25</v>
      </c>
      <c r="M130">
        <f t="shared" si="29"/>
        <v>20</v>
      </c>
      <c r="N130">
        <f t="shared" si="30"/>
        <v>1</v>
      </c>
      <c r="O130">
        <f t="shared" si="31"/>
        <v>8</v>
      </c>
      <c r="P130">
        <f t="shared" si="21"/>
        <v>4</v>
      </c>
      <c r="Q130">
        <f t="shared" si="32"/>
        <v>17</v>
      </c>
      <c r="R130">
        <f t="shared" si="33"/>
        <v>16</v>
      </c>
    </row>
    <row r="131" spans="1:18" x14ac:dyDescent="0.25">
      <c r="A131" s="1">
        <v>44780</v>
      </c>
      <c r="B131">
        <f t="shared" si="17"/>
        <v>7</v>
      </c>
      <c r="C131">
        <f t="shared" si="22"/>
        <v>17</v>
      </c>
      <c r="D131">
        <f t="shared" si="23"/>
        <v>16</v>
      </c>
      <c r="E131">
        <f t="shared" si="24"/>
        <v>0</v>
      </c>
      <c r="F131">
        <f t="shared" si="18"/>
        <v>0</v>
      </c>
      <c r="G131">
        <f t="shared" si="25"/>
        <v>0</v>
      </c>
      <c r="H131">
        <f t="shared" si="26"/>
        <v>0</v>
      </c>
      <c r="I131">
        <f t="shared" si="27"/>
        <v>0</v>
      </c>
      <c r="J131">
        <f t="shared" si="19"/>
        <v>0</v>
      </c>
      <c r="K131">
        <f t="shared" si="20"/>
        <v>0</v>
      </c>
      <c r="L131">
        <f t="shared" si="28"/>
        <v>17</v>
      </c>
      <c r="M131">
        <f t="shared" si="29"/>
        <v>16</v>
      </c>
      <c r="N131">
        <f t="shared" si="30"/>
        <v>0</v>
      </c>
      <c r="O131">
        <f t="shared" si="31"/>
        <v>0</v>
      </c>
      <c r="P131">
        <f t="shared" si="21"/>
        <v>0</v>
      </c>
      <c r="Q131">
        <f t="shared" si="32"/>
        <v>17</v>
      </c>
      <c r="R131">
        <f t="shared" si="33"/>
        <v>16</v>
      </c>
    </row>
    <row r="132" spans="1:18" x14ac:dyDescent="0.25">
      <c r="A132" s="1">
        <v>44781</v>
      </c>
      <c r="B132">
        <f t="shared" ref="B132:B195" si="34">WEEKDAY(A132, 2)</f>
        <v>1</v>
      </c>
      <c r="C132">
        <f t="shared" si="22"/>
        <v>17</v>
      </c>
      <c r="D132">
        <f t="shared" si="23"/>
        <v>16</v>
      </c>
      <c r="E132">
        <f t="shared" si="24"/>
        <v>1</v>
      </c>
      <c r="F132">
        <f t="shared" ref="F132:F195" si="35">IF(E132=1,ROUNDUP(5% * C132,0),0)</f>
        <v>1</v>
      </c>
      <c r="G132">
        <f t="shared" si="25"/>
        <v>0</v>
      </c>
      <c r="H132">
        <f t="shared" si="26"/>
        <v>0</v>
      </c>
      <c r="I132">
        <f t="shared" si="27"/>
        <v>0</v>
      </c>
      <c r="J132">
        <f t="shared" ref="J132:J195" si="36">IF(AND(B132=1,SUM(O129:O130)&gt;25),1,0)</f>
        <v>0</v>
      </c>
      <c r="K132">
        <f t="shared" ref="K132:K195" si="37">IF(J132=1,15,0)</f>
        <v>0</v>
      </c>
      <c r="L132">
        <f t="shared" si="28"/>
        <v>16</v>
      </c>
      <c r="M132">
        <f t="shared" si="29"/>
        <v>16</v>
      </c>
      <c r="N132">
        <f t="shared" si="30"/>
        <v>1</v>
      </c>
      <c r="O132">
        <f t="shared" si="31"/>
        <v>5</v>
      </c>
      <c r="P132">
        <f t="shared" ref="P132:P195" si="38">IF(N132=1,ROUNDUP(20% * M132,0),0)</f>
        <v>4</v>
      </c>
      <c r="Q132">
        <f t="shared" si="32"/>
        <v>11</v>
      </c>
      <c r="R132">
        <f t="shared" si="33"/>
        <v>12</v>
      </c>
    </row>
    <row r="133" spans="1:18" x14ac:dyDescent="0.25">
      <c r="A133" s="1">
        <v>44782</v>
      </c>
      <c r="B133">
        <f t="shared" si="34"/>
        <v>2</v>
      </c>
      <c r="C133">
        <f t="shared" ref="C133:C196" si="39">Q132</f>
        <v>11</v>
      </c>
      <c r="D133">
        <f t="shared" ref="D133:D196" si="40">R132</f>
        <v>12</v>
      </c>
      <c r="E133">
        <f t="shared" ref="E133:E196" si="41">IF(B133=1,1,0)</f>
        <v>0</v>
      </c>
      <c r="F133">
        <f t="shared" si="35"/>
        <v>0</v>
      </c>
      <c r="G133">
        <f t="shared" ref="G133:G196" si="42">IF(B133=4,1,0)</f>
        <v>0</v>
      </c>
      <c r="H133">
        <f t="shared" ref="H133:H196" si="43">IF(G133=1,50,0)</f>
        <v>0</v>
      </c>
      <c r="I133">
        <f t="shared" ref="I133:I196" si="44">IF(G133=1,25,0)</f>
        <v>0</v>
      </c>
      <c r="J133">
        <f t="shared" si="36"/>
        <v>0</v>
      </c>
      <c r="K133">
        <f t="shared" si="37"/>
        <v>0</v>
      </c>
      <c r="L133">
        <f t="shared" ref="L133:L196" si="45">K133+H133+C133-F133</f>
        <v>11</v>
      </c>
      <c r="M133">
        <f t="shared" ref="M133:M196" si="46">I133+D133</f>
        <v>12</v>
      </c>
      <c r="N133">
        <f t="shared" ref="N133:N196" si="47">IF(B133&lt;&gt;7,1,0)</f>
        <v>1</v>
      </c>
      <c r="O133">
        <f t="shared" ref="O133:O196" si="48">IF(N133=1,ROUNDUP(30% * L133,0),0)</f>
        <v>4</v>
      </c>
      <c r="P133">
        <f t="shared" si="38"/>
        <v>3</v>
      </c>
      <c r="Q133">
        <f t="shared" ref="Q133:Q196" si="49">L133-O133</f>
        <v>7</v>
      </c>
      <c r="R133">
        <f t="shared" ref="R133:R196" si="50">M133-P133</f>
        <v>9</v>
      </c>
    </row>
    <row r="134" spans="1:18" x14ac:dyDescent="0.25">
      <c r="A134" s="1">
        <v>44783</v>
      </c>
      <c r="B134">
        <f t="shared" si="34"/>
        <v>3</v>
      </c>
      <c r="C134">
        <f t="shared" si="39"/>
        <v>7</v>
      </c>
      <c r="D134">
        <f t="shared" si="40"/>
        <v>9</v>
      </c>
      <c r="E134">
        <f t="shared" si="41"/>
        <v>0</v>
      </c>
      <c r="F134">
        <f t="shared" si="35"/>
        <v>0</v>
      </c>
      <c r="G134">
        <f t="shared" si="42"/>
        <v>0</v>
      </c>
      <c r="H134">
        <f t="shared" si="43"/>
        <v>0</v>
      </c>
      <c r="I134">
        <f t="shared" si="44"/>
        <v>0</v>
      </c>
      <c r="J134">
        <f t="shared" si="36"/>
        <v>0</v>
      </c>
      <c r="K134">
        <f t="shared" si="37"/>
        <v>0</v>
      </c>
      <c r="L134">
        <f t="shared" si="45"/>
        <v>7</v>
      </c>
      <c r="M134">
        <f t="shared" si="46"/>
        <v>9</v>
      </c>
      <c r="N134">
        <f t="shared" si="47"/>
        <v>1</v>
      </c>
      <c r="O134">
        <f t="shared" si="48"/>
        <v>3</v>
      </c>
      <c r="P134">
        <f t="shared" si="38"/>
        <v>2</v>
      </c>
      <c r="Q134">
        <f t="shared" si="49"/>
        <v>4</v>
      </c>
      <c r="R134">
        <f t="shared" si="50"/>
        <v>7</v>
      </c>
    </row>
    <row r="135" spans="1:18" x14ac:dyDescent="0.25">
      <c r="A135" s="1">
        <v>44784</v>
      </c>
      <c r="B135">
        <f t="shared" si="34"/>
        <v>4</v>
      </c>
      <c r="C135">
        <f t="shared" si="39"/>
        <v>4</v>
      </c>
      <c r="D135">
        <f t="shared" si="40"/>
        <v>7</v>
      </c>
      <c r="E135">
        <f t="shared" si="41"/>
        <v>0</v>
      </c>
      <c r="F135">
        <f t="shared" si="35"/>
        <v>0</v>
      </c>
      <c r="G135">
        <f t="shared" si="42"/>
        <v>1</v>
      </c>
      <c r="H135">
        <f t="shared" si="43"/>
        <v>50</v>
      </c>
      <c r="I135">
        <f t="shared" si="44"/>
        <v>25</v>
      </c>
      <c r="J135">
        <f t="shared" si="36"/>
        <v>0</v>
      </c>
      <c r="K135">
        <f t="shared" si="37"/>
        <v>0</v>
      </c>
      <c r="L135">
        <f t="shared" si="45"/>
        <v>54</v>
      </c>
      <c r="M135">
        <f t="shared" si="46"/>
        <v>32</v>
      </c>
      <c r="N135">
        <f t="shared" si="47"/>
        <v>1</v>
      </c>
      <c r="O135">
        <f t="shared" si="48"/>
        <v>17</v>
      </c>
      <c r="P135">
        <f t="shared" si="38"/>
        <v>7</v>
      </c>
      <c r="Q135">
        <f t="shared" si="49"/>
        <v>37</v>
      </c>
      <c r="R135">
        <f t="shared" si="50"/>
        <v>25</v>
      </c>
    </row>
    <row r="136" spans="1:18" x14ac:dyDescent="0.25">
      <c r="A136" s="1">
        <v>44785</v>
      </c>
      <c r="B136">
        <f t="shared" si="34"/>
        <v>5</v>
      </c>
      <c r="C136">
        <f t="shared" si="39"/>
        <v>37</v>
      </c>
      <c r="D136">
        <f t="shared" si="40"/>
        <v>25</v>
      </c>
      <c r="E136">
        <f t="shared" si="41"/>
        <v>0</v>
      </c>
      <c r="F136">
        <f t="shared" si="35"/>
        <v>0</v>
      </c>
      <c r="G136">
        <f t="shared" si="42"/>
        <v>0</v>
      </c>
      <c r="H136">
        <f t="shared" si="43"/>
        <v>0</v>
      </c>
      <c r="I136">
        <f t="shared" si="44"/>
        <v>0</v>
      </c>
      <c r="J136">
        <f t="shared" si="36"/>
        <v>0</v>
      </c>
      <c r="K136">
        <f t="shared" si="37"/>
        <v>0</v>
      </c>
      <c r="L136">
        <f t="shared" si="45"/>
        <v>37</v>
      </c>
      <c r="M136">
        <f t="shared" si="46"/>
        <v>25</v>
      </c>
      <c r="N136">
        <f t="shared" si="47"/>
        <v>1</v>
      </c>
      <c r="O136">
        <f t="shared" si="48"/>
        <v>12</v>
      </c>
      <c r="P136">
        <f t="shared" si="38"/>
        <v>5</v>
      </c>
      <c r="Q136">
        <f t="shared" si="49"/>
        <v>25</v>
      </c>
      <c r="R136">
        <f t="shared" si="50"/>
        <v>20</v>
      </c>
    </row>
    <row r="137" spans="1:18" x14ac:dyDescent="0.25">
      <c r="A137" s="1">
        <v>44786</v>
      </c>
      <c r="B137">
        <f t="shared" si="34"/>
        <v>6</v>
      </c>
      <c r="C137">
        <f t="shared" si="39"/>
        <v>25</v>
      </c>
      <c r="D137">
        <f t="shared" si="40"/>
        <v>20</v>
      </c>
      <c r="E137">
        <f t="shared" si="41"/>
        <v>0</v>
      </c>
      <c r="F137">
        <f t="shared" si="35"/>
        <v>0</v>
      </c>
      <c r="G137">
        <f t="shared" si="42"/>
        <v>0</v>
      </c>
      <c r="H137">
        <f t="shared" si="43"/>
        <v>0</v>
      </c>
      <c r="I137">
        <f t="shared" si="44"/>
        <v>0</v>
      </c>
      <c r="J137">
        <f t="shared" si="36"/>
        <v>0</v>
      </c>
      <c r="K137">
        <f t="shared" si="37"/>
        <v>0</v>
      </c>
      <c r="L137">
        <f t="shared" si="45"/>
        <v>25</v>
      </c>
      <c r="M137">
        <f t="shared" si="46"/>
        <v>20</v>
      </c>
      <c r="N137">
        <f t="shared" si="47"/>
        <v>1</v>
      </c>
      <c r="O137">
        <f t="shared" si="48"/>
        <v>8</v>
      </c>
      <c r="P137">
        <f t="shared" si="38"/>
        <v>4</v>
      </c>
      <c r="Q137">
        <f t="shared" si="49"/>
        <v>17</v>
      </c>
      <c r="R137">
        <f t="shared" si="50"/>
        <v>16</v>
      </c>
    </row>
    <row r="138" spans="1:18" x14ac:dyDescent="0.25">
      <c r="A138" s="1">
        <v>44787</v>
      </c>
      <c r="B138">
        <f t="shared" si="34"/>
        <v>7</v>
      </c>
      <c r="C138">
        <f t="shared" si="39"/>
        <v>17</v>
      </c>
      <c r="D138">
        <f t="shared" si="40"/>
        <v>16</v>
      </c>
      <c r="E138">
        <f t="shared" si="41"/>
        <v>0</v>
      </c>
      <c r="F138">
        <f t="shared" si="35"/>
        <v>0</v>
      </c>
      <c r="G138">
        <f t="shared" si="42"/>
        <v>0</v>
      </c>
      <c r="H138">
        <f t="shared" si="43"/>
        <v>0</v>
      </c>
      <c r="I138">
        <f t="shared" si="44"/>
        <v>0</v>
      </c>
      <c r="J138">
        <f t="shared" si="36"/>
        <v>0</v>
      </c>
      <c r="K138">
        <f t="shared" si="37"/>
        <v>0</v>
      </c>
      <c r="L138">
        <f t="shared" si="45"/>
        <v>17</v>
      </c>
      <c r="M138">
        <f t="shared" si="46"/>
        <v>16</v>
      </c>
      <c r="N138">
        <f t="shared" si="47"/>
        <v>0</v>
      </c>
      <c r="O138">
        <f t="shared" si="48"/>
        <v>0</v>
      </c>
      <c r="P138">
        <f t="shared" si="38"/>
        <v>0</v>
      </c>
      <c r="Q138">
        <f t="shared" si="49"/>
        <v>17</v>
      </c>
      <c r="R138">
        <f t="shared" si="50"/>
        <v>16</v>
      </c>
    </row>
    <row r="139" spans="1:18" x14ac:dyDescent="0.25">
      <c r="A139" s="1">
        <v>44788</v>
      </c>
      <c r="B139">
        <f t="shared" si="34"/>
        <v>1</v>
      </c>
      <c r="C139">
        <f t="shared" si="39"/>
        <v>17</v>
      </c>
      <c r="D139">
        <f t="shared" si="40"/>
        <v>16</v>
      </c>
      <c r="E139">
        <f t="shared" si="41"/>
        <v>1</v>
      </c>
      <c r="F139">
        <f t="shared" si="35"/>
        <v>1</v>
      </c>
      <c r="G139">
        <f t="shared" si="42"/>
        <v>0</v>
      </c>
      <c r="H139">
        <f t="shared" si="43"/>
        <v>0</v>
      </c>
      <c r="I139">
        <f t="shared" si="44"/>
        <v>0</v>
      </c>
      <c r="J139">
        <f t="shared" si="36"/>
        <v>0</v>
      </c>
      <c r="K139">
        <f t="shared" si="37"/>
        <v>0</v>
      </c>
      <c r="L139">
        <f t="shared" si="45"/>
        <v>16</v>
      </c>
      <c r="M139">
        <f t="shared" si="46"/>
        <v>16</v>
      </c>
      <c r="N139">
        <f t="shared" si="47"/>
        <v>1</v>
      </c>
      <c r="O139">
        <f t="shared" si="48"/>
        <v>5</v>
      </c>
      <c r="P139">
        <f t="shared" si="38"/>
        <v>4</v>
      </c>
      <c r="Q139">
        <f t="shared" si="49"/>
        <v>11</v>
      </c>
      <c r="R139">
        <f t="shared" si="50"/>
        <v>12</v>
      </c>
    </row>
    <row r="140" spans="1:18" x14ac:dyDescent="0.25">
      <c r="A140" s="1">
        <v>44789</v>
      </c>
      <c r="B140">
        <f t="shared" si="34"/>
        <v>2</v>
      </c>
      <c r="C140">
        <f t="shared" si="39"/>
        <v>11</v>
      </c>
      <c r="D140">
        <f t="shared" si="40"/>
        <v>12</v>
      </c>
      <c r="E140">
        <f t="shared" si="41"/>
        <v>0</v>
      </c>
      <c r="F140">
        <f t="shared" si="35"/>
        <v>0</v>
      </c>
      <c r="G140">
        <f t="shared" si="42"/>
        <v>0</v>
      </c>
      <c r="H140">
        <f t="shared" si="43"/>
        <v>0</v>
      </c>
      <c r="I140">
        <f t="shared" si="44"/>
        <v>0</v>
      </c>
      <c r="J140">
        <f t="shared" si="36"/>
        <v>0</v>
      </c>
      <c r="K140">
        <f t="shared" si="37"/>
        <v>0</v>
      </c>
      <c r="L140">
        <f t="shared" si="45"/>
        <v>11</v>
      </c>
      <c r="M140">
        <f t="shared" si="46"/>
        <v>12</v>
      </c>
      <c r="N140">
        <f t="shared" si="47"/>
        <v>1</v>
      </c>
      <c r="O140">
        <f t="shared" si="48"/>
        <v>4</v>
      </c>
      <c r="P140">
        <f t="shared" si="38"/>
        <v>3</v>
      </c>
      <c r="Q140">
        <f t="shared" si="49"/>
        <v>7</v>
      </c>
      <c r="R140">
        <f t="shared" si="50"/>
        <v>9</v>
      </c>
    </row>
    <row r="141" spans="1:18" x14ac:dyDescent="0.25">
      <c r="A141" s="1">
        <v>44790</v>
      </c>
      <c r="B141">
        <f t="shared" si="34"/>
        <v>3</v>
      </c>
      <c r="C141">
        <f t="shared" si="39"/>
        <v>7</v>
      </c>
      <c r="D141">
        <f t="shared" si="40"/>
        <v>9</v>
      </c>
      <c r="E141">
        <f t="shared" si="41"/>
        <v>0</v>
      </c>
      <c r="F141">
        <f t="shared" si="35"/>
        <v>0</v>
      </c>
      <c r="G141">
        <f t="shared" si="42"/>
        <v>0</v>
      </c>
      <c r="H141">
        <f t="shared" si="43"/>
        <v>0</v>
      </c>
      <c r="I141">
        <f t="shared" si="44"/>
        <v>0</v>
      </c>
      <c r="J141">
        <f t="shared" si="36"/>
        <v>0</v>
      </c>
      <c r="K141">
        <f t="shared" si="37"/>
        <v>0</v>
      </c>
      <c r="L141">
        <f t="shared" si="45"/>
        <v>7</v>
      </c>
      <c r="M141">
        <f t="shared" si="46"/>
        <v>9</v>
      </c>
      <c r="N141">
        <f t="shared" si="47"/>
        <v>1</v>
      </c>
      <c r="O141">
        <f t="shared" si="48"/>
        <v>3</v>
      </c>
      <c r="P141">
        <f t="shared" si="38"/>
        <v>2</v>
      </c>
      <c r="Q141">
        <f t="shared" si="49"/>
        <v>4</v>
      </c>
      <c r="R141">
        <f t="shared" si="50"/>
        <v>7</v>
      </c>
    </row>
    <row r="142" spans="1:18" x14ac:dyDescent="0.25">
      <c r="A142" s="1">
        <v>44791</v>
      </c>
      <c r="B142">
        <f t="shared" si="34"/>
        <v>4</v>
      </c>
      <c r="C142">
        <f t="shared" si="39"/>
        <v>4</v>
      </c>
      <c r="D142">
        <f t="shared" si="40"/>
        <v>7</v>
      </c>
      <c r="E142">
        <f t="shared" si="41"/>
        <v>0</v>
      </c>
      <c r="F142">
        <f t="shared" si="35"/>
        <v>0</v>
      </c>
      <c r="G142">
        <f t="shared" si="42"/>
        <v>1</v>
      </c>
      <c r="H142">
        <f t="shared" si="43"/>
        <v>50</v>
      </c>
      <c r="I142">
        <f t="shared" si="44"/>
        <v>25</v>
      </c>
      <c r="J142">
        <f t="shared" si="36"/>
        <v>0</v>
      </c>
      <c r="K142">
        <f t="shared" si="37"/>
        <v>0</v>
      </c>
      <c r="L142">
        <f t="shared" si="45"/>
        <v>54</v>
      </c>
      <c r="M142">
        <f t="shared" si="46"/>
        <v>32</v>
      </c>
      <c r="N142">
        <f t="shared" si="47"/>
        <v>1</v>
      </c>
      <c r="O142">
        <f t="shared" si="48"/>
        <v>17</v>
      </c>
      <c r="P142">
        <f t="shared" si="38"/>
        <v>7</v>
      </c>
      <c r="Q142">
        <f t="shared" si="49"/>
        <v>37</v>
      </c>
      <c r="R142">
        <f t="shared" si="50"/>
        <v>25</v>
      </c>
    </row>
    <row r="143" spans="1:18" x14ac:dyDescent="0.25">
      <c r="A143" s="1">
        <v>44792</v>
      </c>
      <c r="B143">
        <f t="shared" si="34"/>
        <v>5</v>
      </c>
      <c r="C143">
        <f t="shared" si="39"/>
        <v>37</v>
      </c>
      <c r="D143">
        <f t="shared" si="40"/>
        <v>25</v>
      </c>
      <c r="E143">
        <f t="shared" si="41"/>
        <v>0</v>
      </c>
      <c r="F143">
        <f t="shared" si="35"/>
        <v>0</v>
      </c>
      <c r="G143">
        <f t="shared" si="42"/>
        <v>0</v>
      </c>
      <c r="H143">
        <f t="shared" si="43"/>
        <v>0</v>
      </c>
      <c r="I143">
        <f t="shared" si="44"/>
        <v>0</v>
      </c>
      <c r="J143">
        <f t="shared" si="36"/>
        <v>0</v>
      </c>
      <c r="K143">
        <f t="shared" si="37"/>
        <v>0</v>
      </c>
      <c r="L143">
        <f t="shared" si="45"/>
        <v>37</v>
      </c>
      <c r="M143">
        <f t="shared" si="46"/>
        <v>25</v>
      </c>
      <c r="N143">
        <f t="shared" si="47"/>
        <v>1</v>
      </c>
      <c r="O143">
        <f t="shared" si="48"/>
        <v>12</v>
      </c>
      <c r="P143">
        <f t="shared" si="38"/>
        <v>5</v>
      </c>
      <c r="Q143">
        <f t="shared" si="49"/>
        <v>25</v>
      </c>
      <c r="R143">
        <f t="shared" si="50"/>
        <v>20</v>
      </c>
    </row>
    <row r="144" spans="1:18" x14ac:dyDescent="0.25">
      <c r="A144" s="1">
        <v>44793</v>
      </c>
      <c r="B144">
        <f t="shared" si="34"/>
        <v>6</v>
      </c>
      <c r="C144">
        <f t="shared" si="39"/>
        <v>25</v>
      </c>
      <c r="D144">
        <f t="shared" si="40"/>
        <v>20</v>
      </c>
      <c r="E144">
        <f t="shared" si="41"/>
        <v>0</v>
      </c>
      <c r="F144">
        <f t="shared" si="35"/>
        <v>0</v>
      </c>
      <c r="G144">
        <f t="shared" si="42"/>
        <v>0</v>
      </c>
      <c r="H144">
        <f t="shared" si="43"/>
        <v>0</v>
      </c>
      <c r="I144">
        <f t="shared" si="44"/>
        <v>0</v>
      </c>
      <c r="J144">
        <f t="shared" si="36"/>
        <v>0</v>
      </c>
      <c r="K144">
        <f t="shared" si="37"/>
        <v>0</v>
      </c>
      <c r="L144">
        <f t="shared" si="45"/>
        <v>25</v>
      </c>
      <c r="M144">
        <f t="shared" si="46"/>
        <v>20</v>
      </c>
      <c r="N144">
        <f t="shared" si="47"/>
        <v>1</v>
      </c>
      <c r="O144">
        <f t="shared" si="48"/>
        <v>8</v>
      </c>
      <c r="P144">
        <f t="shared" si="38"/>
        <v>4</v>
      </c>
      <c r="Q144">
        <f t="shared" si="49"/>
        <v>17</v>
      </c>
      <c r="R144">
        <f t="shared" si="50"/>
        <v>16</v>
      </c>
    </row>
    <row r="145" spans="1:18" x14ac:dyDescent="0.25">
      <c r="A145" s="1">
        <v>44794</v>
      </c>
      <c r="B145">
        <f t="shared" si="34"/>
        <v>7</v>
      </c>
      <c r="C145">
        <f t="shared" si="39"/>
        <v>17</v>
      </c>
      <c r="D145">
        <f t="shared" si="40"/>
        <v>16</v>
      </c>
      <c r="E145">
        <f t="shared" si="41"/>
        <v>0</v>
      </c>
      <c r="F145">
        <f t="shared" si="35"/>
        <v>0</v>
      </c>
      <c r="G145">
        <f t="shared" si="42"/>
        <v>0</v>
      </c>
      <c r="H145">
        <f t="shared" si="43"/>
        <v>0</v>
      </c>
      <c r="I145">
        <f t="shared" si="44"/>
        <v>0</v>
      </c>
      <c r="J145">
        <f t="shared" si="36"/>
        <v>0</v>
      </c>
      <c r="K145">
        <f t="shared" si="37"/>
        <v>0</v>
      </c>
      <c r="L145">
        <f t="shared" si="45"/>
        <v>17</v>
      </c>
      <c r="M145">
        <f t="shared" si="46"/>
        <v>16</v>
      </c>
      <c r="N145">
        <f t="shared" si="47"/>
        <v>0</v>
      </c>
      <c r="O145">
        <f t="shared" si="48"/>
        <v>0</v>
      </c>
      <c r="P145">
        <f t="shared" si="38"/>
        <v>0</v>
      </c>
      <c r="Q145">
        <f t="shared" si="49"/>
        <v>17</v>
      </c>
      <c r="R145">
        <f t="shared" si="50"/>
        <v>16</v>
      </c>
    </row>
    <row r="146" spans="1:18" x14ac:dyDescent="0.25">
      <c r="A146" s="1">
        <v>44795</v>
      </c>
      <c r="B146">
        <f t="shared" si="34"/>
        <v>1</v>
      </c>
      <c r="C146">
        <f t="shared" si="39"/>
        <v>17</v>
      </c>
      <c r="D146">
        <f t="shared" si="40"/>
        <v>16</v>
      </c>
      <c r="E146">
        <f t="shared" si="41"/>
        <v>1</v>
      </c>
      <c r="F146">
        <f t="shared" si="35"/>
        <v>1</v>
      </c>
      <c r="G146">
        <f t="shared" si="42"/>
        <v>0</v>
      </c>
      <c r="H146">
        <f t="shared" si="43"/>
        <v>0</v>
      </c>
      <c r="I146">
        <f t="shared" si="44"/>
        <v>0</v>
      </c>
      <c r="J146">
        <f t="shared" si="36"/>
        <v>0</v>
      </c>
      <c r="K146">
        <f t="shared" si="37"/>
        <v>0</v>
      </c>
      <c r="L146">
        <f t="shared" si="45"/>
        <v>16</v>
      </c>
      <c r="M146">
        <f t="shared" si="46"/>
        <v>16</v>
      </c>
      <c r="N146">
        <f t="shared" si="47"/>
        <v>1</v>
      </c>
      <c r="O146">
        <f t="shared" si="48"/>
        <v>5</v>
      </c>
      <c r="P146">
        <f t="shared" si="38"/>
        <v>4</v>
      </c>
      <c r="Q146">
        <f t="shared" si="49"/>
        <v>11</v>
      </c>
      <c r="R146">
        <f t="shared" si="50"/>
        <v>12</v>
      </c>
    </row>
    <row r="147" spans="1:18" x14ac:dyDescent="0.25">
      <c r="A147" s="1">
        <v>44796</v>
      </c>
      <c r="B147">
        <f t="shared" si="34"/>
        <v>2</v>
      </c>
      <c r="C147">
        <f t="shared" si="39"/>
        <v>11</v>
      </c>
      <c r="D147">
        <f t="shared" si="40"/>
        <v>12</v>
      </c>
      <c r="E147">
        <f t="shared" si="41"/>
        <v>0</v>
      </c>
      <c r="F147">
        <f t="shared" si="35"/>
        <v>0</v>
      </c>
      <c r="G147">
        <f t="shared" si="42"/>
        <v>0</v>
      </c>
      <c r="H147">
        <f t="shared" si="43"/>
        <v>0</v>
      </c>
      <c r="I147">
        <f t="shared" si="44"/>
        <v>0</v>
      </c>
      <c r="J147">
        <f t="shared" si="36"/>
        <v>0</v>
      </c>
      <c r="K147">
        <f t="shared" si="37"/>
        <v>0</v>
      </c>
      <c r="L147">
        <f t="shared" si="45"/>
        <v>11</v>
      </c>
      <c r="M147">
        <f t="shared" si="46"/>
        <v>12</v>
      </c>
      <c r="N147">
        <f t="shared" si="47"/>
        <v>1</v>
      </c>
      <c r="O147">
        <f t="shared" si="48"/>
        <v>4</v>
      </c>
      <c r="P147">
        <f t="shared" si="38"/>
        <v>3</v>
      </c>
      <c r="Q147">
        <f t="shared" si="49"/>
        <v>7</v>
      </c>
      <c r="R147">
        <f t="shared" si="50"/>
        <v>9</v>
      </c>
    </row>
    <row r="148" spans="1:18" x14ac:dyDescent="0.25">
      <c r="A148" s="1">
        <v>44797</v>
      </c>
      <c r="B148">
        <f t="shared" si="34"/>
        <v>3</v>
      </c>
      <c r="C148">
        <f t="shared" si="39"/>
        <v>7</v>
      </c>
      <c r="D148">
        <f t="shared" si="40"/>
        <v>9</v>
      </c>
      <c r="E148">
        <f t="shared" si="41"/>
        <v>0</v>
      </c>
      <c r="F148">
        <f t="shared" si="35"/>
        <v>0</v>
      </c>
      <c r="G148">
        <f t="shared" si="42"/>
        <v>0</v>
      </c>
      <c r="H148">
        <f t="shared" si="43"/>
        <v>0</v>
      </c>
      <c r="I148">
        <f t="shared" si="44"/>
        <v>0</v>
      </c>
      <c r="J148">
        <f t="shared" si="36"/>
        <v>0</v>
      </c>
      <c r="K148">
        <f t="shared" si="37"/>
        <v>0</v>
      </c>
      <c r="L148">
        <f t="shared" si="45"/>
        <v>7</v>
      </c>
      <c r="M148">
        <f t="shared" si="46"/>
        <v>9</v>
      </c>
      <c r="N148">
        <f t="shared" si="47"/>
        <v>1</v>
      </c>
      <c r="O148">
        <f t="shared" si="48"/>
        <v>3</v>
      </c>
      <c r="P148">
        <f t="shared" si="38"/>
        <v>2</v>
      </c>
      <c r="Q148">
        <f t="shared" si="49"/>
        <v>4</v>
      </c>
      <c r="R148">
        <f t="shared" si="50"/>
        <v>7</v>
      </c>
    </row>
    <row r="149" spans="1:18" x14ac:dyDescent="0.25">
      <c r="A149" s="1">
        <v>44798</v>
      </c>
      <c r="B149">
        <f t="shared" si="34"/>
        <v>4</v>
      </c>
      <c r="C149">
        <f t="shared" si="39"/>
        <v>4</v>
      </c>
      <c r="D149">
        <f t="shared" si="40"/>
        <v>7</v>
      </c>
      <c r="E149">
        <f t="shared" si="41"/>
        <v>0</v>
      </c>
      <c r="F149">
        <f t="shared" si="35"/>
        <v>0</v>
      </c>
      <c r="G149">
        <f t="shared" si="42"/>
        <v>1</v>
      </c>
      <c r="H149">
        <f t="shared" si="43"/>
        <v>50</v>
      </c>
      <c r="I149">
        <f t="shared" si="44"/>
        <v>25</v>
      </c>
      <c r="J149">
        <f t="shared" si="36"/>
        <v>0</v>
      </c>
      <c r="K149">
        <f t="shared" si="37"/>
        <v>0</v>
      </c>
      <c r="L149">
        <f t="shared" si="45"/>
        <v>54</v>
      </c>
      <c r="M149">
        <f t="shared" si="46"/>
        <v>32</v>
      </c>
      <c r="N149">
        <f t="shared" si="47"/>
        <v>1</v>
      </c>
      <c r="O149">
        <f t="shared" si="48"/>
        <v>17</v>
      </c>
      <c r="P149">
        <f t="shared" si="38"/>
        <v>7</v>
      </c>
      <c r="Q149">
        <f t="shared" si="49"/>
        <v>37</v>
      </c>
      <c r="R149">
        <f t="shared" si="50"/>
        <v>25</v>
      </c>
    </row>
    <row r="150" spans="1:18" x14ac:dyDescent="0.25">
      <c r="A150" s="1">
        <v>44799</v>
      </c>
      <c r="B150">
        <f t="shared" si="34"/>
        <v>5</v>
      </c>
      <c r="C150">
        <f t="shared" si="39"/>
        <v>37</v>
      </c>
      <c r="D150">
        <f t="shared" si="40"/>
        <v>25</v>
      </c>
      <c r="E150">
        <f t="shared" si="41"/>
        <v>0</v>
      </c>
      <c r="F150">
        <f t="shared" si="35"/>
        <v>0</v>
      </c>
      <c r="G150">
        <f t="shared" si="42"/>
        <v>0</v>
      </c>
      <c r="H150">
        <f t="shared" si="43"/>
        <v>0</v>
      </c>
      <c r="I150">
        <f t="shared" si="44"/>
        <v>0</v>
      </c>
      <c r="J150">
        <f t="shared" si="36"/>
        <v>0</v>
      </c>
      <c r="K150">
        <f t="shared" si="37"/>
        <v>0</v>
      </c>
      <c r="L150">
        <f t="shared" si="45"/>
        <v>37</v>
      </c>
      <c r="M150">
        <f t="shared" si="46"/>
        <v>25</v>
      </c>
      <c r="N150">
        <f t="shared" si="47"/>
        <v>1</v>
      </c>
      <c r="O150">
        <f t="shared" si="48"/>
        <v>12</v>
      </c>
      <c r="P150">
        <f t="shared" si="38"/>
        <v>5</v>
      </c>
      <c r="Q150">
        <f t="shared" si="49"/>
        <v>25</v>
      </c>
      <c r="R150">
        <f t="shared" si="50"/>
        <v>20</v>
      </c>
    </row>
    <row r="151" spans="1:18" x14ac:dyDescent="0.25">
      <c r="A151" s="1">
        <v>44800</v>
      </c>
      <c r="B151">
        <f t="shared" si="34"/>
        <v>6</v>
      </c>
      <c r="C151">
        <f t="shared" si="39"/>
        <v>25</v>
      </c>
      <c r="D151">
        <f t="shared" si="40"/>
        <v>20</v>
      </c>
      <c r="E151">
        <f t="shared" si="41"/>
        <v>0</v>
      </c>
      <c r="F151">
        <f t="shared" si="35"/>
        <v>0</v>
      </c>
      <c r="G151">
        <f t="shared" si="42"/>
        <v>0</v>
      </c>
      <c r="H151">
        <f t="shared" si="43"/>
        <v>0</v>
      </c>
      <c r="I151">
        <f t="shared" si="44"/>
        <v>0</v>
      </c>
      <c r="J151">
        <f t="shared" si="36"/>
        <v>0</v>
      </c>
      <c r="K151">
        <f t="shared" si="37"/>
        <v>0</v>
      </c>
      <c r="L151">
        <f t="shared" si="45"/>
        <v>25</v>
      </c>
      <c r="M151">
        <f t="shared" si="46"/>
        <v>20</v>
      </c>
      <c r="N151">
        <f t="shared" si="47"/>
        <v>1</v>
      </c>
      <c r="O151">
        <f t="shared" si="48"/>
        <v>8</v>
      </c>
      <c r="P151">
        <f t="shared" si="38"/>
        <v>4</v>
      </c>
      <c r="Q151">
        <f t="shared" si="49"/>
        <v>17</v>
      </c>
      <c r="R151">
        <f t="shared" si="50"/>
        <v>16</v>
      </c>
    </row>
    <row r="152" spans="1:18" x14ac:dyDescent="0.25">
      <c r="A152" s="1">
        <v>44801</v>
      </c>
      <c r="B152">
        <f t="shared" si="34"/>
        <v>7</v>
      </c>
      <c r="C152">
        <f t="shared" si="39"/>
        <v>17</v>
      </c>
      <c r="D152">
        <f t="shared" si="40"/>
        <v>16</v>
      </c>
      <c r="E152">
        <f t="shared" si="41"/>
        <v>0</v>
      </c>
      <c r="F152">
        <f t="shared" si="35"/>
        <v>0</v>
      </c>
      <c r="G152">
        <f t="shared" si="42"/>
        <v>0</v>
      </c>
      <c r="H152">
        <f t="shared" si="43"/>
        <v>0</v>
      </c>
      <c r="I152">
        <f t="shared" si="44"/>
        <v>0</v>
      </c>
      <c r="J152">
        <f t="shared" si="36"/>
        <v>0</v>
      </c>
      <c r="K152">
        <f t="shared" si="37"/>
        <v>0</v>
      </c>
      <c r="L152">
        <f t="shared" si="45"/>
        <v>17</v>
      </c>
      <c r="M152">
        <f t="shared" si="46"/>
        <v>16</v>
      </c>
      <c r="N152">
        <f t="shared" si="47"/>
        <v>0</v>
      </c>
      <c r="O152">
        <f t="shared" si="48"/>
        <v>0</v>
      </c>
      <c r="P152">
        <f t="shared" si="38"/>
        <v>0</v>
      </c>
      <c r="Q152">
        <f t="shared" si="49"/>
        <v>17</v>
      </c>
      <c r="R152">
        <f t="shared" si="50"/>
        <v>16</v>
      </c>
    </row>
    <row r="153" spans="1:18" x14ac:dyDescent="0.25">
      <c r="A153" s="1">
        <v>44802</v>
      </c>
      <c r="B153">
        <f t="shared" si="34"/>
        <v>1</v>
      </c>
      <c r="C153">
        <f t="shared" si="39"/>
        <v>17</v>
      </c>
      <c r="D153">
        <f t="shared" si="40"/>
        <v>16</v>
      </c>
      <c r="E153">
        <f t="shared" si="41"/>
        <v>1</v>
      </c>
      <c r="F153">
        <f t="shared" si="35"/>
        <v>1</v>
      </c>
      <c r="G153">
        <f t="shared" si="42"/>
        <v>0</v>
      </c>
      <c r="H153">
        <f t="shared" si="43"/>
        <v>0</v>
      </c>
      <c r="I153">
        <f t="shared" si="44"/>
        <v>0</v>
      </c>
      <c r="J153">
        <f t="shared" si="36"/>
        <v>0</v>
      </c>
      <c r="K153">
        <f t="shared" si="37"/>
        <v>0</v>
      </c>
      <c r="L153">
        <f t="shared" si="45"/>
        <v>16</v>
      </c>
      <c r="M153">
        <f t="shared" si="46"/>
        <v>16</v>
      </c>
      <c r="N153">
        <f t="shared" si="47"/>
        <v>1</v>
      </c>
      <c r="O153">
        <f t="shared" si="48"/>
        <v>5</v>
      </c>
      <c r="P153">
        <f t="shared" si="38"/>
        <v>4</v>
      </c>
      <c r="Q153">
        <f t="shared" si="49"/>
        <v>11</v>
      </c>
      <c r="R153">
        <f t="shared" si="50"/>
        <v>12</v>
      </c>
    </row>
    <row r="154" spans="1:18" x14ac:dyDescent="0.25">
      <c r="A154" s="1">
        <v>44803</v>
      </c>
      <c r="B154">
        <f t="shared" si="34"/>
        <v>2</v>
      </c>
      <c r="C154">
        <f t="shared" si="39"/>
        <v>11</v>
      </c>
      <c r="D154">
        <f t="shared" si="40"/>
        <v>12</v>
      </c>
      <c r="E154">
        <f t="shared" si="41"/>
        <v>0</v>
      </c>
      <c r="F154">
        <f t="shared" si="35"/>
        <v>0</v>
      </c>
      <c r="G154">
        <f t="shared" si="42"/>
        <v>0</v>
      </c>
      <c r="H154">
        <f t="shared" si="43"/>
        <v>0</v>
      </c>
      <c r="I154">
        <f t="shared" si="44"/>
        <v>0</v>
      </c>
      <c r="J154">
        <f t="shared" si="36"/>
        <v>0</v>
      </c>
      <c r="K154">
        <f t="shared" si="37"/>
        <v>0</v>
      </c>
      <c r="L154">
        <f t="shared" si="45"/>
        <v>11</v>
      </c>
      <c r="M154">
        <f t="shared" si="46"/>
        <v>12</v>
      </c>
      <c r="N154">
        <f t="shared" si="47"/>
        <v>1</v>
      </c>
      <c r="O154">
        <f t="shared" si="48"/>
        <v>4</v>
      </c>
      <c r="P154">
        <f t="shared" si="38"/>
        <v>3</v>
      </c>
      <c r="Q154">
        <f t="shared" si="49"/>
        <v>7</v>
      </c>
      <c r="R154">
        <f t="shared" si="50"/>
        <v>9</v>
      </c>
    </row>
    <row r="155" spans="1:18" x14ac:dyDescent="0.25">
      <c r="A155" s="1">
        <v>44804</v>
      </c>
      <c r="B155">
        <f t="shared" si="34"/>
        <v>3</v>
      </c>
      <c r="C155">
        <f t="shared" si="39"/>
        <v>7</v>
      </c>
      <c r="D155">
        <f t="shared" si="40"/>
        <v>9</v>
      </c>
      <c r="E155">
        <f t="shared" si="41"/>
        <v>0</v>
      </c>
      <c r="F155">
        <f t="shared" si="35"/>
        <v>0</v>
      </c>
      <c r="G155">
        <f t="shared" si="42"/>
        <v>0</v>
      </c>
      <c r="H155">
        <f t="shared" si="43"/>
        <v>0</v>
      </c>
      <c r="I155">
        <f t="shared" si="44"/>
        <v>0</v>
      </c>
      <c r="J155">
        <f t="shared" si="36"/>
        <v>0</v>
      </c>
      <c r="K155">
        <f t="shared" si="37"/>
        <v>0</v>
      </c>
      <c r="L155">
        <f t="shared" si="45"/>
        <v>7</v>
      </c>
      <c r="M155">
        <f t="shared" si="46"/>
        <v>9</v>
      </c>
      <c r="N155">
        <f t="shared" si="47"/>
        <v>1</v>
      </c>
      <c r="O155">
        <f t="shared" si="48"/>
        <v>3</v>
      </c>
      <c r="P155">
        <f t="shared" si="38"/>
        <v>2</v>
      </c>
      <c r="Q155">
        <f t="shared" si="49"/>
        <v>4</v>
      </c>
      <c r="R155">
        <f t="shared" si="50"/>
        <v>7</v>
      </c>
    </row>
    <row r="156" spans="1:18" x14ac:dyDescent="0.25">
      <c r="A156" s="1">
        <v>44805</v>
      </c>
      <c r="B156">
        <f t="shared" si="34"/>
        <v>4</v>
      </c>
      <c r="C156">
        <f t="shared" si="39"/>
        <v>4</v>
      </c>
      <c r="D156">
        <f t="shared" si="40"/>
        <v>7</v>
      </c>
      <c r="E156">
        <f t="shared" si="41"/>
        <v>0</v>
      </c>
      <c r="F156">
        <f t="shared" si="35"/>
        <v>0</v>
      </c>
      <c r="G156">
        <f t="shared" si="42"/>
        <v>1</v>
      </c>
      <c r="H156">
        <f t="shared" si="43"/>
        <v>50</v>
      </c>
      <c r="I156">
        <f t="shared" si="44"/>
        <v>25</v>
      </c>
      <c r="J156">
        <f t="shared" si="36"/>
        <v>0</v>
      </c>
      <c r="K156">
        <f t="shared" si="37"/>
        <v>0</v>
      </c>
      <c r="L156">
        <f t="shared" si="45"/>
        <v>54</v>
      </c>
      <c r="M156">
        <f t="shared" si="46"/>
        <v>32</v>
      </c>
      <c r="N156">
        <f t="shared" si="47"/>
        <v>1</v>
      </c>
      <c r="O156">
        <f t="shared" si="48"/>
        <v>17</v>
      </c>
      <c r="P156">
        <f t="shared" si="38"/>
        <v>7</v>
      </c>
      <c r="Q156">
        <f t="shared" si="49"/>
        <v>37</v>
      </c>
      <c r="R156">
        <f t="shared" si="50"/>
        <v>25</v>
      </c>
    </row>
    <row r="157" spans="1:18" x14ac:dyDescent="0.25">
      <c r="A157" s="1">
        <v>44806</v>
      </c>
      <c r="B157">
        <f t="shared" si="34"/>
        <v>5</v>
      </c>
      <c r="C157">
        <f t="shared" si="39"/>
        <v>37</v>
      </c>
      <c r="D157">
        <f t="shared" si="40"/>
        <v>25</v>
      </c>
      <c r="E157">
        <f t="shared" si="41"/>
        <v>0</v>
      </c>
      <c r="F157">
        <f t="shared" si="35"/>
        <v>0</v>
      </c>
      <c r="G157">
        <f t="shared" si="42"/>
        <v>0</v>
      </c>
      <c r="H157">
        <f t="shared" si="43"/>
        <v>0</v>
      </c>
      <c r="I157">
        <f t="shared" si="44"/>
        <v>0</v>
      </c>
      <c r="J157">
        <f t="shared" si="36"/>
        <v>0</v>
      </c>
      <c r="K157">
        <f t="shared" si="37"/>
        <v>0</v>
      </c>
      <c r="L157">
        <f t="shared" si="45"/>
        <v>37</v>
      </c>
      <c r="M157">
        <f t="shared" si="46"/>
        <v>25</v>
      </c>
      <c r="N157">
        <f t="shared" si="47"/>
        <v>1</v>
      </c>
      <c r="O157">
        <f t="shared" si="48"/>
        <v>12</v>
      </c>
      <c r="P157">
        <f t="shared" si="38"/>
        <v>5</v>
      </c>
      <c r="Q157">
        <f t="shared" si="49"/>
        <v>25</v>
      </c>
      <c r="R157">
        <f t="shared" si="50"/>
        <v>20</v>
      </c>
    </row>
    <row r="158" spans="1:18" x14ac:dyDescent="0.25">
      <c r="A158" s="1">
        <v>44807</v>
      </c>
      <c r="B158">
        <f t="shared" si="34"/>
        <v>6</v>
      </c>
      <c r="C158">
        <f t="shared" si="39"/>
        <v>25</v>
      </c>
      <c r="D158">
        <f t="shared" si="40"/>
        <v>20</v>
      </c>
      <c r="E158">
        <f t="shared" si="41"/>
        <v>0</v>
      </c>
      <c r="F158">
        <f t="shared" si="35"/>
        <v>0</v>
      </c>
      <c r="G158">
        <f t="shared" si="42"/>
        <v>0</v>
      </c>
      <c r="H158">
        <f t="shared" si="43"/>
        <v>0</v>
      </c>
      <c r="I158">
        <f t="shared" si="44"/>
        <v>0</v>
      </c>
      <c r="J158">
        <f t="shared" si="36"/>
        <v>0</v>
      </c>
      <c r="K158">
        <f t="shared" si="37"/>
        <v>0</v>
      </c>
      <c r="L158">
        <f t="shared" si="45"/>
        <v>25</v>
      </c>
      <c r="M158">
        <f t="shared" si="46"/>
        <v>20</v>
      </c>
      <c r="N158">
        <f t="shared" si="47"/>
        <v>1</v>
      </c>
      <c r="O158">
        <f t="shared" si="48"/>
        <v>8</v>
      </c>
      <c r="P158">
        <f t="shared" si="38"/>
        <v>4</v>
      </c>
      <c r="Q158">
        <f t="shared" si="49"/>
        <v>17</v>
      </c>
      <c r="R158">
        <f t="shared" si="50"/>
        <v>16</v>
      </c>
    </row>
    <row r="159" spans="1:18" x14ac:dyDescent="0.25">
      <c r="A159" s="1">
        <v>44808</v>
      </c>
      <c r="B159">
        <f t="shared" si="34"/>
        <v>7</v>
      </c>
      <c r="C159">
        <f t="shared" si="39"/>
        <v>17</v>
      </c>
      <c r="D159">
        <f t="shared" si="40"/>
        <v>16</v>
      </c>
      <c r="E159">
        <f t="shared" si="41"/>
        <v>0</v>
      </c>
      <c r="F159">
        <f t="shared" si="35"/>
        <v>0</v>
      </c>
      <c r="G159">
        <f t="shared" si="42"/>
        <v>0</v>
      </c>
      <c r="H159">
        <f t="shared" si="43"/>
        <v>0</v>
      </c>
      <c r="I159">
        <f t="shared" si="44"/>
        <v>0</v>
      </c>
      <c r="J159">
        <f t="shared" si="36"/>
        <v>0</v>
      </c>
      <c r="K159">
        <f t="shared" si="37"/>
        <v>0</v>
      </c>
      <c r="L159">
        <f t="shared" si="45"/>
        <v>17</v>
      </c>
      <c r="M159">
        <f t="shared" si="46"/>
        <v>16</v>
      </c>
      <c r="N159">
        <f t="shared" si="47"/>
        <v>0</v>
      </c>
      <c r="O159">
        <f t="shared" si="48"/>
        <v>0</v>
      </c>
      <c r="P159">
        <f t="shared" si="38"/>
        <v>0</v>
      </c>
      <c r="Q159">
        <f t="shared" si="49"/>
        <v>17</v>
      </c>
      <c r="R159">
        <f t="shared" si="50"/>
        <v>16</v>
      </c>
    </row>
    <row r="160" spans="1:18" x14ac:dyDescent="0.25">
      <c r="A160" s="1">
        <v>44809</v>
      </c>
      <c r="B160">
        <f t="shared" si="34"/>
        <v>1</v>
      </c>
      <c r="C160">
        <f t="shared" si="39"/>
        <v>17</v>
      </c>
      <c r="D160">
        <f t="shared" si="40"/>
        <v>16</v>
      </c>
      <c r="E160">
        <f t="shared" si="41"/>
        <v>1</v>
      </c>
      <c r="F160">
        <f t="shared" si="35"/>
        <v>1</v>
      </c>
      <c r="G160">
        <f t="shared" si="42"/>
        <v>0</v>
      </c>
      <c r="H160">
        <f t="shared" si="43"/>
        <v>0</v>
      </c>
      <c r="I160">
        <f t="shared" si="44"/>
        <v>0</v>
      </c>
      <c r="J160">
        <f t="shared" si="36"/>
        <v>0</v>
      </c>
      <c r="K160">
        <f t="shared" si="37"/>
        <v>0</v>
      </c>
      <c r="L160">
        <f t="shared" si="45"/>
        <v>16</v>
      </c>
      <c r="M160">
        <f t="shared" si="46"/>
        <v>16</v>
      </c>
      <c r="N160">
        <f t="shared" si="47"/>
        <v>1</v>
      </c>
      <c r="O160">
        <f t="shared" si="48"/>
        <v>5</v>
      </c>
      <c r="P160">
        <f t="shared" si="38"/>
        <v>4</v>
      </c>
      <c r="Q160">
        <f t="shared" si="49"/>
        <v>11</v>
      </c>
      <c r="R160">
        <f t="shared" si="50"/>
        <v>12</v>
      </c>
    </row>
    <row r="161" spans="1:18" x14ac:dyDescent="0.25">
      <c r="A161" s="1">
        <v>44810</v>
      </c>
      <c r="B161">
        <f t="shared" si="34"/>
        <v>2</v>
      </c>
      <c r="C161">
        <f t="shared" si="39"/>
        <v>11</v>
      </c>
      <c r="D161">
        <f t="shared" si="40"/>
        <v>12</v>
      </c>
      <c r="E161">
        <f t="shared" si="41"/>
        <v>0</v>
      </c>
      <c r="F161">
        <f t="shared" si="35"/>
        <v>0</v>
      </c>
      <c r="G161">
        <f t="shared" si="42"/>
        <v>0</v>
      </c>
      <c r="H161">
        <f t="shared" si="43"/>
        <v>0</v>
      </c>
      <c r="I161">
        <f t="shared" si="44"/>
        <v>0</v>
      </c>
      <c r="J161">
        <f t="shared" si="36"/>
        <v>0</v>
      </c>
      <c r="K161">
        <f t="shared" si="37"/>
        <v>0</v>
      </c>
      <c r="L161">
        <f t="shared" si="45"/>
        <v>11</v>
      </c>
      <c r="M161">
        <f t="shared" si="46"/>
        <v>12</v>
      </c>
      <c r="N161">
        <f t="shared" si="47"/>
        <v>1</v>
      </c>
      <c r="O161">
        <f t="shared" si="48"/>
        <v>4</v>
      </c>
      <c r="P161">
        <f t="shared" si="38"/>
        <v>3</v>
      </c>
      <c r="Q161">
        <f t="shared" si="49"/>
        <v>7</v>
      </c>
      <c r="R161">
        <f t="shared" si="50"/>
        <v>9</v>
      </c>
    </row>
    <row r="162" spans="1:18" x14ac:dyDescent="0.25">
      <c r="A162" s="1">
        <v>44811</v>
      </c>
      <c r="B162">
        <f t="shared" si="34"/>
        <v>3</v>
      </c>
      <c r="C162">
        <f t="shared" si="39"/>
        <v>7</v>
      </c>
      <c r="D162">
        <f t="shared" si="40"/>
        <v>9</v>
      </c>
      <c r="E162">
        <f t="shared" si="41"/>
        <v>0</v>
      </c>
      <c r="F162">
        <f t="shared" si="35"/>
        <v>0</v>
      </c>
      <c r="G162">
        <f t="shared" si="42"/>
        <v>0</v>
      </c>
      <c r="H162">
        <f t="shared" si="43"/>
        <v>0</v>
      </c>
      <c r="I162">
        <f t="shared" si="44"/>
        <v>0</v>
      </c>
      <c r="J162">
        <f t="shared" si="36"/>
        <v>0</v>
      </c>
      <c r="K162">
        <f t="shared" si="37"/>
        <v>0</v>
      </c>
      <c r="L162">
        <f t="shared" si="45"/>
        <v>7</v>
      </c>
      <c r="M162">
        <f t="shared" si="46"/>
        <v>9</v>
      </c>
      <c r="N162">
        <f t="shared" si="47"/>
        <v>1</v>
      </c>
      <c r="O162">
        <f t="shared" si="48"/>
        <v>3</v>
      </c>
      <c r="P162">
        <f t="shared" si="38"/>
        <v>2</v>
      </c>
      <c r="Q162">
        <f t="shared" si="49"/>
        <v>4</v>
      </c>
      <c r="R162">
        <f t="shared" si="50"/>
        <v>7</v>
      </c>
    </row>
    <row r="163" spans="1:18" x14ac:dyDescent="0.25">
      <c r="A163" s="1">
        <v>44812</v>
      </c>
      <c r="B163">
        <f t="shared" si="34"/>
        <v>4</v>
      </c>
      <c r="C163">
        <f t="shared" si="39"/>
        <v>4</v>
      </c>
      <c r="D163">
        <f t="shared" si="40"/>
        <v>7</v>
      </c>
      <c r="E163">
        <f t="shared" si="41"/>
        <v>0</v>
      </c>
      <c r="F163">
        <f t="shared" si="35"/>
        <v>0</v>
      </c>
      <c r="G163">
        <f t="shared" si="42"/>
        <v>1</v>
      </c>
      <c r="H163">
        <f t="shared" si="43"/>
        <v>50</v>
      </c>
      <c r="I163">
        <f t="shared" si="44"/>
        <v>25</v>
      </c>
      <c r="J163">
        <f t="shared" si="36"/>
        <v>0</v>
      </c>
      <c r="K163">
        <f t="shared" si="37"/>
        <v>0</v>
      </c>
      <c r="L163">
        <f t="shared" si="45"/>
        <v>54</v>
      </c>
      <c r="M163">
        <f t="shared" si="46"/>
        <v>32</v>
      </c>
      <c r="N163">
        <f t="shared" si="47"/>
        <v>1</v>
      </c>
      <c r="O163">
        <f t="shared" si="48"/>
        <v>17</v>
      </c>
      <c r="P163">
        <f t="shared" si="38"/>
        <v>7</v>
      </c>
      <c r="Q163">
        <f t="shared" si="49"/>
        <v>37</v>
      </c>
      <c r="R163">
        <f t="shared" si="50"/>
        <v>25</v>
      </c>
    </row>
    <row r="164" spans="1:18" x14ac:dyDescent="0.25">
      <c r="A164" s="1">
        <v>44813</v>
      </c>
      <c r="B164">
        <f t="shared" si="34"/>
        <v>5</v>
      </c>
      <c r="C164">
        <f t="shared" si="39"/>
        <v>37</v>
      </c>
      <c r="D164">
        <f t="shared" si="40"/>
        <v>25</v>
      </c>
      <c r="E164">
        <f t="shared" si="41"/>
        <v>0</v>
      </c>
      <c r="F164">
        <f t="shared" si="35"/>
        <v>0</v>
      </c>
      <c r="G164">
        <f t="shared" si="42"/>
        <v>0</v>
      </c>
      <c r="H164">
        <f t="shared" si="43"/>
        <v>0</v>
      </c>
      <c r="I164">
        <f t="shared" si="44"/>
        <v>0</v>
      </c>
      <c r="J164">
        <f t="shared" si="36"/>
        <v>0</v>
      </c>
      <c r="K164">
        <f t="shared" si="37"/>
        <v>0</v>
      </c>
      <c r="L164">
        <f t="shared" si="45"/>
        <v>37</v>
      </c>
      <c r="M164">
        <f t="shared" si="46"/>
        <v>25</v>
      </c>
      <c r="N164">
        <f t="shared" si="47"/>
        <v>1</v>
      </c>
      <c r="O164">
        <f t="shared" si="48"/>
        <v>12</v>
      </c>
      <c r="P164">
        <f t="shared" si="38"/>
        <v>5</v>
      </c>
      <c r="Q164">
        <f t="shared" si="49"/>
        <v>25</v>
      </c>
      <c r="R164">
        <f t="shared" si="50"/>
        <v>20</v>
      </c>
    </row>
    <row r="165" spans="1:18" x14ac:dyDescent="0.25">
      <c r="A165" s="1">
        <v>44814</v>
      </c>
      <c r="B165">
        <f t="shared" si="34"/>
        <v>6</v>
      </c>
      <c r="C165">
        <f t="shared" si="39"/>
        <v>25</v>
      </c>
      <c r="D165">
        <f t="shared" si="40"/>
        <v>20</v>
      </c>
      <c r="E165">
        <f t="shared" si="41"/>
        <v>0</v>
      </c>
      <c r="F165">
        <f t="shared" si="35"/>
        <v>0</v>
      </c>
      <c r="G165">
        <f t="shared" si="42"/>
        <v>0</v>
      </c>
      <c r="H165">
        <f t="shared" si="43"/>
        <v>0</v>
      </c>
      <c r="I165">
        <f t="shared" si="44"/>
        <v>0</v>
      </c>
      <c r="J165">
        <f t="shared" si="36"/>
        <v>0</v>
      </c>
      <c r="K165">
        <f t="shared" si="37"/>
        <v>0</v>
      </c>
      <c r="L165">
        <f t="shared" si="45"/>
        <v>25</v>
      </c>
      <c r="M165">
        <f t="shared" si="46"/>
        <v>20</v>
      </c>
      <c r="N165">
        <f t="shared" si="47"/>
        <v>1</v>
      </c>
      <c r="O165">
        <f t="shared" si="48"/>
        <v>8</v>
      </c>
      <c r="P165">
        <f t="shared" si="38"/>
        <v>4</v>
      </c>
      <c r="Q165">
        <f t="shared" si="49"/>
        <v>17</v>
      </c>
      <c r="R165">
        <f t="shared" si="50"/>
        <v>16</v>
      </c>
    </row>
    <row r="166" spans="1:18" x14ac:dyDescent="0.25">
      <c r="A166" s="1">
        <v>44815</v>
      </c>
      <c r="B166">
        <f t="shared" si="34"/>
        <v>7</v>
      </c>
      <c r="C166">
        <f t="shared" si="39"/>
        <v>17</v>
      </c>
      <c r="D166">
        <f t="shared" si="40"/>
        <v>16</v>
      </c>
      <c r="E166">
        <f t="shared" si="41"/>
        <v>0</v>
      </c>
      <c r="F166">
        <f t="shared" si="35"/>
        <v>0</v>
      </c>
      <c r="G166">
        <f t="shared" si="42"/>
        <v>0</v>
      </c>
      <c r="H166">
        <f t="shared" si="43"/>
        <v>0</v>
      </c>
      <c r="I166">
        <f t="shared" si="44"/>
        <v>0</v>
      </c>
      <c r="J166">
        <f t="shared" si="36"/>
        <v>0</v>
      </c>
      <c r="K166">
        <f t="shared" si="37"/>
        <v>0</v>
      </c>
      <c r="L166">
        <f t="shared" si="45"/>
        <v>17</v>
      </c>
      <c r="M166">
        <f t="shared" si="46"/>
        <v>16</v>
      </c>
      <c r="N166">
        <f t="shared" si="47"/>
        <v>0</v>
      </c>
      <c r="O166">
        <f t="shared" si="48"/>
        <v>0</v>
      </c>
      <c r="P166">
        <f t="shared" si="38"/>
        <v>0</v>
      </c>
      <c r="Q166">
        <f t="shared" si="49"/>
        <v>17</v>
      </c>
      <c r="R166">
        <f t="shared" si="50"/>
        <v>16</v>
      </c>
    </row>
    <row r="167" spans="1:18" x14ac:dyDescent="0.25">
      <c r="A167" s="1">
        <v>44816</v>
      </c>
      <c r="B167">
        <f t="shared" si="34"/>
        <v>1</v>
      </c>
      <c r="C167">
        <f t="shared" si="39"/>
        <v>17</v>
      </c>
      <c r="D167">
        <f t="shared" si="40"/>
        <v>16</v>
      </c>
      <c r="E167">
        <f t="shared" si="41"/>
        <v>1</v>
      </c>
      <c r="F167">
        <f t="shared" si="35"/>
        <v>1</v>
      </c>
      <c r="G167">
        <f t="shared" si="42"/>
        <v>0</v>
      </c>
      <c r="H167">
        <f t="shared" si="43"/>
        <v>0</v>
      </c>
      <c r="I167">
        <f t="shared" si="44"/>
        <v>0</v>
      </c>
      <c r="J167">
        <f t="shared" si="36"/>
        <v>0</v>
      </c>
      <c r="K167">
        <f t="shared" si="37"/>
        <v>0</v>
      </c>
      <c r="L167">
        <f t="shared" si="45"/>
        <v>16</v>
      </c>
      <c r="M167">
        <f t="shared" si="46"/>
        <v>16</v>
      </c>
      <c r="N167">
        <f t="shared" si="47"/>
        <v>1</v>
      </c>
      <c r="O167">
        <f t="shared" si="48"/>
        <v>5</v>
      </c>
      <c r="P167">
        <f t="shared" si="38"/>
        <v>4</v>
      </c>
      <c r="Q167">
        <f t="shared" si="49"/>
        <v>11</v>
      </c>
      <c r="R167">
        <f t="shared" si="50"/>
        <v>12</v>
      </c>
    </row>
    <row r="168" spans="1:18" x14ac:dyDescent="0.25">
      <c r="A168" s="1">
        <v>44817</v>
      </c>
      <c r="B168">
        <f t="shared" si="34"/>
        <v>2</v>
      </c>
      <c r="C168">
        <f t="shared" si="39"/>
        <v>11</v>
      </c>
      <c r="D168">
        <f t="shared" si="40"/>
        <v>12</v>
      </c>
      <c r="E168">
        <f t="shared" si="41"/>
        <v>0</v>
      </c>
      <c r="F168">
        <f t="shared" si="35"/>
        <v>0</v>
      </c>
      <c r="G168">
        <f t="shared" si="42"/>
        <v>0</v>
      </c>
      <c r="H168">
        <f t="shared" si="43"/>
        <v>0</v>
      </c>
      <c r="I168">
        <f t="shared" si="44"/>
        <v>0</v>
      </c>
      <c r="J168">
        <f t="shared" si="36"/>
        <v>0</v>
      </c>
      <c r="K168">
        <f t="shared" si="37"/>
        <v>0</v>
      </c>
      <c r="L168">
        <f t="shared" si="45"/>
        <v>11</v>
      </c>
      <c r="M168">
        <f t="shared" si="46"/>
        <v>12</v>
      </c>
      <c r="N168">
        <f t="shared" si="47"/>
        <v>1</v>
      </c>
      <c r="O168">
        <f t="shared" si="48"/>
        <v>4</v>
      </c>
      <c r="P168">
        <f t="shared" si="38"/>
        <v>3</v>
      </c>
      <c r="Q168">
        <f t="shared" si="49"/>
        <v>7</v>
      </c>
      <c r="R168">
        <f t="shared" si="50"/>
        <v>9</v>
      </c>
    </row>
    <row r="169" spans="1:18" x14ac:dyDescent="0.25">
      <c r="A169" s="1">
        <v>44818</v>
      </c>
      <c r="B169">
        <f t="shared" si="34"/>
        <v>3</v>
      </c>
      <c r="C169">
        <f t="shared" si="39"/>
        <v>7</v>
      </c>
      <c r="D169">
        <f t="shared" si="40"/>
        <v>9</v>
      </c>
      <c r="E169">
        <f t="shared" si="41"/>
        <v>0</v>
      </c>
      <c r="F169">
        <f t="shared" si="35"/>
        <v>0</v>
      </c>
      <c r="G169">
        <f t="shared" si="42"/>
        <v>0</v>
      </c>
      <c r="H169">
        <f t="shared" si="43"/>
        <v>0</v>
      </c>
      <c r="I169">
        <f t="shared" si="44"/>
        <v>0</v>
      </c>
      <c r="J169">
        <f t="shared" si="36"/>
        <v>0</v>
      </c>
      <c r="K169">
        <f t="shared" si="37"/>
        <v>0</v>
      </c>
      <c r="L169">
        <f t="shared" si="45"/>
        <v>7</v>
      </c>
      <c r="M169">
        <f t="shared" si="46"/>
        <v>9</v>
      </c>
      <c r="N169">
        <f t="shared" si="47"/>
        <v>1</v>
      </c>
      <c r="O169">
        <f t="shared" si="48"/>
        <v>3</v>
      </c>
      <c r="P169">
        <f t="shared" si="38"/>
        <v>2</v>
      </c>
      <c r="Q169">
        <f t="shared" si="49"/>
        <v>4</v>
      </c>
      <c r="R169">
        <f t="shared" si="50"/>
        <v>7</v>
      </c>
    </row>
    <row r="170" spans="1:18" x14ac:dyDescent="0.25">
      <c r="A170" s="1">
        <v>44819</v>
      </c>
      <c r="B170">
        <f t="shared" si="34"/>
        <v>4</v>
      </c>
      <c r="C170">
        <f t="shared" si="39"/>
        <v>4</v>
      </c>
      <c r="D170">
        <f t="shared" si="40"/>
        <v>7</v>
      </c>
      <c r="E170">
        <f t="shared" si="41"/>
        <v>0</v>
      </c>
      <c r="F170">
        <f t="shared" si="35"/>
        <v>0</v>
      </c>
      <c r="G170">
        <f t="shared" si="42"/>
        <v>1</v>
      </c>
      <c r="H170">
        <f t="shared" si="43"/>
        <v>50</v>
      </c>
      <c r="I170">
        <f t="shared" si="44"/>
        <v>25</v>
      </c>
      <c r="J170">
        <f t="shared" si="36"/>
        <v>0</v>
      </c>
      <c r="K170">
        <f t="shared" si="37"/>
        <v>0</v>
      </c>
      <c r="L170">
        <f t="shared" si="45"/>
        <v>54</v>
      </c>
      <c r="M170">
        <f t="shared" si="46"/>
        <v>32</v>
      </c>
      <c r="N170">
        <f t="shared" si="47"/>
        <v>1</v>
      </c>
      <c r="O170">
        <f t="shared" si="48"/>
        <v>17</v>
      </c>
      <c r="P170">
        <f t="shared" si="38"/>
        <v>7</v>
      </c>
      <c r="Q170">
        <f t="shared" si="49"/>
        <v>37</v>
      </c>
      <c r="R170">
        <f t="shared" si="50"/>
        <v>25</v>
      </c>
    </row>
    <row r="171" spans="1:18" x14ac:dyDescent="0.25">
      <c r="A171" s="1">
        <v>44820</v>
      </c>
      <c r="B171">
        <f t="shared" si="34"/>
        <v>5</v>
      </c>
      <c r="C171">
        <f t="shared" si="39"/>
        <v>37</v>
      </c>
      <c r="D171">
        <f t="shared" si="40"/>
        <v>25</v>
      </c>
      <c r="E171">
        <f t="shared" si="41"/>
        <v>0</v>
      </c>
      <c r="F171">
        <f t="shared" si="35"/>
        <v>0</v>
      </c>
      <c r="G171">
        <f t="shared" si="42"/>
        <v>0</v>
      </c>
      <c r="H171">
        <f t="shared" si="43"/>
        <v>0</v>
      </c>
      <c r="I171">
        <f t="shared" si="44"/>
        <v>0</v>
      </c>
      <c r="J171">
        <f t="shared" si="36"/>
        <v>0</v>
      </c>
      <c r="K171">
        <f t="shared" si="37"/>
        <v>0</v>
      </c>
      <c r="L171">
        <f t="shared" si="45"/>
        <v>37</v>
      </c>
      <c r="M171">
        <f t="shared" si="46"/>
        <v>25</v>
      </c>
      <c r="N171">
        <f t="shared" si="47"/>
        <v>1</v>
      </c>
      <c r="O171">
        <f t="shared" si="48"/>
        <v>12</v>
      </c>
      <c r="P171">
        <f t="shared" si="38"/>
        <v>5</v>
      </c>
      <c r="Q171">
        <f t="shared" si="49"/>
        <v>25</v>
      </c>
      <c r="R171">
        <f t="shared" si="50"/>
        <v>20</v>
      </c>
    </row>
    <row r="172" spans="1:18" x14ac:dyDescent="0.25">
      <c r="A172" s="1">
        <v>44821</v>
      </c>
      <c r="B172">
        <f t="shared" si="34"/>
        <v>6</v>
      </c>
      <c r="C172">
        <f t="shared" si="39"/>
        <v>25</v>
      </c>
      <c r="D172">
        <f t="shared" si="40"/>
        <v>20</v>
      </c>
      <c r="E172">
        <f t="shared" si="41"/>
        <v>0</v>
      </c>
      <c r="F172">
        <f t="shared" si="35"/>
        <v>0</v>
      </c>
      <c r="G172">
        <f t="shared" si="42"/>
        <v>0</v>
      </c>
      <c r="H172">
        <f t="shared" si="43"/>
        <v>0</v>
      </c>
      <c r="I172">
        <f t="shared" si="44"/>
        <v>0</v>
      </c>
      <c r="J172">
        <f t="shared" si="36"/>
        <v>0</v>
      </c>
      <c r="K172">
        <f t="shared" si="37"/>
        <v>0</v>
      </c>
      <c r="L172">
        <f t="shared" si="45"/>
        <v>25</v>
      </c>
      <c r="M172">
        <f t="shared" si="46"/>
        <v>20</v>
      </c>
      <c r="N172">
        <f t="shared" si="47"/>
        <v>1</v>
      </c>
      <c r="O172">
        <f t="shared" si="48"/>
        <v>8</v>
      </c>
      <c r="P172">
        <f t="shared" si="38"/>
        <v>4</v>
      </c>
      <c r="Q172">
        <f t="shared" si="49"/>
        <v>17</v>
      </c>
      <c r="R172">
        <f t="shared" si="50"/>
        <v>16</v>
      </c>
    </row>
    <row r="173" spans="1:18" x14ac:dyDescent="0.25">
      <c r="A173" s="1">
        <v>44822</v>
      </c>
      <c r="B173">
        <f t="shared" si="34"/>
        <v>7</v>
      </c>
      <c r="C173">
        <f t="shared" si="39"/>
        <v>17</v>
      </c>
      <c r="D173">
        <f t="shared" si="40"/>
        <v>16</v>
      </c>
      <c r="E173">
        <f t="shared" si="41"/>
        <v>0</v>
      </c>
      <c r="F173">
        <f t="shared" si="35"/>
        <v>0</v>
      </c>
      <c r="G173">
        <f t="shared" si="42"/>
        <v>0</v>
      </c>
      <c r="H173">
        <f t="shared" si="43"/>
        <v>0</v>
      </c>
      <c r="I173">
        <f t="shared" si="44"/>
        <v>0</v>
      </c>
      <c r="J173">
        <f t="shared" si="36"/>
        <v>0</v>
      </c>
      <c r="K173">
        <f t="shared" si="37"/>
        <v>0</v>
      </c>
      <c r="L173">
        <f t="shared" si="45"/>
        <v>17</v>
      </c>
      <c r="M173">
        <f t="shared" si="46"/>
        <v>16</v>
      </c>
      <c r="N173">
        <f t="shared" si="47"/>
        <v>0</v>
      </c>
      <c r="O173">
        <f t="shared" si="48"/>
        <v>0</v>
      </c>
      <c r="P173">
        <f t="shared" si="38"/>
        <v>0</v>
      </c>
      <c r="Q173">
        <f t="shared" si="49"/>
        <v>17</v>
      </c>
      <c r="R173">
        <f t="shared" si="50"/>
        <v>16</v>
      </c>
    </row>
    <row r="174" spans="1:18" x14ac:dyDescent="0.25">
      <c r="A174" s="1">
        <v>44823</v>
      </c>
      <c r="B174">
        <f t="shared" si="34"/>
        <v>1</v>
      </c>
      <c r="C174">
        <f t="shared" si="39"/>
        <v>17</v>
      </c>
      <c r="D174">
        <f t="shared" si="40"/>
        <v>16</v>
      </c>
      <c r="E174">
        <f t="shared" si="41"/>
        <v>1</v>
      </c>
      <c r="F174">
        <f t="shared" si="35"/>
        <v>1</v>
      </c>
      <c r="G174">
        <f t="shared" si="42"/>
        <v>0</v>
      </c>
      <c r="H174">
        <f t="shared" si="43"/>
        <v>0</v>
      </c>
      <c r="I174">
        <f t="shared" si="44"/>
        <v>0</v>
      </c>
      <c r="J174">
        <f t="shared" si="36"/>
        <v>0</v>
      </c>
      <c r="K174">
        <f t="shared" si="37"/>
        <v>0</v>
      </c>
      <c r="L174">
        <f t="shared" si="45"/>
        <v>16</v>
      </c>
      <c r="M174">
        <f t="shared" si="46"/>
        <v>16</v>
      </c>
      <c r="N174">
        <f t="shared" si="47"/>
        <v>1</v>
      </c>
      <c r="O174">
        <f t="shared" si="48"/>
        <v>5</v>
      </c>
      <c r="P174">
        <f t="shared" si="38"/>
        <v>4</v>
      </c>
      <c r="Q174">
        <f t="shared" si="49"/>
        <v>11</v>
      </c>
      <c r="R174">
        <f t="shared" si="50"/>
        <v>12</v>
      </c>
    </row>
    <row r="175" spans="1:18" x14ac:dyDescent="0.25">
      <c r="A175" s="1">
        <v>44824</v>
      </c>
      <c r="B175">
        <f t="shared" si="34"/>
        <v>2</v>
      </c>
      <c r="C175">
        <f t="shared" si="39"/>
        <v>11</v>
      </c>
      <c r="D175">
        <f t="shared" si="40"/>
        <v>12</v>
      </c>
      <c r="E175">
        <f t="shared" si="41"/>
        <v>0</v>
      </c>
      <c r="F175">
        <f t="shared" si="35"/>
        <v>0</v>
      </c>
      <c r="G175">
        <f t="shared" si="42"/>
        <v>0</v>
      </c>
      <c r="H175">
        <f t="shared" si="43"/>
        <v>0</v>
      </c>
      <c r="I175">
        <f t="shared" si="44"/>
        <v>0</v>
      </c>
      <c r="J175">
        <f t="shared" si="36"/>
        <v>0</v>
      </c>
      <c r="K175">
        <f t="shared" si="37"/>
        <v>0</v>
      </c>
      <c r="L175">
        <f t="shared" si="45"/>
        <v>11</v>
      </c>
      <c r="M175">
        <f t="shared" si="46"/>
        <v>12</v>
      </c>
      <c r="N175">
        <f t="shared" si="47"/>
        <v>1</v>
      </c>
      <c r="O175">
        <f t="shared" si="48"/>
        <v>4</v>
      </c>
      <c r="P175">
        <f t="shared" si="38"/>
        <v>3</v>
      </c>
      <c r="Q175">
        <f t="shared" si="49"/>
        <v>7</v>
      </c>
      <c r="R175">
        <f t="shared" si="50"/>
        <v>9</v>
      </c>
    </row>
    <row r="176" spans="1:18" x14ac:dyDescent="0.25">
      <c r="A176" s="1">
        <v>44825</v>
      </c>
      <c r="B176">
        <f t="shared" si="34"/>
        <v>3</v>
      </c>
      <c r="C176">
        <f t="shared" si="39"/>
        <v>7</v>
      </c>
      <c r="D176">
        <f t="shared" si="40"/>
        <v>9</v>
      </c>
      <c r="E176">
        <f t="shared" si="41"/>
        <v>0</v>
      </c>
      <c r="F176">
        <f t="shared" si="35"/>
        <v>0</v>
      </c>
      <c r="G176">
        <f t="shared" si="42"/>
        <v>0</v>
      </c>
      <c r="H176">
        <f t="shared" si="43"/>
        <v>0</v>
      </c>
      <c r="I176">
        <f t="shared" si="44"/>
        <v>0</v>
      </c>
      <c r="J176">
        <f t="shared" si="36"/>
        <v>0</v>
      </c>
      <c r="K176">
        <f t="shared" si="37"/>
        <v>0</v>
      </c>
      <c r="L176">
        <f t="shared" si="45"/>
        <v>7</v>
      </c>
      <c r="M176">
        <f t="shared" si="46"/>
        <v>9</v>
      </c>
      <c r="N176">
        <f t="shared" si="47"/>
        <v>1</v>
      </c>
      <c r="O176">
        <f t="shared" si="48"/>
        <v>3</v>
      </c>
      <c r="P176">
        <f t="shared" si="38"/>
        <v>2</v>
      </c>
      <c r="Q176">
        <f t="shared" si="49"/>
        <v>4</v>
      </c>
      <c r="R176">
        <f t="shared" si="50"/>
        <v>7</v>
      </c>
    </row>
    <row r="177" spans="1:18" x14ac:dyDescent="0.25">
      <c r="A177" s="1">
        <v>44826</v>
      </c>
      <c r="B177">
        <f t="shared" si="34"/>
        <v>4</v>
      </c>
      <c r="C177">
        <f t="shared" si="39"/>
        <v>4</v>
      </c>
      <c r="D177">
        <f t="shared" si="40"/>
        <v>7</v>
      </c>
      <c r="E177">
        <f t="shared" si="41"/>
        <v>0</v>
      </c>
      <c r="F177">
        <f t="shared" si="35"/>
        <v>0</v>
      </c>
      <c r="G177">
        <f t="shared" si="42"/>
        <v>1</v>
      </c>
      <c r="H177">
        <f t="shared" si="43"/>
        <v>50</v>
      </c>
      <c r="I177">
        <f t="shared" si="44"/>
        <v>25</v>
      </c>
      <c r="J177">
        <f t="shared" si="36"/>
        <v>0</v>
      </c>
      <c r="K177">
        <f t="shared" si="37"/>
        <v>0</v>
      </c>
      <c r="L177">
        <f t="shared" si="45"/>
        <v>54</v>
      </c>
      <c r="M177">
        <f t="shared" si="46"/>
        <v>32</v>
      </c>
      <c r="N177">
        <f t="shared" si="47"/>
        <v>1</v>
      </c>
      <c r="O177">
        <f t="shared" si="48"/>
        <v>17</v>
      </c>
      <c r="P177">
        <f t="shared" si="38"/>
        <v>7</v>
      </c>
      <c r="Q177">
        <f t="shared" si="49"/>
        <v>37</v>
      </c>
      <c r="R177">
        <f t="shared" si="50"/>
        <v>25</v>
      </c>
    </row>
    <row r="178" spans="1:18" x14ac:dyDescent="0.25">
      <c r="A178" s="1">
        <v>44827</v>
      </c>
      <c r="B178">
        <f t="shared" si="34"/>
        <v>5</v>
      </c>
      <c r="C178">
        <f t="shared" si="39"/>
        <v>37</v>
      </c>
      <c r="D178">
        <f t="shared" si="40"/>
        <v>25</v>
      </c>
      <c r="E178">
        <f t="shared" si="41"/>
        <v>0</v>
      </c>
      <c r="F178">
        <f t="shared" si="35"/>
        <v>0</v>
      </c>
      <c r="G178">
        <f t="shared" si="42"/>
        <v>0</v>
      </c>
      <c r="H178">
        <f t="shared" si="43"/>
        <v>0</v>
      </c>
      <c r="I178">
        <f t="shared" si="44"/>
        <v>0</v>
      </c>
      <c r="J178">
        <f t="shared" si="36"/>
        <v>0</v>
      </c>
      <c r="K178">
        <f t="shared" si="37"/>
        <v>0</v>
      </c>
      <c r="L178">
        <f t="shared" si="45"/>
        <v>37</v>
      </c>
      <c r="M178">
        <f t="shared" si="46"/>
        <v>25</v>
      </c>
      <c r="N178">
        <f t="shared" si="47"/>
        <v>1</v>
      </c>
      <c r="O178">
        <f t="shared" si="48"/>
        <v>12</v>
      </c>
      <c r="P178">
        <f t="shared" si="38"/>
        <v>5</v>
      </c>
      <c r="Q178">
        <f t="shared" si="49"/>
        <v>25</v>
      </c>
      <c r="R178">
        <f t="shared" si="50"/>
        <v>20</v>
      </c>
    </row>
    <row r="179" spans="1:18" x14ac:dyDescent="0.25">
      <c r="A179" s="1">
        <v>44828</v>
      </c>
      <c r="B179">
        <f t="shared" si="34"/>
        <v>6</v>
      </c>
      <c r="C179">
        <f t="shared" si="39"/>
        <v>25</v>
      </c>
      <c r="D179">
        <f t="shared" si="40"/>
        <v>20</v>
      </c>
      <c r="E179">
        <f t="shared" si="41"/>
        <v>0</v>
      </c>
      <c r="F179">
        <f t="shared" si="35"/>
        <v>0</v>
      </c>
      <c r="G179">
        <f t="shared" si="42"/>
        <v>0</v>
      </c>
      <c r="H179">
        <f t="shared" si="43"/>
        <v>0</v>
      </c>
      <c r="I179">
        <f t="shared" si="44"/>
        <v>0</v>
      </c>
      <c r="J179">
        <f t="shared" si="36"/>
        <v>0</v>
      </c>
      <c r="K179">
        <f t="shared" si="37"/>
        <v>0</v>
      </c>
      <c r="L179">
        <f t="shared" si="45"/>
        <v>25</v>
      </c>
      <c r="M179">
        <f t="shared" si="46"/>
        <v>20</v>
      </c>
      <c r="N179">
        <f t="shared" si="47"/>
        <v>1</v>
      </c>
      <c r="O179">
        <f t="shared" si="48"/>
        <v>8</v>
      </c>
      <c r="P179">
        <f t="shared" si="38"/>
        <v>4</v>
      </c>
      <c r="Q179">
        <f t="shared" si="49"/>
        <v>17</v>
      </c>
      <c r="R179">
        <f t="shared" si="50"/>
        <v>16</v>
      </c>
    </row>
    <row r="180" spans="1:18" x14ac:dyDescent="0.25">
      <c r="A180" s="1">
        <v>44829</v>
      </c>
      <c r="B180">
        <f t="shared" si="34"/>
        <v>7</v>
      </c>
      <c r="C180">
        <f t="shared" si="39"/>
        <v>17</v>
      </c>
      <c r="D180">
        <f t="shared" si="40"/>
        <v>16</v>
      </c>
      <c r="E180">
        <f t="shared" si="41"/>
        <v>0</v>
      </c>
      <c r="F180">
        <f t="shared" si="35"/>
        <v>0</v>
      </c>
      <c r="G180">
        <f t="shared" si="42"/>
        <v>0</v>
      </c>
      <c r="H180">
        <f t="shared" si="43"/>
        <v>0</v>
      </c>
      <c r="I180">
        <f t="shared" si="44"/>
        <v>0</v>
      </c>
      <c r="J180">
        <f t="shared" si="36"/>
        <v>0</v>
      </c>
      <c r="K180">
        <f t="shared" si="37"/>
        <v>0</v>
      </c>
      <c r="L180">
        <f t="shared" si="45"/>
        <v>17</v>
      </c>
      <c r="M180">
        <f t="shared" si="46"/>
        <v>16</v>
      </c>
      <c r="N180">
        <f t="shared" si="47"/>
        <v>0</v>
      </c>
      <c r="O180">
        <f t="shared" si="48"/>
        <v>0</v>
      </c>
      <c r="P180">
        <f t="shared" si="38"/>
        <v>0</v>
      </c>
      <c r="Q180">
        <f t="shared" si="49"/>
        <v>17</v>
      </c>
      <c r="R180">
        <f t="shared" si="50"/>
        <v>16</v>
      </c>
    </row>
    <row r="181" spans="1:18" x14ac:dyDescent="0.25">
      <c r="A181" s="1">
        <v>44830</v>
      </c>
      <c r="B181">
        <f t="shared" si="34"/>
        <v>1</v>
      </c>
      <c r="C181">
        <f t="shared" si="39"/>
        <v>17</v>
      </c>
      <c r="D181">
        <f t="shared" si="40"/>
        <v>16</v>
      </c>
      <c r="E181">
        <f t="shared" si="41"/>
        <v>1</v>
      </c>
      <c r="F181">
        <f t="shared" si="35"/>
        <v>1</v>
      </c>
      <c r="G181">
        <f t="shared" si="42"/>
        <v>0</v>
      </c>
      <c r="H181">
        <f t="shared" si="43"/>
        <v>0</v>
      </c>
      <c r="I181">
        <f t="shared" si="44"/>
        <v>0</v>
      </c>
      <c r="J181">
        <f t="shared" si="36"/>
        <v>0</v>
      </c>
      <c r="K181">
        <f t="shared" si="37"/>
        <v>0</v>
      </c>
      <c r="L181">
        <f t="shared" si="45"/>
        <v>16</v>
      </c>
      <c r="M181">
        <f t="shared" si="46"/>
        <v>16</v>
      </c>
      <c r="N181">
        <f t="shared" si="47"/>
        <v>1</v>
      </c>
      <c r="O181">
        <f t="shared" si="48"/>
        <v>5</v>
      </c>
      <c r="P181">
        <f t="shared" si="38"/>
        <v>4</v>
      </c>
      <c r="Q181">
        <f t="shared" si="49"/>
        <v>11</v>
      </c>
      <c r="R181">
        <f t="shared" si="50"/>
        <v>12</v>
      </c>
    </row>
    <row r="182" spans="1:18" x14ac:dyDescent="0.25">
      <c r="A182" s="1">
        <v>44831</v>
      </c>
      <c r="B182">
        <f t="shared" si="34"/>
        <v>2</v>
      </c>
      <c r="C182">
        <f t="shared" si="39"/>
        <v>11</v>
      </c>
      <c r="D182">
        <f t="shared" si="40"/>
        <v>12</v>
      </c>
      <c r="E182">
        <f t="shared" si="41"/>
        <v>0</v>
      </c>
      <c r="F182">
        <f t="shared" si="35"/>
        <v>0</v>
      </c>
      <c r="G182">
        <f t="shared" si="42"/>
        <v>0</v>
      </c>
      <c r="H182">
        <f t="shared" si="43"/>
        <v>0</v>
      </c>
      <c r="I182">
        <f t="shared" si="44"/>
        <v>0</v>
      </c>
      <c r="J182">
        <f t="shared" si="36"/>
        <v>0</v>
      </c>
      <c r="K182">
        <f t="shared" si="37"/>
        <v>0</v>
      </c>
      <c r="L182">
        <f t="shared" si="45"/>
        <v>11</v>
      </c>
      <c r="M182">
        <f t="shared" si="46"/>
        <v>12</v>
      </c>
      <c r="N182">
        <f t="shared" si="47"/>
        <v>1</v>
      </c>
      <c r="O182">
        <f t="shared" si="48"/>
        <v>4</v>
      </c>
      <c r="P182">
        <f t="shared" si="38"/>
        <v>3</v>
      </c>
      <c r="Q182">
        <f t="shared" si="49"/>
        <v>7</v>
      </c>
      <c r="R182">
        <f t="shared" si="50"/>
        <v>9</v>
      </c>
    </row>
    <row r="183" spans="1:18" x14ac:dyDescent="0.25">
      <c r="A183" s="1">
        <v>44832</v>
      </c>
      <c r="B183">
        <f t="shared" si="34"/>
        <v>3</v>
      </c>
      <c r="C183">
        <f t="shared" si="39"/>
        <v>7</v>
      </c>
      <c r="D183">
        <f t="shared" si="40"/>
        <v>9</v>
      </c>
      <c r="E183">
        <f t="shared" si="41"/>
        <v>0</v>
      </c>
      <c r="F183">
        <f t="shared" si="35"/>
        <v>0</v>
      </c>
      <c r="G183">
        <f t="shared" si="42"/>
        <v>0</v>
      </c>
      <c r="H183">
        <f t="shared" si="43"/>
        <v>0</v>
      </c>
      <c r="I183">
        <f t="shared" si="44"/>
        <v>0</v>
      </c>
      <c r="J183">
        <f t="shared" si="36"/>
        <v>0</v>
      </c>
      <c r="K183">
        <f t="shared" si="37"/>
        <v>0</v>
      </c>
      <c r="L183">
        <f t="shared" si="45"/>
        <v>7</v>
      </c>
      <c r="M183">
        <f t="shared" si="46"/>
        <v>9</v>
      </c>
      <c r="N183">
        <f t="shared" si="47"/>
        <v>1</v>
      </c>
      <c r="O183">
        <f t="shared" si="48"/>
        <v>3</v>
      </c>
      <c r="P183">
        <f t="shared" si="38"/>
        <v>2</v>
      </c>
      <c r="Q183">
        <f t="shared" si="49"/>
        <v>4</v>
      </c>
      <c r="R183">
        <f t="shared" si="50"/>
        <v>7</v>
      </c>
    </row>
    <row r="184" spans="1:18" x14ac:dyDescent="0.25">
      <c r="A184" s="1">
        <v>44833</v>
      </c>
      <c r="B184">
        <f t="shared" si="34"/>
        <v>4</v>
      </c>
      <c r="C184">
        <f t="shared" si="39"/>
        <v>4</v>
      </c>
      <c r="D184">
        <f t="shared" si="40"/>
        <v>7</v>
      </c>
      <c r="E184">
        <f t="shared" si="41"/>
        <v>0</v>
      </c>
      <c r="F184">
        <f t="shared" si="35"/>
        <v>0</v>
      </c>
      <c r="G184">
        <f t="shared" si="42"/>
        <v>1</v>
      </c>
      <c r="H184">
        <f t="shared" si="43"/>
        <v>50</v>
      </c>
      <c r="I184">
        <f t="shared" si="44"/>
        <v>25</v>
      </c>
      <c r="J184">
        <f t="shared" si="36"/>
        <v>0</v>
      </c>
      <c r="K184">
        <f t="shared" si="37"/>
        <v>0</v>
      </c>
      <c r="L184">
        <f t="shared" si="45"/>
        <v>54</v>
      </c>
      <c r="M184">
        <f t="shared" si="46"/>
        <v>32</v>
      </c>
      <c r="N184">
        <f t="shared" si="47"/>
        <v>1</v>
      </c>
      <c r="O184">
        <f t="shared" si="48"/>
        <v>17</v>
      </c>
      <c r="P184">
        <f t="shared" si="38"/>
        <v>7</v>
      </c>
      <c r="Q184">
        <f t="shared" si="49"/>
        <v>37</v>
      </c>
      <c r="R184">
        <f t="shared" si="50"/>
        <v>25</v>
      </c>
    </row>
    <row r="185" spans="1:18" x14ac:dyDescent="0.25">
      <c r="A185" s="1">
        <v>44834</v>
      </c>
      <c r="B185">
        <f t="shared" si="34"/>
        <v>5</v>
      </c>
      <c r="C185">
        <f t="shared" si="39"/>
        <v>37</v>
      </c>
      <c r="D185">
        <f t="shared" si="40"/>
        <v>25</v>
      </c>
      <c r="E185">
        <f t="shared" si="41"/>
        <v>0</v>
      </c>
      <c r="F185">
        <f t="shared" si="35"/>
        <v>0</v>
      </c>
      <c r="G185">
        <f t="shared" si="42"/>
        <v>0</v>
      </c>
      <c r="H185">
        <f t="shared" si="43"/>
        <v>0</v>
      </c>
      <c r="I185">
        <f t="shared" si="44"/>
        <v>0</v>
      </c>
      <c r="J185">
        <f t="shared" si="36"/>
        <v>0</v>
      </c>
      <c r="K185">
        <f t="shared" si="37"/>
        <v>0</v>
      </c>
      <c r="L185">
        <f t="shared" si="45"/>
        <v>37</v>
      </c>
      <c r="M185">
        <f t="shared" si="46"/>
        <v>25</v>
      </c>
      <c r="N185">
        <f t="shared" si="47"/>
        <v>1</v>
      </c>
      <c r="O185">
        <f t="shared" si="48"/>
        <v>12</v>
      </c>
      <c r="P185">
        <f t="shared" si="38"/>
        <v>5</v>
      </c>
      <c r="Q185">
        <f t="shared" si="49"/>
        <v>25</v>
      </c>
      <c r="R185">
        <f t="shared" si="50"/>
        <v>20</v>
      </c>
    </row>
    <row r="186" spans="1:18" x14ac:dyDescent="0.25">
      <c r="A186" s="1">
        <v>44835</v>
      </c>
      <c r="B186">
        <f t="shared" si="34"/>
        <v>6</v>
      </c>
      <c r="C186">
        <f t="shared" si="39"/>
        <v>25</v>
      </c>
      <c r="D186">
        <f t="shared" si="40"/>
        <v>20</v>
      </c>
      <c r="E186">
        <f t="shared" si="41"/>
        <v>0</v>
      </c>
      <c r="F186">
        <f t="shared" si="35"/>
        <v>0</v>
      </c>
      <c r="G186">
        <f t="shared" si="42"/>
        <v>0</v>
      </c>
      <c r="H186">
        <f t="shared" si="43"/>
        <v>0</v>
      </c>
      <c r="I186">
        <f t="shared" si="44"/>
        <v>0</v>
      </c>
      <c r="J186">
        <f t="shared" si="36"/>
        <v>0</v>
      </c>
      <c r="K186">
        <f t="shared" si="37"/>
        <v>0</v>
      </c>
      <c r="L186">
        <f t="shared" si="45"/>
        <v>25</v>
      </c>
      <c r="M186">
        <f t="shared" si="46"/>
        <v>20</v>
      </c>
      <c r="N186">
        <f t="shared" si="47"/>
        <v>1</v>
      </c>
      <c r="O186">
        <f t="shared" si="48"/>
        <v>8</v>
      </c>
      <c r="P186">
        <f t="shared" si="38"/>
        <v>4</v>
      </c>
      <c r="Q186">
        <f t="shared" si="49"/>
        <v>17</v>
      </c>
      <c r="R186">
        <f t="shared" si="50"/>
        <v>16</v>
      </c>
    </row>
    <row r="187" spans="1:18" x14ac:dyDescent="0.25">
      <c r="A187" s="1">
        <v>44836</v>
      </c>
      <c r="B187">
        <f t="shared" si="34"/>
        <v>7</v>
      </c>
      <c r="C187">
        <f t="shared" si="39"/>
        <v>17</v>
      </c>
      <c r="D187">
        <f t="shared" si="40"/>
        <v>16</v>
      </c>
      <c r="E187">
        <f t="shared" si="41"/>
        <v>0</v>
      </c>
      <c r="F187">
        <f t="shared" si="35"/>
        <v>0</v>
      </c>
      <c r="G187">
        <f t="shared" si="42"/>
        <v>0</v>
      </c>
      <c r="H187">
        <f t="shared" si="43"/>
        <v>0</v>
      </c>
      <c r="I187">
        <f t="shared" si="44"/>
        <v>0</v>
      </c>
      <c r="J187">
        <f t="shared" si="36"/>
        <v>0</v>
      </c>
      <c r="K187">
        <f t="shared" si="37"/>
        <v>0</v>
      </c>
      <c r="L187">
        <f t="shared" si="45"/>
        <v>17</v>
      </c>
      <c r="M187">
        <f t="shared" si="46"/>
        <v>16</v>
      </c>
      <c r="N187">
        <f t="shared" si="47"/>
        <v>0</v>
      </c>
      <c r="O187">
        <f t="shared" si="48"/>
        <v>0</v>
      </c>
      <c r="P187">
        <f t="shared" si="38"/>
        <v>0</v>
      </c>
      <c r="Q187">
        <f t="shared" si="49"/>
        <v>17</v>
      </c>
      <c r="R187">
        <f t="shared" si="50"/>
        <v>16</v>
      </c>
    </row>
    <row r="188" spans="1:18" x14ac:dyDescent="0.25">
      <c r="A188" s="1">
        <v>44837</v>
      </c>
      <c r="B188">
        <f t="shared" si="34"/>
        <v>1</v>
      </c>
      <c r="C188">
        <f t="shared" si="39"/>
        <v>17</v>
      </c>
      <c r="D188">
        <f t="shared" si="40"/>
        <v>16</v>
      </c>
      <c r="E188">
        <f t="shared" si="41"/>
        <v>1</v>
      </c>
      <c r="F188">
        <f t="shared" si="35"/>
        <v>1</v>
      </c>
      <c r="G188">
        <f t="shared" si="42"/>
        <v>0</v>
      </c>
      <c r="H188">
        <f t="shared" si="43"/>
        <v>0</v>
      </c>
      <c r="I188">
        <f t="shared" si="44"/>
        <v>0</v>
      </c>
      <c r="J188">
        <f t="shared" si="36"/>
        <v>0</v>
      </c>
      <c r="K188">
        <f t="shared" si="37"/>
        <v>0</v>
      </c>
      <c r="L188">
        <f t="shared" si="45"/>
        <v>16</v>
      </c>
      <c r="M188">
        <f t="shared" si="46"/>
        <v>16</v>
      </c>
      <c r="N188">
        <f t="shared" si="47"/>
        <v>1</v>
      </c>
      <c r="O188">
        <f t="shared" si="48"/>
        <v>5</v>
      </c>
      <c r="P188">
        <f t="shared" si="38"/>
        <v>4</v>
      </c>
      <c r="Q188">
        <f t="shared" si="49"/>
        <v>11</v>
      </c>
      <c r="R188">
        <f t="shared" si="50"/>
        <v>12</v>
      </c>
    </row>
    <row r="189" spans="1:18" x14ac:dyDescent="0.25">
      <c r="A189" s="1">
        <v>44838</v>
      </c>
      <c r="B189">
        <f t="shared" si="34"/>
        <v>2</v>
      </c>
      <c r="C189">
        <f t="shared" si="39"/>
        <v>11</v>
      </c>
      <c r="D189">
        <f t="shared" si="40"/>
        <v>12</v>
      </c>
      <c r="E189">
        <f t="shared" si="41"/>
        <v>0</v>
      </c>
      <c r="F189">
        <f t="shared" si="35"/>
        <v>0</v>
      </c>
      <c r="G189">
        <f t="shared" si="42"/>
        <v>0</v>
      </c>
      <c r="H189">
        <f t="shared" si="43"/>
        <v>0</v>
      </c>
      <c r="I189">
        <f t="shared" si="44"/>
        <v>0</v>
      </c>
      <c r="J189">
        <f t="shared" si="36"/>
        <v>0</v>
      </c>
      <c r="K189">
        <f t="shared" si="37"/>
        <v>0</v>
      </c>
      <c r="L189">
        <f t="shared" si="45"/>
        <v>11</v>
      </c>
      <c r="M189">
        <f t="shared" si="46"/>
        <v>12</v>
      </c>
      <c r="N189">
        <f t="shared" si="47"/>
        <v>1</v>
      </c>
      <c r="O189">
        <f t="shared" si="48"/>
        <v>4</v>
      </c>
      <c r="P189">
        <f t="shared" si="38"/>
        <v>3</v>
      </c>
      <c r="Q189">
        <f t="shared" si="49"/>
        <v>7</v>
      </c>
      <c r="R189">
        <f t="shared" si="50"/>
        <v>9</v>
      </c>
    </row>
    <row r="190" spans="1:18" x14ac:dyDescent="0.25">
      <c r="A190" s="1">
        <v>44839</v>
      </c>
      <c r="B190">
        <f t="shared" si="34"/>
        <v>3</v>
      </c>
      <c r="C190">
        <f t="shared" si="39"/>
        <v>7</v>
      </c>
      <c r="D190">
        <f t="shared" si="40"/>
        <v>9</v>
      </c>
      <c r="E190">
        <f t="shared" si="41"/>
        <v>0</v>
      </c>
      <c r="F190">
        <f t="shared" si="35"/>
        <v>0</v>
      </c>
      <c r="G190">
        <f t="shared" si="42"/>
        <v>0</v>
      </c>
      <c r="H190">
        <f t="shared" si="43"/>
        <v>0</v>
      </c>
      <c r="I190">
        <f t="shared" si="44"/>
        <v>0</v>
      </c>
      <c r="J190">
        <f t="shared" si="36"/>
        <v>0</v>
      </c>
      <c r="K190">
        <f t="shared" si="37"/>
        <v>0</v>
      </c>
      <c r="L190">
        <f t="shared" si="45"/>
        <v>7</v>
      </c>
      <c r="M190">
        <f t="shared" si="46"/>
        <v>9</v>
      </c>
      <c r="N190">
        <f t="shared" si="47"/>
        <v>1</v>
      </c>
      <c r="O190">
        <f t="shared" si="48"/>
        <v>3</v>
      </c>
      <c r="P190">
        <f t="shared" si="38"/>
        <v>2</v>
      </c>
      <c r="Q190">
        <f t="shared" si="49"/>
        <v>4</v>
      </c>
      <c r="R190">
        <f t="shared" si="50"/>
        <v>7</v>
      </c>
    </row>
    <row r="191" spans="1:18" x14ac:dyDescent="0.25">
      <c r="A191" s="1">
        <v>44840</v>
      </c>
      <c r="B191">
        <f t="shared" si="34"/>
        <v>4</v>
      </c>
      <c r="C191">
        <f t="shared" si="39"/>
        <v>4</v>
      </c>
      <c r="D191">
        <f t="shared" si="40"/>
        <v>7</v>
      </c>
      <c r="E191">
        <f t="shared" si="41"/>
        <v>0</v>
      </c>
      <c r="F191">
        <f t="shared" si="35"/>
        <v>0</v>
      </c>
      <c r="G191">
        <f t="shared" si="42"/>
        <v>1</v>
      </c>
      <c r="H191">
        <f t="shared" si="43"/>
        <v>50</v>
      </c>
      <c r="I191">
        <f t="shared" si="44"/>
        <v>25</v>
      </c>
      <c r="J191">
        <f t="shared" si="36"/>
        <v>0</v>
      </c>
      <c r="K191">
        <f t="shared" si="37"/>
        <v>0</v>
      </c>
      <c r="L191">
        <f t="shared" si="45"/>
        <v>54</v>
      </c>
      <c r="M191">
        <f t="shared" si="46"/>
        <v>32</v>
      </c>
      <c r="N191">
        <f t="shared" si="47"/>
        <v>1</v>
      </c>
      <c r="O191">
        <f t="shared" si="48"/>
        <v>17</v>
      </c>
      <c r="P191">
        <f t="shared" si="38"/>
        <v>7</v>
      </c>
      <c r="Q191">
        <f t="shared" si="49"/>
        <v>37</v>
      </c>
      <c r="R191">
        <f t="shared" si="50"/>
        <v>25</v>
      </c>
    </row>
    <row r="192" spans="1:18" x14ac:dyDescent="0.25">
      <c r="A192" s="1">
        <v>44841</v>
      </c>
      <c r="B192">
        <f t="shared" si="34"/>
        <v>5</v>
      </c>
      <c r="C192">
        <f t="shared" si="39"/>
        <v>37</v>
      </c>
      <c r="D192">
        <f t="shared" si="40"/>
        <v>25</v>
      </c>
      <c r="E192">
        <f t="shared" si="41"/>
        <v>0</v>
      </c>
      <c r="F192">
        <f t="shared" si="35"/>
        <v>0</v>
      </c>
      <c r="G192">
        <f t="shared" si="42"/>
        <v>0</v>
      </c>
      <c r="H192">
        <f t="shared" si="43"/>
        <v>0</v>
      </c>
      <c r="I192">
        <f t="shared" si="44"/>
        <v>0</v>
      </c>
      <c r="J192">
        <f t="shared" si="36"/>
        <v>0</v>
      </c>
      <c r="K192">
        <f t="shared" si="37"/>
        <v>0</v>
      </c>
      <c r="L192">
        <f t="shared" si="45"/>
        <v>37</v>
      </c>
      <c r="M192">
        <f t="shared" si="46"/>
        <v>25</v>
      </c>
      <c r="N192">
        <f t="shared" si="47"/>
        <v>1</v>
      </c>
      <c r="O192">
        <f t="shared" si="48"/>
        <v>12</v>
      </c>
      <c r="P192">
        <f t="shared" si="38"/>
        <v>5</v>
      </c>
      <c r="Q192">
        <f t="shared" si="49"/>
        <v>25</v>
      </c>
      <c r="R192">
        <f t="shared" si="50"/>
        <v>20</v>
      </c>
    </row>
    <row r="193" spans="1:18" x14ac:dyDescent="0.25">
      <c r="A193" s="1">
        <v>44842</v>
      </c>
      <c r="B193">
        <f t="shared" si="34"/>
        <v>6</v>
      </c>
      <c r="C193">
        <f t="shared" si="39"/>
        <v>25</v>
      </c>
      <c r="D193">
        <f t="shared" si="40"/>
        <v>20</v>
      </c>
      <c r="E193">
        <f t="shared" si="41"/>
        <v>0</v>
      </c>
      <c r="F193">
        <f t="shared" si="35"/>
        <v>0</v>
      </c>
      <c r="G193">
        <f t="shared" si="42"/>
        <v>0</v>
      </c>
      <c r="H193">
        <f t="shared" si="43"/>
        <v>0</v>
      </c>
      <c r="I193">
        <f t="shared" si="44"/>
        <v>0</v>
      </c>
      <c r="J193">
        <f t="shared" si="36"/>
        <v>0</v>
      </c>
      <c r="K193">
        <f t="shared" si="37"/>
        <v>0</v>
      </c>
      <c r="L193">
        <f t="shared" si="45"/>
        <v>25</v>
      </c>
      <c r="M193">
        <f t="shared" si="46"/>
        <v>20</v>
      </c>
      <c r="N193">
        <f t="shared" si="47"/>
        <v>1</v>
      </c>
      <c r="O193">
        <f t="shared" si="48"/>
        <v>8</v>
      </c>
      <c r="P193">
        <f t="shared" si="38"/>
        <v>4</v>
      </c>
      <c r="Q193">
        <f t="shared" si="49"/>
        <v>17</v>
      </c>
      <c r="R193">
        <f t="shared" si="50"/>
        <v>16</v>
      </c>
    </row>
    <row r="194" spans="1:18" x14ac:dyDescent="0.25">
      <c r="A194" s="1">
        <v>44843</v>
      </c>
      <c r="B194">
        <f t="shared" si="34"/>
        <v>7</v>
      </c>
      <c r="C194">
        <f t="shared" si="39"/>
        <v>17</v>
      </c>
      <c r="D194">
        <f t="shared" si="40"/>
        <v>16</v>
      </c>
      <c r="E194">
        <f t="shared" si="41"/>
        <v>0</v>
      </c>
      <c r="F194">
        <f t="shared" si="35"/>
        <v>0</v>
      </c>
      <c r="G194">
        <f t="shared" si="42"/>
        <v>0</v>
      </c>
      <c r="H194">
        <f t="shared" si="43"/>
        <v>0</v>
      </c>
      <c r="I194">
        <f t="shared" si="44"/>
        <v>0</v>
      </c>
      <c r="J194">
        <f t="shared" si="36"/>
        <v>0</v>
      </c>
      <c r="K194">
        <f t="shared" si="37"/>
        <v>0</v>
      </c>
      <c r="L194">
        <f t="shared" si="45"/>
        <v>17</v>
      </c>
      <c r="M194">
        <f t="shared" si="46"/>
        <v>16</v>
      </c>
      <c r="N194">
        <f t="shared" si="47"/>
        <v>0</v>
      </c>
      <c r="O194">
        <f t="shared" si="48"/>
        <v>0</v>
      </c>
      <c r="P194">
        <f t="shared" si="38"/>
        <v>0</v>
      </c>
      <c r="Q194">
        <f t="shared" si="49"/>
        <v>17</v>
      </c>
      <c r="R194">
        <f t="shared" si="50"/>
        <v>16</v>
      </c>
    </row>
    <row r="195" spans="1:18" x14ac:dyDescent="0.25">
      <c r="A195" s="1">
        <v>44844</v>
      </c>
      <c r="B195">
        <f t="shared" si="34"/>
        <v>1</v>
      </c>
      <c r="C195">
        <f t="shared" si="39"/>
        <v>17</v>
      </c>
      <c r="D195">
        <f t="shared" si="40"/>
        <v>16</v>
      </c>
      <c r="E195">
        <f t="shared" si="41"/>
        <v>1</v>
      </c>
      <c r="F195">
        <f t="shared" si="35"/>
        <v>1</v>
      </c>
      <c r="G195">
        <f t="shared" si="42"/>
        <v>0</v>
      </c>
      <c r="H195">
        <f t="shared" si="43"/>
        <v>0</v>
      </c>
      <c r="I195">
        <f t="shared" si="44"/>
        <v>0</v>
      </c>
      <c r="J195">
        <f t="shared" si="36"/>
        <v>0</v>
      </c>
      <c r="K195">
        <f t="shared" si="37"/>
        <v>0</v>
      </c>
      <c r="L195">
        <f t="shared" si="45"/>
        <v>16</v>
      </c>
      <c r="M195">
        <f t="shared" si="46"/>
        <v>16</v>
      </c>
      <c r="N195">
        <f t="shared" si="47"/>
        <v>1</v>
      </c>
      <c r="O195">
        <f t="shared" si="48"/>
        <v>5</v>
      </c>
      <c r="P195">
        <f t="shared" si="38"/>
        <v>4</v>
      </c>
      <c r="Q195">
        <f t="shared" si="49"/>
        <v>11</v>
      </c>
      <c r="R195">
        <f t="shared" si="50"/>
        <v>12</v>
      </c>
    </row>
    <row r="196" spans="1:18" x14ac:dyDescent="0.25">
      <c r="A196" s="1">
        <v>44845</v>
      </c>
      <c r="B196">
        <f t="shared" ref="B196:B216" si="51">WEEKDAY(A196, 2)</f>
        <v>2</v>
      </c>
      <c r="C196">
        <f t="shared" si="39"/>
        <v>11</v>
      </c>
      <c r="D196">
        <f t="shared" si="40"/>
        <v>12</v>
      </c>
      <c r="E196">
        <f t="shared" si="41"/>
        <v>0</v>
      </c>
      <c r="F196">
        <f t="shared" ref="F196:F216" si="52">IF(E196=1,ROUNDUP(5% * C196,0),0)</f>
        <v>0</v>
      </c>
      <c r="G196">
        <f t="shared" si="42"/>
        <v>0</v>
      </c>
      <c r="H196">
        <f t="shared" si="43"/>
        <v>0</v>
      </c>
      <c r="I196">
        <f t="shared" si="44"/>
        <v>0</v>
      </c>
      <c r="J196">
        <f t="shared" ref="J196:J216" si="53">IF(AND(B196=1,SUM(O193:O194)&gt;25),1,0)</f>
        <v>0</v>
      </c>
      <c r="K196">
        <f t="shared" ref="K196:K216" si="54">IF(J196=1,15,0)</f>
        <v>0</v>
      </c>
      <c r="L196">
        <f t="shared" si="45"/>
        <v>11</v>
      </c>
      <c r="M196">
        <f t="shared" si="46"/>
        <v>12</v>
      </c>
      <c r="N196">
        <f t="shared" si="47"/>
        <v>1</v>
      </c>
      <c r="O196">
        <f t="shared" si="48"/>
        <v>4</v>
      </c>
      <c r="P196">
        <f t="shared" ref="P196:P216" si="55">IF(N196=1,ROUNDUP(20% * M196,0),0)</f>
        <v>3</v>
      </c>
      <c r="Q196">
        <f t="shared" si="49"/>
        <v>7</v>
      </c>
      <c r="R196">
        <f t="shared" si="50"/>
        <v>9</v>
      </c>
    </row>
    <row r="197" spans="1:18" x14ac:dyDescent="0.25">
      <c r="A197" s="1">
        <v>44846</v>
      </c>
      <c r="B197">
        <f t="shared" si="51"/>
        <v>3</v>
      </c>
      <c r="C197">
        <f t="shared" ref="C197:C216" si="56">Q196</f>
        <v>7</v>
      </c>
      <c r="D197">
        <f t="shared" ref="D197:D216" si="57">R196</f>
        <v>9</v>
      </c>
      <c r="E197">
        <f t="shared" ref="E197:E216" si="58">IF(B197=1,1,0)</f>
        <v>0</v>
      </c>
      <c r="F197">
        <f t="shared" si="52"/>
        <v>0</v>
      </c>
      <c r="G197">
        <f t="shared" ref="G197:G216" si="59">IF(B197=4,1,0)</f>
        <v>0</v>
      </c>
      <c r="H197">
        <f t="shared" ref="H197:H216" si="60">IF(G197=1,50,0)</f>
        <v>0</v>
      </c>
      <c r="I197">
        <f t="shared" ref="I197:I216" si="61">IF(G197=1,25,0)</f>
        <v>0</v>
      </c>
      <c r="J197">
        <f t="shared" si="53"/>
        <v>0</v>
      </c>
      <c r="K197">
        <f t="shared" si="54"/>
        <v>0</v>
      </c>
      <c r="L197">
        <f t="shared" ref="L197:L216" si="62">K197+H197+C197-F197</f>
        <v>7</v>
      </c>
      <c r="M197">
        <f t="shared" ref="M197:M216" si="63">I197+D197</f>
        <v>9</v>
      </c>
      <c r="N197">
        <f t="shared" ref="N197:N216" si="64">IF(B197&lt;&gt;7,1,0)</f>
        <v>1</v>
      </c>
      <c r="O197">
        <f t="shared" ref="O197:O216" si="65">IF(N197=1,ROUNDUP(30% * L197,0),0)</f>
        <v>3</v>
      </c>
      <c r="P197">
        <f t="shared" si="55"/>
        <v>2</v>
      </c>
      <c r="Q197">
        <f t="shared" ref="Q197:Q216" si="66">L197-O197</f>
        <v>4</v>
      </c>
      <c r="R197">
        <f t="shared" ref="R197:R216" si="67">M197-P197</f>
        <v>7</v>
      </c>
    </row>
    <row r="198" spans="1:18" x14ac:dyDescent="0.25">
      <c r="A198" s="1">
        <v>44847</v>
      </c>
      <c r="B198">
        <f t="shared" si="51"/>
        <v>4</v>
      </c>
      <c r="C198">
        <f t="shared" si="56"/>
        <v>4</v>
      </c>
      <c r="D198">
        <f t="shared" si="57"/>
        <v>7</v>
      </c>
      <c r="E198">
        <f t="shared" si="58"/>
        <v>0</v>
      </c>
      <c r="F198">
        <f t="shared" si="52"/>
        <v>0</v>
      </c>
      <c r="G198">
        <f t="shared" si="59"/>
        <v>1</v>
      </c>
      <c r="H198">
        <f t="shared" si="60"/>
        <v>50</v>
      </c>
      <c r="I198">
        <f t="shared" si="61"/>
        <v>25</v>
      </c>
      <c r="J198">
        <f t="shared" si="53"/>
        <v>0</v>
      </c>
      <c r="K198">
        <f t="shared" si="54"/>
        <v>0</v>
      </c>
      <c r="L198">
        <f t="shared" si="62"/>
        <v>54</v>
      </c>
      <c r="M198">
        <f t="shared" si="63"/>
        <v>32</v>
      </c>
      <c r="N198">
        <f t="shared" si="64"/>
        <v>1</v>
      </c>
      <c r="O198">
        <f t="shared" si="65"/>
        <v>17</v>
      </c>
      <c r="P198">
        <f t="shared" si="55"/>
        <v>7</v>
      </c>
      <c r="Q198">
        <f t="shared" si="66"/>
        <v>37</v>
      </c>
      <c r="R198">
        <f t="shared" si="67"/>
        <v>25</v>
      </c>
    </row>
    <row r="199" spans="1:18" x14ac:dyDescent="0.25">
      <c r="A199" s="1">
        <v>44848</v>
      </c>
      <c r="B199">
        <f t="shared" si="51"/>
        <v>5</v>
      </c>
      <c r="C199">
        <f t="shared" si="56"/>
        <v>37</v>
      </c>
      <c r="D199">
        <f t="shared" si="57"/>
        <v>25</v>
      </c>
      <c r="E199">
        <f t="shared" si="58"/>
        <v>0</v>
      </c>
      <c r="F199">
        <f t="shared" si="52"/>
        <v>0</v>
      </c>
      <c r="G199">
        <f t="shared" si="59"/>
        <v>0</v>
      </c>
      <c r="H199">
        <f t="shared" si="60"/>
        <v>0</v>
      </c>
      <c r="I199">
        <f t="shared" si="61"/>
        <v>0</v>
      </c>
      <c r="J199">
        <f t="shared" si="53"/>
        <v>0</v>
      </c>
      <c r="K199">
        <f t="shared" si="54"/>
        <v>0</v>
      </c>
      <c r="L199">
        <f t="shared" si="62"/>
        <v>37</v>
      </c>
      <c r="M199">
        <f t="shared" si="63"/>
        <v>25</v>
      </c>
      <c r="N199">
        <f t="shared" si="64"/>
        <v>1</v>
      </c>
      <c r="O199">
        <f t="shared" si="65"/>
        <v>12</v>
      </c>
      <c r="P199">
        <f t="shared" si="55"/>
        <v>5</v>
      </c>
      <c r="Q199">
        <f t="shared" si="66"/>
        <v>25</v>
      </c>
      <c r="R199">
        <f t="shared" si="67"/>
        <v>20</v>
      </c>
    </row>
    <row r="200" spans="1:18" x14ac:dyDescent="0.25">
      <c r="A200" s="1">
        <v>44849</v>
      </c>
      <c r="B200">
        <f t="shared" si="51"/>
        <v>6</v>
      </c>
      <c r="C200">
        <f t="shared" si="56"/>
        <v>25</v>
      </c>
      <c r="D200">
        <f t="shared" si="57"/>
        <v>20</v>
      </c>
      <c r="E200">
        <f t="shared" si="58"/>
        <v>0</v>
      </c>
      <c r="F200">
        <f t="shared" si="52"/>
        <v>0</v>
      </c>
      <c r="G200">
        <f t="shared" si="59"/>
        <v>0</v>
      </c>
      <c r="H200">
        <f t="shared" si="60"/>
        <v>0</v>
      </c>
      <c r="I200">
        <f t="shared" si="61"/>
        <v>0</v>
      </c>
      <c r="J200">
        <f t="shared" si="53"/>
        <v>0</v>
      </c>
      <c r="K200">
        <f t="shared" si="54"/>
        <v>0</v>
      </c>
      <c r="L200">
        <f t="shared" si="62"/>
        <v>25</v>
      </c>
      <c r="M200">
        <f t="shared" si="63"/>
        <v>20</v>
      </c>
      <c r="N200">
        <f t="shared" si="64"/>
        <v>1</v>
      </c>
      <c r="O200">
        <f t="shared" si="65"/>
        <v>8</v>
      </c>
      <c r="P200">
        <f t="shared" si="55"/>
        <v>4</v>
      </c>
      <c r="Q200">
        <f t="shared" si="66"/>
        <v>17</v>
      </c>
      <c r="R200">
        <f t="shared" si="67"/>
        <v>16</v>
      </c>
    </row>
    <row r="201" spans="1:18" x14ac:dyDescent="0.25">
      <c r="A201" s="1">
        <v>44850</v>
      </c>
      <c r="B201">
        <f t="shared" si="51"/>
        <v>7</v>
      </c>
      <c r="C201">
        <f t="shared" si="56"/>
        <v>17</v>
      </c>
      <c r="D201">
        <f t="shared" si="57"/>
        <v>16</v>
      </c>
      <c r="E201">
        <f t="shared" si="58"/>
        <v>0</v>
      </c>
      <c r="F201">
        <f t="shared" si="52"/>
        <v>0</v>
      </c>
      <c r="G201">
        <f t="shared" si="59"/>
        <v>0</v>
      </c>
      <c r="H201">
        <f t="shared" si="60"/>
        <v>0</v>
      </c>
      <c r="I201">
        <f t="shared" si="61"/>
        <v>0</v>
      </c>
      <c r="J201">
        <f t="shared" si="53"/>
        <v>0</v>
      </c>
      <c r="K201">
        <f t="shared" si="54"/>
        <v>0</v>
      </c>
      <c r="L201">
        <f t="shared" si="62"/>
        <v>17</v>
      </c>
      <c r="M201">
        <f t="shared" si="63"/>
        <v>16</v>
      </c>
      <c r="N201">
        <f t="shared" si="64"/>
        <v>0</v>
      </c>
      <c r="O201">
        <f t="shared" si="65"/>
        <v>0</v>
      </c>
      <c r="P201">
        <f t="shared" si="55"/>
        <v>0</v>
      </c>
      <c r="Q201">
        <f t="shared" si="66"/>
        <v>17</v>
      </c>
      <c r="R201">
        <f t="shared" si="67"/>
        <v>16</v>
      </c>
    </row>
    <row r="202" spans="1:18" x14ac:dyDescent="0.25">
      <c r="A202" s="1">
        <v>44851</v>
      </c>
      <c r="B202">
        <f t="shared" si="51"/>
        <v>1</v>
      </c>
      <c r="C202">
        <f t="shared" si="56"/>
        <v>17</v>
      </c>
      <c r="D202">
        <f t="shared" si="57"/>
        <v>16</v>
      </c>
      <c r="E202">
        <f t="shared" si="58"/>
        <v>1</v>
      </c>
      <c r="F202">
        <f t="shared" si="52"/>
        <v>1</v>
      </c>
      <c r="G202">
        <f t="shared" si="59"/>
        <v>0</v>
      </c>
      <c r="H202">
        <f t="shared" si="60"/>
        <v>0</v>
      </c>
      <c r="I202">
        <f t="shared" si="61"/>
        <v>0</v>
      </c>
      <c r="J202">
        <f t="shared" si="53"/>
        <v>0</v>
      </c>
      <c r="K202">
        <f t="shared" si="54"/>
        <v>0</v>
      </c>
      <c r="L202">
        <f t="shared" si="62"/>
        <v>16</v>
      </c>
      <c r="M202">
        <f t="shared" si="63"/>
        <v>16</v>
      </c>
      <c r="N202">
        <f t="shared" si="64"/>
        <v>1</v>
      </c>
      <c r="O202">
        <f t="shared" si="65"/>
        <v>5</v>
      </c>
      <c r="P202">
        <f t="shared" si="55"/>
        <v>4</v>
      </c>
      <c r="Q202">
        <f t="shared" si="66"/>
        <v>11</v>
      </c>
      <c r="R202">
        <f t="shared" si="67"/>
        <v>12</v>
      </c>
    </row>
    <row r="203" spans="1:18" x14ac:dyDescent="0.25">
      <c r="A203" s="1">
        <v>44852</v>
      </c>
      <c r="B203">
        <f t="shared" si="51"/>
        <v>2</v>
      </c>
      <c r="C203">
        <f t="shared" si="56"/>
        <v>11</v>
      </c>
      <c r="D203">
        <f t="shared" si="57"/>
        <v>12</v>
      </c>
      <c r="E203">
        <f t="shared" si="58"/>
        <v>0</v>
      </c>
      <c r="F203">
        <f t="shared" si="52"/>
        <v>0</v>
      </c>
      <c r="G203">
        <f t="shared" si="59"/>
        <v>0</v>
      </c>
      <c r="H203">
        <f t="shared" si="60"/>
        <v>0</v>
      </c>
      <c r="I203">
        <f t="shared" si="61"/>
        <v>0</v>
      </c>
      <c r="J203">
        <f t="shared" si="53"/>
        <v>0</v>
      </c>
      <c r="K203">
        <f t="shared" si="54"/>
        <v>0</v>
      </c>
      <c r="L203">
        <f t="shared" si="62"/>
        <v>11</v>
      </c>
      <c r="M203">
        <f t="shared" si="63"/>
        <v>12</v>
      </c>
      <c r="N203">
        <f t="shared" si="64"/>
        <v>1</v>
      </c>
      <c r="O203">
        <f t="shared" si="65"/>
        <v>4</v>
      </c>
      <c r="P203">
        <f t="shared" si="55"/>
        <v>3</v>
      </c>
      <c r="Q203">
        <f t="shared" si="66"/>
        <v>7</v>
      </c>
      <c r="R203">
        <f t="shared" si="67"/>
        <v>9</v>
      </c>
    </row>
    <row r="204" spans="1:18" x14ac:dyDescent="0.25">
      <c r="A204" s="1">
        <v>44853</v>
      </c>
      <c r="B204">
        <f t="shared" si="51"/>
        <v>3</v>
      </c>
      <c r="C204">
        <f t="shared" si="56"/>
        <v>7</v>
      </c>
      <c r="D204">
        <f t="shared" si="57"/>
        <v>9</v>
      </c>
      <c r="E204">
        <f t="shared" si="58"/>
        <v>0</v>
      </c>
      <c r="F204">
        <f t="shared" si="52"/>
        <v>0</v>
      </c>
      <c r="G204">
        <f t="shared" si="59"/>
        <v>0</v>
      </c>
      <c r="H204">
        <f t="shared" si="60"/>
        <v>0</v>
      </c>
      <c r="I204">
        <f t="shared" si="61"/>
        <v>0</v>
      </c>
      <c r="J204">
        <f t="shared" si="53"/>
        <v>0</v>
      </c>
      <c r="K204">
        <f t="shared" si="54"/>
        <v>0</v>
      </c>
      <c r="L204">
        <f t="shared" si="62"/>
        <v>7</v>
      </c>
      <c r="M204">
        <f t="shared" si="63"/>
        <v>9</v>
      </c>
      <c r="N204">
        <f t="shared" si="64"/>
        <v>1</v>
      </c>
      <c r="O204">
        <f t="shared" si="65"/>
        <v>3</v>
      </c>
      <c r="P204">
        <f t="shared" si="55"/>
        <v>2</v>
      </c>
      <c r="Q204">
        <f t="shared" si="66"/>
        <v>4</v>
      </c>
      <c r="R204">
        <f t="shared" si="67"/>
        <v>7</v>
      </c>
    </row>
    <row r="205" spans="1:18" x14ac:dyDescent="0.25">
      <c r="A205" s="1">
        <v>44854</v>
      </c>
      <c r="B205">
        <f t="shared" si="51"/>
        <v>4</v>
      </c>
      <c r="C205">
        <f t="shared" si="56"/>
        <v>4</v>
      </c>
      <c r="D205">
        <f t="shared" si="57"/>
        <v>7</v>
      </c>
      <c r="E205">
        <f t="shared" si="58"/>
        <v>0</v>
      </c>
      <c r="F205">
        <f t="shared" si="52"/>
        <v>0</v>
      </c>
      <c r="G205">
        <f t="shared" si="59"/>
        <v>1</v>
      </c>
      <c r="H205">
        <f t="shared" si="60"/>
        <v>50</v>
      </c>
      <c r="I205">
        <f t="shared" si="61"/>
        <v>25</v>
      </c>
      <c r="J205">
        <f t="shared" si="53"/>
        <v>0</v>
      </c>
      <c r="K205">
        <f t="shared" si="54"/>
        <v>0</v>
      </c>
      <c r="L205">
        <f t="shared" si="62"/>
        <v>54</v>
      </c>
      <c r="M205">
        <f t="shared" si="63"/>
        <v>32</v>
      </c>
      <c r="N205">
        <f t="shared" si="64"/>
        <v>1</v>
      </c>
      <c r="O205">
        <f t="shared" si="65"/>
        <v>17</v>
      </c>
      <c r="P205">
        <f t="shared" si="55"/>
        <v>7</v>
      </c>
      <c r="Q205">
        <f t="shared" si="66"/>
        <v>37</v>
      </c>
      <c r="R205">
        <f t="shared" si="67"/>
        <v>25</v>
      </c>
    </row>
    <row r="206" spans="1:18" x14ac:dyDescent="0.25">
      <c r="A206" s="1">
        <v>44855</v>
      </c>
      <c r="B206">
        <f t="shared" si="51"/>
        <v>5</v>
      </c>
      <c r="C206">
        <f t="shared" si="56"/>
        <v>37</v>
      </c>
      <c r="D206">
        <f t="shared" si="57"/>
        <v>25</v>
      </c>
      <c r="E206">
        <f t="shared" si="58"/>
        <v>0</v>
      </c>
      <c r="F206">
        <f t="shared" si="52"/>
        <v>0</v>
      </c>
      <c r="G206">
        <f t="shared" si="59"/>
        <v>0</v>
      </c>
      <c r="H206">
        <f t="shared" si="60"/>
        <v>0</v>
      </c>
      <c r="I206">
        <f t="shared" si="61"/>
        <v>0</v>
      </c>
      <c r="J206">
        <f t="shared" si="53"/>
        <v>0</v>
      </c>
      <c r="K206">
        <f t="shared" si="54"/>
        <v>0</v>
      </c>
      <c r="L206">
        <f t="shared" si="62"/>
        <v>37</v>
      </c>
      <c r="M206">
        <f t="shared" si="63"/>
        <v>25</v>
      </c>
      <c r="N206">
        <f t="shared" si="64"/>
        <v>1</v>
      </c>
      <c r="O206">
        <f t="shared" si="65"/>
        <v>12</v>
      </c>
      <c r="P206">
        <f t="shared" si="55"/>
        <v>5</v>
      </c>
      <c r="Q206">
        <f t="shared" si="66"/>
        <v>25</v>
      </c>
      <c r="R206">
        <f t="shared" si="67"/>
        <v>20</v>
      </c>
    </row>
    <row r="207" spans="1:18" x14ac:dyDescent="0.25">
      <c r="A207" s="1">
        <v>44856</v>
      </c>
      <c r="B207">
        <f t="shared" si="51"/>
        <v>6</v>
      </c>
      <c r="C207">
        <f t="shared" si="56"/>
        <v>25</v>
      </c>
      <c r="D207">
        <f t="shared" si="57"/>
        <v>20</v>
      </c>
      <c r="E207">
        <f t="shared" si="58"/>
        <v>0</v>
      </c>
      <c r="F207">
        <f t="shared" si="52"/>
        <v>0</v>
      </c>
      <c r="G207">
        <f t="shared" si="59"/>
        <v>0</v>
      </c>
      <c r="H207">
        <f t="shared" si="60"/>
        <v>0</v>
      </c>
      <c r="I207">
        <f t="shared" si="61"/>
        <v>0</v>
      </c>
      <c r="J207">
        <f t="shared" si="53"/>
        <v>0</v>
      </c>
      <c r="K207">
        <f t="shared" si="54"/>
        <v>0</v>
      </c>
      <c r="L207">
        <f t="shared" si="62"/>
        <v>25</v>
      </c>
      <c r="M207">
        <f t="shared" si="63"/>
        <v>20</v>
      </c>
      <c r="N207">
        <f t="shared" si="64"/>
        <v>1</v>
      </c>
      <c r="O207">
        <f t="shared" si="65"/>
        <v>8</v>
      </c>
      <c r="P207">
        <f t="shared" si="55"/>
        <v>4</v>
      </c>
      <c r="Q207">
        <f t="shared" si="66"/>
        <v>17</v>
      </c>
      <c r="R207">
        <f t="shared" si="67"/>
        <v>16</v>
      </c>
    </row>
    <row r="208" spans="1:18" x14ac:dyDescent="0.25">
      <c r="A208" s="1">
        <v>44857</v>
      </c>
      <c r="B208">
        <f t="shared" si="51"/>
        <v>7</v>
      </c>
      <c r="C208">
        <f t="shared" si="56"/>
        <v>17</v>
      </c>
      <c r="D208">
        <f t="shared" si="57"/>
        <v>16</v>
      </c>
      <c r="E208">
        <f t="shared" si="58"/>
        <v>0</v>
      </c>
      <c r="F208">
        <f t="shared" si="52"/>
        <v>0</v>
      </c>
      <c r="G208">
        <f t="shared" si="59"/>
        <v>0</v>
      </c>
      <c r="H208">
        <f t="shared" si="60"/>
        <v>0</v>
      </c>
      <c r="I208">
        <f t="shared" si="61"/>
        <v>0</v>
      </c>
      <c r="J208">
        <f t="shared" si="53"/>
        <v>0</v>
      </c>
      <c r="K208">
        <f t="shared" si="54"/>
        <v>0</v>
      </c>
      <c r="L208">
        <f t="shared" si="62"/>
        <v>17</v>
      </c>
      <c r="M208">
        <f t="shared" si="63"/>
        <v>16</v>
      </c>
      <c r="N208">
        <f t="shared" si="64"/>
        <v>0</v>
      </c>
      <c r="O208">
        <f t="shared" si="65"/>
        <v>0</v>
      </c>
      <c r="P208">
        <f t="shared" si="55"/>
        <v>0</v>
      </c>
      <c r="Q208">
        <f t="shared" si="66"/>
        <v>17</v>
      </c>
      <c r="R208">
        <f t="shared" si="67"/>
        <v>16</v>
      </c>
    </row>
    <row r="209" spans="1:18" x14ac:dyDescent="0.25">
      <c r="A209" s="1">
        <v>44858</v>
      </c>
      <c r="B209">
        <f t="shared" si="51"/>
        <v>1</v>
      </c>
      <c r="C209">
        <f t="shared" si="56"/>
        <v>17</v>
      </c>
      <c r="D209">
        <f t="shared" si="57"/>
        <v>16</v>
      </c>
      <c r="E209">
        <f t="shared" si="58"/>
        <v>1</v>
      </c>
      <c r="F209">
        <f t="shared" si="52"/>
        <v>1</v>
      </c>
      <c r="G209">
        <f t="shared" si="59"/>
        <v>0</v>
      </c>
      <c r="H209">
        <f t="shared" si="60"/>
        <v>0</v>
      </c>
      <c r="I209">
        <f t="shared" si="61"/>
        <v>0</v>
      </c>
      <c r="J209">
        <f t="shared" si="53"/>
        <v>0</v>
      </c>
      <c r="K209">
        <f t="shared" si="54"/>
        <v>0</v>
      </c>
      <c r="L209">
        <f t="shared" si="62"/>
        <v>16</v>
      </c>
      <c r="M209">
        <f t="shared" si="63"/>
        <v>16</v>
      </c>
      <c r="N209">
        <f t="shared" si="64"/>
        <v>1</v>
      </c>
      <c r="O209">
        <f t="shared" si="65"/>
        <v>5</v>
      </c>
      <c r="P209">
        <f t="shared" si="55"/>
        <v>4</v>
      </c>
      <c r="Q209">
        <f t="shared" si="66"/>
        <v>11</v>
      </c>
      <c r="R209">
        <f t="shared" si="67"/>
        <v>12</v>
      </c>
    </row>
    <row r="210" spans="1:18" x14ac:dyDescent="0.25">
      <c r="A210" s="1">
        <v>44859</v>
      </c>
      <c r="B210">
        <f t="shared" si="51"/>
        <v>2</v>
      </c>
      <c r="C210">
        <f t="shared" si="56"/>
        <v>11</v>
      </c>
      <c r="D210">
        <f t="shared" si="57"/>
        <v>12</v>
      </c>
      <c r="E210">
        <f t="shared" si="58"/>
        <v>0</v>
      </c>
      <c r="F210">
        <f t="shared" si="52"/>
        <v>0</v>
      </c>
      <c r="G210">
        <f t="shared" si="59"/>
        <v>0</v>
      </c>
      <c r="H210">
        <f t="shared" si="60"/>
        <v>0</v>
      </c>
      <c r="I210">
        <f t="shared" si="61"/>
        <v>0</v>
      </c>
      <c r="J210">
        <f t="shared" si="53"/>
        <v>0</v>
      </c>
      <c r="K210">
        <f t="shared" si="54"/>
        <v>0</v>
      </c>
      <c r="L210">
        <f t="shared" si="62"/>
        <v>11</v>
      </c>
      <c r="M210">
        <f t="shared" si="63"/>
        <v>12</v>
      </c>
      <c r="N210">
        <f t="shared" si="64"/>
        <v>1</v>
      </c>
      <c r="O210">
        <f t="shared" si="65"/>
        <v>4</v>
      </c>
      <c r="P210">
        <f t="shared" si="55"/>
        <v>3</v>
      </c>
      <c r="Q210">
        <f t="shared" si="66"/>
        <v>7</v>
      </c>
      <c r="R210">
        <f t="shared" si="67"/>
        <v>9</v>
      </c>
    </row>
    <row r="211" spans="1:18" x14ac:dyDescent="0.25">
      <c r="A211" s="1">
        <v>44860</v>
      </c>
      <c r="B211">
        <f t="shared" si="51"/>
        <v>3</v>
      </c>
      <c r="C211">
        <f t="shared" si="56"/>
        <v>7</v>
      </c>
      <c r="D211">
        <f t="shared" si="57"/>
        <v>9</v>
      </c>
      <c r="E211">
        <f t="shared" si="58"/>
        <v>0</v>
      </c>
      <c r="F211">
        <f t="shared" si="52"/>
        <v>0</v>
      </c>
      <c r="G211">
        <f t="shared" si="59"/>
        <v>0</v>
      </c>
      <c r="H211">
        <f t="shared" si="60"/>
        <v>0</v>
      </c>
      <c r="I211">
        <f t="shared" si="61"/>
        <v>0</v>
      </c>
      <c r="J211">
        <f t="shared" si="53"/>
        <v>0</v>
      </c>
      <c r="K211">
        <f t="shared" si="54"/>
        <v>0</v>
      </c>
      <c r="L211">
        <f t="shared" si="62"/>
        <v>7</v>
      </c>
      <c r="M211">
        <f t="shared" si="63"/>
        <v>9</v>
      </c>
      <c r="N211">
        <f t="shared" si="64"/>
        <v>1</v>
      </c>
      <c r="O211">
        <f t="shared" si="65"/>
        <v>3</v>
      </c>
      <c r="P211">
        <f t="shared" si="55"/>
        <v>2</v>
      </c>
      <c r="Q211">
        <f t="shared" si="66"/>
        <v>4</v>
      </c>
      <c r="R211">
        <f t="shared" si="67"/>
        <v>7</v>
      </c>
    </row>
    <row r="212" spans="1:18" x14ac:dyDescent="0.25">
      <c r="A212" s="1">
        <v>44861</v>
      </c>
      <c r="B212">
        <f t="shared" si="51"/>
        <v>4</v>
      </c>
      <c r="C212">
        <f t="shared" si="56"/>
        <v>4</v>
      </c>
      <c r="D212">
        <f t="shared" si="57"/>
        <v>7</v>
      </c>
      <c r="E212">
        <f t="shared" si="58"/>
        <v>0</v>
      </c>
      <c r="F212">
        <f t="shared" si="52"/>
        <v>0</v>
      </c>
      <c r="G212">
        <f t="shared" si="59"/>
        <v>1</v>
      </c>
      <c r="H212">
        <f t="shared" si="60"/>
        <v>50</v>
      </c>
      <c r="I212">
        <f t="shared" si="61"/>
        <v>25</v>
      </c>
      <c r="J212">
        <f t="shared" si="53"/>
        <v>0</v>
      </c>
      <c r="K212">
        <f t="shared" si="54"/>
        <v>0</v>
      </c>
      <c r="L212">
        <f t="shared" si="62"/>
        <v>54</v>
      </c>
      <c r="M212">
        <f t="shared" si="63"/>
        <v>32</v>
      </c>
      <c r="N212">
        <f t="shared" si="64"/>
        <v>1</v>
      </c>
      <c r="O212">
        <f t="shared" si="65"/>
        <v>17</v>
      </c>
      <c r="P212">
        <f t="shared" si="55"/>
        <v>7</v>
      </c>
      <c r="Q212">
        <f t="shared" si="66"/>
        <v>37</v>
      </c>
      <c r="R212">
        <f t="shared" si="67"/>
        <v>25</v>
      </c>
    </row>
    <row r="213" spans="1:18" x14ac:dyDescent="0.25">
      <c r="A213" s="1">
        <v>44862</v>
      </c>
      <c r="B213">
        <f t="shared" si="51"/>
        <v>5</v>
      </c>
      <c r="C213">
        <f t="shared" si="56"/>
        <v>37</v>
      </c>
      <c r="D213">
        <f t="shared" si="57"/>
        <v>25</v>
      </c>
      <c r="E213">
        <f t="shared" si="58"/>
        <v>0</v>
      </c>
      <c r="F213">
        <f t="shared" si="52"/>
        <v>0</v>
      </c>
      <c r="G213">
        <f t="shared" si="59"/>
        <v>0</v>
      </c>
      <c r="H213">
        <f t="shared" si="60"/>
        <v>0</v>
      </c>
      <c r="I213">
        <f t="shared" si="61"/>
        <v>0</v>
      </c>
      <c r="J213">
        <f t="shared" si="53"/>
        <v>0</v>
      </c>
      <c r="K213">
        <f t="shared" si="54"/>
        <v>0</v>
      </c>
      <c r="L213">
        <f t="shared" si="62"/>
        <v>37</v>
      </c>
      <c r="M213">
        <f t="shared" si="63"/>
        <v>25</v>
      </c>
      <c r="N213">
        <f t="shared" si="64"/>
        <v>1</v>
      </c>
      <c r="O213">
        <f t="shared" si="65"/>
        <v>12</v>
      </c>
      <c r="P213">
        <f t="shared" si="55"/>
        <v>5</v>
      </c>
      <c r="Q213">
        <f t="shared" si="66"/>
        <v>25</v>
      </c>
      <c r="R213">
        <f t="shared" si="67"/>
        <v>20</v>
      </c>
    </row>
    <row r="214" spans="1:18" x14ac:dyDescent="0.25">
      <c r="A214" s="1">
        <v>44863</v>
      </c>
      <c r="B214">
        <f t="shared" si="51"/>
        <v>6</v>
      </c>
      <c r="C214">
        <f t="shared" si="56"/>
        <v>25</v>
      </c>
      <c r="D214">
        <f t="shared" si="57"/>
        <v>20</v>
      </c>
      <c r="E214">
        <f t="shared" si="58"/>
        <v>0</v>
      </c>
      <c r="F214">
        <f t="shared" si="52"/>
        <v>0</v>
      </c>
      <c r="G214">
        <f t="shared" si="59"/>
        <v>0</v>
      </c>
      <c r="H214">
        <f t="shared" si="60"/>
        <v>0</v>
      </c>
      <c r="I214">
        <f t="shared" si="61"/>
        <v>0</v>
      </c>
      <c r="J214">
        <f t="shared" si="53"/>
        <v>0</v>
      </c>
      <c r="K214">
        <f t="shared" si="54"/>
        <v>0</v>
      </c>
      <c r="L214">
        <f t="shared" si="62"/>
        <v>25</v>
      </c>
      <c r="M214">
        <f t="shared" si="63"/>
        <v>20</v>
      </c>
      <c r="N214">
        <f t="shared" si="64"/>
        <v>1</v>
      </c>
      <c r="O214">
        <f t="shared" si="65"/>
        <v>8</v>
      </c>
      <c r="P214">
        <f t="shared" si="55"/>
        <v>4</v>
      </c>
      <c r="Q214">
        <f t="shared" si="66"/>
        <v>17</v>
      </c>
      <c r="R214">
        <f t="shared" si="67"/>
        <v>16</v>
      </c>
    </row>
    <row r="215" spans="1:18" x14ac:dyDescent="0.25">
      <c r="A215" s="1">
        <v>44864</v>
      </c>
      <c r="B215">
        <f t="shared" si="51"/>
        <v>7</v>
      </c>
      <c r="C215">
        <f t="shared" si="56"/>
        <v>17</v>
      </c>
      <c r="D215">
        <f t="shared" si="57"/>
        <v>16</v>
      </c>
      <c r="E215">
        <f t="shared" si="58"/>
        <v>0</v>
      </c>
      <c r="F215">
        <f t="shared" si="52"/>
        <v>0</v>
      </c>
      <c r="G215">
        <f t="shared" si="59"/>
        <v>0</v>
      </c>
      <c r="H215">
        <f t="shared" si="60"/>
        <v>0</v>
      </c>
      <c r="I215">
        <f t="shared" si="61"/>
        <v>0</v>
      </c>
      <c r="J215">
        <f t="shared" si="53"/>
        <v>0</v>
      </c>
      <c r="K215">
        <f t="shared" si="54"/>
        <v>0</v>
      </c>
      <c r="L215">
        <f t="shared" si="62"/>
        <v>17</v>
      </c>
      <c r="M215">
        <f t="shared" si="63"/>
        <v>16</v>
      </c>
      <c r="N215">
        <f t="shared" si="64"/>
        <v>0</v>
      </c>
      <c r="O215">
        <f t="shared" si="65"/>
        <v>0</v>
      </c>
      <c r="P215">
        <f t="shared" si="55"/>
        <v>0</v>
      </c>
      <c r="Q215">
        <f t="shared" si="66"/>
        <v>17</v>
      </c>
      <c r="R215">
        <f t="shared" si="67"/>
        <v>16</v>
      </c>
    </row>
    <row r="216" spans="1:18" x14ac:dyDescent="0.25">
      <c r="A216" s="1">
        <v>44865</v>
      </c>
      <c r="B216">
        <f t="shared" si="51"/>
        <v>1</v>
      </c>
      <c r="C216">
        <f t="shared" si="56"/>
        <v>17</v>
      </c>
      <c r="D216">
        <f t="shared" si="57"/>
        <v>16</v>
      </c>
      <c r="E216">
        <f t="shared" si="58"/>
        <v>1</v>
      </c>
      <c r="F216">
        <f t="shared" si="52"/>
        <v>1</v>
      </c>
      <c r="G216">
        <f t="shared" si="59"/>
        <v>0</v>
      </c>
      <c r="H216">
        <f t="shared" si="60"/>
        <v>0</v>
      </c>
      <c r="I216">
        <f t="shared" si="61"/>
        <v>0</v>
      </c>
      <c r="J216">
        <f t="shared" si="53"/>
        <v>0</v>
      </c>
      <c r="K216">
        <f t="shared" si="54"/>
        <v>0</v>
      </c>
      <c r="L216">
        <f t="shared" si="62"/>
        <v>16</v>
      </c>
      <c r="M216">
        <f t="shared" si="63"/>
        <v>16</v>
      </c>
      <c r="N216">
        <f t="shared" si="64"/>
        <v>1</v>
      </c>
      <c r="O216">
        <f t="shared" si="65"/>
        <v>5</v>
      </c>
      <c r="P216">
        <f t="shared" si="55"/>
        <v>4</v>
      </c>
      <c r="Q216">
        <f t="shared" si="66"/>
        <v>11</v>
      </c>
      <c r="R216">
        <f t="shared" si="67"/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934A-8C63-4596-ADC8-21FDAF25B345}">
  <dimension ref="A2:T216"/>
  <sheetViews>
    <sheetView workbookViewId="0">
      <selection activeCell="J13" sqref="J13"/>
    </sheetView>
  </sheetViews>
  <sheetFormatPr defaultRowHeight="15" x14ac:dyDescent="0.25"/>
  <cols>
    <col min="1" max="1" width="10.140625" bestFit="1" customWidth="1"/>
    <col min="2" max="2" width="14.140625" bestFit="1" customWidth="1"/>
    <col min="3" max="3" width="11.28515625" bestFit="1" customWidth="1"/>
    <col min="4" max="4" width="9.85546875" bestFit="1" customWidth="1"/>
    <col min="5" max="5" width="11.7109375" bestFit="1" customWidth="1"/>
    <col min="6" max="6" width="11.7109375" customWidth="1"/>
    <col min="7" max="7" width="11.5703125" bestFit="1" customWidth="1"/>
    <col min="9" max="9" width="8.42578125" bestFit="1" customWidth="1"/>
    <col min="10" max="10" width="14.28515625" bestFit="1" customWidth="1"/>
    <col min="11" max="11" width="19.85546875" bestFit="1" customWidth="1"/>
    <col min="12" max="12" width="11.7109375" bestFit="1" customWidth="1"/>
    <col min="13" max="13" width="9.85546875" bestFit="1" customWidth="1"/>
    <col min="14" max="14" width="11.85546875" bestFit="1" customWidth="1"/>
    <col min="15" max="15" width="20" bestFit="1" customWidth="1"/>
    <col min="16" max="16" width="19.28515625" bestFit="1" customWidth="1"/>
    <col min="17" max="17" width="10.5703125" bestFit="1" customWidth="1"/>
    <col min="18" max="18" width="9.85546875" bestFit="1" customWidth="1"/>
  </cols>
  <sheetData>
    <row r="2" spans="1:20" x14ac:dyDescent="0.25">
      <c r="A2" t="s">
        <v>0</v>
      </c>
      <c r="B2" t="s">
        <v>1</v>
      </c>
      <c r="C2" t="s">
        <v>2</v>
      </c>
      <c r="D2" t="s">
        <v>3</v>
      </c>
      <c r="E2" t="s">
        <v>14</v>
      </c>
      <c r="F2" t="s">
        <v>15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3</v>
      </c>
      <c r="N2" t="s">
        <v>10</v>
      </c>
      <c r="O2" t="s">
        <v>11</v>
      </c>
      <c r="P2" t="s">
        <v>12</v>
      </c>
      <c r="Q2" t="s">
        <v>13</v>
      </c>
      <c r="R2" t="s">
        <v>3</v>
      </c>
    </row>
    <row r="3" spans="1:20" x14ac:dyDescent="0.25">
      <c r="A3" s="1">
        <v>44652</v>
      </c>
      <c r="B3">
        <f>WEEKDAY(A3, 2)</f>
        <v>5</v>
      </c>
      <c r="C3">
        <v>100</v>
      </c>
      <c r="D3">
        <v>75</v>
      </c>
      <c r="E3">
        <f>IF(B3=1,1,0)</f>
        <v>0</v>
      </c>
      <c r="F3">
        <f>IF(E3=1,ROUNDUP(5% * C3,0),0)</f>
        <v>0</v>
      </c>
      <c r="G3">
        <f>IF(B3=4,1,0)</f>
        <v>0</v>
      </c>
      <c r="H3">
        <f>IF(G3=1,50,0)</f>
        <v>0</v>
      </c>
      <c r="I3">
        <f>IF(G3=1,25,0)</f>
        <v>0</v>
      </c>
      <c r="J3">
        <v>0</v>
      </c>
      <c r="K3">
        <f>IF(J3=1,15,0)</f>
        <v>0</v>
      </c>
      <c r="L3">
        <f>K3+H3+C3-F3</f>
        <v>100</v>
      </c>
      <c r="M3">
        <f>I3+D3</f>
        <v>75</v>
      </c>
      <c r="N3">
        <f>IF(B3&lt;&gt;7,1,0)</f>
        <v>1</v>
      </c>
      <c r="O3">
        <f>IF(N3=1,ROUNDUP(30% * L3,0),0)</f>
        <v>30</v>
      </c>
      <c r="P3">
        <f>IF(N3=1,ROUNDUP(20% * M3,0),0)</f>
        <v>15</v>
      </c>
      <c r="Q3">
        <f>L3-O3</f>
        <v>70</v>
      </c>
      <c r="R3">
        <f>M3-P3</f>
        <v>60</v>
      </c>
      <c r="T3">
        <f>COUNTIF(G3:G216,1)</f>
        <v>30</v>
      </c>
    </row>
    <row r="4" spans="1:20" x14ac:dyDescent="0.25">
      <c r="A4" s="1">
        <v>44653</v>
      </c>
      <c r="B4">
        <f t="shared" ref="B4:B67" si="0">WEEKDAY(A4, 2)</f>
        <v>6</v>
      </c>
      <c r="C4">
        <f>Q3</f>
        <v>70</v>
      </c>
      <c r="D4">
        <f>R3</f>
        <v>60</v>
      </c>
      <c r="E4">
        <f>IF(B4=1,1,0)</f>
        <v>0</v>
      </c>
      <c r="F4">
        <f t="shared" ref="F4:F67" si="1">IF(E4=1,ROUNDUP(5% * C4,0),0)</f>
        <v>0</v>
      </c>
      <c r="G4">
        <f>IF(B4=4,1,0)</f>
        <v>0</v>
      </c>
      <c r="H4">
        <f>IF(G4=1,50,0)</f>
        <v>0</v>
      </c>
      <c r="I4">
        <f>IF(G4=1,25,0)</f>
        <v>0</v>
      </c>
      <c r="J4">
        <f t="shared" ref="J4:J67" si="2">IF(AND(B4=1,SUM(O1:O2)&gt;25),1,0)</f>
        <v>0</v>
      </c>
      <c r="K4">
        <f t="shared" ref="K4:K67" si="3">IF(J4=1,15,0)</f>
        <v>0</v>
      </c>
      <c r="L4">
        <f>K4+H4+C4-F4</f>
        <v>70</v>
      </c>
      <c r="M4">
        <f>I4+D4</f>
        <v>60</v>
      </c>
      <c r="N4">
        <f>IF(B4&lt;&gt;7,1,0)</f>
        <v>1</v>
      </c>
      <c r="O4">
        <f>IF(N4=1,ROUNDUP(30% * L4,0),0)</f>
        <v>21</v>
      </c>
      <c r="P4">
        <f t="shared" ref="P4:P67" si="4">IF(N4=1,ROUNDUP(20% * M4,0),0)</f>
        <v>12</v>
      </c>
      <c r="Q4">
        <f>L4-O4</f>
        <v>49</v>
      </c>
      <c r="R4">
        <f>M4-P4</f>
        <v>48</v>
      </c>
    </row>
    <row r="5" spans="1:20" x14ac:dyDescent="0.25">
      <c r="A5" s="1">
        <v>44654</v>
      </c>
      <c r="B5">
        <f t="shared" si="0"/>
        <v>7</v>
      </c>
      <c r="C5">
        <f t="shared" ref="C5:D68" si="5">Q4</f>
        <v>49</v>
      </c>
      <c r="D5">
        <f t="shared" si="5"/>
        <v>48</v>
      </c>
      <c r="E5">
        <f t="shared" ref="E5:E68" si="6">IF(B5=1,1,0)</f>
        <v>0</v>
      </c>
      <c r="F5">
        <f t="shared" si="1"/>
        <v>0</v>
      </c>
      <c r="G5">
        <f t="shared" ref="G5:G68" si="7">IF(B5=4,1,0)</f>
        <v>0</v>
      </c>
      <c r="H5">
        <f t="shared" ref="H5:H68" si="8">IF(G5=1,50,0)</f>
        <v>0</v>
      </c>
      <c r="I5">
        <f t="shared" ref="I5:I68" si="9">IF(G5=1,25,0)</f>
        <v>0</v>
      </c>
      <c r="J5">
        <f t="shared" si="2"/>
        <v>0</v>
      </c>
      <c r="K5">
        <f t="shared" si="3"/>
        <v>0</v>
      </c>
      <c r="L5">
        <f t="shared" ref="L5:L68" si="10">K5+H5+C5-F5</f>
        <v>49</v>
      </c>
      <c r="M5">
        <f t="shared" ref="M5:M68" si="11">I5+D5</f>
        <v>48</v>
      </c>
      <c r="N5">
        <f t="shared" ref="N5:N68" si="12">IF(B5&lt;&gt;7,1,0)</f>
        <v>0</v>
      </c>
      <c r="O5">
        <f t="shared" ref="O5:O68" si="13">IF(N5=1,ROUNDUP(30% * L5,0),0)</f>
        <v>0</v>
      </c>
      <c r="P5">
        <f t="shared" si="4"/>
        <v>0</v>
      </c>
      <c r="Q5">
        <f t="shared" ref="Q5:R68" si="14">L5-O5</f>
        <v>49</v>
      </c>
      <c r="R5">
        <f t="shared" si="14"/>
        <v>48</v>
      </c>
    </row>
    <row r="6" spans="1:20" x14ac:dyDescent="0.25">
      <c r="A6" s="1">
        <v>44655</v>
      </c>
      <c r="B6">
        <f t="shared" si="0"/>
        <v>1</v>
      </c>
      <c r="C6">
        <f t="shared" si="5"/>
        <v>49</v>
      </c>
      <c r="D6">
        <f t="shared" si="5"/>
        <v>48</v>
      </c>
      <c r="E6">
        <f t="shared" si="6"/>
        <v>1</v>
      </c>
      <c r="F6">
        <f t="shared" si="1"/>
        <v>3</v>
      </c>
      <c r="G6">
        <f t="shared" si="7"/>
        <v>0</v>
      </c>
      <c r="H6">
        <f t="shared" si="8"/>
        <v>0</v>
      </c>
      <c r="I6">
        <f t="shared" si="9"/>
        <v>0</v>
      </c>
      <c r="J6">
        <f t="shared" si="2"/>
        <v>1</v>
      </c>
      <c r="K6">
        <f t="shared" si="3"/>
        <v>15</v>
      </c>
      <c r="L6">
        <f t="shared" si="10"/>
        <v>61</v>
      </c>
      <c r="M6">
        <f t="shared" si="11"/>
        <v>48</v>
      </c>
      <c r="N6">
        <f t="shared" si="12"/>
        <v>1</v>
      </c>
      <c r="O6">
        <f t="shared" si="13"/>
        <v>19</v>
      </c>
      <c r="P6">
        <f t="shared" si="4"/>
        <v>10</v>
      </c>
      <c r="Q6">
        <f t="shared" si="14"/>
        <v>42</v>
      </c>
      <c r="R6">
        <f t="shared" si="14"/>
        <v>38</v>
      </c>
    </row>
    <row r="7" spans="1:20" x14ac:dyDescent="0.25">
      <c r="A7" s="1">
        <v>44656</v>
      </c>
      <c r="B7">
        <f t="shared" si="0"/>
        <v>2</v>
      </c>
      <c r="C7">
        <f t="shared" si="5"/>
        <v>42</v>
      </c>
      <c r="D7">
        <f t="shared" si="5"/>
        <v>38</v>
      </c>
      <c r="E7">
        <f t="shared" si="6"/>
        <v>0</v>
      </c>
      <c r="F7">
        <f t="shared" si="1"/>
        <v>0</v>
      </c>
      <c r="G7">
        <f t="shared" si="7"/>
        <v>0</v>
      </c>
      <c r="H7">
        <f t="shared" si="8"/>
        <v>0</v>
      </c>
      <c r="I7">
        <f t="shared" si="9"/>
        <v>0</v>
      </c>
      <c r="J7">
        <f t="shared" si="2"/>
        <v>0</v>
      </c>
      <c r="K7">
        <f t="shared" si="3"/>
        <v>0</v>
      </c>
      <c r="L7">
        <f t="shared" si="10"/>
        <v>42</v>
      </c>
      <c r="M7">
        <f t="shared" si="11"/>
        <v>38</v>
      </c>
      <c r="N7">
        <f t="shared" si="12"/>
        <v>1</v>
      </c>
      <c r="O7">
        <f t="shared" si="13"/>
        <v>13</v>
      </c>
      <c r="P7">
        <f t="shared" si="4"/>
        <v>8</v>
      </c>
      <c r="Q7">
        <f t="shared" si="14"/>
        <v>29</v>
      </c>
      <c r="R7">
        <f t="shared" si="14"/>
        <v>30</v>
      </c>
      <c r="T7">
        <f>COUNTIF(J3:J216,1)</f>
        <v>2</v>
      </c>
    </row>
    <row r="8" spans="1:20" x14ac:dyDescent="0.25">
      <c r="A8" s="1">
        <v>44657</v>
      </c>
      <c r="B8">
        <f t="shared" si="0"/>
        <v>3</v>
      </c>
      <c r="C8">
        <f t="shared" si="5"/>
        <v>29</v>
      </c>
      <c r="D8">
        <f t="shared" si="5"/>
        <v>30</v>
      </c>
      <c r="E8">
        <f t="shared" si="6"/>
        <v>0</v>
      </c>
      <c r="F8">
        <f t="shared" si="1"/>
        <v>0</v>
      </c>
      <c r="G8">
        <f t="shared" si="7"/>
        <v>0</v>
      </c>
      <c r="H8">
        <f t="shared" si="8"/>
        <v>0</v>
      </c>
      <c r="I8">
        <f t="shared" si="9"/>
        <v>0</v>
      </c>
      <c r="J8">
        <f t="shared" si="2"/>
        <v>0</v>
      </c>
      <c r="K8">
        <f t="shared" si="3"/>
        <v>0</v>
      </c>
      <c r="L8">
        <f t="shared" si="10"/>
        <v>29</v>
      </c>
      <c r="M8">
        <f t="shared" si="11"/>
        <v>30</v>
      </c>
      <c r="N8">
        <f t="shared" si="12"/>
        <v>1</v>
      </c>
      <c r="O8">
        <f t="shared" si="13"/>
        <v>9</v>
      </c>
      <c r="P8">
        <f t="shared" si="4"/>
        <v>6</v>
      </c>
      <c r="Q8">
        <f t="shared" si="14"/>
        <v>20</v>
      </c>
      <c r="R8">
        <f t="shared" si="14"/>
        <v>24</v>
      </c>
    </row>
    <row r="9" spans="1:20" x14ac:dyDescent="0.25">
      <c r="A9" s="1">
        <v>44658</v>
      </c>
      <c r="B9">
        <f t="shared" si="0"/>
        <v>4</v>
      </c>
      <c r="C9">
        <f t="shared" si="5"/>
        <v>20</v>
      </c>
      <c r="D9">
        <f t="shared" si="5"/>
        <v>24</v>
      </c>
      <c r="E9">
        <f t="shared" si="6"/>
        <v>0</v>
      </c>
      <c r="F9">
        <f t="shared" si="1"/>
        <v>0</v>
      </c>
      <c r="G9">
        <f t="shared" si="7"/>
        <v>1</v>
      </c>
      <c r="H9">
        <f t="shared" si="8"/>
        <v>50</v>
      </c>
      <c r="I9">
        <f t="shared" si="9"/>
        <v>25</v>
      </c>
      <c r="J9">
        <f t="shared" si="2"/>
        <v>0</v>
      </c>
      <c r="K9">
        <f t="shared" si="3"/>
        <v>0</v>
      </c>
      <c r="L9">
        <f t="shared" si="10"/>
        <v>70</v>
      </c>
      <c r="M9">
        <f t="shared" si="11"/>
        <v>49</v>
      </c>
      <c r="N9">
        <f t="shared" si="12"/>
        <v>1</v>
      </c>
      <c r="O9">
        <f t="shared" si="13"/>
        <v>21</v>
      </c>
      <c r="P9">
        <f t="shared" si="4"/>
        <v>10</v>
      </c>
      <c r="Q9">
        <f t="shared" si="14"/>
        <v>49</v>
      </c>
      <c r="R9">
        <f t="shared" si="14"/>
        <v>39</v>
      </c>
    </row>
    <row r="10" spans="1:20" x14ac:dyDescent="0.25">
      <c r="A10" s="1">
        <v>44659</v>
      </c>
      <c r="B10">
        <f t="shared" si="0"/>
        <v>5</v>
      </c>
      <c r="C10">
        <f t="shared" si="5"/>
        <v>49</v>
      </c>
      <c r="D10">
        <f t="shared" si="5"/>
        <v>39</v>
      </c>
      <c r="E10">
        <f t="shared" si="6"/>
        <v>0</v>
      </c>
      <c r="F10">
        <f t="shared" si="1"/>
        <v>0</v>
      </c>
      <c r="G10">
        <f t="shared" si="7"/>
        <v>0</v>
      </c>
      <c r="H10">
        <f t="shared" si="8"/>
        <v>0</v>
      </c>
      <c r="I10">
        <f t="shared" si="9"/>
        <v>0</v>
      </c>
      <c r="J10">
        <f t="shared" si="2"/>
        <v>0</v>
      </c>
      <c r="K10">
        <f t="shared" si="3"/>
        <v>0</v>
      </c>
      <c r="L10">
        <f t="shared" si="10"/>
        <v>49</v>
      </c>
      <c r="M10">
        <f t="shared" si="11"/>
        <v>39</v>
      </c>
      <c r="N10">
        <f t="shared" si="12"/>
        <v>1</v>
      </c>
      <c r="O10">
        <f t="shared" si="13"/>
        <v>15</v>
      </c>
      <c r="P10">
        <f t="shared" si="4"/>
        <v>8</v>
      </c>
      <c r="Q10">
        <f t="shared" si="14"/>
        <v>34</v>
      </c>
      <c r="R10">
        <f t="shared" si="14"/>
        <v>31</v>
      </c>
    </row>
    <row r="11" spans="1:20" x14ac:dyDescent="0.25">
      <c r="A11" s="1">
        <v>44660</v>
      </c>
      <c r="B11">
        <f t="shared" si="0"/>
        <v>6</v>
      </c>
      <c r="C11">
        <f t="shared" si="5"/>
        <v>34</v>
      </c>
      <c r="D11">
        <f t="shared" si="5"/>
        <v>31</v>
      </c>
      <c r="E11">
        <f t="shared" si="6"/>
        <v>0</v>
      </c>
      <c r="F11">
        <f t="shared" si="1"/>
        <v>0</v>
      </c>
      <c r="G11">
        <f t="shared" si="7"/>
        <v>0</v>
      </c>
      <c r="H11">
        <f t="shared" si="8"/>
        <v>0</v>
      </c>
      <c r="I11">
        <f t="shared" si="9"/>
        <v>0</v>
      </c>
      <c r="J11">
        <f t="shared" si="2"/>
        <v>0</v>
      </c>
      <c r="K11">
        <f t="shared" si="3"/>
        <v>0</v>
      </c>
      <c r="L11">
        <f t="shared" si="10"/>
        <v>34</v>
      </c>
      <c r="M11">
        <f t="shared" si="11"/>
        <v>31</v>
      </c>
      <c r="N11">
        <f t="shared" si="12"/>
        <v>1</v>
      </c>
      <c r="O11">
        <f t="shared" si="13"/>
        <v>11</v>
      </c>
      <c r="P11">
        <f t="shared" si="4"/>
        <v>7</v>
      </c>
      <c r="Q11">
        <f t="shared" si="14"/>
        <v>23</v>
      </c>
      <c r="R11">
        <f t="shared" si="14"/>
        <v>24</v>
      </c>
    </row>
    <row r="12" spans="1:20" x14ac:dyDescent="0.25">
      <c r="A12" s="1">
        <v>44661</v>
      </c>
      <c r="B12">
        <f t="shared" si="0"/>
        <v>7</v>
      </c>
      <c r="C12">
        <f t="shared" si="5"/>
        <v>23</v>
      </c>
      <c r="D12">
        <f t="shared" si="5"/>
        <v>24</v>
      </c>
      <c r="E12">
        <f t="shared" si="6"/>
        <v>0</v>
      </c>
      <c r="F12">
        <f t="shared" si="1"/>
        <v>0</v>
      </c>
      <c r="G12">
        <f t="shared" si="7"/>
        <v>0</v>
      </c>
      <c r="H12">
        <f t="shared" si="8"/>
        <v>0</v>
      </c>
      <c r="I12">
        <f t="shared" si="9"/>
        <v>0</v>
      </c>
      <c r="J12">
        <f t="shared" si="2"/>
        <v>0</v>
      </c>
      <c r="K12">
        <f t="shared" si="3"/>
        <v>0</v>
      </c>
      <c r="L12">
        <f t="shared" si="10"/>
        <v>23</v>
      </c>
      <c r="M12">
        <f t="shared" si="11"/>
        <v>24</v>
      </c>
      <c r="N12">
        <f t="shared" si="12"/>
        <v>0</v>
      </c>
      <c r="O12">
        <f t="shared" si="13"/>
        <v>0</v>
      </c>
      <c r="P12">
        <f t="shared" si="4"/>
        <v>0</v>
      </c>
      <c r="Q12">
        <f t="shared" si="14"/>
        <v>23</v>
      </c>
      <c r="R12">
        <f t="shared" si="14"/>
        <v>24</v>
      </c>
    </row>
    <row r="13" spans="1:20" x14ac:dyDescent="0.25">
      <c r="A13" s="1">
        <v>44662</v>
      </c>
      <c r="B13">
        <f t="shared" si="0"/>
        <v>1</v>
      </c>
      <c r="C13">
        <f t="shared" si="5"/>
        <v>23</v>
      </c>
      <c r="D13">
        <f t="shared" si="5"/>
        <v>24</v>
      </c>
      <c r="E13">
        <f t="shared" si="6"/>
        <v>1</v>
      </c>
      <c r="F13">
        <f t="shared" si="1"/>
        <v>2</v>
      </c>
      <c r="G13">
        <f t="shared" si="7"/>
        <v>0</v>
      </c>
      <c r="H13">
        <f t="shared" si="8"/>
        <v>0</v>
      </c>
      <c r="I13">
        <f t="shared" si="9"/>
        <v>0</v>
      </c>
      <c r="J13">
        <f t="shared" si="2"/>
        <v>1</v>
      </c>
      <c r="K13">
        <f t="shared" si="3"/>
        <v>15</v>
      </c>
      <c r="L13">
        <f t="shared" si="10"/>
        <v>36</v>
      </c>
      <c r="M13">
        <f t="shared" si="11"/>
        <v>24</v>
      </c>
      <c r="N13">
        <f t="shared" si="12"/>
        <v>1</v>
      </c>
      <c r="O13">
        <f t="shared" si="13"/>
        <v>11</v>
      </c>
      <c r="P13">
        <f t="shared" si="4"/>
        <v>5</v>
      </c>
      <c r="Q13">
        <f t="shared" si="14"/>
        <v>25</v>
      </c>
      <c r="R13">
        <f t="shared" si="14"/>
        <v>19</v>
      </c>
    </row>
    <row r="14" spans="1:20" x14ac:dyDescent="0.25">
      <c r="A14" s="1">
        <v>44663</v>
      </c>
      <c r="B14">
        <f t="shared" si="0"/>
        <v>2</v>
      </c>
      <c r="C14">
        <f t="shared" si="5"/>
        <v>25</v>
      </c>
      <c r="D14">
        <f t="shared" si="5"/>
        <v>19</v>
      </c>
      <c r="E14">
        <f t="shared" si="6"/>
        <v>0</v>
      </c>
      <c r="F14">
        <f t="shared" si="1"/>
        <v>0</v>
      </c>
      <c r="G14">
        <f t="shared" si="7"/>
        <v>0</v>
      </c>
      <c r="H14">
        <f t="shared" si="8"/>
        <v>0</v>
      </c>
      <c r="I14">
        <f t="shared" si="9"/>
        <v>0</v>
      </c>
      <c r="J14">
        <f t="shared" si="2"/>
        <v>0</v>
      </c>
      <c r="K14">
        <f t="shared" si="3"/>
        <v>0</v>
      </c>
      <c r="L14">
        <f t="shared" si="10"/>
        <v>25</v>
      </c>
      <c r="M14">
        <f t="shared" si="11"/>
        <v>19</v>
      </c>
      <c r="N14">
        <f t="shared" si="12"/>
        <v>1</v>
      </c>
      <c r="O14">
        <f t="shared" si="13"/>
        <v>8</v>
      </c>
      <c r="P14">
        <f t="shared" si="4"/>
        <v>4</v>
      </c>
      <c r="Q14">
        <f t="shared" si="14"/>
        <v>17</v>
      </c>
      <c r="R14">
        <f t="shared" si="14"/>
        <v>15</v>
      </c>
    </row>
    <row r="15" spans="1:20" x14ac:dyDescent="0.25">
      <c r="A15" s="1">
        <v>44664</v>
      </c>
      <c r="B15">
        <f t="shared" si="0"/>
        <v>3</v>
      </c>
      <c r="C15">
        <f t="shared" si="5"/>
        <v>17</v>
      </c>
      <c r="D15">
        <f t="shared" si="5"/>
        <v>15</v>
      </c>
      <c r="E15">
        <f t="shared" si="6"/>
        <v>0</v>
      </c>
      <c r="F15">
        <f t="shared" si="1"/>
        <v>0</v>
      </c>
      <c r="G15">
        <f t="shared" si="7"/>
        <v>0</v>
      </c>
      <c r="H15">
        <f t="shared" si="8"/>
        <v>0</v>
      </c>
      <c r="I15">
        <f t="shared" si="9"/>
        <v>0</v>
      </c>
      <c r="J15">
        <f t="shared" si="2"/>
        <v>0</v>
      </c>
      <c r="K15">
        <f t="shared" si="3"/>
        <v>0</v>
      </c>
      <c r="L15">
        <f t="shared" si="10"/>
        <v>17</v>
      </c>
      <c r="M15">
        <f t="shared" si="11"/>
        <v>15</v>
      </c>
      <c r="N15">
        <f t="shared" si="12"/>
        <v>1</v>
      </c>
      <c r="O15">
        <f t="shared" si="13"/>
        <v>6</v>
      </c>
      <c r="P15">
        <f t="shared" si="4"/>
        <v>3</v>
      </c>
      <c r="Q15">
        <f t="shared" si="14"/>
        <v>11</v>
      </c>
      <c r="R15">
        <f t="shared" si="14"/>
        <v>12</v>
      </c>
    </row>
    <row r="16" spans="1:20" x14ac:dyDescent="0.25">
      <c r="A16" s="1">
        <v>44665</v>
      </c>
      <c r="B16">
        <f t="shared" si="0"/>
        <v>4</v>
      </c>
      <c r="C16">
        <f t="shared" si="5"/>
        <v>11</v>
      </c>
      <c r="D16">
        <f t="shared" si="5"/>
        <v>12</v>
      </c>
      <c r="E16">
        <f t="shared" si="6"/>
        <v>0</v>
      </c>
      <c r="F16">
        <f t="shared" si="1"/>
        <v>0</v>
      </c>
      <c r="G16">
        <f t="shared" si="7"/>
        <v>1</v>
      </c>
      <c r="H16">
        <f t="shared" si="8"/>
        <v>50</v>
      </c>
      <c r="I16">
        <f t="shared" si="9"/>
        <v>25</v>
      </c>
      <c r="J16">
        <f t="shared" si="2"/>
        <v>0</v>
      </c>
      <c r="K16">
        <f t="shared" si="3"/>
        <v>0</v>
      </c>
      <c r="L16">
        <f t="shared" si="10"/>
        <v>61</v>
      </c>
      <c r="M16">
        <f t="shared" si="11"/>
        <v>37</v>
      </c>
      <c r="N16">
        <f t="shared" si="12"/>
        <v>1</v>
      </c>
      <c r="O16">
        <f t="shared" si="13"/>
        <v>19</v>
      </c>
      <c r="P16">
        <f t="shared" si="4"/>
        <v>8</v>
      </c>
      <c r="Q16">
        <f t="shared" si="14"/>
        <v>42</v>
      </c>
      <c r="R16">
        <f t="shared" si="14"/>
        <v>29</v>
      </c>
    </row>
    <row r="17" spans="1:18" x14ac:dyDescent="0.25">
      <c r="A17" s="1">
        <v>44666</v>
      </c>
      <c r="B17">
        <f t="shared" si="0"/>
        <v>5</v>
      </c>
      <c r="C17">
        <f t="shared" si="5"/>
        <v>42</v>
      </c>
      <c r="D17">
        <f t="shared" si="5"/>
        <v>29</v>
      </c>
      <c r="E17">
        <f t="shared" si="6"/>
        <v>0</v>
      </c>
      <c r="F17">
        <f t="shared" si="1"/>
        <v>0</v>
      </c>
      <c r="G17">
        <f t="shared" si="7"/>
        <v>0</v>
      </c>
      <c r="H17">
        <f t="shared" si="8"/>
        <v>0</v>
      </c>
      <c r="I17">
        <f t="shared" si="9"/>
        <v>0</v>
      </c>
      <c r="J17">
        <f t="shared" si="2"/>
        <v>0</v>
      </c>
      <c r="K17">
        <f t="shared" si="3"/>
        <v>0</v>
      </c>
      <c r="L17">
        <f t="shared" si="10"/>
        <v>42</v>
      </c>
      <c r="M17">
        <f t="shared" si="11"/>
        <v>29</v>
      </c>
      <c r="N17">
        <f t="shared" si="12"/>
        <v>1</v>
      </c>
      <c r="O17">
        <f t="shared" si="13"/>
        <v>13</v>
      </c>
      <c r="P17">
        <f t="shared" si="4"/>
        <v>6</v>
      </c>
      <c r="Q17">
        <f t="shared" si="14"/>
        <v>29</v>
      </c>
      <c r="R17">
        <f t="shared" si="14"/>
        <v>23</v>
      </c>
    </row>
    <row r="18" spans="1:18" x14ac:dyDescent="0.25">
      <c r="A18" s="1">
        <v>44667</v>
      </c>
      <c r="B18">
        <f t="shared" si="0"/>
        <v>6</v>
      </c>
      <c r="C18">
        <f t="shared" si="5"/>
        <v>29</v>
      </c>
      <c r="D18">
        <f t="shared" si="5"/>
        <v>23</v>
      </c>
      <c r="E18">
        <f t="shared" si="6"/>
        <v>0</v>
      </c>
      <c r="F18">
        <f t="shared" si="1"/>
        <v>0</v>
      </c>
      <c r="G18">
        <f t="shared" si="7"/>
        <v>0</v>
      </c>
      <c r="H18">
        <f t="shared" si="8"/>
        <v>0</v>
      </c>
      <c r="I18">
        <f t="shared" si="9"/>
        <v>0</v>
      </c>
      <c r="J18">
        <f t="shared" si="2"/>
        <v>0</v>
      </c>
      <c r="K18">
        <f t="shared" si="3"/>
        <v>0</v>
      </c>
      <c r="L18">
        <f t="shared" si="10"/>
        <v>29</v>
      </c>
      <c r="M18">
        <f t="shared" si="11"/>
        <v>23</v>
      </c>
      <c r="N18">
        <f t="shared" si="12"/>
        <v>1</v>
      </c>
      <c r="O18">
        <f t="shared" si="13"/>
        <v>9</v>
      </c>
      <c r="P18">
        <f t="shared" si="4"/>
        <v>5</v>
      </c>
      <c r="Q18">
        <f t="shared" si="14"/>
        <v>20</v>
      </c>
      <c r="R18">
        <f t="shared" si="14"/>
        <v>18</v>
      </c>
    </row>
    <row r="19" spans="1:18" x14ac:dyDescent="0.25">
      <c r="A19" s="1">
        <v>44668</v>
      </c>
      <c r="B19">
        <f t="shared" si="0"/>
        <v>7</v>
      </c>
      <c r="C19">
        <f t="shared" si="5"/>
        <v>20</v>
      </c>
      <c r="D19">
        <f t="shared" si="5"/>
        <v>18</v>
      </c>
      <c r="E19">
        <f t="shared" si="6"/>
        <v>0</v>
      </c>
      <c r="F19">
        <f t="shared" si="1"/>
        <v>0</v>
      </c>
      <c r="G19">
        <f t="shared" si="7"/>
        <v>0</v>
      </c>
      <c r="H19">
        <f t="shared" si="8"/>
        <v>0</v>
      </c>
      <c r="I19">
        <f t="shared" si="9"/>
        <v>0</v>
      </c>
      <c r="J19">
        <f t="shared" si="2"/>
        <v>0</v>
      </c>
      <c r="K19">
        <f t="shared" si="3"/>
        <v>0</v>
      </c>
      <c r="L19">
        <f t="shared" si="10"/>
        <v>20</v>
      </c>
      <c r="M19">
        <f t="shared" si="11"/>
        <v>18</v>
      </c>
      <c r="N19">
        <f t="shared" si="12"/>
        <v>0</v>
      </c>
      <c r="O19">
        <f t="shared" si="13"/>
        <v>0</v>
      </c>
      <c r="P19">
        <f t="shared" si="4"/>
        <v>0</v>
      </c>
      <c r="Q19">
        <f t="shared" si="14"/>
        <v>20</v>
      </c>
      <c r="R19">
        <f t="shared" si="14"/>
        <v>18</v>
      </c>
    </row>
    <row r="20" spans="1:18" x14ac:dyDescent="0.25">
      <c r="A20" s="1">
        <v>44669</v>
      </c>
      <c r="B20">
        <f t="shared" si="0"/>
        <v>1</v>
      </c>
      <c r="C20">
        <f t="shared" si="5"/>
        <v>20</v>
      </c>
      <c r="D20">
        <f t="shared" si="5"/>
        <v>18</v>
      </c>
      <c r="E20">
        <f t="shared" si="6"/>
        <v>1</v>
      </c>
      <c r="F20">
        <f t="shared" si="1"/>
        <v>1</v>
      </c>
      <c r="G20">
        <f t="shared" si="7"/>
        <v>0</v>
      </c>
      <c r="H20">
        <f t="shared" si="8"/>
        <v>0</v>
      </c>
      <c r="I20">
        <f t="shared" si="9"/>
        <v>0</v>
      </c>
      <c r="J20">
        <f t="shared" si="2"/>
        <v>0</v>
      </c>
      <c r="K20">
        <f t="shared" si="3"/>
        <v>0</v>
      </c>
      <c r="L20">
        <f t="shared" si="10"/>
        <v>19</v>
      </c>
      <c r="M20">
        <f t="shared" si="11"/>
        <v>18</v>
      </c>
      <c r="N20">
        <f t="shared" si="12"/>
        <v>1</v>
      </c>
      <c r="O20">
        <f t="shared" si="13"/>
        <v>6</v>
      </c>
      <c r="P20">
        <f t="shared" si="4"/>
        <v>4</v>
      </c>
      <c r="Q20">
        <f t="shared" si="14"/>
        <v>13</v>
      </c>
      <c r="R20">
        <f t="shared" si="14"/>
        <v>14</v>
      </c>
    </row>
    <row r="21" spans="1:18" x14ac:dyDescent="0.25">
      <c r="A21" s="1">
        <v>44670</v>
      </c>
      <c r="B21">
        <f t="shared" si="0"/>
        <v>2</v>
      </c>
      <c r="C21">
        <f t="shared" si="5"/>
        <v>13</v>
      </c>
      <c r="D21">
        <f t="shared" si="5"/>
        <v>14</v>
      </c>
      <c r="E21">
        <f t="shared" si="6"/>
        <v>0</v>
      </c>
      <c r="F21">
        <f t="shared" si="1"/>
        <v>0</v>
      </c>
      <c r="G21">
        <f t="shared" si="7"/>
        <v>0</v>
      </c>
      <c r="H21">
        <f t="shared" si="8"/>
        <v>0</v>
      </c>
      <c r="I21">
        <f t="shared" si="9"/>
        <v>0</v>
      </c>
      <c r="J21">
        <f t="shared" si="2"/>
        <v>0</v>
      </c>
      <c r="K21">
        <f t="shared" si="3"/>
        <v>0</v>
      </c>
      <c r="L21">
        <f t="shared" si="10"/>
        <v>13</v>
      </c>
      <c r="M21">
        <f t="shared" si="11"/>
        <v>14</v>
      </c>
      <c r="N21">
        <f t="shared" si="12"/>
        <v>1</v>
      </c>
      <c r="O21">
        <f t="shared" si="13"/>
        <v>4</v>
      </c>
      <c r="P21">
        <f t="shared" si="4"/>
        <v>3</v>
      </c>
      <c r="Q21">
        <f t="shared" si="14"/>
        <v>9</v>
      </c>
      <c r="R21">
        <f t="shared" si="14"/>
        <v>11</v>
      </c>
    </row>
    <row r="22" spans="1:18" x14ac:dyDescent="0.25">
      <c r="A22" s="1">
        <v>44671</v>
      </c>
      <c r="B22">
        <f t="shared" si="0"/>
        <v>3</v>
      </c>
      <c r="C22">
        <f t="shared" si="5"/>
        <v>9</v>
      </c>
      <c r="D22">
        <f t="shared" si="5"/>
        <v>11</v>
      </c>
      <c r="E22">
        <f t="shared" si="6"/>
        <v>0</v>
      </c>
      <c r="F22">
        <f t="shared" si="1"/>
        <v>0</v>
      </c>
      <c r="G22">
        <f t="shared" si="7"/>
        <v>0</v>
      </c>
      <c r="H22">
        <f t="shared" si="8"/>
        <v>0</v>
      </c>
      <c r="I22">
        <f t="shared" si="9"/>
        <v>0</v>
      </c>
      <c r="J22">
        <f t="shared" si="2"/>
        <v>0</v>
      </c>
      <c r="K22">
        <f t="shared" si="3"/>
        <v>0</v>
      </c>
      <c r="L22">
        <f t="shared" si="10"/>
        <v>9</v>
      </c>
      <c r="M22">
        <f t="shared" si="11"/>
        <v>11</v>
      </c>
      <c r="N22">
        <f t="shared" si="12"/>
        <v>1</v>
      </c>
      <c r="O22">
        <f t="shared" si="13"/>
        <v>3</v>
      </c>
      <c r="P22">
        <f t="shared" si="4"/>
        <v>3</v>
      </c>
      <c r="Q22">
        <f t="shared" si="14"/>
        <v>6</v>
      </c>
      <c r="R22">
        <f t="shared" si="14"/>
        <v>8</v>
      </c>
    </row>
    <row r="23" spans="1:18" x14ac:dyDescent="0.25">
      <c r="A23" s="1">
        <v>44672</v>
      </c>
      <c r="B23">
        <f t="shared" si="0"/>
        <v>4</v>
      </c>
      <c r="C23">
        <f t="shared" si="5"/>
        <v>6</v>
      </c>
      <c r="D23">
        <f t="shared" si="5"/>
        <v>8</v>
      </c>
      <c r="E23">
        <f t="shared" si="6"/>
        <v>0</v>
      </c>
      <c r="F23">
        <f t="shared" si="1"/>
        <v>0</v>
      </c>
      <c r="G23">
        <f t="shared" si="7"/>
        <v>1</v>
      </c>
      <c r="H23">
        <f t="shared" si="8"/>
        <v>50</v>
      </c>
      <c r="I23">
        <f t="shared" si="9"/>
        <v>25</v>
      </c>
      <c r="J23">
        <f t="shared" si="2"/>
        <v>0</v>
      </c>
      <c r="K23">
        <f t="shared" si="3"/>
        <v>0</v>
      </c>
      <c r="L23">
        <f t="shared" si="10"/>
        <v>56</v>
      </c>
      <c r="M23">
        <f t="shared" si="11"/>
        <v>33</v>
      </c>
      <c r="N23">
        <f t="shared" si="12"/>
        <v>1</v>
      </c>
      <c r="O23">
        <f t="shared" si="13"/>
        <v>17</v>
      </c>
      <c r="P23">
        <f t="shared" si="4"/>
        <v>7</v>
      </c>
      <c r="Q23">
        <f t="shared" si="14"/>
        <v>39</v>
      </c>
      <c r="R23">
        <f t="shared" si="14"/>
        <v>26</v>
      </c>
    </row>
    <row r="24" spans="1:18" x14ac:dyDescent="0.25">
      <c r="A24" s="1">
        <v>44673</v>
      </c>
      <c r="B24">
        <f t="shared" si="0"/>
        <v>5</v>
      </c>
      <c r="C24">
        <f t="shared" si="5"/>
        <v>39</v>
      </c>
      <c r="D24">
        <f t="shared" si="5"/>
        <v>26</v>
      </c>
      <c r="E24">
        <f t="shared" si="6"/>
        <v>0</v>
      </c>
      <c r="F24">
        <f t="shared" si="1"/>
        <v>0</v>
      </c>
      <c r="G24">
        <f t="shared" si="7"/>
        <v>0</v>
      </c>
      <c r="H24">
        <f t="shared" si="8"/>
        <v>0</v>
      </c>
      <c r="I24">
        <f t="shared" si="9"/>
        <v>0</v>
      </c>
      <c r="J24">
        <f t="shared" si="2"/>
        <v>0</v>
      </c>
      <c r="K24">
        <f t="shared" si="3"/>
        <v>0</v>
      </c>
      <c r="L24">
        <f t="shared" si="10"/>
        <v>39</v>
      </c>
      <c r="M24">
        <f t="shared" si="11"/>
        <v>26</v>
      </c>
      <c r="N24">
        <f t="shared" si="12"/>
        <v>1</v>
      </c>
      <c r="O24">
        <f t="shared" si="13"/>
        <v>12</v>
      </c>
      <c r="P24">
        <f t="shared" si="4"/>
        <v>6</v>
      </c>
      <c r="Q24">
        <f t="shared" si="14"/>
        <v>27</v>
      </c>
      <c r="R24">
        <f t="shared" si="14"/>
        <v>20</v>
      </c>
    </row>
    <row r="25" spans="1:18" x14ac:dyDescent="0.25">
      <c r="A25" s="1">
        <v>44674</v>
      </c>
      <c r="B25">
        <f t="shared" si="0"/>
        <v>6</v>
      </c>
      <c r="C25">
        <f t="shared" si="5"/>
        <v>27</v>
      </c>
      <c r="D25">
        <f t="shared" si="5"/>
        <v>20</v>
      </c>
      <c r="E25">
        <f t="shared" si="6"/>
        <v>0</v>
      </c>
      <c r="F25">
        <f t="shared" si="1"/>
        <v>0</v>
      </c>
      <c r="G25">
        <f t="shared" si="7"/>
        <v>0</v>
      </c>
      <c r="H25">
        <f t="shared" si="8"/>
        <v>0</v>
      </c>
      <c r="I25">
        <f t="shared" si="9"/>
        <v>0</v>
      </c>
      <c r="J25">
        <f t="shared" si="2"/>
        <v>0</v>
      </c>
      <c r="K25">
        <f t="shared" si="3"/>
        <v>0</v>
      </c>
      <c r="L25">
        <f t="shared" si="10"/>
        <v>27</v>
      </c>
      <c r="M25">
        <f t="shared" si="11"/>
        <v>20</v>
      </c>
      <c r="N25">
        <f t="shared" si="12"/>
        <v>1</v>
      </c>
      <c r="O25">
        <f t="shared" si="13"/>
        <v>9</v>
      </c>
      <c r="P25">
        <f t="shared" si="4"/>
        <v>4</v>
      </c>
      <c r="Q25">
        <f t="shared" si="14"/>
        <v>18</v>
      </c>
      <c r="R25">
        <f t="shared" si="14"/>
        <v>16</v>
      </c>
    </row>
    <row r="26" spans="1:18" x14ac:dyDescent="0.25">
      <c r="A26" s="1">
        <v>44675</v>
      </c>
      <c r="B26">
        <f t="shared" si="0"/>
        <v>7</v>
      </c>
      <c r="C26">
        <f t="shared" si="5"/>
        <v>18</v>
      </c>
      <c r="D26">
        <f t="shared" si="5"/>
        <v>16</v>
      </c>
      <c r="E26">
        <f t="shared" si="6"/>
        <v>0</v>
      </c>
      <c r="F26">
        <f t="shared" si="1"/>
        <v>0</v>
      </c>
      <c r="G26">
        <f t="shared" si="7"/>
        <v>0</v>
      </c>
      <c r="H26">
        <f t="shared" si="8"/>
        <v>0</v>
      </c>
      <c r="I26">
        <f t="shared" si="9"/>
        <v>0</v>
      </c>
      <c r="J26">
        <f t="shared" si="2"/>
        <v>0</v>
      </c>
      <c r="K26">
        <f t="shared" si="3"/>
        <v>0</v>
      </c>
      <c r="L26">
        <f t="shared" si="10"/>
        <v>18</v>
      </c>
      <c r="M26">
        <f t="shared" si="11"/>
        <v>16</v>
      </c>
      <c r="N26">
        <f t="shared" si="12"/>
        <v>0</v>
      </c>
      <c r="O26">
        <f t="shared" si="13"/>
        <v>0</v>
      </c>
      <c r="P26">
        <f t="shared" si="4"/>
        <v>0</v>
      </c>
      <c r="Q26">
        <f t="shared" si="14"/>
        <v>18</v>
      </c>
      <c r="R26">
        <f t="shared" si="14"/>
        <v>16</v>
      </c>
    </row>
    <row r="27" spans="1:18" x14ac:dyDescent="0.25">
      <c r="A27" s="1">
        <v>44676</v>
      </c>
      <c r="B27">
        <f t="shared" si="0"/>
        <v>1</v>
      </c>
      <c r="C27">
        <f t="shared" si="5"/>
        <v>18</v>
      </c>
      <c r="D27">
        <f t="shared" si="5"/>
        <v>16</v>
      </c>
      <c r="E27">
        <f t="shared" si="6"/>
        <v>1</v>
      </c>
      <c r="F27">
        <f t="shared" si="1"/>
        <v>1</v>
      </c>
      <c r="G27">
        <f t="shared" si="7"/>
        <v>0</v>
      </c>
      <c r="H27">
        <f t="shared" si="8"/>
        <v>0</v>
      </c>
      <c r="I27">
        <f t="shared" si="9"/>
        <v>0</v>
      </c>
      <c r="J27">
        <f t="shared" si="2"/>
        <v>0</v>
      </c>
      <c r="K27">
        <f t="shared" si="3"/>
        <v>0</v>
      </c>
      <c r="L27">
        <f t="shared" si="10"/>
        <v>17</v>
      </c>
      <c r="M27">
        <f t="shared" si="11"/>
        <v>16</v>
      </c>
      <c r="N27">
        <f t="shared" si="12"/>
        <v>1</v>
      </c>
      <c r="O27">
        <f t="shared" si="13"/>
        <v>6</v>
      </c>
      <c r="P27">
        <f t="shared" si="4"/>
        <v>4</v>
      </c>
      <c r="Q27">
        <f t="shared" si="14"/>
        <v>11</v>
      </c>
      <c r="R27">
        <f t="shared" si="14"/>
        <v>12</v>
      </c>
    </row>
    <row r="28" spans="1:18" x14ac:dyDescent="0.25">
      <c r="A28" s="1">
        <v>44677</v>
      </c>
      <c r="B28">
        <f t="shared" si="0"/>
        <v>2</v>
      </c>
      <c r="C28">
        <f t="shared" si="5"/>
        <v>11</v>
      </c>
      <c r="D28">
        <f t="shared" si="5"/>
        <v>12</v>
      </c>
      <c r="E28">
        <f t="shared" si="6"/>
        <v>0</v>
      </c>
      <c r="F28">
        <f t="shared" si="1"/>
        <v>0</v>
      </c>
      <c r="G28">
        <f t="shared" si="7"/>
        <v>0</v>
      </c>
      <c r="H28">
        <f t="shared" si="8"/>
        <v>0</v>
      </c>
      <c r="I28">
        <f t="shared" si="9"/>
        <v>0</v>
      </c>
      <c r="J28">
        <f t="shared" si="2"/>
        <v>0</v>
      </c>
      <c r="K28">
        <f t="shared" si="3"/>
        <v>0</v>
      </c>
      <c r="L28">
        <f t="shared" si="10"/>
        <v>11</v>
      </c>
      <c r="M28">
        <f t="shared" si="11"/>
        <v>12</v>
      </c>
      <c r="N28">
        <f t="shared" si="12"/>
        <v>1</v>
      </c>
      <c r="O28">
        <f t="shared" si="13"/>
        <v>4</v>
      </c>
      <c r="P28">
        <f t="shared" si="4"/>
        <v>3</v>
      </c>
      <c r="Q28">
        <f t="shared" si="14"/>
        <v>7</v>
      </c>
      <c r="R28">
        <f t="shared" si="14"/>
        <v>9</v>
      </c>
    </row>
    <row r="29" spans="1:18" x14ac:dyDescent="0.25">
      <c r="A29" s="1">
        <v>44678</v>
      </c>
      <c r="B29">
        <f t="shared" si="0"/>
        <v>3</v>
      </c>
      <c r="C29">
        <f t="shared" si="5"/>
        <v>7</v>
      </c>
      <c r="D29">
        <f t="shared" si="5"/>
        <v>9</v>
      </c>
      <c r="E29">
        <f t="shared" si="6"/>
        <v>0</v>
      </c>
      <c r="F29">
        <f t="shared" si="1"/>
        <v>0</v>
      </c>
      <c r="G29">
        <f t="shared" si="7"/>
        <v>0</v>
      </c>
      <c r="H29">
        <f t="shared" si="8"/>
        <v>0</v>
      </c>
      <c r="I29">
        <f t="shared" si="9"/>
        <v>0</v>
      </c>
      <c r="J29">
        <f t="shared" si="2"/>
        <v>0</v>
      </c>
      <c r="K29">
        <f t="shared" si="3"/>
        <v>0</v>
      </c>
      <c r="L29">
        <f t="shared" si="10"/>
        <v>7</v>
      </c>
      <c r="M29">
        <f t="shared" si="11"/>
        <v>9</v>
      </c>
      <c r="N29">
        <f t="shared" si="12"/>
        <v>1</v>
      </c>
      <c r="O29">
        <f t="shared" si="13"/>
        <v>3</v>
      </c>
      <c r="P29">
        <f t="shared" si="4"/>
        <v>2</v>
      </c>
      <c r="Q29">
        <f t="shared" si="14"/>
        <v>4</v>
      </c>
      <c r="R29">
        <f t="shared" si="14"/>
        <v>7</v>
      </c>
    </row>
    <row r="30" spans="1:18" x14ac:dyDescent="0.25">
      <c r="A30" s="1">
        <v>44679</v>
      </c>
      <c r="B30">
        <f t="shared" si="0"/>
        <v>4</v>
      </c>
      <c r="C30">
        <f t="shared" si="5"/>
        <v>4</v>
      </c>
      <c r="D30">
        <f t="shared" si="5"/>
        <v>7</v>
      </c>
      <c r="E30">
        <f t="shared" si="6"/>
        <v>0</v>
      </c>
      <c r="F30">
        <f t="shared" si="1"/>
        <v>0</v>
      </c>
      <c r="G30">
        <f t="shared" si="7"/>
        <v>1</v>
      </c>
      <c r="H30">
        <f t="shared" si="8"/>
        <v>50</v>
      </c>
      <c r="I30">
        <f t="shared" si="9"/>
        <v>25</v>
      </c>
      <c r="J30">
        <f t="shared" si="2"/>
        <v>0</v>
      </c>
      <c r="K30">
        <f t="shared" si="3"/>
        <v>0</v>
      </c>
      <c r="L30">
        <f t="shared" si="10"/>
        <v>54</v>
      </c>
      <c r="M30">
        <f t="shared" si="11"/>
        <v>32</v>
      </c>
      <c r="N30">
        <f t="shared" si="12"/>
        <v>1</v>
      </c>
      <c r="O30">
        <f t="shared" si="13"/>
        <v>17</v>
      </c>
      <c r="P30">
        <f t="shared" si="4"/>
        <v>7</v>
      </c>
      <c r="Q30">
        <f t="shared" si="14"/>
        <v>37</v>
      </c>
      <c r="R30">
        <f t="shared" si="14"/>
        <v>25</v>
      </c>
    </row>
    <row r="31" spans="1:18" x14ac:dyDescent="0.25">
      <c r="A31" s="1">
        <v>44680</v>
      </c>
      <c r="B31">
        <f t="shared" si="0"/>
        <v>5</v>
      </c>
      <c r="C31">
        <f t="shared" si="5"/>
        <v>37</v>
      </c>
      <c r="D31">
        <f t="shared" si="5"/>
        <v>25</v>
      </c>
      <c r="E31">
        <f t="shared" si="6"/>
        <v>0</v>
      </c>
      <c r="F31">
        <f t="shared" si="1"/>
        <v>0</v>
      </c>
      <c r="G31">
        <f t="shared" si="7"/>
        <v>0</v>
      </c>
      <c r="H31">
        <f t="shared" si="8"/>
        <v>0</v>
      </c>
      <c r="I31">
        <f t="shared" si="9"/>
        <v>0</v>
      </c>
      <c r="J31">
        <f t="shared" si="2"/>
        <v>0</v>
      </c>
      <c r="K31">
        <f t="shared" si="3"/>
        <v>0</v>
      </c>
      <c r="L31">
        <f t="shared" si="10"/>
        <v>37</v>
      </c>
      <c r="M31">
        <f t="shared" si="11"/>
        <v>25</v>
      </c>
      <c r="N31">
        <f t="shared" si="12"/>
        <v>1</v>
      </c>
      <c r="O31">
        <f t="shared" si="13"/>
        <v>12</v>
      </c>
      <c r="P31">
        <f t="shared" si="4"/>
        <v>5</v>
      </c>
      <c r="Q31">
        <f t="shared" si="14"/>
        <v>25</v>
      </c>
      <c r="R31">
        <f t="shared" si="14"/>
        <v>20</v>
      </c>
    </row>
    <row r="32" spans="1:18" x14ac:dyDescent="0.25">
      <c r="A32" s="1">
        <v>44681</v>
      </c>
      <c r="B32">
        <f t="shared" si="0"/>
        <v>6</v>
      </c>
      <c r="C32">
        <f t="shared" si="5"/>
        <v>25</v>
      </c>
      <c r="D32">
        <f t="shared" si="5"/>
        <v>20</v>
      </c>
      <c r="E32">
        <f t="shared" si="6"/>
        <v>0</v>
      </c>
      <c r="F32">
        <f t="shared" si="1"/>
        <v>0</v>
      </c>
      <c r="G32">
        <f t="shared" si="7"/>
        <v>0</v>
      </c>
      <c r="H32">
        <f t="shared" si="8"/>
        <v>0</v>
      </c>
      <c r="I32">
        <f t="shared" si="9"/>
        <v>0</v>
      </c>
      <c r="J32">
        <f t="shared" si="2"/>
        <v>0</v>
      </c>
      <c r="K32">
        <f t="shared" si="3"/>
        <v>0</v>
      </c>
      <c r="L32">
        <f t="shared" si="10"/>
        <v>25</v>
      </c>
      <c r="M32">
        <f t="shared" si="11"/>
        <v>20</v>
      </c>
      <c r="N32">
        <f t="shared" si="12"/>
        <v>1</v>
      </c>
      <c r="O32">
        <f t="shared" si="13"/>
        <v>8</v>
      </c>
      <c r="P32">
        <f t="shared" si="4"/>
        <v>4</v>
      </c>
      <c r="Q32">
        <f t="shared" si="14"/>
        <v>17</v>
      </c>
      <c r="R32">
        <f t="shared" si="14"/>
        <v>16</v>
      </c>
    </row>
    <row r="33" spans="1:18" x14ac:dyDescent="0.25">
      <c r="A33" s="1">
        <v>44682</v>
      </c>
      <c r="B33">
        <f t="shared" si="0"/>
        <v>7</v>
      </c>
      <c r="C33">
        <f t="shared" si="5"/>
        <v>17</v>
      </c>
      <c r="D33">
        <f t="shared" si="5"/>
        <v>16</v>
      </c>
      <c r="E33">
        <f t="shared" si="6"/>
        <v>0</v>
      </c>
      <c r="F33">
        <f t="shared" si="1"/>
        <v>0</v>
      </c>
      <c r="G33">
        <f t="shared" si="7"/>
        <v>0</v>
      </c>
      <c r="H33">
        <f t="shared" si="8"/>
        <v>0</v>
      </c>
      <c r="I33">
        <f t="shared" si="9"/>
        <v>0</v>
      </c>
      <c r="J33">
        <f t="shared" si="2"/>
        <v>0</v>
      </c>
      <c r="K33">
        <f t="shared" si="3"/>
        <v>0</v>
      </c>
      <c r="L33">
        <f t="shared" si="10"/>
        <v>17</v>
      </c>
      <c r="M33">
        <f t="shared" si="11"/>
        <v>16</v>
      </c>
      <c r="N33">
        <f t="shared" si="12"/>
        <v>0</v>
      </c>
      <c r="O33">
        <f t="shared" si="13"/>
        <v>0</v>
      </c>
      <c r="P33">
        <f t="shared" si="4"/>
        <v>0</v>
      </c>
      <c r="Q33">
        <f t="shared" si="14"/>
        <v>17</v>
      </c>
      <c r="R33">
        <f t="shared" si="14"/>
        <v>16</v>
      </c>
    </row>
    <row r="34" spans="1:18" x14ac:dyDescent="0.25">
      <c r="A34" s="1">
        <v>44683</v>
      </c>
      <c r="B34">
        <f t="shared" si="0"/>
        <v>1</v>
      </c>
      <c r="C34">
        <f t="shared" si="5"/>
        <v>17</v>
      </c>
      <c r="D34">
        <f t="shared" si="5"/>
        <v>16</v>
      </c>
      <c r="E34">
        <f t="shared" si="6"/>
        <v>1</v>
      </c>
      <c r="F34">
        <f t="shared" si="1"/>
        <v>1</v>
      </c>
      <c r="G34">
        <f t="shared" si="7"/>
        <v>0</v>
      </c>
      <c r="H34">
        <f t="shared" si="8"/>
        <v>0</v>
      </c>
      <c r="I34">
        <f t="shared" si="9"/>
        <v>0</v>
      </c>
      <c r="J34">
        <f t="shared" si="2"/>
        <v>0</v>
      </c>
      <c r="K34">
        <f t="shared" si="3"/>
        <v>0</v>
      </c>
      <c r="L34">
        <f t="shared" si="10"/>
        <v>16</v>
      </c>
      <c r="M34">
        <f t="shared" si="11"/>
        <v>16</v>
      </c>
      <c r="N34">
        <f t="shared" si="12"/>
        <v>1</v>
      </c>
      <c r="O34">
        <f t="shared" si="13"/>
        <v>5</v>
      </c>
      <c r="P34">
        <f t="shared" si="4"/>
        <v>4</v>
      </c>
      <c r="Q34">
        <f t="shared" si="14"/>
        <v>11</v>
      </c>
      <c r="R34">
        <f t="shared" si="14"/>
        <v>12</v>
      </c>
    </row>
    <row r="35" spans="1:18" x14ac:dyDescent="0.25">
      <c r="A35" s="1">
        <v>44684</v>
      </c>
      <c r="B35">
        <f t="shared" si="0"/>
        <v>2</v>
      </c>
      <c r="C35">
        <f t="shared" si="5"/>
        <v>11</v>
      </c>
      <c r="D35">
        <f t="shared" si="5"/>
        <v>12</v>
      </c>
      <c r="E35">
        <f t="shared" si="6"/>
        <v>0</v>
      </c>
      <c r="F35">
        <f t="shared" si="1"/>
        <v>0</v>
      </c>
      <c r="G35">
        <f t="shared" si="7"/>
        <v>0</v>
      </c>
      <c r="H35">
        <f t="shared" si="8"/>
        <v>0</v>
      </c>
      <c r="I35">
        <f t="shared" si="9"/>
        <v>0</v>
      </c>
      <c r="J35">
        <f t="shared" si="2"/>
        <v>0</v>
      </c>
      <c r="K35">
        <f t="shared" si="3"/>
        <v>0</v>
      </c>
      <c r="L35">
        <f t="shared" si="10"/>
        <v>11</v>
      </c>
      <c r="M35">
        <f t="shared" si="11"/>
        <v>12</v>
      </c>
      <c r="N35">
        <f t="shared" si="12"/>
        <v>1</v>
      </c>
      <c r="O35">
        <f t="shared" si="13"/>
        <v>4</v>
      </c>
      <c r="P35">
        <f t="shared" si="4"/>
        <v>3</v>
      </c>
      <c r="Q35">
        <f t="shared" si="14"/>
        <v>7</v>
      </c>
      <c r="R35">
        <f t="shared" si="14"/>
        <v>9</v>
      </c>
    </row>
    <row r="36" spans="1:18" x14ac:dyDescent="0.25">
      <c r="A36" s="1">
        <v>44685</v>
      </c>
      <c r="B36">
        <f t="shared" si="0"/>
        <v>3</v>
      </c>
      <c r="C36">
        <f t="shared" si="5"/>
        <v>7</v>
      </c>
      <c r="D36">
        <f t="shared" si="5"/>
        <v>9</v>
      </c>
      <c r="E36">
        <f t="shared" si="6"/>
        <v>0</v>
      </c>
      <c r="F36">
        <f t="shared" si="1"/>
        <v>0</v>
      </c>
      <c r="G36">
        <f t="shared" si="7"/>
        <v>0</v>
      </c>
      <c r="H36">
        <f t="shared" si="8"/>
        <v>0</v>
      </c>
      <c r="I36">
        <f t="shared" si="9"/>
        <v>0</v>
      </c>
      <c r="J36">
        <f t="shared" si="2"/>
        <v>0</v>
      </c>
      <c r="K36">
        <f t="shared" si="3"/>
        <v>0</v>
      </c>
      <c r="L36">
        <f t="shared" si="10"/>
        <v>7</v>
      </c>
      <c r="M36">
        <f t="shared" si="11"/>
        <v>9</v>
      </c>
      <c r="N36">
        <f t="shared" si="12"/>
        <v>1</v>
      </c>
      <c r="O36">
        <f t="shared" si="13"/>
        <v>3</v>
      </c>
      <c r="P36">
        <f t="shared" si="4"/>
        <v>2</v>
      </c>
      <c r="Q36">
        <f t="shared" si="14"/>
        <v>4</v>
      </c>
      <c r="R36">
        <f t="shared" si="14"/>
        <v>7</v>
      </c>
    </row>
    <row r="37" spans="1:18" x14ac:dyDescent="0.25">
      <c r="A37" s="1">
        <v>44686</v>
      </c>
      <c r="B37">
        <f t="shared" si="0"/>
        <v>4</v>
      </c>
      <c r="C37">
        <f t="shared" si="5"/>
        <v>4</v>
      </c>
      <c r="D37">
        <f t="shared" si="5"/>
        <v>7</v>
      </c>
      <c r="E37">
        <f t="shared" si="6"/>
        <v>0</v>
      </c>
      <c r="F37">
        <f t="shared" si="1"/>
        <v>0</v>
      </c>
      <c r="G37">
        <f t="shared" si="7"/>
        <v>1</v>
      </c>
      <c r="H37">
        <f t="shared" si="8"/>
        <v>50</v>
      </c>
      <c r="I37">
        <f t="shared" si="9"/>
        <v>25</v>
      </c>
      <c r="J37">
        <f t="shared" si="2"/>
        <v>0</v>
      </c>
      <c r="K37">
        <f t="shared" si="3"/>
        <v>0</v>
      </c>
      <c r="L37">
        <f t="shared" si="10"/>
        <v>54</v>
      </c>
      <c r="M37">
        <f t="shared" si="11"/>
        <v>32</v>
      </c>
      <c r="N37">
        <f t="shared" si="12"/>
        <v>1</v>
      </c>
      <c r="O37">
        <f t="shared" si="13"/>
        <v>17</v>
      </c>
      <c r="P37">
        <f t="shared" si="4"/>
        <v>7</v>
      </c>
      <c r="Q37">
        <f t="shared" si="14"/>
        <v>37</v>
      </c>
      <c r="R37">
        <f t="shared" si="14"/>
        <v>25</v>
      </c>
    </row>
    <row r="38" spans="1:18" x14ac:dyDescent="0.25">
      <c r="A38" s="1">
        <v>44687</v>
      </c>
      <c r="B38">
        <f t="shared" si="0"/>
        <v>5</v>
      </c>
      <c r="C38">
        <f t="shared" si="5"/>
        <v>37</v>
      </c>
      <c r="D38">
        <f t="shared" si="5"/>
        <v>25</v>
      </c>
      <c r="E38">
        <f t="shared" si="6"/>
        <v>0</v>
      </c>
      <c r="F38">
        <f t="shared" si="1"/>
        <v>0</v>
      </c>
      <c r="G38">
        <f t="shared" si="7"/>
        <v>0</v>
      </c>
      <c r="H38">
        <f t="shared" si="8"/>
        <v>0</v>
      </c>
      <c r="I38">
        <f t="shared" si="9"/>
        <v>0</v>
      </c>
      <c r="J38">
        <f t="shared" si="2"/>
        <v>0</v>
      </c>
      <c r="K38">
        <f t="shared" si="3"/>
        <v>0</v>
      </c>
      <c r="L38">
        <f t="shared" si="10"/>
        <v>37</v>
      </c>
      <c r="M38">
        <f t="shared" si="11"/>
        <v>25</v>
      </c>
      <c r="N38">
        <f t="shared" si="12"/>
        <v>1</v>
      </c>
      <c r="O38">
        <f t="shared" si="13"/>
        <v>12</v>
      </c>
      <c r="P38">
        <f t="shared" si="4"/>
        <v>5</v>
      </c>
      <c r="Q38">
        <f t="shared" si="14"/>
        <v>25</v>
      </c>
      <c r="R38">
        <f t="shared" si="14"/>
        <v>20</v>
      </c>
    </row>
    <row r="39" spans="1:18" x14ac:dyDescent="0.25">
      <c r="A39" s="1">
        <v>44688</v>
      </c>
      <c r="B39">
        <f t="shared" si="0"/>
        <v>6</v>
      </c>
      <c r="C39">
        <f t="shared" si="5"/>
        <v>25</v>
      </c>
      <c r="D39">
        <f t="shared" si="5"/>
        <v>20</v>
      </c>
      <c r="E39">
        <f t="shared" si="6"/>
        <v>0</v>
      </c>
      <c r="F39">
        <f t="shared" si="1"/>
        <v>0</v>
      </c>
      <c r="G39">
        <f t="shared" si="7"/>
        <v>0</v>
      </c>
      <c r="H39">
        <f t="shared" si="8"/>
        <v>0</v>
      </c>
      <c r="I39">
        <f t="shared" si="9"/>
        <v>0</v>
      </c>
      <c r="J39">
        <f t="shared" si="2"/>
        <v>0</v>
      </c>
      <c r="K39">
        <f t="shared" si="3"/>
        <v>0</v>
      </c>
      <c r="L39">
        <f t="shared" si="10"/>
        <v>25</v>
      </c>
      <c r="M39">
        <f t="shared" si="11"/>
        <v>20</v>
      </c>
      <c r="N39">
        <f t="shared" si="12"/>
        <v>1</v>
      </c>
      <c r="O39">
        <f t="shared" si="13"/>
        <v>8</v>
      </c>
      <c r="P39">
        <f t="shared" si="4"/>
        <v>4</v>
      </c>
      <c r="Q39">
        <f t="shared" si="14"/>
        <v>17</v>
      </c>
      <c r="R39">
        <f t="shared" si="14"/>
        <v>16</v>
      </c>
    </row>
    <row r="40" spans="1:18" x14ac:dyDescent="0.25">
      <c r="A40" s="1">
        <v>44689</v>
      </c>
      <c r="B40">
        <f t="shared" si="0"/>
        <v>7</v>
      </c>
      <c r="C40">
        <f t="shared" si="5"/>
        <v>17</v>
      </c>
      <c r="D40">
        <f t="shared" si="5"/>
        <v>16</v>
      </c>
      <c r="E40">
        <f t="shared" si="6"/>
        <v>0</v>
      </c>
      <c r="F40">
        <f t="shared" si="1"/>
        <v>0</v>
      </c>
      <c r="G40">
        <f t="shared" si="7"/>
        <v>0</v>
      </c>
      <c r="H40">
        <f t="shared" si="8"/>
        <v>0</v>
      </c>
      <c r="I40">
        <f t="shared" si="9"/>
        <v>0</v>
      </c>
      <c r="J40">
        <f t="shared" si="2"/>
        <v>0</v>
      </c>
      <c r="K40">
        <f t="shared" si="3"/>
        <v>0</v>
      </c>
      <c r="L40">
        <f t="shared" si="10"/>
        <v>17</v>
      </c>
      <c r="M40">
        <f t="shared" si="11"/>
        <v>16</v>
      </c>
      <c r="N40">
        <f t="shared" si="12"/>
        <v>0</v>
      </c>
      <c r="O40">
        <f t="shared" si="13"/>
        <v>0</v>
      </c>
      <c r="P40">
        <f t="shared" si="4"/>
        <v>0</v>
      </c>
      <c r="Q40">
        <f t="shared" si="14"/>
        <v>17</v>
      </c>
      <c r="R40">
        <f t="shared" si="14"/>
        <v>16</v>
      </c>
    </row>
    <row r="41" spans="1:18" x14ac:dyDescent="0.25">
      <c r="A41" s="1">
        <v>44690</v>
      </c>
      <c r="B41">
        <f t="shared" si="0"/>
        <v>1</v>
      </c>
      <c r="C41">
        <f t="shared" si="5"/>
        <v>17</v>
      </c>
      <c r="D41">
        <f t="shared" si="5"/>
        <v>16</v>
      </c>
      <c r="E41">
        <f t="shared" si="6"/>
        <v>1</v>
      </c>
      <c r="F41">
        <f t="shared" si="1"/>
        <v>1</v>
      </c>
      <c r="G41">
        <f t="shared" si="7"/>
        <v>0</v>
      </c>
      <c r="H41">
        <f t="shared" si="8"/>
        <v>0</v>
      </c>
      <c r="I41">
        <f t="shared" si="9"/>
        <v>0</v>
      </c>
      <c r="J41">
        <f t="shared" si="2"/>
        <v>0</v>
      </c>
      <c r="K41">
        <f t="shared" si="3"/>
        <v>0</v>
      </c>
      <c r="L41">
        <f t="shared" si="10"/>
        <v>16</v>
      </c>
      <c r="M41">
        <f t="shared" si="11"/>
        <v>16</v>
      </c>
      <c r="N41">
        <f t="shared" si="12"/>
        <v>1</v>
      </c>
      <c r="O41">
        <f t="shared" si="13"/>
        <v>5</v>
      </c>
      <c r="P41">
        <f t="shared" si="4"/>
        <v>4</v>
      </c>
      <c r="Q41">
        <f t="shared" si="14"/>
        <v>11</v>
      </c>
      <c r="R41">
        <f t="shared" si="14"/>
        <v>12</v>
      </c>
    </row>
    <row r="42" spans="1:18" x14ac:dyDescent="0.25">
      <c r="A42" s="1">
        <v>44691</v>
      </c>
      <c r="B42">
        <f t="shared" si="0"/>
        <v>2</v>
      </c>
      <c r="C42">
        <f t="shared" si="5"/>
        <v>11</v>
      </c>
      <c r="D42">
        <f t="shared" si="5"/>
        <v>12</v>
      </c>
      <c r="E42">
        <f t="shared" si="6"/>
        <v>0</v>
      </c>
      <c r="F42">
        <f t="shared" si="1"/>
        <v>0</v>
      </c>
      <c r="G42">
        <f t="shared" si="7"/>
        <v>0</v>
      </c>
      <c r="H42">
        <f t="shared" si="8"/>
        <v>0</v>
      </c>
      <c r="I42">
        <f t="shared" si="9"/>
        <v>0</v>
      </c>
      <c r="J42">
        <f t="shared" si="2"/>
        <v>0</v>
      </c>
      <c r="K42">
        <f t="shared" si="3"/>
        <v>0</v>
      </c>
      <c r="L42">
        <f t="shared" si="10"/>
        <v>11</v>
      </c>
      <c r="M42">
        <f t="shared" si="11"/>
        <v>12</v>
      </c>
      <c r="N42">
        <f t="shared" si="12"/>
        <v>1</v>
      </c>
      <c r="O42">
        <f t="shared" si="13"/>
        <v>4</v>
      </c>
      <c r="P42">
        <f t="shared" si="4"/>
        <v>3</v>
      </c>
      <c r="Q42">
        <f t="shared" si="14"/>
        <v>7</v>
      </c>
      <c r="R42">
        <f t="shared" si="14"/>
        <v>9</v>
      </c>
    </row>
    <row r="43" spans="1:18" x14ac:dyDescent="0.25">
      <c r="A43" s="1">
        <v>44692</v>
      </c>
      <c r="B43">
        <f t="shared" si="0"/>
        <v>3</v>
      </c>
      <c r="C43">
        <f t="shared" si="5"/>
        <v>7</v>
      </c>
      <c r="D43">
        <f t="shared" si="5"/>
        <v>9</v>
      </c>
      <c r="E43">
        <f t="shared" si="6"/>
        <v>0</v>
      </c>
      <c r="F43">
        <f t="shared" si="1"/>
        <v>0</v>
      </c>
      <c r="G43">
        <f t="shared" si="7"/>
        <v>0</v>
      </c>
      <c r="H43">
        <f t="shared" si="8"/>
        <v>0</v>
      </c>
      <c r="I43">
        <f t="shared" si="9"/>
        <v>0</v>
      </c>
      <c r="J43">
        <f t="shared" si="2"/>
        <v>0</v>
      </c>
      <c r="K43">
        <f t="shared" si="3"/>
        <v>0</v>
      </c>
      <c r="L43">
        <f t="shared" si="10"/>
        <v>7</v>
      </c>
      <c r="M43">
        <f t="shared" si="11"/>
        <v>9</v>
      </c>
      <c r="N43">
        <f t="shared" si="12"/>
        <v>1</v>
      </c>
      <c r="O43">
        <f t="shared" si="13"/>
        <v>3</v>
      </c>
      <c r="P43">
        <f t="shared" si="4"/>
        <v>2</v>
      </c>
      <c r="Q43">
        <f t="shared" si="14"/>
        <v>4</v>
      </c>
      <c r="R43">
        <f t="shared" si="14"/>
        <v>7</v>
      </c>
    </row>
    <row r="44" spans="1:18" x14ac:dyDescent="0.25">
      <c r="A44" s="1">
        <v>44693</v>
      </c>
      <c r="B44">
        <f t="shared" si="0"/>
        <v>4</v>
      </c>
      <c r="C44">
        <f t="shared" si="5"/>
        <v>4</v>
      </c>
      <c r="D44">
        <f t="shared" si="5"/>
        <v>7</v>
      </c>
      <c r="E44">
        <f t="shared" si="6"/>
        <v>0</v>
      </c>
      <c r="F44">
        <f t="shared" si="1"/>
        <v>0</v>
      </c>
      <c r="G44">
        <f t="shared" si="7"/>
        <v>1</v>
      </c>
      <c r="H44">
        <f t="shared" si="8"/>
        <v>50</v>
      </c>
      <c r="I44">
        <f t="shared" si="9"/>
        <v>25</v>
      </c>
      <c r="J44">
        <f t="shared" si="2"/>
        <v>0</v>
      </c>
      <c r="K44">
        <f t="shared" si="3"/>
        <v>0</v>
      </c>
      <c r="L44">
        <f t="shared" si="10"/>
        <v>54</v>
      </c>
      <c r="M44">
        <f t="shared" si="11"/>
        <v>32</v>
      </c>
      <c r="N44">
        <f t="shared" si="12"/>
        <v>1</v>
      </c>
      <c r="O44">
        <f t="shared" si="13"/>
        <v>17</v>
      </c>
      <c r="P44">
        <f t="shared" si="4"/>
        <v>7</v>
      </c>
      <c r="Q44">
        <f t="shared" si="14"/>
        <v>37</v>
      </c>
      <c r="R44">
        <f t="shared" si="14"/>
        <v>25</v>
      </c>
    </row>
    <row r="45" spans="1:18" x14ac:dyDescent="0.25">
      <c r="A45" s="1">
        <v>44694</v>
      </c>
      <c r="B45">
        <f t="shared" si="0"/>
        <v>5</v>
      </c>
      <c r="C45">
        <f t="shared" si="5"/>
        <v>37</v>
      </c>
      <c r="D45">
        <f t="shared" si="5"/>
        <v>25</v>
      </c>
      <c r="E45">
        <f t="shared" si="6"/>
        <v>0</v>
      </c>
      <c r="F45">
        <f t="shared" si="1"/>
        <v>0</v>
      </c>
      <c r="G45">
        <f t="shared" si="7"/>
        <v>0</v>
      </c>
      <c r="H45">
        <f t="shared" si="8"/>
        <v>0</v>
      </c>
      <c r="I45">
        <f t="shared" si="9"/>
        <v>0</v>
      </c>
      <c r="J45">
        <f t="shared" si="2"/>
        <v>0</v>
      </c>
      <c r="K45">
        <f t="shared" si="3"/>
        <v>0</v>
      </c>
      <c r="L45">
        <f t="shared" si="10"/>
        <v>37</v>
      </c>
      <c r="M45">
        <f t="shared" si="11"/>
        <v>25</v>
      </c>
      <c r="N45">
        <f t="shared" si="12"/>
        <v>1</v>
      </c>
      <c r="O45">
        <f t="shared" si="13"/>
        <v>12</v>
      </c>
      <c r="P45">
        <f t="shared" si="4"/>
        <v>5</v>
      </c>
      <c r="Q45">
        <f t="shared" si="14"/>
        <v>25</v>
      </c>
      <c r="R45">
        <f t="shared" si="14"/>
        <v>20</v>
      </c>
    </row>
    <row r="46" spans="1:18" x14ac:dyDescent="0.25">
      <c r="A46" s="1">
        <v>44695</v>
      </c>
      <c r="B46">
        <f t="shared" si="0"/>
        <v>6</v>
      </c>
      <c r="C46">
        <f t="shared" si="5"/>
        <v>25</v>
      </c>
      <c r="D46">
        <f t="shared" si="5"/>
        <v>20</v>
      </c>
      <c r="E46">
        <f t="shared" si="6"/>
        <v>0</v>
      </c>
      <c r="F46">
        <f t="shared" si="1"/>
        <v>0</v>
      </c>
      <c r="G46">
        <f t="shared" si="7"/>
        <v>0</v>
      </c>
      <c r="H46">
        <f t="shared" si="8"/>
        <v>0</v>
      </c>
      <c r="I46">
        <f t="shared" si="9"/>
        <v>0</v>
      </c>
      <c r="J46">
        <f t="shared" si="2"/>
        <v>0</v>
      </c>
      <c r="K46">
        <f t="shared" si="3"/>
        <v>0</v>
      </c>
      <c r="L46">
        <f t="shared" si="10"/>
        <v>25</v>
      </c>
      <c r="M46">
        <f t="shared" si="11"/>
        <v>20</v>
      </c>
      <c r="N46">
        <f t="shared" si="12"/>
        <v>1</v>
      </c>
      <c r="O46">
        <f t="shared" si="13"/>
        <v>8</v>
      </c>
      <c r="P46">
        <f t="shared" si="4"/>
        <v>4</v>
      </c>
      <c r="Q46">
        <f t="shared" si="14"/>
        <v>17</v>
      </c>
      <c r="R46">
        <f t="shared" si="14"/>
        <v>16</v>
      </c>
    </row>
    <row r="47" spans="1:18" x14ac:dyDescent="0.25">
      <c r="A47" s="1">
        <v>44696</v>
      </c>
      <c r="B47">
        <f t="shared" si="0"/>
        <v>7</v>
      </c>
      <c r="C47">
        <f t="shared" si="5"/>
        <v>17</v>
      </c>
      <c r="D47">
        <f t="shared" si="5"/>
        <v>16</v>
      </c>
      <c r="E47">
        <f t="shared" si="6"/>
        <v>0</v>
      </c>
      <c r="F47">
        <f t="shared" si="1"/>
        <v>0</v>
      </c>
      <c r="G47">
        <f t="shared" si="7"/>
        <v>0</v>
      </c>
      <c r="H47">
        <f t="shared" si="8"/>
        <v>0</v>
      </c>
      <c r="I47">
        <f t="shared" si="9"/>
        <v>0</v>
      </c>
      <c r="J47">
        <f t="shared" si="2"/>
        <v>0</v>
      </c>
      <c r="K47">
        <f t="shared" si="3"/>
        <v>0</v>
      </c>
      <c r="L47">
        <f t="shared" si="10"/>
        <v>17</v>
      </c>
      <c r="M47">
        <f t="shared" si="11"/>
        <v>16</v>
      </c>
      <c r="N47">
        <f t="shared" si="12"/>
        <v>0</v>
      </c>
      <c r="O47">
        <f t="shared" si="13"/>
        <v>0</v>
      </c>
      <c r="P47">
        <f t="shared" si="4"/>
        <v>0</v>
      </c>
      <c r="Q47">
        <f t="shared" si="14"/>
        <v>17</v>
      </c>
      <c r="R47">
        <f t="shared" si="14"/>
        <v>16</v>
      </c>
    </row>
    <row r="48" spans="1:18" x14ac:dyDescent="0.25">
      <c r="A48" s="1">
        <v>44697</v>
      </c>
      <c r="B48">
        <f t="shared" si="0"/>
        <v>1</v>
      </c>
      <c r="C48">
        <f t="shared" si="5"/>
        <v>17</v>
      </c>
      <c r="D48">
        <f t="shared" si="5"/>
        <v>16</v>
      </c>
      <c r="E48">
        <f t="shared" si="6"/>
        <v>1</v>
      </c>
      <c r="F48">
        <f t="shared" si="1"/>
        <v>1</v>
      </c>
      <c r="G48">
        <f t="shared" si="7"/>
        <v>0</v>
      </c>
      <c r="H48">
        <f t="shared" si="8"/>
        <v>0</v>
      </c>
      <c r="I48">
        <f t="shared" si="9"/>
        <v>0</v>
      </c>
      <c r="J48">
        <f t="shared" si="2"/>
        <v>0</v>
      </c>
      <c r="K48">
        <f t="shared" si="3"/>
        <v>0</v>
      </c>
      <c r="L48">
        <f t="shared" si="10"/>
        <v>16</v>
      </c>
      <c r="M48">
        <f t="shared" si="11"/>
        <v>16</v>
      </c>
      <c r="N48">
        <f t="shared" si="12"/>
        <v>1</v>
      </c>
      <c r="O48">
        <f t="shared" si="13"/>
        <v>5</v>
      </c>
      <c r="P48">
        <f t="shared" si="4"/>
        <v>4</v>
      </c>
      <c r="Q48">
        <f t="shared" si="14"/>
        <v>11</v>
      </c>
      <c r="R48">
        <f t="shared" si="14"/>
        <v>12</v>
      </c>
    </row>
    <row r="49" spans="1:18" x14ac:dyDescent="0.25">
      <c r="A49" s="1">
        <v>44698</v>
      </c>
      <c r="B49">
        <f t="shared" si="0"/>
        <v>2</v>
      </c>
      <c r="C49">
        <f t="shared" si="5"/>
        <v>11</v>
      </c>
      <c r="D49">
        <f t="shared" si="5"/>
        <v>12</v>
      </c>
      <c r="E49">
        <f t="shared" si="6"/>
        <v>0</v>
      </c>
      <c r="F49">
        <f t="shared" si="1"/>
        <v>0</v>
      </c>
      <c r="G49">
        <f t="shared" si="7"/>
        <v>0</v>
      </c>
      <c r="H49">
        <f t="shared" si="8"/>
        <v>0</v>
      </c>
      <c r="I49">
        <f t="shared" si="9"/>
        <v>0</v>
      </c>
      <c r="J49">
        <f t="shared" si="2"/>
        <v>0</v>
      </c>
      <c r="K49">
        <f t="shared" si="3"/>
        <v>0</v>
      </c>
      <c r="L49">
        <f t="shared" si="10"/>
        <v>11</v>
      </c>
      <c r="M49">
        <f t="shared" si="11"/>
        <v>12</v>
      </c>
      <c r="N49">
        <f t="shared" si="12"/>
        <v>1</v>
      </c>
      <c r="O49">
        <f t="shared" si="13"/>
        <v>4</v>
      </c>
      <c r="P49">
        <f t="shared" si="4"/>
        <v>3</v>
      </c>
      <c r="Q49">
        <f t="shared" si="14"/>
        <v>7</v>
      </c>
      <c r="R49">
        <f t="shared" si="14"/>
        <v>9</v>
      </c>
    </row>
    <row r="50" spans="1:18" x14ac:dyDescent="0.25">
      <c r="A50" s="1">
        <v>44699</v>
      </c>
      <c r="B50">
        <f t="shared" si="0"/>
        <v>3</v>
      </c>
      <c r="C50">
        <f t="shared" si="5"/>
        <v>7</v>
      </c>
      <c r="D50">
        <f t="shared" si="5"/>
        <v>9</v>
      </c>
      <c r="E50">
        <f t="shared" si="6"/>
        <v>0</v>
      </c>
      <c r="F50">
        <f t="shared" si="1"/>
        <v>0</v>
      </c>
      <c r="G50">
        <f t="shared" si="7"/>
        <v>0</v>
      </c>
      <c r="H50">
        <f t="shared" si="8"/>
        <v>0</v>
      </c>
      <c r="I50">
        <f t="shared" si="9"/>
        <v>0</v>
      </c>
      <c r="J50">
        <f t="shared" si="2"/>
        <v>0</v>
      </c>
      <c r="K50">
        <f t="shared" si="3"/>
        <v>0</v>
      </c>
      <c r="L50">
        <f t="shared" si="10"/>
        <v>7</v>
      </c>
      <c r="M50">
        <f t="shared" si="11"/>
        <v>9</v>
      </c>
      <c r="N50">
        <f t="shared" si="12"/>
        <v>1</v>
      </c>
      <c r="O50">
        <f t="shared" si="13"/>
        <v>3</v>
      </c>
      <c r="P50">
        <f t="shared" si="4"/>
        <v>2</v>
      </c>
      <c r="Q50">
        <f t="shared" si="14"/>
        <v>4</v>
      </c>
      <c r="R50">
        <f t="shared" si="14"/>
        <v>7</v>
      </c>
    </row>
    <row r="51" spans="1:18" x14ac:dyDescent="0.25">
      <c r="A51" s="1">
        <v>44700</v>
      </c>
      <c r="B51">
        <f t="shared" si="0"/>
        <v>4</v>
      </c>
      <c r="C51">
        <f t="shared" si="5"/>
        <v>4</v>
      </c>
      <c r="D51">
        <f t="shared" si="5"/>
        <v>7</v>
      </c>
      <c r="E51">
        <f t="shared" si="6"/>
        <v>0</v>
      </c>
      <c r="F51">
        <f t="shared" si="1"/>
        <v>0</v>
      </c>
      <c r="G51">
        <f t="shared" si="7"/>
        <v>1</v>
      </c>
      <c r="H51">
        <f t="shared" si="8"/>
        <v>50</v>
      </c>
      <c r="I51">
        <f t="shared" si="9"/>
        <v>25</v>
      </c>
      <c r="J51">
        <f t="shared" si="2"/>
        <v>0</v>
      </c>
      <c r="K51">
        <f t="shared" si="3"/>
        <v>0</v>
      </c>
      <c r="L51">
        <f t="shared" si="10"/>
        <v>54</v>
      </c>
      <c r="M51">
        <f t="shared" si="11"/>
        <v>32</v>
      </c>
      <c r="N51">
        <f t="shared" si="12"/>
        <v>1</v>
      </c>
      <c r="O51">
        <f t="shared" si="13"/>
        <v>17</v>
      </c>
      <c r="P51">
        <f t="shared" si="4"/>
        <v>7</v>
      </c>
      <c r="Q51">
        <f t="shared" si="14"/>
        <v>37</v>
      </c>
      <c r="R51">
        <f t="shared" si="14"/>
        <v>25</v>
      </c>
    </row>
    <row r="52" spans="1:18" x14ac:dyDescent="0.25">
      <c r="A52" s="1">
        <v>44701</v>
      </c>
      <c r="B52">
        <f t="shared" si="0"/>
        <v>5</v>
      </c>
      <c r="C52">
        <f t="shared" si="5"/>
        <v>37</v>
      </c>
      <c r="D52">
        <f t="shared" si="5"/>
        <v>25</v>
      </c>
      <c r="E52">
        <f t="shared" si="6"/>
        <v>0</v>
      </c>
      <c r="F52">
        <f t="shared" si="1"/>
        <v>0</v>
      </c>
      <c r="G52">
        <f t="shared" si="7"/>
        <v>0</v>
      </c>
      <c r="H52">
        <f t="shared" si="8"/>
        <v>0</v>
      </c>
      <c r="I52">
        <f t="shared" si="9"/>
        <v>0</v>
      </c>
      <c r="J52">
        <f t="shared" si="2"/>
        <v>0</v>
      </c>
      <c r="K52">
        <f t="shared" si="3"/>
        <v>0</v>
      </c>
      <c r="L52">
        <f t="shared" si="10"/>
        <v>37</v>
      </c>
      <c r="M52">
        <f t="shared" si="11"/>
        <v>25</v>
      </c>
      <c r="N52">
        <f t="shared" si="12"/>
        <v>1</v>
      </c>
      <c r="O52">
        <f t="shared" si="13"/>
        <v>12</v>
      </c>
      <c r="P52">
        <f t="shared" si="4"/>
        <v>5</v>
      </c>
      <c r="Q52">
        <f t="shared" si="14"/>
        <v>25</v>
      </c>
      <c r="R52">
        <f t="shared" si="14"/>
        <v>20</v>
      </c>
    </row>
    <row r="53" spans="1:18" x14ac:dyDescent="0.25">
      <c r="A53" s="1">
        <v>44702</v>
      </c>
      <c r="B53">
        <f t="shared" si="0"/>
        <v>6</v>
      </c>
      <c r="C53">
        <f t="shared" si="5"/>
        <v>25</v>
      </c>
      <c r="D53">
        <f t="shared" si="5"/>
        <v>20</v>
      </c>
      <c r="E53">
        <f t="shared" si="6"/>
        <v>0</v>
      </c>
      <c r="F53">
        <f t="shared" si="1"/>
        <v>0</v>
      </c>
      <c r="G53">
        <f t="shared" si="7"/>
        <v>0</v>
      </c>
      <c r="H53">
        <f t="shared" si="8"/>
        <v>0</v>
      </c>
      <c r="I53">
        <f t="shared" si="9"/>
        <v>0</v>
      </c>
      <c r="J53">
        <f t="shared" si="2"/>
        <v>0</v>
      </c>
      <c r="K53">
        <f t="shared" si="3"/>
        <v>0</v>
      </c>
      <c r="L53">
        <f t="shared" si="10"/>
        <v>25</v>
      </c>
      <c r="M53">
        <f t="shared" si="11"/>
        <v>20</v>
      </c>
      <c r="N53">
        <f t="shared" si="12"/>
        <v>1</v>
      </c>
      <c r="O53">
        <f t="shared" si="13"/>
        <v>8</v>
      </c>
      <c r="P53">
        <f t="shared" si="4"/>
        <v>4</v>
      </c>
      <c r="Q53">
        <f t="shared" si="14"/>
        <v>17</v>
      </c>
      <c r="R53">
        <f t="shared" si="14"/>
        <v>16</v>
      </c>
    </row>
    <row r="54" spans="1:18" x14ac:dyDescent="0.25">
      <c r="A54" s="1">
        <v>44703</v>
      </c>
      <c r="B54">
        <f t="shared" si="0"/>
        <v>7</v>
      </c>
      <c r="C54">
        <f t="shared" si="5"/>
        <v>17</v>
      </c>
      <c r="D54">
        <f t="shared" si="5"/>
        <v>16</v>
      </c>
      <c r="E54">
        <f t="shared" si="6"/>
        <v>0</v>
      </c>
      <c r="F54">
        <f t="shared" si="1"/>
        <v>0</v>
      </c>
      <c r="G54">
        <f t="shared" si="7"/>
        <v>0</v>
      </c>
      <c r="H54">
        <f t="shared" si="8"/>
        <v>0</v>
      </c>
      <c r="I54">
        <f t="shared" si="9"/>
        <v>0</v>
      </c>
      <c r="J54">
        <f t="shared" si="2"/>
        <v>0</v>
      </c>
      <c r="K54">
        <f t="shared" si="3"/>
        <v>0</v>
      </c>
      <c r="L54">
        <f t="shared" si="10"/>
        <v>17</v>
      </c>
      <c r="M54">
        <f t="shared" si="11"/>
        <v>16</v>
      </c>
      <c r="N54">
        <f t="shared" si="12"/>
        <v>0</v>
      </c>
      <c r="O54">
        <f t="shared" si="13"/>
        <v>0</v>
      </c>
      <c r="P54">
        <f t="shared" si="4"/>
        <v>0</v>
      </c>
      <c r="Q54">
        <f t="shared" si="14"/>
        <v>17</v>
      </c>
      <c r="R54">
        <f t="shared" si="14"/>
        <v>16</v>
      </c>
    </row>
    <row r="55" spans="1:18" x14ac:dyDescent="0.25">
      <c r="A55" s="1">
        <v>44704</v>
      </c>
      <c r="B55">
        <f t="shared" si="0"/>
        <v>1</v>
      </c>
      <c r="C55">
        <f t="shared" si="5"/>
        <v>17</v>
      </c>
      <c r="D55">
        <f t="shared" si="5"/>
        <v>16</v>
      </c>
      <c r="E55">
        <f t="shared" si="6"/>
        <v>1</v>
      </c>
      <c r="F55">
        <f t="shared" si="1"/>
        <v>1</v>
      </c>
      <c r="G55">
        <f t="shared" si="7"/>
        <v>0</v>
      </c>
      <c r="H55">
        <f t="shared" si="8"/>
        <v>0</v>
      </c>
      <c r="I55">
        <f t="shared" si="9"/>
        <v>0</v>
      </c>
      <c r="J55">
        <f t="shared" si="2"/>
        <v>0</v>
      </c>
      <c r="K55">
        <f t="shared" si="3"/>
        <v>0</v>
      </c>
      <c r="L55">
        <f t="shared" si="10"/>
        <v>16</v>
      </c>
      <c r="M55">
        <f t="shared" si="11"/>
        <v>16</v>
      </c>
      <c r="N55">
        <f t="shared" si="12"/>
        <v>1</v>
      </c>
      <c r="O55">
        <f t="shared" si="13"/>
        <v>5</v>
      </c>
      <c r="P55">
        <f t="shared" si="4"/>
        <v>4</v>
      </c>
      <c r="Q55">
        <f t="shared" si="14"/>
        <v>11</v>
      </c>
      <c r="R55">
        <f t="shared" si="14"/>
        <v>12</v>
      </c>
    </row>
    <row r="56" spans="1:18" x14ac:dyDescent="0.25">
      <c r="A56" s="1">
        <v>44705</v>
      </c>
      <c r="B56">
        <f t="shared" si="0"/>
        <v>2</v>
      </c>
      <c r="C56">
        <f t="shared" si="5"/>
        <v>11</v>
      </c>
      <c r="D56">
        <f t="shared" si="5"/>
        <v>12</v>
      </c>
      <c r="E56">
        <f t="shared" si="6"/>
        <v>0</v>
      </c>
      <c r="F56">
        <f t="shared" si="1"/>
        <v>0</v>
      </c>
      <c r="G56">
        <f t="shared" si="7"/>
        <v>0</v>
      </c>
      <c r="H56">
        <f t="shared" si="8"/>
        <v>0</v>
      </c>
      <c r="I56">
        <f t="shared" si="9"/>
        <v>0</v>
      </c>
      <c r="J56">
        <f t="shared" si="2"/>
        <v>0</v>
      </c>
      <c r="K56">
        <f t="shared" si="3"/>
        <v>0</v>
      </c>
      <c r="L56">
        <f t="shared" si="10"/>
        <v>11</v>
      </c>
      <c r="M56">
        <f t="shared" si="11"/>
        <v>12</v>
      </c>
      <c r="N56">
        <f t="shared" si="12"/>
        <v>1</v>
      </c>
      <c r="O56">
        <f t="shared" si="13"/>
        <v>4</v>
      </c>
      <c r="P56">
        <f t="shared" si="4"/>
        <v>3</v>
      </c>
      <c r="Q56">
        <f t="shared" si="14"/>
        <v>7</v>
      </c>
      <c r="R56">
        <f t="shared" si="14"/>
        <v>9</v>
      </c>
    </row>
    <row r="57" spans="1:18" x14ac:dyDescent="0.25">
      <c r="A57" s="1">
        <v>44706</v>
      </c>
      <c r="B57">
        <f t="shared" si="0"/>
        <v>3</v>
      </c>
      <c r="C57">
        <f t="shared" si="5"/>
        <v>7</v>
      </c>
      <c r="D57">
        <f t="shared" si="5"/>
        <v>9</v>
      </c>
      <c r="E57">
        <f t="shared" si="6"/>
        <v>0</v>
      </c>
      <c r="F57">
        <f t="shared" si="1"/>
        <v>0</v>
      </c>
      <c r="G57">
        <f t="shared" si="7"/>
        <v>0</v>
      </c>
      <c r="H57">
        <f t="shared" si="8"/>
        <v>0</v>
      </c>
      <c r="I57">
        <f t="shared" si="9"/>
        <v>0</v>
      </c>
      <c r="J57">
        <f t="shared" si="2"/>
        <v>0</v>
      </c>
      <c r="K57">
        <f t="shared" si="3"/>
        <v>0</v>
      </c>
      <c r="L57">
        <f t="shared" si="10"/>
        <v>7</v>
      </c>
      <c r="M57">
        <f t="shared" si="11"/>
        <v>9</v>
      </c>
      <c r="N57">
        <f t="shared" si="12"/>
        <v>1</v>
      </c>
      <c r="O57">
        <f t="shared" si="13"/>
        <v>3</v>
      </c>
      <c r="P57">
        <f t="shared" si="4"/>
        <v>2</v>
      </c>
      <c r="Q57">
        <f t="shared" si="14"/>
        <v>4</v>
      </c>
      <c r="R57">
        <f t="shared" si="14"/>
        <v>7</v>
      </c>
    </row>
    <row r="58" spans="1:18" x14ac:dyDescent="0.25">
      <c r="A58" s="1">
        <v>44707</v>
      </c>
      <c r="B58">
        <f t="shared" si="0"/>
        <v>4</v>
      </c>
      <c r="C58">
        <f t="shared" si="5"/>
        <v>4</v>
      </c>
      <c r="D58">
        <f t="shared" si="5"/>
        <v>7</v>
      </c>
      <c r="E58">
        <f t="shared" si="6"/>
        <v>0</v>
      </c>
      <c r="F58">
        <f t="shared" si="1"/>
        <v>0</v>
      </c>
      <c r="G58">
        <f t="shared" si="7"/>
        <v>1</v>
      </c>
      <c r="H58">
        <f t="shared" si="8"/>
        <v>50</v>
      </c>
      <c r="I58">
        <f t="shared" si="9"/>
        <v>25</v>
      </c>
      <c r="J58">
        <f t="shared" si="2"/>
        <v>0</v>
      </c>
      <c r="K58">
        <f t="shared" si="3"/>
        <v>0</v>
      </c>
      <c r="L58">
        <f t="shared" si="10"/>
        <v>54</v>
      </c>
      <c r="M58">
        <f t="shared" si="11"/>
        <v>32</v>
      </c>
      <c r="N58">
        <f t="shared" si="12"/>
        <v>1</v>
      </c>
      <c r="O58">
        <f t="shared" si="13"/>
        <v>17</v>
      </c>
      <c r="P58">
        <f t="shared" si="4"/>
        <v>7</v>
      </c>
      <c r="Q58">
        <f t="shared" si="14"/>
        <v>37</v>
      </c>
      <c r="R58">
        <f t="shared" si="14"/>
        <v>25</v>
      </c>
    </row>
    <row r="59" spans="1:18" x14ac:dyDescent="0.25">
      <c r="A59" s="1">
        <v>44708</v>
      </c>
      <c r="B59">
        <f t="shared" si="0"/>
        <v>5</v>
      </c>
      <c r="C59">
        <f t="shared" si="5"/>
        <v>37</v>
      </c>
      <c r="D59">
        <f t="shared" si="5"/>
        <v>25</v>
      </c>
      <c r="E59">
        <f t="shared" si="6"/>
        <v>0</v>
      </c>
      <c r="F59">
        <f t="shared" si="1"/>
        <v>0</v>
      </c>
      <c r="G59">
        <f t="shared" si="7"/>
        <v>0</v>
      </c>
      <c r="H59">
        <f t="shared" si="8"/>
        <v>0</v>
      </c>
      <c r="I59">
        <f t="shared" si="9"/>
        <v>0</v>
      </c>
      <c r="J59">
        <f t="shared" si="2"/>
        <v>0</v>
      </c>
      <c r="K59">
        <f t="shared" si="3"/>
        <v>0</v>
      </c>
      <c r="L59">
        <f t="shared" si="10"/>
        <v>37</v>
      </c>
      <c r="M59">
        <f t="shared" si="11"/>
        <v>25</v>
      </c>
      <c r="N59">
        <f t="shared" si="12"/>
        <v>1</v>
      </c>
      <c r="O59">
        <f t="shared" si="13"/>
        <v>12</v>
      </c>
      <c r="P59">
        <f t="shared" si="4"/>
        <v>5</v>
      </c>
      <c r="Q59">
        <f t="shared" si="14"/>
        <v>25</v>
      </c>
      <c r="R59">
        <f t="shared" si="14"/>
        <v>20</v>
      </c>
    </row>
    <row r="60" spans="1:18" x14ac:dyDescent="0.25">
      <c r="A60" s="1">
        <v>44709</v>
      </c>
      <c r="B60">
        <f t="shared" si="0"/>
        <v>6</v>
      </c>
      <c r="C60">
        <f t="shared" si="5"/>
        <v>25</v>
      </c>
      <c r="D60">
        <f t="shared" si="5"/>
        <v>20</v>
      </c>
      <c r="E60">
        <f t="shared" si="6"/>
        <v>0</v>
      </c>
      <c r="F60">
        <f t="shared" si="1"/>
        <v>0</v>
      </c>
      <c r="G60">
        <f t="shared" si="7"/>
        <v>0</v>
      </c>
      <c r="H60">
        <f t="shared" si="8"/>
        <v>0</v>
      </c>
      <c r="I60">
        <f t="shared" si="9"/>
        <v>0</v>
      </c>
      <c r="J60">
        <f t="shared" si="2"/>
        <v>0</v>
      </c>
      <c r="K60">
        <f t="shared" si="3"/>
        <v>0</v>
      </c>
      <c r="L60">
        <f t="shared" si="10"/>
        <v>25</v>
      </c>
      <c r="M60">
        <f t="shared" si="11"/>
        <v>20</v>
      </c>
      <c r="N60">
        <f t="shared" si="12"/>
        <v>1</v>
      </c>
      <c r="O60">
        <f t="shared" si="13"/>
        <v>8</v>
      </c>
      <c r="P60">
        <f t="shared" si="4"/>
        <v>4</v>
      </c>
      <c r="Q60">
        <f t="shared" si="14"/>
        <v>17</v>
      </c>
      <c r="R60">
        <f t="shared" si="14"/>
        <v>16</v>
      </c>
    </row>
    <row r="61" spans="1:18" x14ac:dyDescent="0.25">
      <c r="A61" s="1">
        <v>44710</v>
      </c>
      <c r="B61">
        <f t="shared" si="0"/>
        <v>7</v>
      </c>
      <c r="C61">
        <f t="shared" si="5"/>
        <v>17</v>
      </c>
      <c r="D61">
        <f t="shared" si="5"/>
        <v>16</v>
      </c>
      <c r="E61">
        <f t="shared" si="6"/>
        <v>0</v>
      </c>
      <c r="F61">
        <f t="shared" si="1"/>
        <v>0</v>
      </c>
      <c r="G61">
        <f t="shared" si="7"/>
        <v>0</v>
      </c>
      <c r="H61">
        <f t="shared" si="8"/>
        <v>0</v>
      </c>
      <c r="I61">
        <f t="shared" si="9"/>
        <v>0</v>
      </c>
      <c r="J61">
        <f t="shared" si="2"/>
        <v>0</v>
      </c>
      <c r="K61">
        <f t="shared" si="3"/>
        <v>0</v>
      </c>
      <c r="L61">
        <f t="shared" si="10"/>
        <v>17</v>
      </c>
      <c r="M61">
        <f t="shared" si="11"/>
        <v>16</v>
      </c>
      <c r="N61">
        <f t="shared" si="12"/>
        <v>0</v>
      </c>
      <c r="O61">
        <f t="shared" si="13"/>
        <v>0</v>
      </c>
      <c r="P61">
        <f t="shared" si="4"/>
        <v>0</v>
      </c>
      <c r="Q61">
        <f t="shared" si="14"/>
        <v>17</v>
      </c>
      <c r="R61">
        <f t="shared" si="14"/>
        <v>16</v>
      </c>
    </row>
    <row r="62" spans="1:18" x14ac:dyDescent="0.25">
      <c r="A62" s="1">
        <v>44711</v>
      </c>
      <c r="B62">
        <f t="shared" si="0"/>
        <v>1</v>
      </c>
      <c r="C62">
        <f t="shared" si="5"/>
        <v>17</v>
      </c>
      <c r="D62">
        <f t="shared" si="5"/>
        <v>16</v>
      </c>
      <c r="E62">
        <f t="shared" si="6"/>
        <v>1</v>
      </c>
      <c r="F62">
        <f t="shared" si="1"/>
        <v>1</v>
      </c>
      <c r="G62">
        <f t="shared" si="7"/>
        <v>0</v>
      </c>
      <c r="H62">
        <f t="shared" si="8"/>
        <v>0</v>
      </c>
      <c r="I62">
        <f t="shared" si="9"/>
        <v>0</v>
      </c>
      <c r="J62">
        <f t="shared" si="2"/>
        <v>0</v>
      </c>
      <c r="K62">
        <f t="shared" si="3"/>
        <v>0</v>
      </c>
      <c r="L62">
        <f t="shared" si="10"/>
        <v>16</v>
      </c>
      <c r="M62">
        <f t="shared" si="11"/>
        <v>16</v>
      </c>
      <c r="N62">
        <f t="shared" si="12"/>
        <v>1</v>
      </c>
      <c r="O62">
        <f t="shared" si="13"/>
        <v>5</v>
      </c>
      <c r="P62">
        <f t="shared" si="4"/>
        <v>4</v>
      </c>
      <c r="Q62">
        <f t="shared" si="14"/>
        <v>11</v>
      </c>
      <c r="R62">
        <f t="shared" si="14"/>
        <v>12</v>
      </c>
    </row>
    <row r="63" spans="1:18" x14ac:dyDescent="0.25">
      <c r="A63" s="1">
        <v>44712</v>
      </c>
      <c r="B63">
        <f t="shared" si="0"/>
        <v>2</v>
      </c>
      <c r="C63">
        <f t="shared" si="5"/>
        <v>11</v>
      </c>
      <c r="D63">
        <f t="shared" si="5"/>
        <v>12</v>
      </c>
      <c r="E63">
        <f t="shared" si="6"/>
        <v>0</v>
      </c>
      <c r="F63">
        <f t="shared" si="1"/>
        <v>0</v>
      </c>
      <c r="G63">
        <f t="shared" si="7"/>
        <v>0</v>
      </c>
      <c r="H63">
        <f t="shared" si="8"/>
        <v>0</v>
      </c>
      <c r="I63">
        <f t="shared" si="9"/>
        <v>0</v>
      </c>
      <c r="J63">
        <f t="shared" si="2"/>
        <v>0</v>
      </c>
      <c r="K63">
        <f t="shared" si="3"/>
        <v>0</v>
      </c>
      <c r="L63">
        <f t="shared" si="10"/>
        <v>11</v>
      </c>
      <c r="M63">
        <f t="shared" si="11"/>
        <v>12</v>
      </c>
      <c r="N63">
        <f t="shared" si="12"/>
        <v>1</v>
      </c>
      <c r="O63">
        <f t="shared" si="13"/>
        <v>4</v>
      </c>
      <c r="P63">
        <f t="shared" si="4"/>
        <v>3</v>
      </c>
      <c r="Q63">
        <f t="shared" si="14"/>
        <v>7</v>
      </c>
      <c r="R63">
        <f t="shared" si="14"/>
        <v>9</v>
      </c>
    </row>
    <row r="64" spans="1:18" x14ac:dyDescent="0.25">
      <c r="A64" s="1">
        <v>44713</v>
      </c>
      <c r="B64">
        <f t="shared" si="0"/>
        <v>3</v>
      </c>
      <c r="C64">
        <f t="shared" si="5"/>
        <v>7</v>
      </c>
      <c r="D64">
        <f t="shared" si="5"/>
        <v>9</v>
      </c>
      <c r="E64">
        <f t="shared" si="6"/>
        <v>0</v>
      </c>
      <c r="F64">
        <f t="shared" si="1"/>
        <v>0</v>
      </c>
      <c r="G64">
        <f t="shared" si="7"/>
        <v>0</v>
      </c>
      <c r="H64">
        <f t="shared" si="8"/>
        <v>0</v>
      </c>
      <c r="I64">
        <f t="shared" si="9"/>
        <v>0</v>
      </c>
      <c r="J64">
        <f t="shared" si="2"/>
        <v>0</v>
      </c>
      <c r="K64">
        <f t="shared" si="3"/>
        <v>0</v>
      </c>
      <c r="L64">
        <f t="shared" si="10"/>
        <v>7</v>
      </c>
      <c r="M64">
        <f t="shared" si="11"/>
        <v>9</v>
      </c>
      <c r="N64">
        <f t="shared" si="12"/>
        <v>1</v>
      </c>
      <c r="O64">
        <f t="shared" si="13"/>
        <v>3</v>
      </c>
      <c r="P64">
        <f t="shared" si="4"/>
        <v>2</v>
      </c>
      <c r="Q64">
        <f t="shared" si="14"/>
        <v>4</v>
      </c>
      <c r="R64">
        <f t="shared" si="14"/>
        <v>7</v>
      </c>
    </row>
    <row r="65" spans="1:18" x14ac:dyDescent="0.25">
      <c r="A65" s="1">
        <v>44714</v>
      </c>
      <c r="B65">
        <f t="shared" si="0"/>
        <v>4</v>
      </c>
      <c r="C65">
        <f t="shared" si="5"/>
        <v>4</v>
      </c>
      <c r="D65">
        <f t="shared" si="5"/>
        <v>7</v>
      </c>
      <c r="E65">
        <f t="shared" si="6"/>
        <v>0</v>
      </c>
      <c r="F65">
        <f t="shared" si="1"/>
        <v>0</v>
      </c>
      <c r="G65">
        <f t="shared" si="7"/>
        <v>1</v>
      </c>
      <c r="H65">
        <f t="shared" si="8"/>
        <v>50</v>
      </c>
      <c r="I65">
        <f t="shared" si="9"/>
        <v>25</v>
      </c>
      <c r="J65">
        <f t="shared" si="2"/>
        <v>0</v>
      </c>
      <c r="K65">
        <f t="shared" si="3"/>
        <v>0</v>
      </c>
      <c r="L65">
        <f t="shared" si="10"/>
        <v>54</v>
      </c>
      <c r="M65">
        <f t="shared" si="11"/>
        <v>32</v>
      </c>
      <c r="N65">
        <f t="shared" si="12"/>
        <v>1</v>
      </c>
      <c r="O65">
        <f t="shared" si="13"/>
        <v>17</v>
      </c>
      <c r="P65">
        <f t="shared" si="4"/>
        <v>7</v>
      </c>
      <c r="Q65">
        <f t="shared" si="14"/>
        <v>37</v>
      </c>
      <c r="R65">
        <f t="shared" si="14"/>
        <v>25</v>
      </c>
    </row>
    <row r="66" spans="1:18" x14ac:dyDescent="0.25">
      <c r="A66" s="1">
        <v>44715</v>
      </c>
      <c r="B66">
        <f t="shared" si="0"/>
        <v>5</v>
      </c>
      <c r="C66">
        <f t="shared" si="5"/>
        <v>37</v>
      </c>
      <c r="D66">
        <f t="shared" si="5"/>
        <v>25</v>
      </c>
      <c r="E66">
        <f t="shared" si="6"/>
        <v>0</v>
      </c>
      <c r="F66">
        <f t="shared" si="1"/>
        <v>0</v>
      </c>
      <c r="G66">
        <f t="shared" si="7"/>
        <v>0</v>
      </c>
      <c r="H66">
        <f t="shared" si="8"/>
        <v>0</v>
      </c>
      <c r="I66">
        <f t="shared" si="9"/>
        <v>0</v>
      </c>
      <c r="J66">
        <f t="shared" si="2"/>
        <v>0</v>
      </c>
      <c r="K66">
        <f t="shared" si="3"/>
        <v>0</v>
      </c>
      <c r="L66">
        <f t="shared" si="10"/>
        <v>37</v>
      </c>
      <c r="M66">
        <f t="shared" si="11"/>
        <v>25</v>
      </c>
      <c r="N66">
        <f t="shared" si="12"/>
        <v>1</v>
      </c>
      <c r="O66">
        <f t="shared" si="13"/>
        <v>12</v>
      </c>
      <c r="P66">
        <f t="shared" si="4"/>
        <v>5</v>
      </c>
      <c r="Q66">
        <f t="shared" si="14"/>
        <v>25</v>
      </c>
      <c r="R66">
        <f t="shared" si="14"/>
        <v>20</v>
      </c>
    </row>
    <row r="67" spans="1:18" x14ac:dyDescent="0.25">
      <c r="A67" s="1">
        <v>44716</v>
      </c>
      <c r="B67">
        <f t="shared" si="0"/>
        <v>6</v>
      </c>
      <c r="C67">
        <f t="shared" si="5"/>
        <v>25</v>
      </c>
      <c r="D67">
        <f t="shared" si="5"/>
        <v>20</v>
      </c>
      <c r="E67">
        <f t="shared" si="6"/>
        <v>0</v>
      </c>
      <c r="F67">
        <f t="shared" si="1"/>
        <v>0</v>
      </c>
      <c r="G67">
        <f t="shared" si="7"/>
        <v>0</v>
      </c>
      <c r="H67">
        <f t="shared" si="8"/>
        <v>0</v>
      </c>
      <c r="I67">
        <f t="shared" si="9"/>
        <v>0</v>
      </c>
      <c r="J67">
        <f t="shared" si="2"/>
        <v>0</v>
      </c>
      <c r="K67">
        <f t="shared" si="3"/>
        <v>0</v>
      </c>
      <c r="L67">
        <f t="shared" si="10"/>
        <v>25</v>
      </c>
      <c r="M67">
        <f t="shared" si="11"/>
        <v>20</v>
      </c>
      <c r="N67">
        <f t="shared" si="12"/>
        <v>1</v>
      </c>
      <c r="O67">
        <f t="shared" si="13"/>
        <v>8</v>
      </c>
      <c r="P67">
        <f t="shared" si="4"/>
        <v>4</v>
      </c>
      <c r="Q67">
        <f t="shared" si="14"/>
        <v>17</v>
      </c>
      <c r="R67">
        <f t="shared" si="14"/>
        <v>16</v>
      </c>
    </row>
    <row r="68" spans="1:18" x14ac:dyDescent="0.25">
      <c r="A68" s="1">
        <v>44717</v>
      </c>
      <c r="B68">
        <f t="shared" ref="B68:B131" si="15">WEEKDAY(A68, 2)</f>
        <v>7</v>
      </c>
      <c r="C68">
        <f t="shared" si="5"/>
        <v>17</v>
      </c>
      <c r="D68">
        <f t="shared" si="5"/>
        <v>16</v>
      </c>
      <c r="E68">
        <f t="shared" si="6"/>
        <v>0</v>
      </c>
      <c r="F68">
        <f t="shared" ref="F68:F131" si="16">IF(E68=1,ROUNDUP(5% * C68,0),0)</f>
        <v>0</v>
      </c>
      <c r="G68">
        <f t="shared" si="7"/>
        <v>0</v>
      </c>
      <c r="H68">
        <f t="shared" si="8"/>
        <v>0</v>
      </c>
      <c r="I68">
        <f t="shared" si="9"/>
        <v>0</v>
      </c>
      <c r="J68">
        <f t="shared" ref="J68:J131" si="17">IF(AND(B68=1,SUM(O65:O66)&gt;25),1,0)</f>
        <v>0</v>
      </c>
      <c r="K68">
        <f t="shared" ref="K68:K131" si="18">IF(J68=1,15,0)</f>
        <v>0</v>
      </c>
      <c r="L68">
        <f t="shared" si="10"/>
        <v>17</v>
      </c>
      <c r="M68">
        <f t="shared" si="11"/>
        <v>16</v>
      </c>
      <c r="N68">
        <f t="shared" si="12"/>
        <v>0</v>
      </c>
      <c r="O68">
        <f t="shared" si="13"/>
        <v>0</v>
      </c>
      <c r="P68">
        <f t="shared" ref="P68:P131" si="19">IF(N68=1,ROUNDUP(20% * M68,0),0)</f>
        <v>0</v>
      </c>
      <c r="Q68">
        <f t="shared" si="14"/>
        <v>17</v>
      </c>
      <c r="R68">
        <f t="shared" si="14"/>
        <v>16</v>
      </c>
    </row>
    <row r="69" spans="1:18" x14ac:dyDescent="0.25">
      <c r="A69" s="1">
        <v>44718</v>
      </c>
      <c r="B69">
        <f t="shared" si="15"/>
        <v>1</v>
      </c>
      <c r="C69">
        <f t="shared" ref="C69:D132" si="20">Q68</f>
        <v>17</v>
      </c>
      <c r="D69">
        <f t="shared" si="20"/>
        <v>16</v>
      </c>
      <c r="E69">
        <f t="shared" ref="E69:E132" si="21">IF(B69=1,1,0)</f>
        <v>1</v>
      </c>
      <c r="F69">
        <f t="shared" si="16"/>
        <v>1</v>
      </c>
      <c r="G69">
        <f t="shared" ref="G69:G132" si="22">IF(B69=4,1,0)</f>
        <v>0</v>
      </c>
      <c r="H69">
        <f t="shared" ref="H69:H132" si="23">IF(G69=1,50,0)</f>
        <v>0</v>
      </c>
      <c r="I69">
        <f t="shared" ref="I69:I132" si="24">IF(G69=1,25,0)</f>
        <v>0</v>
      </c>
      <c r="J69">
        <f t="shared" si="17"/>
        <v>0</v>
      </c>
      <c r="K69">
        <f t="shared" si="18"/>
        <v>0</v>
      </c>
      <c r="L69">
        <f t="shared" ref="L69:L132" si="25">K69+H69+C69-F69</f>
        <v>16</v>
      </c>
      <c r="M69">
        <f t="shared" ref="M69:M132" si="26">I69+D69</f>
        <v>16</v>
      </c>
      <c r="N69">
        <f t="shared" ref="N69:N132" si="27">IF(B69&lt;&gt;7,1,0)</f>
        <v>1</v>
      </c>
      <c r="O69">
        <f t="shared" ref="O69:O132" si="28">IF(N69=1,ROUNDUP(30% * L69,0),0)</f>
        <v>5</v>
      </c>
      <c r="P69">
        <f t="shared" si="19"/>
        <v>4</v>
      </c>
      <c r="Q69">
        <f t="shared" ref="Q69:R132" si="29">L69-O69</f>
        <v>11</v>
      </c>
      <c r="R69">
        <f t="shared" si="29"/>
        <v>12</v>
      </c>
    </row>
    <row r="70" spans="1:18" x14ac:dyDescent="0.25">
      <c r="A70" s="1">
        <v>44719</v>
      </c>
      <c r="B70">
        <f t="shared" si="15"/>
        <v>2</v>
      </c>
      <c r="C70">
        <f t="shared" si="20"/>
        <v>11</v>
      </c>
      <c r="D70">
        <f t="shared" si="20"/>
        <v>12</v>
      </c>
      <c r="E70">
        <f t="shared" si="21"/>
        <v>0</v>
      </c>
      <c r="F70">
        <f t="shared" si="16"/>
        <v>0</v>
      </c>
      <c r="G70">
        <f t="shared" si="22"/>
        <v>0</v>
      </c>
      <c r="H70">
        <f t="shared" si="23"/>
        <v>0</v>
      </c>
      <c r="I70">
        <f t="shared" si="24"/>
        <v>0</v>
      </c>
      <c r="J70">
        <f t="shared" si="17"/>
        <v>0</v>
      </c>
      <c r="K70">
        <f t="shared" si="18"/>
        <v>0</v>
      </c>
      <c r="L70">
        <f t="shared" si="25"/>
        <v>11</v>
      </c>
      <c r="M70">
        <f t="shared" si="26"/>
        <v>12</v>
      </c>
      <c r="N70">
        <f t="shared" si="27"/>
        <v>1</v>
      </c>
      <c r="O70">
        <f t="shared" si="28"/>
        <v>4</v>
      </c>
      <c r="P70">
        <f t="shared" si="19"/>
        <v>3</v>
      </c>
      <c r="Q70">
        <f t="shared" si="29"/>
        <v>7</v>
      </c>
      <c r="R70">
        <f t="shared" si="29"/>
        <v>9</v>
      </c>
    </row>
    <row r="71" spans="1:18" x14ac:dyDescent="0.25">
      <c r="A71" s="1">
        <v>44720</v>
      </c>
      <c r="B71">
        <f t="shared" si="15"/>
        <v>3</v>
      </c>
      <c r="C71">
        <f t="shared" si="20"/>
        <v>7</v>
      </c>
      <c r="D71">
        <f t="shared" si="20"/>
        <v>9</v>
      </c>
      <c r="E71">
        <f t="shared" si="21"/>
        <v>0</v>
      </c>
      <c r="F71">
        <f t="shared" si="16"/>
        <v>0</v>
      </c>
      <c r="G71">
        <f t="shared" si="22"/>
        <v>0</v>
      </c>
      <c r="H71">
        <f t="shared" si="23"/>
        <v>0</v>
      </c>
      <c r="I71">
        <f t="shared" si="24"/>
        <v>0</v>
      </c>
      <c r="J71">
        <f t="shared" si="17"/>
        <v>0</v>
      </c>
      <c r="K71">
        <f t="shared" si="18"/>
        <v>0</v>
      </c>
      <c r="L71">
        <f t="shared" si="25"/>
        <v>7</v>
      </c>
      <c r="M71">
        <f t="shared" si="26"/>
        <v>9</v>
      </c>
      <c r="N71">
        <f t="shared" si="27"/>
        <v>1</v>
      </c>
      <c r="O71">
        <f t="shared" si="28"/>
        <v>3</v>
      </c>
      <c r="P71">
        <f t="shared" si="19"/>
        <v>2</v>
      </c>
      <c r="Q71">
        <f t="shared" si="29"/>
        <v>4</v>
      </c>
      <c r="R71">
        <f t="shared" si="29"/>
        <v>7</v>
      </c>
    </row>
    <row r="72" spans="1:18" x14ac:dyDescent="0.25">
      <c r="A72" s="1">
        <v>44721</v>
      </c>
      <c r="B72">
        <f t="shared" si="15"/>
        <v>4</v>
      </c>
      <c r="C72">
        <f t="shared" si="20"/>
        <v>4</v>
      </c>
      <c r="D72">
        <f t="shared" si="20"/>
        <v>7</v>
      </c>
      <c r="E72">
        <f t="shared" si="21"/>
        <v>0</v>
      </c>
      <c r="F72">
        <f t="shared" si="16"/>
        <v>0</v>
      </c>
      <c r="G72">
        <f t="shared" si="22"/>
        <v>1</v>
      </c>
      <c r="H72">
        <f t="shared" si="23"/>
        <v>50</v>
      </c>
      <c r="I72">
        <f t="shared" si="24"/>
        <v>25</v>
      </c>
      <c r="J72">
        <f t="shared" si="17"/>
        <v>0</v>
      </c>
      <c r="K72">
        <f t="shared" si="18"/>
        <v>0</v>
      </c>
      <c r="L72">
        <f t="shared" si="25"/>
        <v>54</v>
      </c>
      <c r="M72">
        <f t="shared" si="26"/>
        <v>32</v>
      </c>
      <c r="N72">
        <f t="shared" si="27"/>
        <v>1</v>
      </c>
      <c r="O72">
        <f t="shared" si="28"/>
        <v>17</v>
      </c>
      <c r="P72">
        <f t="shared" si="19"/>
        <v>7</v>
      </c>
      <c r="Q72">
        <f t="shared" si="29"/>
        <v>37</v>
      </c>
      <c r="R72">
        <f t="shared" si="29"/>
        <v>25</v>
      </c>
    </row>
    <row r="73" spans="1:18" x14ac:dyDescent="0.25">
      <c r="A73" s="1">
        <v>44722</v>
      </c>
      <c r="B73">
        <f t="shared" si="15"/>
        <v>5</v>
      </c>
      <c r="C73">
        <f t="shared" si="20"/>
        <v>37</v>
      </c>
      <c r="D73">
        <f t="shared" si="20"/>
        <v>25</v>
      </c>
      <c r="E73">
        <f t="shared" si="21"/>
        <v>0</v>
      </c>
      <c r="F73">
        <f t="shared" si="16"/>
        <v>0</v>
      </c>
      <c r="G73">
        <f t="shared" si="22"/>
        <v>0</v>
      </c>
      <c r="H73">
        <f t="shared" si="23"/>
        <v>0</v>
      </c>
      <c r="I73">
        <f t="shared" si="24"/>
        <v>0</v>
      </c>
      <c r="J73">
        <f t="shared" si="17"/>
        <v>0</v>
      </c>
      <c r="K73">
        <f t="shared" si="18"/>
        <v>0</v>
      </c>
      <c r="L73">
        <f t="shared" si="25"/>
        <v>37</v>
      </c>
      <c r="M73">
        <f t="shared" si="26"/>
        <v>25</v>
      </c>
      <c r="N73">
        <f t="shared" si="27"/>
        <v>1</v>
      </c>
      <c r="O73">
        <f t="shared" si="28"/>
        <v>12</v>
      </c>
      <c r="P73">
        <f t="shared" si="19"/>
        <v>5</v>
      </c>
      <c r="Q73">
        <f t="shared" si="29"/>
        <v>25</v>
      </c>
      <c r="R73">
        <f t="shared" si="29"/>
        <v>20</v>
      </c>
    </row>
    <row r="74" spans="1:18" x14ac:dyDescent="0.25">
      <c r="A74" s="1">
        <v>44723</v>
      </c>
      <c r="B74">
        <f t="shared" si="15"/>
        <v>6</v>
      </c>
      <c r="C74">
        <f t="shared" si="20"/>
        <v>25</v>
      </c>
      <c r="D74">
        <f t="shared" si="20"/>
        <v>20</v>
      </c>
      <c r="E74">
        <f t="shared" si="21"/>
        <v>0</v>
      </c>
      <c r="F74">
        <f t="shared" si="16"/>
        <v>0</v>
      </c>
      <c r="G74">
        <f t="shared" si="22"/>
        <v>0</v>
      </c>
      <c r="H74">
        <f t="shared" si="23"/>
        <v>0</v>
      </c>
      <c r="I74">
        <f t="shared" si="24"/>
        <v>0</v>
      </c>
      <c r="J74">
        <f t="shared" si="17"/>
        <v>0</v>
      </c>
      <c r="K74">
        <f t="shared" si="18"/>
        <v>0</v>
      </c>
      <c r="L74">
        <f t="shared" si="25"/>
        <v>25</v>
      </c>
      <c r="M74">
        <f t="shared" si="26"/>
        <v>20</v>
      </c>
      <c r="N74">
        <f t="shared" si="27"/>
        <v>1</v>
      </c>
      <c r="O74">
        <f t="shared" si="28"/>
        <v>8</v>
      </c>
      <c r="P74">
        <f t="shared" si="19"/>
        <v>4</v>
      </c>
      <c r="Q74">
        <f t="shared" si="29"/>
        <v>17</v>
      </c>
      <c r="R74">
        <f t="shared" si="29"/>
        <v>16</v>
      </c>
    </row>
    <row r="75" spans="1:18" x14ac:dyDescent="0.25">
      <c r="A75" s="1">
        <v>44724</v>
      </c>
      <c r="B75">
        <f t="shared" si="15"/>
        <v>7</v>
      </c>
      <c r="C75">
        <f t="shared" si="20"/>
        <v>17</v>
      </c>
      <c r="D75">
        <f t="shared" si="20"/>
        <v>16</v>
      </c>
      <c r="E75">
        <f t="shared" si="21"/>
        <v>0</v>
      </c>
      <c r="F75">
        <f t="shared" si="16"/>
        <v>0</v>
      </c>
      <c r="G75">
        <f t="shared" si="22"/>
        <v>0</v>
      </c>
      <c r="H75">
        <f t="shared" si="23"/>
        <v>0</v>
      </c>
      <c r="I75">
        <f t="shared" si="24"/>
        <v>0</v>
      </c>
      <c r="J75">
        <f t="shared" si="17"/>
        <v>0</v>
      </c>
      <c r="K75">
        <f t="shared" si="18"/>
        <v>0</v>
      </c>
      <c r="L75">
        <f t="shared" si="25"/>
        <v>17</v>
      </c>
      <c r="M75">
        <f t="shared" si="26"/>
        <v>16</v>
      </c>
      <c r="N75">
        <f t="shared" si="27"/>
        <v>0</v>
      </c>
      <c r="O75">
        <f t="shared" si="28"/>
        <v>0</v>
      </c>
      <c r="P75">
        <f t="shared" si="19"/>
        <v>0</v>
      </c>
      <c r="Q75">
        <f t="shared" si="29"/>
        <v>17</v>
      </c>
      <c r="R75">
        <f t="shared" si="29"/>
        <v>16</v>
      </c>
    </row>
    <row r="76" spans="1:18" x14ac:dyDescent="0.25">
      <c r="A76" s="1">
        <v>44725</v>
      </c>
      <c r="B76">
        <f t="shared" si="15"/>
        <v>1</v>
      </c>
      <c r="C76">
        <f t="shared" si="20"/>
        <v>17</v>
      </c>
      <c r="D76">
        <f t="shared" si="20"/>
        <v>16</v>
      </c>
      <c r="E76">
        <f t="shared" si="21"/>
        <v>1</v>
      </c>
      <c r="F76">
        <f t="shared" si="16"/>
        <v>1</v>
      </c>
      <c r="G76">
        <f t="shared" si="22"/>
        <v>0</v>
      </c>
      <c r="H76">
        <f t="shared" si="23"/>
        <v>0</v>
      </c>
      <c r="I76">
        <f t="shared" si="24"/>
        <v>0</v>
      </c>
      <c r="J76">
        <f t="shared" si="17"/>
        <v>0</v>
      </c>
      <c r="K76">
        <f t="shared" si="18"/>
        <v>0</v>
      </c>
      <c r="L76">
        <f t="shared" si="25"/>
        <v>16</v>
      </c>
      <c r="M76">
        <f t="shared" si="26"/>
        <v>16</v>
      </c>
      <c r="N76">
        <f t="shared" si="27"/>
        <v>1</v>
      </c>
      <c r="O76">
        <f t="shared" si="28"/>
        <v>5</v>
      </c>
      <c r="P76">
        <f t="shared" si="19"/>
        <v>4</v>
      </c>
      <c r="Q76">
        <f t="shared" si="29"/>
        <v>11</v>
      </c>
      <c r="R76">
        <f t="shared" si="29"/>
        <v>12</v>
      </c>
    </row>
    <row r="77" spans="1:18" x14ac:dyDescent="0.25">
      <c r="A77" s="1">
        <v>44726</v>
      </c>
      <c r="B77">
        <f t="shared" si="15"/>
        <v>2</v>
      </c>
      <c r="C77">
        <f t="shared" si="20"/>
        <v>11</v>
      </c>
      <c r="D77">
        <f t="shared" si="20"/>
        <v>12</v>
      </c>
      <c r="E77">
        <f t="shared" si="21"/>
        <v>0</v>
      </c>
      <c r="F77">
        <f t="shared" si="16"/>
        <v>0</v>
      </c>
      <c r="G77">
        <f t="shared" si="22"/>
        <v>0</v>
      </c>
      <c r="H77">
        <f t="shared" si="23"/>
        <v>0</v>
      </c>
      <c r="I77">
        <f t="shared" si="24"/>
        <v>0</v>
      </c>
      <c r="J77">
        <f t="shared" si="17"/>
        <v>0</v>
      </c>
      <c r="K77">
        <f t="shared" si="18"/>
        <v>0</v>
      </c>
      <c r="L77">
        <f t="shared" si="25"/>
        <v>11</v>
      </c>
      <c r="M77">
        <f t="shared" si="26"/>
        <v>12</v>
      </c>
      <c r="N77">
        <f t="shared" si="27"/>
        <v>1</v>
      </c>
      <c r="O77">
        <f t="shared" si="28"/>
        <v>4</v>
      </c>
      <c r="P77">
        <f t="shared" si="19"/>
        <v>3</v>
      </c>
      <c r="Q77">
        <f t="shared" si="29"/>
        <v>7</v>
      </c>
      <c r="R77">
        <f t="shared" si="29"/>
        <v>9</v>
      </c>
    </row>
    <row r="78" spans="1:18" x14ac:dyDescent="0.25">
      <c r="A78" s="1">
        <v>44727</v>
      </c>
      <c r="B78">
        <f t="shared" si="15"/>
        <v>3</v>
      </c>
      <c r="C78">
        <f t="shared" si="20"/>
        <v>7</v>
      </c>
      <c r="D78">
        <f t="shared" si="20"/>
        <v>9</v>
      </c>
      <c r="E78">
        <f t="shared" si="21"/>
        <v>0</v>
      </c>
      <c r="F78">
        <f t="shared" si="16"/>
        <v>0</v>
      </c>
      <c r="G78">
        <f t="shared" si="22"/>
        <v>0</v>
      </c>
      <c r="H78">
        <f t="shared" si="23"/>
        <v>0</v>
      </c>
      <c r="I78">
        <f t="shared" si="24"/>
        <v>0</v>
      </c>
      <c r="J78">
        <f t="shared" si="17"/>
        <v>0</v>
      </c>
      <c r="K78">
        <f t="shared" si="18"/>
        <v>0</v>
      </c>
      <c r="L78">
        <f t="shared" si="25"/>
        <v>7</v>
      </c>
      <c r="M78">
        <f t="shared" si="26"/>
        <v>9</v>
      </c>
      <c r="N78">
        <f t="shared" si="27"/>
        <v>1</v>
      </c>
      <c r="O78">
        <f t="shared" si="28"/>
        <v>3</v>
      </c>
      <c r="P78">
        <f t="shared" si="19"/>
        <v>2</v>
      </c>
      <c r="Q78">
        <f t="shared" si="29"/>
        <v>4</v>
      </c>
      <c r="R78">
        <f t="shared" si="29"/>
        <v>7</v>
      </c>
    </row>
    <row r="79" spans="1:18" x14ac:dyDescent="0.25">
      <c r="A79" s="1">
        <v>44728</v>
      </c>
      <c r="B79">
        <f t="shared" si="15"/>
        <v>4</v>
      </c>
      <c r="C79">
        <f t="shared" si="20"/>
        <v>4</v>
      </c>
      <c r="D79">
        <f t="shared" si="20"/>
        <v>7</v>
      </c>
      <c r="E79">
        <f t="shared" si="21"/>
        <v>0</v>
      </c>
      <c r="F79">
        <f t="shared" si="16"/>
        <v>0</v>
      </c>
      <c r="G79">
        <f t="shared" si="22"/>
        <v>1</v>
      </c>
      <c r="H79">
        <f t="shared" si="23"/>
        <v>50</v>
      </c>
      <c r="I79">
        <f t="shared" si="24"/>
        <v>25</v>
      </c>
      <c r="J79">
        <f t="shared" si="17"/>
        <v>0</v>
      </c>
      <c r="K79">
        <f t="shared" si="18"/>
        <v>0</v>
      </c>
      <c r="L79">
        <f t="shared" si="25"/>
        <v>54</v>
      </c>
      <c r="M79">
        <f t="shared" si="26"/>
        <v>32</v>
      </c>
      <c r="N79">
        <f t="shared" si="27"/>
        <v>1</v>
      </c>
      <c r="O79">
        <f t="shared" si="28"/>
        <v>17</v>
      </c>
      <c r="P79">
        <f t="shared" si="19"/>
        <v>7</v>
      </c>
      <c r="Q79">
        <f t="shared" si="29"/>
        <v>37</v>
      </c>
      <c r="R79">
        <f t="shared" si="29"/>
        <v>25</v>
      </c>
    </row>
    <row r="80" spans="1:18" x14ac:dyDescent="0.25">
      <c r="A80" s="1">
        <v>44729</v>
      </c>
      <c r="B80">
        <f t="shared" si="15"/>
        <v>5</v>
      </c>
      <c r="C80">
        <f t="shared" si="20"/>
        <v>37</v>
      </c>
      <c r="D80">
        <f t="shared" si="20"/>
        <v>25</v>
      </c>
      <c r="E80">
        <f t="shared" si="21"/>
        <v>0</v>
      </c>
      <c r="F80">
        <f t="shared" si="16"/>
        <v>0</v>
      </c>
      <c r="G80">
        <f t="shared" si="22"/>
        <v>0</v>
      </c>
      <c r="H80">
        <f t="shared" si="23"/>
        <v>0</v>
      </c>
      <c r="I80">
        <f t="shared" si="24"/>
        <v>0</v>
      </c>
      <c r="J80">
        <f t="shared" si="17"/>
        <v>0</v>
      </c>
      <c r="K80">
        <f t="shared" si="18"/>
        <v>0</v>
      </c>
      <c r="L80">
        <f t="shared" si="25"/>
        <v>37</v>
      </c>
      <c r="M80">
        <f t="shared" si="26"/>
        <v>25</v>
      </c>
      <c r="N80">
        <f t="shared" si="27"/>
        <v>1</v>
      </c>
      <c r="O80">
        <f t="shared" si="28"/>
        <v>12</v>
      </c>
      <c r="P80">
        <f t="shared" si="19"/>
        <v>5</v>
      </c>
      <c r="Q80">
        <f t="shared" si="29"/>
        <v>25</v>
      </c>
      <c r="R80">
        <f t="shared" si="29"/>
        <v>20</v>
      </c>
    </row>
    <row r="81" spans="1:18" x14ac:dyDescent="0.25">
      <c r="A81" s="1">
        <v>44730</v>
      </c>
      <c r="B81">
        <f t="shared" si="15"/>
        <v>6</v>
      </c>
      <c r="C81">
        <f t="shared" si="20"/>
        <v>25</v>
      </c>
      <c r="D81">
        <f t="shared" si="20"/>
        <v>20</v>
      </c>
      <c r="E81">
        <f t="shared" si="21"/>
        <v>0</v>
      </c>
      <c r="F81">
        <f t="shared" si="16"/>
        <v>0</v>
      </c>
      <c r="G81">
        <f t="shared" si="22"/>
        <v>0</v>
      </c>
      <c r="H81">
        <f t="shared" si="23"/>
        <v>0</v>
      </c>
      <c r="I81">
        <f t="shared" si="24"/>
        <v>0</v>
      </c>
      <c r="J81">
        <f t="shared" si="17"/>
        <v>0</v>
      </c>
      <c r="K81">
        <f t="shared" si="18"/>
        <v>0</v>
      </c>
      <c r="L81">
        <f t="shared" si="25"/>
        <v>25</v>
      </c>
      <c r="M81">
        <f t="shared" si="26"/>
        <v>20</v>
      </c>
      <c r="N81">
        <f t="shared" si="27"/>
        <v>1</v>
      </c>
      <c r="O81">
        <f t="shared" si="28"/>
        <v>8</v>
      </c>
      <c r="P81">
        <f t="shared" si="19"/>
        <v>4</v>
      </c>
      <c r="Q81">
        <f t="shared" si="29"/>
        <v>17</v>
      </c>
      <c r="R81">
        <f t="shared" si="29"/>
        <v>16</v>
      </c>
    </row>
    <row r="82" spans="1:18" x14ac:dyDescent="0.25">
      <c r="A82" s="1">
        <v>44731</v>
      </c>
      <c r="B82">
        <f t="shared" si="15"/>
        <v>7</v>
      </c>
      <c r="C82">
        <f t="shared" si="20"/>
        <v>17</v>
      </c>
      <c r="D82">
        <f t="shared" si="20"/>
        <v>16</v>
      </c>
      <c r="E82">
        <f t="shared" si="21"/>
        <v>0</v>
      </c>
      <c r="F82">
        <f t="shared" si="16"/>
        <v>0</v>
      </c>
      <c r="G82">
        <f t="shared" si="22"/>
        <v>0</v>
      </c>
      <c r="H82">
        <f t="shared" si="23"/>
        <v>0</v>
      </c>
      <c r="I82">
        <f t="shared" si="24"/>
        <v>0</v>
      </c>
      <c r="J82">
        <f t="shared" si="17"/>
        <v>0</v>
      </c>
      <c r="K82">
        <f t="shared" si="18"/>
        <v>0</v>
      </c>
      <c r="L82">
        <f t="shared" si="25"/>
        <v>17</v>
      </c>
      <c r="M82">
        <f t="shared" si="26"/>
        <v>16</v>
      </c>
      <c r="N82">
        <f t="shared" si="27"/>
        <v>0</v>
      </c>
      <c r="O82">
        <f t="shared" si="28"/>
        <v>0</v>
      </c>
      <c r="P82">
        <f t="shared" si="19"/>
        <v>0</v>
      </c>
      <c r="Q82">
        <f t="shared" si="29"/>
        <v>17</v>
      </c>
      <c r="R82">
        <f t="shared" si="29"/>
        <v>16</v>
      </c>
    </row>
    <row r="83" spans="1:18" x14ac:dyDescent="0.25">
      <c r="A83" s="1">
        <v>44732</v>
      </c>
      <c r="B83">
        <f t="shared" si="15"/>
        <v>1</v>
      </c>
      <c r="C83">
        <f t="shared" si="20"/>
        <v>17</v>
      </c>
      <c r="D83">
        <f t="shared" si="20"/>
        <v>16</v>
      </c>
      <c r="E83">
        <f t="shared" si="21"/>
        <v>1</v>
      </c>
      <c r="F83">
        <f t="shared" si="16"/>
        <v>1</v>
      </c>
      <c r="G83">
        <f t="shared" si="22"/>
        <v>0</v>
      </c>
      <c r="H83">
        <f t="shared" si="23"/>
        <v>0</v>
      </c>
      <c r="I83">
        <f t="shared" si="24"/>
        <v>0</v>
      </c>
      <c r="J83">
        <f t="shared" si="17"/>
        <v>0</v>
      </c>
      <c r="K83">
        <f t="shared" si="18"/>
        <v>0</v>
      </c>
      <c r="L83">
        <f t="shared" si="25"/>
        <v>16</v>
      </c>
      <c r="M83">
        <f t="shared" si="26"/>
        <v>16</v>
      </c>
      <c r="N83">
        <f t="shared" si="27"/>
        <v>1</v>
      </c>
      <c r="O83">
        <f t="shared" si="28"/>
        <v>5</v>
      </c>
      <c r="P83">
        <f t="shared" si="19"/>
        <v>4</v>
      </c>
      <c r="Q83">
        <f t="shared" si="29"/>
        <v>11</v>
      </c>
      <c r="R83">
        <f t="shared" si="29"/>
        <v>12</v>
      </c>
    </row>
    <row r="84" spans="1:18" x14ac:dyDescent="0.25">
      <c r="A84" s="1">
        <v>44733</v>
      </c>
      <c r="B84">
        <f t="shared" si="15"/>
        <v>2</v>
      </c>
      <c r="C84">
        <f t="shared" si="20"/>
        <v>11</v>
      </c>
      <c r="D84">
        <f t="shared" si="20"/>
        <v>12</v>
      </c>
      <c r="E84">
        <f t="shared" si="21"/>
        <v>0</v>
      </c>
      <c r="F84">
        <f t="shared" si="16"/>
        <v>0</v>
      </c>
      <c r="G84">
        <f t="shared" si="22"/>
        <v>0</v>
      </c>
      <c r="H84">
        <f t="shared" si="23"/>
        <v>0</v>
      </c>
      <c r="I84">
        <f t="shared" si="24"/>
        <v>0</v>
      </c>
      <c r="J84">
        <f t="shared" si="17"/>
        <v>0</v>
      </c>
      <c r="K84">
        <f t="shared" si="18"/>
        <v>0</v>
      </c>
      <c r="L84">
        <f t="shared" si="25"/>
        <v>11</v>
      </c>
      <c r="M84">
        <f t="shared" si="26"/>
        <v>12</v>
      </c>
      <c r="N84">
        <f t="shared" si="27"/>
        <v>1</v>
      </c>
      <c r="O84">
        <f t="shared" si="28"/>
        <v>4</v>
      </c>
      <c r="P84">
        <f t="shared" si="19"/>
        <v>3</v>
      </c>
      <c r="Q84">
        <f t="shared" si="29"/>
        <v>7</v>
      </c>
      <c r="R84">
        <f t="shared" si="29"/>
        <v>9</v>
      </c>
    </row>
    <row r="85" spans="1:18" x14ac:dyDescent="0.25">
      <c r="A85" s="1">
        <v>44734</v>
      </c>
      <c r="B85">
        <f t="shared" si="15"/>
        <v>3</v>
      </c>
      <c r="C85">
        <f t="shared" si="20"/>
        <v>7</v>
      </c>
      <c r="D85">
        <f t="shared" si="20"/>
        <v>9</v>
      </c>
      <c r="E85">
        <f t="shared" si="21"/>
        <v>0</v>
      </c>
      <c r="F85">
        <f t="shared" si="16"/>
        <v>0</v>
      </c>
      <c r="G85">
        <f t="shared" si="22"/>
        <v>0</v>
      </c>
      <c r="H85">
        <f t="shared" si="23"/>
        <v>0</v>
      </c>
      <c r="I85">
        <f t="shared" si="24"/>
        <v>0</v>
      </c>
      <c r="J85">
        <f t="shared" si="17"/>
        <v>0</v>
      </c>
      <c r="K85">
        <f t="shared" si="18"/>
        <v>0</v>
      </c>
      <c r="L85">
        <f t="shared" si="25"/>
        <v>7</v>
      </c>
      <c r="M85">
        <f t="shared" si="26"/>
        <v>9</v>
      </c>
      <c r="N85">
        <f t="shared" si="27"/>
        <v>1</v>
      </c>
      <c r="O85">
        <f t="shared" si="28"/>
        <v>3</v>
      </c>
      <c r="P85">
        <f t="shared" si="19"/>
        <v>2</v>
      </c>
      <c r="Q85">
        <f t="shared" si="29"/>
        <v>4</v>
      </c>
      <c r="R85">
        <f t="shared" si="29"/>
        <v>7</v>
      </c>
    </row>
    <row r="86" spans="1:18" x14ac:dyDescent="0.25">
      <c r="A86" s="1">
        <v>44735</v>
      </c>
      <c r="B86">
        <f t="shared" si="15"/>
        <v>4</v>
      </c>
      <c r="C86">
        <f t="shared" si="20"/>
        <v>4</v>
      </c>
      <c r="D86">
        <f t="shared" si="20"/>
        <v>7</v>
      </c>
      <c r="E86">
        <f t="shared" si="21"/>
        <v>0</v>
      </c>
      <c r="F86">
        <f t="shared" si="16"/>
        <v>0</v>
      </c>
      <c r="G86">
        <f t="shared" si="22"/>
        <v>1</v>
      </c>
      <c r="H86">
        <f t="shared" si="23"/>
        <v>50</v>
      </c>
      <c r="I86">
        <f t="shared" si="24"/>
        <v>25</v>
      </c>
      <c r="J86">
        <f t="shared" si="17"/>
        <v>0</v>
      </c>
      <c r="K86">
        <f t="shared" si="18"/>
        <v>0</v>
      </c>
      <c r="L86">
        <f t="shared" si="25"/>
        <v>54</v>
      </c>
      <c r="M86">
        <f t="shared" si="26"/>
        <v>32</v>
      </c>
      <c r="N86">
        <f t="shared" si="27"/>
        <v>1</v>
      </c>
      <c r="O86">
        <f t="shared" si="28"/>
        <v>17</v>
      </c>
      <c r="P86">
        <f t="shared" si="19"/>
        <v>7</v>
      </c>
      <c r="Q86">
        <f t="shared" si="29"/>
        <v>37</v>
      </c>
      <c r="R86">
        <f t="shared" si="29"/>
        <v>25</v>
      </c>
    </row>
    <row r="87" spans="1:18" x14ac:dyDescent="0.25">
      <c r="A87" s="1">
        <v>44736</v>
      </c>
      <c r="B87">
        <f t="shared" si="15"/>
        <v>5</v>
      </c>
      <c r="C87">
        <f t="shared" si="20"/>
        <v>37</v>
      </c>
      <c r="D87">
        <f t="shared" si="20"/>
        <v>25</v>
      </c>
      <c r="E87">
        <f t="shared" si="21"/>
        <v>0</v>
      </c>
      <c r="F87">
        <f t="shared" si="16"/>
        <v>0</v>
      </c>
      <c r="G87">
        <f t="shared" si="22"/>
        <v>0</v>
      </c>
      <c r="H87">
        <f t="shared" si="23"/>
        <v>0</v>
      </c>
      <c r="I87">
        <f t="shared" si="24"/>
        <v>0</v>
      </c>
      <c r="J87">
        <f t="shared" si="17"/>
        <v>0</v>
      </c>
      <c r="K87">
        <f t="shared" si="18"/>
        <v>0</v>
      </c>
      <c r="L87">
        <f t="shared" si="25"/>
        <v>37</v>
      </c>
      <c r="M87">
        <f t="shared" si="26"/>
        <v>25</v>
      </c>
      <c r="N87">
        <f t="shared" si="27"/>
        <v>1</v>
      </c>
      <c r="O87">
        <f t="shared" si="28"/>
        <v>12</v>
      </c>
      <c r="P87">
        <f t="shared" si="19"/>
        <v>5</v>
      </c>
      <c r="Q87">
        <f t="shared" si="29"/>
        <v>25</v>
      </c>
      <c r="R87">
        <f t="shared" si="29"/>
        <v>20</v>
      </c>
    </row>
    <row r="88" spans="1:18" x14ac:dyDescent="0.25">
      <c r="A88" s="1">
        <v>44737</v>
      </c>
      <c r="B88">
        <f t="shared" si="15"/>
        <v>6</v>
      </c>
      <c r="C88">
        <f t="shared" si="20"/>
        <v>25</v>
      </c>
      <c r="D88">
        <f t="shared" si="20"/>
        <v>20</v>
      </c>
      <c r="E88">
        <f t="shared" si="21"/>
        <v>0</v>
      </c>
      <c r="F88">
        <f t="shared" si="16"/>
        <v>0</v>
      </c>
      <c r="G88">
        <f t="shared" si="22"/>
        <v>0</v>
      </c>
      <c r="H88">
        <f t="shared" si="23"/>
        <v>0</v>
      </c>
      <c r="I88">
        <f t="shared" si="24"/>
        <v>0</v>
      </c>
      <c r="J88">
        <f t="shared" si="17"/>
        <v>0</v>
      </c>
      <c r="K88">
        <f t="shared" si="18"/>
        <v>0</v>
      </c>
      <c r="L88">
        <f t="shared" si="25"/>
        <v>25</v>
      </c>
      <c r="M88">
        <f t="shared" si="26"/>
        <v>20</v>
      </c>
      <c r="N88">
        <f t="shared" si="27"/>
        <v>1</v>
      </c>
      <c r="O88">
        <f t="shared" si="28"/>
        <v>8</v>
      </c>
      <c r="P88">
        <f t="shared" si="19"/>
        <v>4</v>
      </c>
      <c r="Q88">
        <f t="shared" si="29"/>
        <v>17</v>
      </c>
      <c r="R88">
        <f t="shared" si="29"/>
        <v>16</v>
      </c>
    </row>
    <row r="89" spans="1:18" x14ac:dyDescent="0.25">
      <c r="A89" s="1">
        <v>44738</v>
      </c>
      <c r="B89">
        <f t="shared" si="15"/>
        <v>7</v>
      </c>
      <c r="C89">
        <f t="shared" si="20"/>
        <v>17</v>
      </c>
      <c r="D89">
        <f t="shared" si="20"/>
        <v>16</v>
      </c>
      <c r="E89">
        <f t="shared" si="21"/>
        <v>0</v>
      </c>
      <c r="F89">
        <f t="shared" si="16"/>
        <v>0</v>
      </c>
      <c r="G89">
        <f t="shared" si="22"/>
        <v>0</v>
      </c>
      <c r="H89">
        <f t="shared" si="23"/>
        <v>0</v>
      </c>
      <c r="I89">
        <f t="shared" si="24"/>
        <v>0</v>
      </c>
      <c r="J89">
        <f t="shared" si="17"/>
        <v>0</v>
      </c>
      <c r="K89">
        <f t="shared" si="18"/>
        <v>0</v>
      </c>
      <c r="L89">
        <f t="shared" si="25"/>
        <v>17</v>
      </c>
      <c r="M89">
        <f t="shared" si="26"/>
        <v>16</v>
      </c>
      <c r="N89">
        <f t="shared" si="27"/>
        <v>0</v>
      </c>
      <c r="O89">
        <f t="shared" si="28"/>
        <v>0</v>
      </c>
      <c r="P89">
        <f t="shared" si="19"/>
        <v>0</v>
      </c>
      <c r="Q89">
        <f t="shared" si="29"/>
        <v>17</v>
      </c>
      <c r="R89">
        <f t="shared" si="29"/>
        <v>16</v>
      </c>
    </row>
    <row r="90" spans="1:18" x14ac:dyDescent="0.25">
      <c r="A90" s="1">
        <v>44739</v>
      </c>
      <c r="B90">
        <f t="shared" si="15"/>
        <v>1</v>
      </c>
      <c r="C90">
        <f t="shared" si="20"/>
        <v>17</v>
      </c>
      <c r="D90">
        <f t="shared" si="20"/>
        <v>16</v>
      </c>
      <c r="E90">
        <f t="shared" si="21"/>
        <v>1</v>
      </c>
      <c r="F90">
        <f t="shared" si="16"/>
        <v>1</v>
      </c>
      <c r="G90">
        <f t="shared" si="22"/>
        <v>0</v>
      </c>
      <c r="H90">
        <f t="shared" si="23"/>
        <v>0</v>
      </c>
      <c r="I90">
        <f t="shared" si="24"/>
        <v>0</v>
      </c>
      <c r="J90">
        <f t="shared" si="17"/>
        <v>0</v>
      </c>
      <c r="K90">
        <f t="shared" si="18"/>
        <v>0</v>
      </c>
      <c r="L90">
        <f t="shared" si="25"/>
        <v>16</v>
      </c>
      <c r="M90">
        <f t="shared" si="26"/>
        <v>16</v>
      </c>
      <c r="N90">
        <f t="shared" si="27"/>
        <v>1</v>
      </c>
      <c r="O90">
        <f t="shared" si="28"/>
        <v>5</v>
      </c>
      <c r="P90">
        <f t="shared" si="19"/>
        <v>4</v>
      </c>
      <c r="Q90">
        <f t="shared" si="29"/>
        <v>11</v>
      </c>
      <c r="R90">
        <f t="shared" si="29"/>
        <v>12</v>
      </c>
    </row>
    <row r="91" spans="1:18" x14ac:dyDescent="0.25">
      <c r="A91" s="1">
        <v>44740</v>
      </c>
      <c r="B91">
        <f t="shared" si="15"/>
        <v>2</v>
      </c>
      <c r="C91">
        <f t="shared" si="20"/>
        <v>11</v>
      </c>
      <c r="D91">
        <f t="shared" si="20"/>
        <v>12</v>
      </c>
      <c r="E91">
        <f t="shared" si="21"/>
        <v>0</v>
      </c>
      <c r="F91">
        <f t="shared" si="16"/>
        <v>0</v>
      </c>
      <c r="G91">
        <f t="shared" si="22"/>
        <v>0</v>
      </c>
      <c r="H91">
        <f t="shared" si="23"/>
        <v>0</v>
      </c>
      <c r="I91">
        <f t="shared" si="24"/>
        <v>0</v>
      </c>
      <c r="J91">
        <f t="shared" si="17"/>
        <v>0</v>
      </c>
      <c r="K91">
        <f t="shared" si="18"/>
        <v>0</v>
      </c>
      <c r="L91">
        <f t="shared" si="25"/>
        <v>11</v>
      </c>
      <c r="M91">
        <f t="shared" si="26"/>
        <v>12</v>
      </c>
      <c r="N91">
        <f t="shared" si="27"/>
        <v>1</v>
      </c>
      <c r="O91">
        <f t="shared" si="28"/>
        <v>4</v>
      </c>
      <c r="P91">
        <f t="shared" si="19"/>
        <v>3</v>
      </c>
      <c r="Q91">
        <f t="shared" si="29"/>
        <v>7</v>
      </c>
      <c r="R91">
        <f t="shared" si="29"/>
        <v>9</v>
      </c>
    </row>
    <row r="92" spans="1:18" x14ac:dyDescent="0.25">
      <c r="A92" s="1">
        <v>44741</v>
      </c>
      <c r="B92">
        <f t="shared" si="15"/>
        <v>3</v>
      </c>
      <c r="C92">
        <f t="shared" si="20"/>
        <v>7</v>
      </c>
      <c r="D92">
        <f t="shared" si="20"/>
        <v>9</v>
      </c>
      <c r="E92">
        <f t="shared" si="21"/>
        <v>0</v>
      </c>
      <c r="F92">
        <f t="shared" si="16"/>
        <v>0</v>
      </c>
      <c r="G92">
        <f t="shared" si="22"/>
        <v>0</v>
      </c>
      <c r="H92">
        <f t="shared" si="23"/>
        <v>0</v>
      </c>
      <c r="I92">
        <f t="shared" si="24"/>
        <v>0</v>
      </c>
      <c r="J92">
        <f t="shared" si="17"/>
        <v>0</v>
      </c>
      <c r="K92">
        <f t="shared" si="18"/>
        <v>0</v>
      </c>
      <c r="L92">
        <f t="shared" si="25"/>
        <v>7</v>
      </c>
      <c r="M92">
        <f t="shared" si="26"/>
        <v>9</v>
      </c>
      <c r="N92">
        <f t="shared" si="27"/>
        <v>1</v>
      </c>
      <c r="O92">
        <f t="shared" si="28"/>
        <v>3</v>
      </c>
      <c r="P92">
        <f t="shared" si="19"/>
        <v>2</v>
      </c>
      <c r="Q92">
        <f t="shared" si="29"/>
        <v>4</v>
      </c>
      <c r="R92">
        <f t="shared" si="29"/>
        <v>7</v>
      </c>
    </row>
    <row r="93" spans="1:18" x14ac:dyDescent="0.25">
      <c r="A93" s="1">
        <v>44742</v>
      </c>
      <c r="B93">
        <f t="shared" si="15"/>
        <v>4</v>
      </c>
      <c r="C93">
        <f t="shared" si="20"/>
        <v>4</v>
      </c>
      <c r="D93">
        <f t="shared" si="20"/>
        <v>7</v>
      </c>
      <c r="E93">
        <f t="shared" si="21"/>
        <v>0</v>
      </c>
      <c r="F93">
        <f t="shared" si="16"/>
        <v>0</v>
      </c>
      <c r="G93">
        <f t="shared" si="22"/>
        <v>1</v>
      </c>
      <c r="H93">
        <f t="shared" si="23"/>
        <v>50</v>
      </c>
      <c r="I93">
        <f t="shared" si="24"/>
        <v>25</v>
      </c>
      <c r="J93">
        <f t="shared" si="17"/>
        <v>0</v>
      </c>
      <c r="K93">
        <f t="shared" si="18"/>
        <v>0</v>
      </c>
      <c r="L93">
        <f t="shared" si="25"/>
        <v>54</v>
      </c>
      <c r="M93">
        <f t="shared" si="26"/>
        <v>32</v>
      </c>
      <c r="N93">
        <f t="shared" si="27"/>
        <v>1</v>
      </c>
      <c r="O93">
        <f t="shared" si="28"/>
        <v>17</v>
      </c>
      <c r="P93">
        <f t="shared" si="19"/>
        <v>7</v>
      </c>
      <c r="Q93">
        <f t="shared" si="29"/>
        <v>37</v>
      </c>
      <c r="R93">
        <f t="shared" si="29"/>
        <v>25</v>
      </c>
    </row>
    <row r="94" spans="1:18" x14ac:dyDescent="0.25">
      <c r="A94" s="1">
        <v>44743</v>
      </c>
      <c r="B94">
        <f t="shared" si="15"/>
        <v>5</v>
      </c>
      <c r="C94">
        <f t="shared" si="20"/>
        <v>37</v>
      </c>
      <c r="D94">
        <f t="shared" si="20"/>
        <v>25</v>
      </c>
      <c r="E94">
        <f t="shared" si="21"/>
        <v>0</v>
      </c>
      <c r="F94">
        <f t="shared" si="16"/>
        <v>0</v>
      </c>
      <c r="G94">
        <f t="shared" si="22"/>
        <v>0</v>
      </c>
      <c r="H94">
        <f t="shared" si="23"/>
        <v>0</v>
      </c>
      <c r="I94">
        <f t="shared" si="24"/>
        <v>0</v>
      </c>
      <c r="J94">
        <f t="shared" si="17"/>
        <v>0</v>
      </c>
      <c r="K94">
        <f t="shared" si="18"/>
        <v>0</v>
      </c>
      <c r="L94">
        <f t="shared" si="25"/>
        <v>37</v>
      </c>
      <c r="M94">
        <f t="shared" si="26"/>
        <v>25</v>
      </c>
      <c r="N94">
        <f t="shared" si="27"/>
        <v>1</v>
      </c>
      <c r="O94">
        <f t="shared" si="28"/>
        <v>12</v>
      </c>
      <c r="P94">
        <f t="shared" si="19"/>
        <v>5</v>
      </c>
      <c r="Q94">
        <f t="shared" si="29"/>
        <v>25</v>
      </c>
      <c r="R94">
        <f t="shared" si="29"/>
        <v>20</v>
      </c>
    </row>
    <row r="95" spans="1:18" x14ac:dyDescent="0.25">
      <c r="A95" s="1">
        <v>44744</v>
      </c>
      <c r="B95">
        <f t="shared" si="15"/>
        <v>6</v>
      </c>
      <c r="C95">
        <f t="shared" si="20"/>
        <v>25</v>
      </c>
      <c r="D95">
        <f t="shared" si="20"/>
        <v>20</v>
      </c>
      <c r="E95">
        <f t="shared" si="21"/>
        <v>0</v>
      </c>
      <c r="F95">
        <f t="shared" si="16"/>
        <v>0</v>
      </c>
      <c r="G95">
        <f t="shared" si="22"/>
        <v>0</v>
      </c>
      <c r="H95">
        <f t="shared" si="23"/>
        <v>0</v>
      </c>
      <c r="I95">
        <f t="shared" si="24"/>
        <v>0</v>
      </c>
      <c r="J95">
        <f t="shared" si="17"/>
        <v>0</v>
      </c>
      <c r="K95">
        <f t="shared" si="18"/>
        <v>0</v>
      </c>
      <c r="L95">
        <f t="shared" si="25"/>
        <v>25</v>
      </c>
      <c r="M95">
        <f t="shared" si="26"/>
        <v>20</v>
      </c>
      <c r="N95">
        <f t="shared" si="27"/>
        <v>1</v>
      </c>
      <c r="O95">
        <f t="shared" si="28"/>
        <v>8</v>
      </c>
      <c r="P95">
        <f t="shared" si="19"/>
        <v>4</v>
      </c>
      <c r="Q95">
        <f t="shared" si="29"/>
        <v>17</v>
      </c>
      <c r="R95">
        <f t="shared" si="29"/>
        <v>16</v>
      </c>
    </row>
    <row r="96" spans="1:18" x14ac:dyDescent="0.25">
      <c r="A96" s="1">
        <v>44745</v>
      </c>
      <c r="B96">
        <f t="shared" si="15"/>
        <v>7</v>
      </c>
      <c r="C96">
        <f t="shared" si="20"/>
        <v>17</v>
      </c>
      <c r="D96">
        <f t="shared" si="20"/>
        <v>16</v>
      </c>
      <c r="E96">
        <f t="shared" si="21"/>
        <v>0</v>
      </c>
      <c r="F96">
        <f t="shared" si="16"/>
        <v>0</v>
      </c>
      <c r="G96">
        <f t="shared" si="22"/>
        <v>0</v>
      </c>
      <c r="H96">
        <f t="shared" si="23"/>
        <v>0</v>
      </c>
      <c r="I96">
        <f t="shared" si="24"/>
        <v>0</v>
      </c>
      <c r="J96">
        <f t="shared" si="17"/>
        <v>0</v>
      </c>
      <c r="K96">
        <f t="shared" si="18"/>
        <v>0</v>
      </c>
      <c r="L96">
        <f t="shared" si="25"/>
        <v>17</v>
      </c>
      <c r="M96">
        <f t="shared" si="26"/>
        <v>16</v>
      </c>
      <c r="N96">
        <f t="shared" si="27"/>
        <v>0</v>
      </c>
      <c r="O96">
        <f t="shared" si="28"/>
        <v>0</v>
      </c>
      <c r="P96">
        <f t="shared" si="19"/>
        <v>0</v>
      </c>
      <c r="Q96">
        <f t="shared" si="29"/>
        <v>17</v>
      </c>
      <c r="R96">
        <f t="shared" si="29"/>
        <v>16</v>
      </c>
    </row>
    <row r="97" spans="1:18" x14ac:dyDescent="0.25">
      <c r="A97" s="1">
        <v>44746</v>
      </c>
      <c r="B97">
        <f t="shared" si="15"/>
        <v>1</v>
      </c>
      <c r="C97">
        <f t="shared" si="20"/>
        <v>17</v>
      </c>
      <c r="D97">
        <f t="shared" si="20"/>
        <v>16</v>
      </c>
      <c r="E97">
        <f t="shared" si="21"/>
        <v>1</v>
      </c>
      <c r="F97">
        <f t="shared" si="16"/>
        <v>1</v>
      </c>
      <c r="G97">
        <f t="shared" si="22"/>
        <v>0</v>
      </c>
      <c r="H97">
        <f t="shared" si="23"/>
        <v>0</v>
      </c>
      <c r="I97">
        <f t="shared" si="24"/>
        <v>0</v>
      </c>
      <c r="J97">
        <f t="shared" si="17"/>
        <v>0</v>
      </c>
      <c r="K97">
        <f t="shared" si="18"/>
        <v>0</v>
      </c>
      <c r="L97">
        <f t="shared" si="25"/>
        <v>16</v>
      </c>
      <c r="M97">
        <f t="shared" si="26"/>
        <v>16</v>
      </c>
      <c r="N97">
        <f t="shared" si="27"/>
        <v>1</v>
      </c>
      <c r="O97">
        <f t="shared" si="28"/>
        <v>5</v>
      </c>
      <c r="P97">
        <f t="shared" si="19"/>
        <v>4</v>
      </c>
      <c r="Q97">
        <f t="shared" si="29"/>
        <v>11</v>
      </c>
      <c r="R97">
        <f t="shared" si="29"/>
        <v>12</v>
      </c>
    </row>
    <row r="98" spans="1:18" x14ac:dyDescent="0.25">
      <c r="A98" s="1">
        <v>44747</v>
      </c>
      <c r="B98">
        <f t="shared" si="15"/>
        <v>2</v>
      </c>
      <c r="C98">
        <f t="shared" si="20"/>
        <v>11</v>
      </c>
      <c r="D98">
        <f t="shared" si="20"/>
        <v>12</v>
      </c>
      <c r="E98">
        <f t="shared" si="21"/>
        <v>0</v>
      </c>
      <c r="F98">
        <f t="shared" si="16"/>
        <v>0</v>
      </c>
      <c r="G98">
        <f t="shared" si="22"/>
        <v>0</v>
      </c>
      <c r="H98">
        <f t="shared" si="23"/>
        <v>0</v>
      </c>
      <c r="I98">
        <f t="shared" si="24"/>
        <v>0</v>
      </c>
      <c r="J98">
        <f t="shared" si="17"/>
        <v>0</v>
      </c>
      <c r="K98">
        <f t="shared" si="18"/>
        <v>0</v>
      </c>
      <c r="L98">
        <f t="shared" si="25"/>
        <v>11</v>
      </c>
      <c r="M98">
        <f t="shared" si="26"/>
        <v>12</v>
      </c>
      <c r="N98">
        <f t="shared" si="27"/>
        <v>1</v>
      </c>
      <c r="O98">
        <f t="shared" si="28"/>
        <v>4</v>
      </c>
      <c r="P98">
        <f t="shared" si="19"/>
        <v>3</v>
      </c>
      <c r="Q98">
        <f t="shared" si="29"/>
        <v>7</v>
      </c>
      <c r="R98">
        <f t="shared" si="29"/>
        <v>9</v>
      </c>
    </row>
    <row r="99" spans="1:18" x14ac:dyDescent="0.25">
      <c r="A99" s="1">
        <v>44748</v>
      </c>
      <c r="B99">
        <f t="shared" si="15"/>
        <v>3</v>
      </c>
      <c r="C99">
        <f t="shared" si="20"/>
        <v>7</v>
      </c>
      <c r="D99">
        <f t="shared" si="20"/>
        <v>9</v>
      </c>
      <c r="E99">
        <f t="shared" si="21"/>
        <v>0</v>
      </c>
      <c r="F99">
        <f t="shared" si="16"/>
        <v>0</v>
      </c>
      <c r="G99">
        <f t="shared" si="22"/>
        <v>0</v>
      </c>
      <c r="H99">
        <f t="shared" si="23"/>
        <v>0</v>
      </c>
      <c r="I99">
        <f t="shared" si="24"/>
        <v>0</v>
      </c>
      <c r="J99">
        <f t="shared" si="17"/>
        <v>0</v>
      </c>
      <c r="K99">
        <f t="shared" si="18"/>
        <v>0</v>
      </c>
      <c r="L99">
        <f t="shared" si="25"/>
        <v>7</v>
      </c>
      <c r="M99">
        <f t="shared" si="26"/>
        <v>9</v>
      </c>
      <c r="N99">
        <f t="shared" si="27"/>
        <v>1</v>
      </c>
      <c r="O99">
        <f t="shared" si="28"/>
        <v>3</v>
      </c>
      <c r="P99">
        <f t="shared" si="19"/>
        <v>2</v>
      </c>
      <c r="Q99">
        <f t="shared" si="29"/>
        <v>4</v>
      </c>
      <c r="R99">
        <f t="shared" si="29"/>
        <v>7</v>
      </c>
    </row>
    <row r="100" spans="1:18" x14ac:dyDescent="0.25">
      <c r="A100" s="1">
        <v>44749</v>
      </c>
      <c r="B100">
        <f t="shared" si="15"/>
        <v>4</v>
      </c>
      <c r="C100">
        <f t="shared" si="20"/>
        <v>4</v>
      </c>
      <c r="D100">
        <f t="shared" si="20"/>
        <v>7</v>
      </c>
      <c r="E100">
        <f t="shared" si="21"/>
        <v>0</v>
      </c>
      <c r="F100">
        <f t="shared" si="16"/>
        <v>0</v>
      </c>
      <c r="G100">
        <f t="shared" si="22"/>
        <v>1</v>
      </c>
      <c r="H100">
        <f t="shared" si="23"/>
        <v>50</v>
      </c>
      <c r="I100">
        <f t="shared" si="24"/>
        <v>25</v>
      </c>
      <c r="J100">
        <f t="shared" si="17"/>
        <v>0</v>
      </c>
      <c r="K100">
        <f t="shared" si="18"/>
        <v>0</v>
      </c>
      <c r="L100">
        <f t="shared" si="25"/>
        <v>54</v>
      </c>
      <c r="M100">
        <f t="shared" si="26"/>
        <v>32</v>
      </c>
      <c r="N100">
        <f t="shared" si="27"/>
        <v>1</v>
      </c>
      <c r="O100">
        <f t="shared" si="28"/>
        <v>17</v>
      </c>
      <c r="P100">
        <f t="shared" si="19"/>
        <v>7</v>
      </c>
      <c r="Q100">
        <f t="shared" si="29"/>
        <v>37</v>
      </c>
      <c r="R100">
        <f t="shared" si="29"/>
        <v>25</v>
      </c>
    </row>
    <row r="101" spans="1:18" x14ac:dyDescent="0.25">
      <c r="A101" s="1">
        <v>44750</v>
      </c>
      <c r="B101">
        <f t="shared" si="15"/>
        <v>5</v>
      </c>
      <c r="C101">
        <f t="shared" si="20"/>
        <v>37</v>
      </c>
      <c r="D101">
        <f t="shared" si="20"/>
        <v>25</v>
      </c>
      <c r="E101">
        <f t="shared" si="21"/>
        <v>0</v>
      </c>
      <c r="F101">
        <f t="shared" si="16"/>
        <v>0</v>
      </c>
      <c r="G101">
        <f t="shared" si="22"/>
        <v>0</v>
      </c>
      <c r="H101">
        <f t="shared" si="23"/>
        <v>0</v>
      </c>
      <c r="I101">
        <f t="shared" si="24"/>
        <v>0</v>
      </c>
      <c r="J101">
        <f t="shared" si="17"/>
        <v>0</v>
      </c>
      <c r="K101">
        <f t="shared" si="18"/>
        <v>0</v>
      </c>
      <c r="L101">
        <f t="shared" si="25"/>
        <v>37</v>
      </c>
      <c r="M101">
        <f t="shared" si="26"/>
        <v>25</v>
      </c>
      <c r="N101">
        <f t="shared" si="27"/>
        <v>1</v>
      </c>
      <c r="O101">
        <f t="shared" si="28"/>
        <v>12</v>
      </c>
      <c r="P101">
        <f t="shared" si="19"/>
        <v>5</v>
      </c>
      <c r="Q101">
        <f t="shared" si="29"/>
        <v>25</v>
      </c>
      <c r="R101">
        <f t="shared" si="29"/>
        <v>20</v>
      </c>
    </row>
    <row r="102" spans="1:18" x14ac:dyDescent="0.25">
      <c r="A102" s="1">
        <v>44751</v>
      </c>
      <c r="B102">
        <f t="shared" si="15"/>
        <v>6</v>
      </c>
      <c r="C102">
        <f t="shared" si="20"/>
        <v>25</v>
      </c>
      <c r="D102">
        <f t="shared" si="20"/>
        <v>20</v>
      </c>
      <c r="E102">
        <f t="shared" si="21"/>
        <v>0</v>
      </c>
      <c r="F102">
        <f t="shared" si="16"/>
        <v>0</v>
      </c>
      <c r="G102">
        <f t="shared" si="22"/>
        <v>0</v>
      </c>
      <c r="H102">
        <f t="shared" si="23"/>
        <v>0</v>
      </c>
      <c r="I102">
        <f t="shared" si="24"/>
        <v>0</v>
      </c>
      <c r="J102">
        <f t="shared" si="17"/>
        <v>0</v>
      </c>
      <c r="K102">
        <f t="shared" si="18"/>
        <v>0</v>
      </c>
      <c r="L102">
        <f t="shared" si="25"/>
        <v>25</v>
      </c>
      <c r="M102">
        <f t="shared" si="26"/>
        <v>20</v>
      </c>
      <c r="N102">
        <f t="shared" si="27"/>
        <v>1</v>
      </c>
      <c r="O102">
        <f t="shared" si="28"/>
        <v>8</v>
      </c>
      <c r="P102">
        <f t="shared" si="19"/>
        <v>4</v>
      </c>
      <c r="Q102">
        <f t="shared" si="29"/>
        <v>17</v>
      </c>
      <c r="R102">
        <f t="shared" si="29"/>
        <v>16</v>
      </c>
    </row>
    <row r="103" spans="1:18" x14ac:dyDescent="0.25">
      <c r="A103" s="1">
        <v>44752</v>
      </c>
      <c r="B103">
        <f t="shared" si="15"/>
        <v>7</v>
      </c>
      <c r="C103">
        <f t="shared" si="20"/>
        <v>17</v>
      </c>
      <c r="D103">
        <f t="shared" si="20"/>
        <v>16</v>
      </c>
      <c r="E103">
        <f t="shared" si="21"/>
        <v>0</v>
      </c>
      <c r="F103">
        <f t="shared" si="16"/>
        <v>0</v>
      </c>
      <c r="G103">
        <f t="shared" si="22"/>
        <v>0</v>
      </c>
      <c r="H103">
        <f t="shared" si="23"/>
        <v>0</v>
      </c>
      <c r="I103">
        <f t="shared" si="24"/>
        <v>0</v>
      </c>
      <c r="J103">
        <f t="shared" si="17"/>
        <v>0</v>
      </c>
      <c r="K103">
        <f t="shared" si="18"/>
        <v>0</v>
      </c>
      <c r="L103">
        <f t="shared" si="25"/>
        <v>17</v>
      </c>
      <c r="M103">
        <f t="shared" si="26"/>
        <v>16</v>
      </c>
      <c r="N103">
        <f t="shared" si="27"/>
        <v>0</v>
      </c>
      <c r="O103">
        <f t="shared" si="28"/>
        <v>0</v>
      </c>
      <c r="P103">
        <f t="shared" si="19"/>
        <v>0</v>
      </c>
      <c r="Q103">
        <f t="shared" si="29"/>
        <v>17</v>
      </c>
      <c r="R103">
        <f t="shared" si="29"/>
        <v>16</v>
      </c>
    </row>
    <row r="104" spans="1:18" x14ac:dyDescent="0.25">
      <c r="A104" s="1">
        <v>44753</v>
      </c>
      <c r="B104">
        <f t="shared" si="15"/>
        <v>1</v>
      </c>
      <c r="C104">
        <f t="shared" si="20"/>
        <v>17</v>
      </c>
      <c r="D104">
        <f t="shared" si="20"/>
        <v>16</v>
      </c>
      <c r="E104">
        <f t="shared" si="21"/>
        <v>1</v>
      </c>
      <c r="F104">
        <f t="shared" si="16"/>
        <v>1</v>
      </c>
      <c r="G104">
        <f t="shared" si="22"/>
        <v>0</v>
      </c>
      <c r="H104">
        <f t="shared" si="23"/>
        <v>0</v>
      </c>
      <c r="I104">
        <f t="shared" si="24"/>
        <v>0</v>
      </c>
      <c r="J104">
        <f t="shared" si="17"/>
        <v>0</v>
      </c>
      <c r="K104">
        <f t="shared" si="18"/>
        <v>0</v>
      </c>
      <c r="L104">
        <f t="shared" si="25"/>
        <v>16</v>
      </c>
      <c r="M104">
        <f t="shared" si="26"/>
        <v>16</v>
      </c>
      <c r="N104">
        <f t="shared" si="27"/>
        <v>1</v>
      </c>
      <c r="O104">
        <f t="shared" si="28"/>
        <v>5</v>
      </c>
      <c r="P104">
        <f t="shared" si="19"/>
        <v>4</v>
      </c>
      <c r="Q104">
        <f t="shared" si="29"/>
        <v>11</v>
      </c>
      <c r="R104">
        <f t="shared" si="29"/>
        <v>12</v>
      </c>
    </row>
    <row r="105" spans="1:18" x14ac:dyDescent="0.25">
      <c r="A105" s="1">
        <v>44754</v>
      </c>
      <c r="B105">
        <f t="shared" si="15"/>
        <v>2</v>
      </c>
      <c r="C105">
        <f t="shared" si="20"/>
        <v>11</v>
      </c>
      <c r="D105">
        <f t="shared" si="20"/>
        <v>12</v>
      </c>
      <c r="E105">
        <f t="shared" si="21"/>
        <v>0</v>
      </c>
      <c r="F105">
        <f t="shared" si="16"/>
        <v>0</v>
      </c>
      <c r="G105">
        <f t="shared" si="22"/>
        <v>0</v>
      </c>
      <c r="H105">
        <f t="shared" si="23"/>
        <v>0</v>
      </c>
      <c r="I105">
        <f t="shared" si="24"/>
        <v>0</v>
      </c>
      <c r="J105">
        <f t="shared" si="17"/>
        <v>0</v>
      </c>
      <c r="K105">
        <f t="shared" si="18"/>
        <v>0</v>
      </c>
      <c r="L105">
        <f t="shared" si="25"/>
        <v>11</v>
      </c>
      <c r="M105">
        <f t="shared" si="26"/>
        <v>12</v>
      </c>
      <c r="N105">
        <f t="shared" si="27"/>
        <v>1</v>
      </c>
      <c r="O105">
        <f t="shared" si="28"/>
        <v>4</v>
      </c>
      <c r="P105">
        <f t="shared" si="19"/>
        <v>3</v>
      </c>
      <c r="Q105">
        <f t="shared" si="29"/>
        <v>7</v>
      </c>
      <c r="R105">
        <f t="shared" si="29"/>
        <v>9</v>
      </c>
    </row>
    <row r="106" spans="1:18" x14ac:dyDescent="0.25">
      <c r="A106" s="1">
        <v>44755</v>
      </c>
      <c r="B106">
        <f t="shared" si="15"/>
        <v>3</v>
      </c>
      <c r="C106">
        <f t="shared" si="20"/>
        <v>7</v>
      </c>
      <c r="D106">
        <f t="shared" si="20"/>
        <v>9</v>
      </c>
      <c r="E106">
        <f t="shared" si="21"/>
        <v>0</v>
      </c>
      <c r="F106">
        <f t="shared" si="16"/>
        <v>0</v>
      </c>
      <c r="G106">
        <f t="shared" si="22"/>
        <v>0</v>
      </c>
      <c r="H106">
        <f t="shared" si="23"/>
        <v>0</v>
      </c>
      <c r="I106">
        <f t="shared" si="24"/>
        <v>0</v>
      </c>
      <c r="J106">
        <f t="shared" si="17"/>
        <v>0</v>
      </c>
      <c r="K106">
        <f t="shared" si="18"/>
        <v>0</v>
      </c>
      <c r="L106">
        <f t="shared" si="25"/>
        <v>7</v>
      </c>
      <c r="M106">
        <f t="shared" si="26"/>
        <v>9</v>
      </c>
      <c r="N106">
        <f t="shared" si="27"/>
        <v>1</v>
      </c>
      <c r="O106">
        <f t="shared" si="28"/>
        <v>3</v>
      </c>
      <c r="P106">
        <f t="shared" si="19"/>
        <v>2</v>
      </c>
      <c r="Q106">
        <f t="shared" si="29"/>
        <v>4</v>
      </c>
      <c r="R106">
        <f t="shared" si="29"/>
        <v>7</v>
      </c>
    </row>
    <row r="107" spans="1:18" x14ac:dyDescent="0.25">
      <c r="A107" s="1">
        <v>44756</v>
      </c>
      <c r="B107">
        <f t="shared" si="15"/>
        <v>4</v>
      </c>
      <c r="C107">
        <f t="shared" si="20"/>
        <v>4</v>
      </c>
      <c r="D107">
        <f t="shared" si="20"/>
        <v>7</v>
      </c>
      <c r="E107">
        <f t="shared" si="21"/>
        <v>0</v>
      </c>
      <c r="F107">
        <f t="shared" si="16"/>
        <v>0</v>
      </c>
      <c r="G107">
        <f t="shared" si="22"/>
        <v>1</v>
      </c>
      <c r="H107">
        <f t="shared" si="23"/>
        <v>50</v>
      </c>
      <c r="I107">
        <f t="shared" si="24"/>
        <v>25</v>
      </c>
      <c r="J107">
        <f t="shared" si="17"/>
        <v>0</v>
      </c>
      <c r="K107">
        <f t="shared" si="18"/>
        <v>0</v>
      </c>
      <c r="L107">
        <f t="shared" si="25"/>
        <v>54</v>
      </c>
      <c r="M107">
        <f t="shared" si="26"/>
        <v>32</v>
      </c>
      <c r="N107">
        <f t="shared" si="27"/>
        <v>1</v>
      </c>
      <c r="O107">
        <f t="shared" si="28"/>
        <v>17</v>
      </c>
      <c r="P107">
        <f t="shared" si="19"/>
        <v>7</v>
      </c>
      <c r="Q107">
        <f t="shared" si="29"/>
        <v>37</v>
      </c>
      <c r="R107">
        <f t="shared" si="29"/>
        <v>25</v>
      </c>
    </row>
    <row r="108" spans="1:18" x14ac:dyDescent="0.25">
      <c r="A108" s="1">
        <v>44757</v>
      </c>
      <c r="B108">
        <f t="shared" si="15"/>
        <v>5</v>
      </c>
      <c r="C108">
        <f t="shared" si="20"/>
        <v>37</v>
      </c>
      <c r="D108">
        <f t="shared" si="20"/>
        <v>25</v>
      </c>
      <c r="E108">
        <f t="shared" si="21"/>
        <v>0</v>
      </c>
      <c r="F108">
        <f t="shared" si="16"/>
        <v>0</v>
      </c>
      <c r="G108">
        <f t="shared" si="22"/>
        <v>0</v>
      </c>
      <c r="H108">
        <f t="shared" si="23"/>
        <v>0</v>
      </c>
      <c r="I108">
        <f t="shared" si="24"/>
        <v>0</v>
      </c>
      <c r="J108">
        <f t="shared" si="17"/>
        <v>0</v>
      </c>
      <c r="K108">
        <f t="shared" si="18"/>
        <v>0</v>
      </c>
      <c r="L108">
        <f t="shared" si="25"/>
        <v>37</v>
      </c>
      <c r="M108">
        <f t="shared" si="26"/>
        <v>25</v>
      </c>
      <c r="N108">
        <f t="shared" si="27"/>
        <v>1</v>
      </c>
      <c r="O108">
        <f t="shared" si="28"/>
        <v>12</v>
      </c>
      <c r="P108">
        <f t="shared" si="19"/>
        <v>5</v>
      </c>
      <c r="Q108">
        <f t="shared" si="29"/>
        <v>25</v>
      </c>
      <c r="R108">
        <f t="shared" si="29"/>
        <v>20</v>
      </c>
    </row>
    <row r="109" spans="1:18" x14ac:dyDescent="0.25">
      <c r="A109" s="1">
        <v>44758</v>
      </c>
      <c r="B109">
        <f t="shared" si="15"/>
        <v>6</v>
      </c>
      <c r="C109">
        <f t="shared" si="20"/>
        <v>25</v>
      </c>
      <c r="D109">
        <f t="shared" si="20"/>
        <v>20</v>
      </c>
      <c r="E109">
        <f t="shared" si="21"/>
        <v>0</v>
      </c>
      <c r="F109">
        <f t="shared" si="16"/>
        <v>0</v>
      </c>
      <c r="G109">
        <f t="shared" si="22"/>
        <v>0</v>
      </c>
      <c r="H109">
        <f t="shared" si="23"/>
        <v>0</v>
      </c>
      <c r="I109">
        <f t="shared" si="24"/>
        <v>0</v>
      </c>
      <c r="J109">
        <f t="shared" si="17"/>
        <v>0</v>
      </c>
      <c r="K109">
        <f t="shared" si="18"/>
        <v>0</v>
      </c>
      <c r="L109">
        <f t="shared" si="25"/>
        <v>25</v>
      </c>
      <c r="M109">
        <f t="shared" si="26"/>
        <v>20</v>
      </c>
      <c r="N109">
        <f t="shared" si="27"/>
        <v>1</v>
      </c>
      <c r="O109">
        <f t="shared" si="28"/>
        <v>8</v>
      </c>
      <c r="P109">
        <f t="shared" si="19"/>
        <v>4</v>
      </c>
      <c r="Q109">
        <f t="shared" si="29"/>
        <v>17</v>
      </c>
      <c r="R109">
        <f t="shared" si="29"/>
        <v>16</v>
      </c>
    </row>
    <row r="110" spans="1:18" x14ac:dyDescent="0.25">
      <c r="A110" s="1">
        <v>44759</v>
      </c>
      <c r="B110">
        <f t="shared" si="15"/>
        <v>7</v>
      </c>
      <c r="C110">
        <f t="shared" si="20"/>
        <v>17</v>
      </c>
      <c r="D110">
        <f t="shared" si="20"/>
        <v>16</v>
      </c>
      <c r="E110">
        <f t="shared" si="21"/>
        <v>0</v>
      </c>
      <c r="F110">
        <f t="shared" si="16"/>
        <v>0</v>
      </c>
      <c r="G110">
        <f t="shared" si="22"/>
        <v>0</v>
      </c>
      <c r="H110">
        <f t="shared" si="23"/>
        <v>0</v>
      </c>
      <c r="I110">
        <f t="shared" si="24"/>
        <v>0</v>
      </c>
      <c r="J110">
        <f t="shared" si="17"/>
        <v>0</v>
      </c>
      <c r="K110">
        <f t="shared" si="18"/>
        <v>0</v>
      </c>
      <c r="L110">
        <f t="shared" si="25"/>
        <v>17</v>
      </c>
      <c r="M110">
        <f t="shared" si="26"/>
        <v>16</v>
      </c>
      <c r="N110">
        <f t="shared" si="27"/>
        <v>0</v>
      </c>
      <c r="O110">
        <f t="shared" si="28"/>
        <v>0</v>
      </c>
      <c r="P110">
        <f t="shared" si="19"/>
        <v>0</v>
      </c>
      <c r="Q110">
        <f t="shared" si="29"/>
        <v>17</v>
      </c>
      <c r="R110">
        <f t="shared" si="29"/>
        <v>16</v>
      </c>
    </row>
    <row r="111" spans="1:18" x14ac:dyDescent="0.25">
      <c r="A111" s="1">
        <v>44760</v>
      </c>
      <c r="B111">
        <f t="shared" si="15"/>
        <v>1</v>
      </c>
      <c r="C111">
        <f t="shared" si="20"/>
        <v>17</v>
      </c>
      <c r="D111">
        <f t="shared" si="20"/>
        <v>16</v>
      </c>
      <c r="E111">
        <f t="shared" si="21"/>
        <v>1</v>
      </c>
      <c r="F111">
        <f t="shared" si="16"/>
        <v>1</v>
      </c>
      <c r="G111">
        <f t="shared" si="22"/>
        <v>0</v>
      </c>
      <c r="H111">
        <f t="shared" si="23"/>
        <v>0</v>
      </c>
      <c r="I111">
        <f t="shared" si="24"/>
        <v>0</v>
      </c>
      <c r="J111">
        <f t="shared" si="17"/>
        <v>0</v>
      </c>
      <c r="K111">
        <f t="shared" si="18"/>
        <v>0</v>
      </c>
      <c r="L111">
        <f t="shared" si="25"/>
        <v>16</v>
      </c>
      <c r="M111">
        <f t="shared" si="26"/>
        <v>16</v>
      </c>
      <c r="N111">
        <f t="shared" si="27"/>
        <v>1</v>
      </c>
      <c r="O111">
        <f t="shared" si="28"/>
        <v>5</v>
      </c>
      <c r="P111">
        <f t="shared" si="19"/>
        <v>4</v>
      </c>
      <c r="Q111">
        <f t="shared" si="29"/>
        <v>11</v>
      </c>
      <c r="R111">
        <f t="shared" si="29"/>
        <v>12</v>
      </c>
    </row>
    <row r="112" spans="1:18" x14ac:dyDescent="0.25">
      <c r="A112" s="1">
        <v>44761</v>
      </c>
      <c r="B112">
        <f t="shared" si="15"/>
        <v>2</v>
      </c>
      <c r="C112">
        <f t="shared" si="20"/>
        <v>11</v>
      </c>
      <c r="D112">
        <f t="shared" si="20"/>
        <v>12</v>
      </c>
      <c r="E112">
        <f t="shared" si="21"/>
        <v>0</v>
      </c>
      <c r="F112">
        <f t="shared" si="16"/>
        <v>0</v>
      </c>
      <c r="G112">
        <f t="shared" si="22"/>
        <v>0</v>
      </c>
      <c r="H112">
        <f t="shared" si="23"/>
        <v>0</v>
      </c>
      <c r="I112">
        <f t="shared" si="24"/>
        <v>0</v>
      </c>
      <c r="J112">
        <f t="shared" si="17"/>
        <v>0</v>
      </c>
      <c r="K112">
        <f t="shared" si="18"/>
        <v>0</v>
      </c>
      <c r="L112">
        <f t="shared" si="25"/>
        <v>11</v>
      </c>
      <c r="M112">
        <f t="shared" si="26"/>
        <v>12</v>
      </c>
      <c r="N112">
        <f t="shared" si="27"/>
        <v>1</v>
      </c>
      <c r="O112">
        <f t="shared" si="28"/>
        <v>4</v>
      </c>
      <c r="P112">
        <f t="shared" si="19"/>
        <v>3</v>
      </c>
      <c r="Q112">
        <f t="shared" si="29"/>
        <v>7</v>
      </c>
      <c r="R112">
        <f t="shared" si="29"/>
        <v>9</v>
      </c>
    </row>
    <row r="113" spans="1:18" x14ac:dyDescent="0.25">
      <c r="A113" s="1">
        <v>44762</v>
      </c>
      <c r="B113">
        <f t="shared" si="15"/>
        <v>3</v>
      </c>
      <c r="C113">
        <f t="shared" si="20"/>
        <v>7</v>
      </c>
      <c r="D113">
        <f t="shared" si="20"/>
        <v>9</v>
      </c>
      <c r="E113">
        <f t="shared" si="21"/>
        <v>0</v>
      </c>
      <c r="F113">
        <f t="shared" si="16"/>
        <v>0</v>
      </c>
      <c r="G113">
        <f t="shared" si="22"/>
        <v>0</v>
      </c>
      <c r="H113">
        <f t="shared" si="23"/>
        <v>0</v>
      </c>
      <c r="I113">
        <f t="shared" si="24"/>
        <v>0</v>
      </c>
      <c r="J113">
        <f t="shared" si="17"/>
        <v>0</v>
      </c>
      <c r="K113">
        <f t="shared" si="18"/>
        <v>0</v>
      </c>
      <c r="L113">
        <f t="shared" si="25"/>
        <v>7</v>
      </c>
      <c r="M113">
        <f t="shared" si="26"/>
        <v>9</v>
      </c>
      <c r="N113">
        <f t="shared" si="27"/>
        <v>1</v>
      </c>
      <c r="O113">
        <f t="shared" si="28"/>
        <v>3</v>
      </c>
      <c r="P113">
        <f t="shared" si="19"/>
        <v>2</v>
      </c>
      <c r="Q113">
        <f t="shared" si="29"/>
        <v>4</v>
      </c>
      <c r="R113">
        <f t="shared" si="29"/>
        <v>7</v>
      </c>
    </row>
    <row r="114" spans="1:18" x14ac:dyDescent="0.25">
      <c r="A114" s="1">
        <v>44763</v>
      </c>
      <c r="B114">
        <f t="shared" si="15"/>
        <v>4</v>
      </c>
      <c r="C114">
        <f t="shared" si="20"/>
        <v>4</v>
      </c>
      <c r="D114">
        <f t="shared" si="20"/>
        <v>7</v>
      </c>
      <c r="E114">
        <f t="shared" si="21"/>
        <v>0</v>
      </c>
      <c r="F114">
        <f t="shared" si="16"/>
        <v>0</v>
      </c>
      <c r="G114">
        <f t="shared" si="22"/>
        <v>1</v>
      </c>
      <c r="H114">
        <f t="shared" si="23"/>
        <v>50</v>
      </c>
      <c r="I114">
        <f t="shared" si="24"/>
        <v>25</v>
      </c>
      <c r="J114">
        <f t="shared" si="17"/>
        <v>0</v>
      </c>
      <c r="K114">
        <f t="shared" si="18"/>
        <v>0</v>
      </c>
      <c r="L114">
        <f t="shared" si="25"/>
        <v>54</v>
      </c>
      <c r="M114">
        <f t="shared" si="26"/>
        <v>32</v>
      </c>
      <c r="N114">
        <f t="shared" si="27"/>
        <v>1</v>
      </c>
      <c r="O114">
        <f t="shared" si="28"/>
        <v>17</v>
      </c>
      <c r="P114">
        <f t="shared" si="19"/>
        <v>7</v>
      </c>
      <c r="Q114">
        <f t="shared" si="29"/>
        <v>37</v>
      </c>
      <c r="R114">
        <f t="shared" si="29"/>
        <v>25</v>
      </c>
    </row>
    <row r="115" spans="1:18" x14ac:dyDescent="0.25">
      <c r="A115" s="1">
        <v>44764</v>
      </c>
      <c r="B115">
        <f t="shared" si="15"/>
        <v>5</v>
      </c>
      <c r="C115">
        <f t="shared" si="20"/>
        <v>37</v>
      </c>
      <c r="D115">
        <f t="shared" si="20"/>
        <v>25</v>
      </c>
      <c r="E115">
        <f t="shared" si="21"/>
        <v>0</v>
      </c>
      <c r="F115">
        <f t="shared" si="16"/>
        <v>0</v>
      </c>
      <c r="G115">
        <f t="shared" si="22"/>
        <v>0</v>
      </c>
      <c r="H115">
        <f t="shared" si="23"/>
        <v>0</v>
      </c>
      <c r="I115">
        <f t="shared" si="24"/>
        <v>0</v>
      </c>
      <c r="J115">
        <f t="shared" si="17"/>
        <v>0</v>
      </c>
      <c r="K115">
        <f t="shared" si="18"/>
        <v>0</v>
      </c>
      <c r="L115">
        <f t="shared" si="25"/>
        <v>37</v>
      </c>
      <c r="M115">
        <f t="shared" si="26"/>
        <v>25</v>
      </c>
      <c r="N115">
        <f t="shared" si="27"/>
        <v>1</v>
      </c>
      <c r="O115">
        <f t="shared" si="28"/>
        <v>12</v>
      </c>
      <c r="P115">
        <f t="shared" si="19"/>
        <v>5</v>
      </c>
      <c r="Q115">
        <f t="shared" si="29"/>
        <v>25</v>
      </c>
      <c r="R115">
        <f t="shared" si="29"/>
        <v>20</v>
      </c>
    </row>
    <row r="116" spans="1:18" x14ac:dyDescent="0.25">
      <c r="A116" s="1">
        <v>44765</v>
      </c>
      <c r="B116">
        <f t="shared" si="15"/>
        <v>6</v>
      </c>
      <c r="C116">
        <f t="shared" si="20"/>
        <v>25</v>
      </c>
      <c r="D116">
        <f t="shared" si="20"/>
        <v>20</v>
      </c>
      <c r="E116">
        <f t="shared" si="21"/>
        <v>0</v>
      </c>
      <c r="F116">
        <f t="shared" si="16"/>
        <v>0</v>
      </c>
      <c r="G116">
        <f t="shared" si="22"/>
        <v>0</v>
      </c>
      <c r="H116">
        <f t="shared" si="23"/>
        <v>0</v>
      </c>
      <c r="I116">
        <f t="shared" si="24"/>
        <v>0</v>
      </c>
      <c r="J116">
        <f t="shared" si="17"/>
        <v>0</v>
      </c>
      <c r="K116">
        <f t="shared" si="18"/>
        <v>0</v>
      </c>
      <c r="L116">
        <f t="shared" si="25"/>
        <v>25</v>
      </c>
      <c r="M116">
        <f t="shared" si="26"/>
        <v>20</v>
      </c>
      <c r="N116">
        <f t="shared" si="27"/>
        <v>1</v>
      </c>
      <c r="O116">
        <f t="shared" si="28"/>
        <v>8</v>
      </c>
      <c r="P116">
        <f t="shared" si="19"/>
        <v>4</v>
      </c>
      <c r="Q116">
        <f t="shared" si="29"/>
        <v>17</v>
      </c>
      <c r="R116">
        <f t="shared" si="29"/>
        <v>16</v>
      </c>
    </row>
    <row r="117" spans="1:18" x14ac:dyDescent="0.25">
      <c r="A117" s="1">
        <v>44766</v>
      </c>
      <c r="B117">
        <f t="shared" si="15"/>
        <v>7</v>
      </c>
      <c r="C117">
        <f t="shared" si="20"/>
        <v>17</v>
      </c>
      <c r="D117">
        <f t="shared" si="20"/>
        <v>16</v>
      </c>
      <c r="E117">
        <f t="shared" si="21"/>
        <v>0</v>
      </c>
      <c r="F117">
        <f t="shared" si="16"/>
        <v>0</v>
      </c>
      <c r="G117">
        <f t="shared" si="22"/>
        <v>0</v>
      </c>
      <c r="H117">
        <f t="shared" si="23"/>
        <v>0</v>
      </c>
      <c r="I117">
        <f t="shared" si="24"/>
        <v>0</v>
      </c>
      <c r="J117">
        <f t="shared" si="17"/>
        <v>0</v>
      </c>
      <c r="K117">
        <f t="shared" si="18"/>
        <v>0</v>
      </c>
      <c r="L117">
        <f t="shared" si="25"/>
        <v>17</v>
      </c>
      <c r="M117">
        <f t="shared" si="26"/>
        <v>16</v>
      </c>
      <c r="N117">
        <f t="shared" si="27"/>
        <v>0</v>
      </c>
      <c r="O117">
        <f t="shared" si="28"/>
        <v>0</v>
      </c>
      <c r="P117">
        <f t="shared" si="19"/>
        <v>0</v>
      </c>
      <c r="Q117">
        <f t="shared" si="29"/>
        <v>17</v>
      </c>
      <c r="R117">
        <f t="shared" si="29"/>
        <v>16</v>
      </c>
    </row>
    <row r="118" spans="1:18" x14ac:dyDescent="0.25">
      <c r="A118" s="1">
        <v>44767</v>
      </c>
      <c r="B118">
        <f t="shared" si="15"/>
        <v>1</v>
      </c>
      <c r="C118">
        <f t="shared" si="20"/>
        <v>17</v>
      </c>
      <c r="D118">
        <f t="shared" si="20"/>
        <v>16</v>
      </c>
      <c r="E118">
        <f t="shared" si="21"/>
        <v>1</v>
      </c>
      <c r="F118">
        <f t="shared" si="16"/>
        <v>1</v>
      </c>
      <c r="G118">
        <f t="shared" si="22"/>
        <v>0</v>
      </c>
      <c r="H118">
        <f t="shared" si="23"/>
        <v>0</v>
      </c>
      <c r="I118">
        <f t="shared" si="24"/>
        <v>0</v>
      </c>
      <c r="J118">
        <f t="shared" si="17"/>
        <v>0</v>
      </c>
      <c r="K118">
        <f t="shared" si="18"/>
        <v>0</v>
      </c>
      <c r="L118">
        <f t="shared" si="25"/>
        <v>16</v>
      </c>
      <c r="M118">
        <f t="shared" si="26"/>
        <v>16</v>
      </c>
      <c r="N118">
        <f t="shared" si="27"/>
        <v>1</v>
      </c>
      <c r="O118">
        <f t="shared" si="28"/>
        <v>5</v>
      </c>
      <c r="P118">
        <f t="shared" si="19"/>
        <v>4</v>
      </c>
      <c r="Q118">
        <f t="shared" si="29"/>
        <v>11</v>
      </c>
      <c r="R118">
        <f t="shared" si="29"/>
        <v>12</v>
      </c>
    </row>
    <row r="119" spans="1:18" x14ac:dyDescent="0.25">
      <c r="A119" s="1">
        <v>44768</v>
      </c>
      <c r="B119">
        <f t="shared" si="15"/>
        <v>2</v>
      </c>
      <c r="C119">
        <f t="shared" si="20"/>
        <v>11</v>
      </c>
      <c r="D119">
        <f t="shared" si="20"/>
        <v>12</v>
      </c>
      <c r="E119">
        <f t="shared" si="21"/>
        <v>0</v>
      </c>
      <c r="F119">
        <f t="shared" si="16"/>
        <v>0</v>
      </c>
      <c r="G119">
        <f t="shared" si="22"/>
        <v>0</v>
      </c>
      <c r="H119">
        <f t="shared" si="23"/>
        <v>0</v>
      </c>
      <c r="I119">
        <f t="shared" si="24"/>
        <v>0</v>
      </c>
      <c r="J119">
        <f t="shared" si="17"/>
        <v>0</v>
      </c>
      <c r="K119">
        <f t="shared" si="18"/>
        <v>0</v>
      </c>
      <c r="L119">
        <f t="shared" si="25"/>
        <v>11</v>
      </c>
      <c r="M119">
        <f t="shared" si="26"/>
        <v>12</v>
      </c>
      <c r="N119">
        <f t="shared" si="27"/>
        <v>1</v>
      </c>
      <c r="O119">
        <f t="shared" si="28"/>
        <v>4</v>
      </c>
      <c r="P119">
        <f t="shared" si="19"/>
        <v>3</v>
      </c>
      <c r="Q119">
        <f t="shared" si="29"/>
        <v>7</v>
      </c>
      <c r="R119">
        <f t="shared" si="29"/>
        <v>9</v>
      </c>
    </row>
    <row r="120" spans="1:18" x14ac:dyDescent="0.25">
      <c r="A120" s="1">
        <v>44769</v>
      </c>
      <c r="B120">
        <f t="shared" si="15"/>
        <v>3</v>
      </c>
      <c r="C120">
        <f t="shared" si="20"/>
        <v>7</v>
      </c>
      <c r="D120">
        <f t="shared" si="20"/>
        <v>9</v>
      </c>
      <c r="E120">
        <f t="shared" si="21"/>
        <v>0</v>
      </c>
      <c r="F120">
        <f t="shared" si="16"/>
        <v>0</v>
      </c>
      <c r="G120">
        <f t="shared" si="22"/>
        <v>0</v>
      </c>
      <c r="H120">
        <f t="shared" si="23"/>
        <v>0</v>
      </c>
      <c r="I120">
        <f t="shared" si="24"/>
        <v>0</v>
      </c>
      <c r="J120">
        <f t="shared" si="17"/>
        <v>0</v>
      </c>
      <c r="K120">
        <f t="shared" si="18"/>
        <v>0</v>
      </c>
      <c r="L120">
        <f t="shared" si="25"/>
        <v>7</v>
      </c>
      <c r="M120">
        <f t="shared" si="26"/>
        <v>9</v>
      </c>
      <c r="N120">
        <f t="shared" si="27"/>
        <v>1</v>
      </c>
      <c r="O120">
        <f t="shared" si="28"/>
        <v>3</v>
      </c>
      <c r="P120">
        <f t="shared" si="19"/>
        <v>2</v>
      </c>
      <c r="Q120">
        <f t="shared" si="29"/>
        <v>4</v>
      </c>
      <c r="R120">
        <f t="shared" si="29"/>
        <v>7</v>
      </c>
    </row>
    <row r="121" spans="1:18" x14ac:dyDescent="0.25">
      <c r="A121" s="1">
        <v>44770</v>
      </c>
      <c r="B121">
        <f t="shared" si="15"/>
        <v>4</v>
      </c>
      <c r="C121">
        <f t="shared" si="20"/>
        <v>4</v>
      </c>
      <c r="D121">
        <f t="shared" si="20"/>
        <v>7</v>
      </c>
      <c r="E121">
        <f t="shared" si="21"/>
        <v>0</v>
      </c>
      <c r="F121">
        <f t="shared" si="16"/>
        <v>0</v>
      </c>
      <c r="G121">
        <f t="shared" si="22"/>
        <v>1</v>
      </c>
      <c r="H121">
        <f t="shared" si="23"/>
        <v>50</v>
      </c>
      <c r="I121">
        <f t="shared" si="24"/>
        <v>25</v>
      </c>
      <c r="J121">
        <f t="shared" si="17"/>
        <v>0</v>
      </c>
      <c r="K121">
        <f t="shared" si="18"/>
        <v>0</v>
      </c>
      <c r="L121">
        <f t="shared" si="25"/>
        <v>54</v>
      </c>
      <c r="M121">
        <f t="shared" si="26"/>
        <v>32</v>
      </c>
      <c r="N121">
        <f t="shared" si="27"/>
        <v>1</v>
      </c>
      <c r="O121">
        <f t="shared" si="28"/>
        <v>17</v>
      </c>
      <c r="P121">
        <f t="shared" si="19"/>
        <v>7</v>
      </c>
      <c r="Q121">
        <f t="shared" si="29"/>
        <v>37</v>
      </c>
      <c r="R121">
        <f t="shared" si="29"/>
        <v>25</v>
      </c>
    </row>
    <row r="122" spans="1:18" x14ac:dyDescent="0.25">
      <c r="A122" s="1">
        <v>44771</v>
      </c>
      <c r="B122">
        <f t="shared" si="15"/>
        <v>5</v>
      </c>
      <c r="C122">
        <f t="shared" si="20"/>
        <v>37</v>
      </c>
      <c r="D122">
        <f t="shared" si="20"/>
        <v>25</v>
      </c>
      <c r="E122">
        <f t="shared" si="21"/>
        <v>0</v>
      </c>
      <c r="F122">
        <f t="shared" si="16"/>
        <v>0</v>
      </c>
      <c r="G122">
        <f t="shared" si="22"/>
        <v>0</v>
      </c>
      <c r="H122">
        <f t="shared" si="23"/>
        <v>0</v>
      </c>
      <c r="I122">
        <f t="shared" si="24"/>
        <v>0</v>
      </c>
      <c r="J122">
        <f t="shared" si="17"/>
        <v>0</v>
      </c>
      <c r="K122">
        <f t="shared" si="18"/>
        <v>0</v>
      </c>
      <c r="L122">
        <f t="shared" si="25"/>
        <v>37</v>
      </c>
      <c r="M122">
        <f t="shared" si="26"/>
        <v>25</v>
      </c>
      <c r="N122">
        <f t="shared" si="27"/>
        <v>1</v>
      </c>
      <c r="O122">
        <f t="shared" si="28"/>
        <v>12</v>
      </c>
      <c r="P122">
        <f t="shared" si="19"/>
        <v>5</v>
      </c>
      <c r="Q122">
        <f t="shared" si="29"/>
        <v>25</v>
      </c>
      <c r="R122">
        <f t="shared" si="29"/>
        <v>20</v>
      </c>
    </row>
    <row r="123" spans="1:18" x14ac:dyDescent="0.25">
      <c r="A123" s="1">
        <v>44772</v>
      </c>
      <c r="B123">
        <f t="shared" si="15"/>
        <v>6</v>
      </c>
      <c r="C123">
        <f t="shared" si="20"/>
        <v>25</v>
      </c>
      <c r="D123">
        <f t="shared" si="20"/>
        <v>20</v>
      </c>
      <c r="E123">
        <f t="shared" si="21"/>
        <v>0</v>
      </c>
      <c r="F123">
        <f t="shared" si="16"/>
        <v>0</v>
      </c>
      <c r="G123">
        <f t="shared" si="22"/>
        <v>0</v>
      </c>
      <c r="H123">
        <f t="shared" si="23"/>
        <v>0</v>
      </c>
      <c r="I123">
        <f t="shared" si="24"/>
        <v>0</v>
      </c>
      <c r="J123">
        <f t="shared" si="17"/>
        <v>0</v>
      </c>
      <c r="K123">
        <f t="shared" si="18"/>
        <v>0</v>
      </c>
      <c r="L123">
        <f t="shared" si="25"/>
        <v>25</v>
      </c>
      <c r="M123">
        <f t="shared" si="26"/>
        <v>20</v>
      </c>
      <c r="N123">
        <f t="shared" si="27"/>
        <v>1</v>
      </c>
      <c r="O123">
        <f t="shared" si="28"/>
        <v>8</v>
      </c>
      <c r="P123">
        <f t="shared" si="19"/>
        <v>4</v>
      </c>
      <c r="Q123">
        <f t="shared" si="29"/>
        <v>17</v>
      </c>
      <c r="R123">
        <f t="shared" si="29"/>
        <v>16</v>
      </c>
    </row>
    <row r="124" spans="1:18" x14ac:dyDescent="0.25">
      <c r="A124" s="1">
        <v>44773</v>
      </c>
      <c r="B124">
        <f t="shared" si="15"/>
        <v>7</v>
      </c>
      <c r="C124">
        <f t="shared" si="20"/>
        <v>17</v>
      </c>
      <c r="D124">
        <f t="shared" si="20"/>
        <v>16</v>
      </c>
      <c r="E124">
        <f t="shared" si="21"/>
        <v>0</v>
      </c>
      <c r="F124">
        <f t="shared" si="16"/>
        <v>0</v>
      </c>
      <c r="G124">
        <f t="shared" si="22"/>
        <v>0</v>
      </c>
      <c r="H124">
        <f t="shared" si="23"/>
        <v>0</v>
      </c>
      <c r="I124">
        <f t="shared" si="24"/>
        <v>0</v>
      </c>
      <c r="J124">
        <f t="shared" si="17"/>
        <v>0</v>
      </c>
      <c r="K124">
        <f t="shared" si="18"/>
        <v>0</v>
      </c>
      <c r="L124">
        <f t="shared" si="25"/>
        <v>17</v>
      </c>
      <c r="M124">
        <f t="shared" si="26"/>
        <v>16</v>
      </c>
      <c r="N124">
        <f t="shared" si="27"/>
        <v>0</v>
      </c>
      <c r="O124">
        <f t="shared" si="28"/>
        <v>0</v>
      </c>
      <c r="P124">
        <f t="shared" si="19"/>
        <v>0</v>
      </c>
      <c r="Q124">
        <f t="shared" si="29"/>
        <v>17</v>
      </c>
      <c r="R124">
        <f t="shared" si="29"/>
        <v>16</v>
      </c>
    </row>
    <row r="125" spans="1:18" x14ac:dyDescent="0.25">
      <c r="A125" s="1">
        <v>44774</v>
      </c>
      <c r="B125">
        <f t="shared" si="15"/>
        <v>1</v>
      </c>
      <c r="C125">
        <f t="shared" si="20"/>
        <v>17</v>
      </c>
      <c r="D125">
        <f t="shared" si="20"/>
        <v>16</v>
      </c>
      <c r="E125">
        <f t="shared" si="21"/>
        <v>1</v>
      </c>
      <c r="F125">
        <f t="shared" si="16"/>
        <v>1</v>
      </c>
      <c r="G125">
        <f t="shared" si="22"/>
        <v>0</v>
      </c>
      <c r="H125">
        <f t="shared" si="23"/>
        <v>0</v>
      </c>
      <c r="I125">
        <f t="shared" si="24"/>
        <v>0</v>
      </c>
      <c r="J125">
        <f t="shared" si="17"/>
        <v>0</v>
      </c>
      <c r="K125">
        <f t="shared" si="18"/>
        <v>0</v>
      </c>
      <c r="L125">
        <f t="shared" si="25"/>
        <v>16</v>
      </c>
      <c r="M125">
        <f t="shared" si="26"/>
        <v>16</v>
      </c>
      <c r="N125">
        <f t="shared" si="27"/>
        <v>1</v>
      </c>
      <c r="O125">
        <f t="shared" si="28"/>
        <v>5</v>
      </c>
      <c r="P125">
        <f t="shared" si="19"/>
        <v>4</v>
      </c>
      <c r="Q125">
        <f t="shared" si="29"/>
        <v>11</v>
      </c>
      <c r="R125">
        <f t="shared" si="29"/>
        <v>12</v>
      </c>
    </row>
    <row r="126" spans="1:18" x14ac:dyDescent="0.25">
      <c r="A126" s="1">
        <v>44775</v>
      </c>
      <c r="B126">
        <f t="shared" si="15"/>
        <v>2</v>
      </c>
      <c r="C126">
        <f t="shared" si="20"/>
        <v>11</v>
      </c>
      <c r="D126">
        <f t="shared" si="20"/>
        <v>12</v>
      </c>
      <c r="E126">
        <f t="shared" si="21"/>
        <v>0</v>
      </c>
      <c r="F126">
        <f t="shared" si="16"/>
        <v>0</v>
      </c>
      <c r="G126">
        <f t="shared" si="22"/>
        <v>0</v>
      </c>
      <c r="H126">
        <f t="shared" si="23"/>
        <v>0</v>
      </c>
      <c r="I126">
        <f t="shared" si="24"/>
        <v>0</v>
      </c>
      <c r="J126">
        <f t="shared" si="17"/>
        <v>0</v>
      </c>
      <c r="K126">
        <f t="shared" si="18"/>
        <v>0</v>
      </c>
      <c r="L126">
        <f t="shared" si="25"/>
        <v>11</v>
      </c>
      <c r="M126">
        <f t="shared" si="26"/>
        <v>12</v>
      </c>
      <c r="N126">
        <f t="shared" si="27"/>
        <v>1</v>
      </c>
      <c r="O126">
        <f t="shared" si="28"/>
        <v>4</v>
      </c>
      <c r="P126">
        <f t="shared" si="19"/>
        <v>3</v>
      </c>
      <c r="Q126">
        <f t="shared" si="29"/>
        <v>7</v>
      </c>
      <c r="R126">
        <f t="shared" si="29"/>
        <v>9</v>
      </c>
    </row>
    <row r="127" spans="1:18" x14ac:dyDescent="0.25">
      <c r="A127" s="1">
        <v>44776</v>
      </c>
      <c r="B127">
        <f t="shared" si="15"/>
        <v>3</v>
      </c>
      <c r="C127">
        <f t="shared" si="20"/>
        <v>7</v>
      </c>
      <c r="D127">
        <f t="shared" si="20"/>
        <v>9</v>
      </c>
      <c r="E127">
        <f t="shared" si="21"/>
        <v>0</v>
      </c>
      <c r="F127">
        <f t="shared" si="16"/>
        <v>0</v>
      </c>
      <c r="G127">
        <f t="shared" si="22"/>
        <v>0</v>
      </c>
      <c r="H127">
        <f t="shared" si="23"/>
        <v>0</v>
      </c>
      <c r="I127">
        <f t="shared" si="24"/>
        <v>0</v>
      </c>
      <c r="J127">
        <f t="shared" si="17"/>
        <v>0</v>
      </c>
      <c r="K127">
        <f t="shared" si="18"/>
        <v>0</v>
      </c>
      <c r="L127">
        <f t="shared" si="25"/>
        <v>7</v>
      </c>
      <c r="M127">
        <f t="shared" si="26"/>
        <v>9</v>
      </c>
      <c r="N127">
        <f t="shared" si="27"/>
        <v>1</v>
      </c>
      <c r="O127">
        <f t="shared" si="28"/>
        <v>3</v>
      </c>
      <c r="P127">
        <f t="shared" si="19"/>
        <v>2</v>
      </c>
      <c r="Q127">
        <f t="shared" si="29"/>
        <v>4</v>
      </c>
      <c r="R127">
        <f t="shared" si="29"/>
        <v>7</v>
      </c>
    </row>
    <row r="128" spans="1:18" x14ac:dyDescent="0.25">
      <c r="A128" s="1">
        <v>44777</v>
      </c>
      <c r="B128">
        <f t="shared" si="15"/>
        <v>4</v>
      </c>
      <c r="C128">
        <f t="shared" si="20"/>
        <v>4</v>
      </c>
      <c r="D128">
        <f t="shared" si="20"/>
        <v>7</v>
      </c>
      <c r="E128">
        <f t="shared" si="21"/>
        <v>0</v>
      </c>
      <c r="F128">
        <f t="shared" si="16"/>
        <v>0</v>
      </c>
      <c r="G128">
        <f t="shared" si="22"/>
        <v>1</v>
      </c>
      <c r="H128">
        <f t="shared" si="23"/>
        <v>50</v>
      </c>
      <c r="I128">
        <f t="shared" si="24"/>
        <v>25</v>
      </c>
      <c r="J128">
        <f t="shared" si="17"/>
        <v>0</v>
      </c>
      <c r="K128">
        <f t="shared" si="18"/>
        <v>0</v>
      </c>
      <c r="L128">
        <f t="shared" si="25"/>
        <v>54</v>
      </c>
      <c r="M128">
        <f t="shared" si="26"/>
        <v>32</v>
      </c>
      <c r="N128">
        <f t="shared" si="27"/>
        <v>1</v>
      </c>
      <c r="O128">
        <f t="shared" si="28"/>
        <v>17</v>
      </c>
      <c r="P128">
        <f t="shared" si="19"/>
        <v>7</v>
      </c>
      <c r="Q128">
        <f t="shared" si="29"/>
        <v>37</v>
      </c>
      <c r="R128">
        <f t="shared" si="29"/>
        <v>25</v>
      </c>
    </row>
    <row r="129" spans="1:18" x14ac:dyDescent="0.25">
      <c r="A129" s="1">
        <v>44778</v>
      </c>
      <c r="B129">
        <f t="shared" si="15"/>
        <v>5</v>
      </c>
      <c r="C129">
        <f t="shared" si="20"/>
        <v>37</v>
      </c>
      <c r="D129">
        <f t="shared" si="20"/>
        <v>25</v>
      </c>
      <c r="E129">
        <f t="shared" si="21"/>
        <v>0</v>
      </c>
      <c r="F129">
        <f t="shared" si="16"/>
        <v>0</v>
      </c>
      <c r="G129">
        <f t="shared" si="22"/>
        <v>0</v>
      </c>
      <c r="H129">
        <f t="shared" si="23"/>
        <v>0</v>
      </c>
      <c r="I129">
        <f t="shared" si="24"/>
        <v>0</v>
      </c>
      <c r="J129">
        <f t="shared" si="17"/>
        <v>0</v>
      </c>
      <c r="K129">
        <f t="shared" si="18"/>
        <v>0</v>
      </c>
      <c r="L129">
        <f t="shared" si="25"/>
        <v>37</v>
      </c>
      <c r="M129">
        <f t="shared" si="26"/>
        <v>25</v>
      </c>
      <c r="N129">
        <f t="shared" si="27"/>
        <v>1</v>
      </c>
      <c r="O129">
        <f t="shared" si="28"/>
        <v>12</v>
      </c>
      <c r="P129">
        <f t="shared" si="19"/>
        <v>5</v>
      </c>
      <c r="Q129">
        <f t="shared" si="29"/>
        <v>25</v>
      </c>
      <c r="R129">
        <f t="shared" si="29"/>
        <v>20</v>
      </c>
    </row>
    <row r="130" spans="1:18" x14ac:dyDescent="0.25">
      <c r="A130" s="1">
        <v>44779</v>
      </c>
      <c r="B130">
        <f t="shared" si="15"/>
        <v>6</v>
      </c>
      <c r="C130">
        <f t="shared" si="20"/>
        <v>25</v>
      </c>
      <c r="D130">
        <f t="shared" si="20"/>
        <v>20</v>
      </c>
      <c r="E130">
        <f t="shared" si="21"/>
        <v>0</v>
      </c>
      <c r="F130">
        <f t="shared" si="16"/>
        <v>0</v>
      </c>
      <c r="G130">
        <f t="shared" si="22"/>
        <v>0</v>
      </c>
      <c r="H130">
        <f t="shared" si="23"/>
        <v>0</v>
      </c>
      <c r="I130">
        <f t="shared" si="24"/>
        <v>0</v>
      </c>
      <c r="J130">
        <f t="shared" si="17"/>
        <v>0</v>
      </c>
      <c r="K130">
        <f t="shared" si="18"/>
        <v>0</v>
      </c>
      <c r="L130">
        <f t="shared" si="25"/>
        <v>25</v>
      </c>
      <c r="M130">
        <f t="shared" si="26"/>
        <v>20</v>
      </c>
      <c r="N130">
        <f t="shared" si="27"/>
        <v>1</v>
      </c>
      <c r="O130">
        <f t="shared" si="28"/>
        <v>8</v>
      </c>
      <c r="P130">
        <f t="shared" si="19"/>
        <v>4</v>
      </c>
      <c r="Q130">
        <f t="shared" si="29"/>
        <v>17</v>
      </c>
      <c r="R130">
        <f t="shared" si="29"/>
        <v>16</v>
      </c>
    </row>
    <row r="131" spans="1:18" x14ac:dyDescent="0.25">
      <c r="A131" s="1">
        <v>44780</v>
      </c>
      <c r="B131">
        <f t="shared" si="15"/>
        <v>7</v>
      </c>
      <c r="C131">
        <f t="shared" si="20"/>
        <v>17</v>
      </c>
      <c r="D131">
        <f t="shared" si="20"/>
        <v>16</v>
      </c>
      <c r="E131">
        <f t="shared" si="21"/>
        <v>0</v>
      </c>
      <c r="F131">
        <f t="shared" si="16"/>
        <v>0</v>
      </c>
      <c r="G131">
        <f t="shared" si="22"/>
        <v>0</v>
      </c>
      <c r="H131">
        <f t="shared" si="23"/>
        <v>0</v>
      </c>
      <c r="I131">
        <f t="shared" si="24"/>
        <v>0</v>
      </c>
      <c r="J131">
        <f t="shared" si="17"/>
        <v>0</v>
      </c>
      <c r="K131">
        <f t="shared" si="18"/>
        <v>0</v>
      </c>
      <c r="L131">
        <f t="shared" si="25"/>
        <v>17</v>
      </c>
      <c r="M131">
        <f t="shared" si="26"/>
        <v>16</v>
      </c>
      <c r="N131">
        <f t="shared" si="27"/>
        <v>0</v>
      </c>
      <c r="O131">
        <f t="shared" si="28"/>
        <v>0</v>
      </c>
      <c r="P131">
        <f t="shared" si="19"/>
        <v>0</v>
      </c>
      <c r="Q131">
        <f t="shared" si="29"/>
        <v>17</v>
      </c>
      <c r="R131">
        <f t="shared" si="29"/>
        <v>16</v>
      </c>
    </row>
    <row r="132" spans="1:18" x14ac:dyDescent="0.25">
      <c r="A132" s="1">
        <v>44781</v>
      </c>
      <c r="B132">
        <f t="shared" ref="B132:B195" si="30">WEEKDAY(A132, 2)</f>
        <v>1</v>
      </c>
      <c r="C132">
        <f t="shared" si="20"/>
        <v>17</v>
      </c>
      <c r="D132">
        <f t="shared" si="20"/>
        <v>16</v>
      </c>
      <c r="E132">
        <f t="shared" si="21"/>
        <v>1</v>
      </c>
      <c r="F132">
        <f t="shared" ref="F132:F195" si="31">IF(E132=1,ROUNDUP(5% * C132,0),0)</f>
        <v>1</v>
      </c>
      <c r="G132">
        <f t="shared" si="22"/>
        <v>0</v>
      </c>
      <c r="H132">
        <f t="shared" si="23"/>
        <v>0</v>
      </c>
      <c r="I132">
        <f t="shared" si="24"/>
        <v>0</v>
      </c>
      <c r="J132">
        <f t="shared" ref="J132:J195" si="32">IF(AND(B132=1,SUM(O129:O130)&gt;25),1,0)</f>
        <v>0</v>
      </c>
      <c r="K132">
        <f t="shared" ref="K132:K195" si="33">IF(J132=1,15,0)</f>
        <v>0</v>
      </c>
      <c r="L132">
        <f t="shared" si="25"/>
        <v>16</v>
      </c>
      <c r="M132">
        <f t="shared" si="26"/>
        <v>16</v>
      </c>
      <c r="N132">
        <f t="shared" si="27"/>
        <v>1</v>
      </c>
      <c r="O132">
        <f t="shared" si="28"/>
        <v>5</v>
      </c>
      <c r="P132">
        <f t="shared" ref="P132:P195" si="34">IF(N132=1,ROUNDUP(20% * M132,0),0)</f>
        <v>4</v>
      </c>
      <c r="Q132">
        <f t="shared" si="29"/>
        <v>11</v>
      </c>
      <c r="R132">
        <f t="shared" si="29"/>
        <v>12</v>
      </c>
    </row>
    <row r="133" spans="1:18" x14ac:dyDescent="0.25">
      <c r="A133" s="1">
        <v>44782</v>
      </c>
      <c r="B133">
        <f t="shared" si="30"/>
        <v>2</v>
      </c>
      <c r="C133">
        <f t="shared" ref="C133:D196" si="35">Q132</f>
        <v>11</v>
      </c>
      <c r="D133">
        <f t="shared" si="35"/>
        <v>12</v>
      </c>
      <c r="E133">
        <f t="shared" ref="E133:E196" si="36">IF(B133=1,1,0)</f>
        <v>0</v>
      </c>
      <c r="F133">
        <f t="shared" si="31"/>
        <v>0</v>
      </c>
      <c r="G133">
        <f t="shared" ref="G133:G196" si="37">IF(B133=4,1,0)</f>
        <v>0</v>
      </c>
      <c r="H133">
        <f t="shared" ref="H133:H196" si="38">IF(G133=1,50,0)</f>
        <v>0</v>
      </c>
      <c r="I133">
        <f t="shared" ref="I133:I196" si="39">IF(G133=1,25,0)</f>
        <v>0</v>
      </c>
      <c r="J133">
        <f t="shared" si="32"/>
        <v>0</v>
      </c>
      <c r="K133">
        <f t="shared" si="33"/>
        <v>0</v>
      </c>
      <c r="L133">
        <f t="shared" ref="L133:L196" si="40">K133+H133+C133-F133</f>
        <v>11</v>
      </c>
      <c r="M133">
        <f t="shared" ref="M133:M196" si="41">I133+D133</f>
        <v>12</v>
      </c>
      <c r="N133">
        <f t="shared" ref="N133:N196" si="42">IF(B133&lt;&gt;7,1,0)</f>
        <v>1</v>
      </c>
      <c r="O133">
        <f t="shared" ref="O133:O196" si="43">IF(N133=1,ROUNDUP(30% * L133,0),0)</f>
        <v>4</v>
      </c>
      <c r="P133">
        <f t="shared" si="34"/>
        <v>3</v>
      </c>
      <c r="Q133">
        <f t="shared" ref="Q133:R196" si="44">L133-O133</f>
        <v>7</v>
      </c>
      <c r="R133">
        <f t="shared" si="44"/>
        <v>9</v>
      </c>
    </row>
    <row r="134" spans="1:18" x14ac:dyDescent="0.25">
      <c r="A134" s="1">
        <v>44783</v>
      </c>
      <c r="B134">
        <f t="shared" si="30"/>
        <v>3</v>
      </c>
      <c r="C134">
        <f t="shared" si="35"/>
        <v>7</v>
      </c>
      <c r="D134">
        <f t="shared" si="35"/>
        <v>9</v>
      </c>
      <c r="E134">
        <f t="shared" si="36"/>
        <v>0</v>
      </c>
      <c r="F134">
        <f t="shared" si="31"/>
        <v>0</v>
      </c>
      <c r="G134">
        <f t="shared" si="37"/>
        <v>0</v>
      </c>
      <c r="H134">
        <f t="shared" si="38"/>
        <v>0</v>
      </c>
      <c r="I134">
        <f t="shared" si="39"/>
        <v>0</v>
      </c>
      <c r="J134">
        <f t="shared" si="32"/>
        <v>0</v>
      </c>
      <c r="K134">
        <f t="shared" si="33"/>
        <v>0</v>
      </c>
      <c r="L134">
        <f t="shared" si="40"/>
        <v>7</v>
      </c>
      <c r="M134">
        <f t="shared" si="41"/>
        <v>9</v>
      </c>
      <c r="N134">
        <f t="shared" si="42"/>
        <v>1</v>
      </c>
      <c r="O134">
        <f t="shared" si="43"/>
        <v>3</v>
      </c>
      <c r="P134">
        <f t="shared" si="34"/>
        <v>2</v>
      </c>
      <c r="Q134">
        <f t="shared" si="44"/>
        <v>4</v>
      </c>
      <c r="R134">
        <f t="shared" si="44"/>
        <v>7</v>
      </c>
    </row>
    <row r="135" spans="1:18" x14ac:dyDescent="0.25">
      <c r="A135" s="1">
        <v>44784</v>
      </c>
      <c r="B135">
        <f t="shared" si="30"/>
        <v>4</v>
      </c>
      <c r="C135">
        <f t="shared" si="35"/>
        <v>4</v>
      </c>
      <c r="D135">
        <f t="shared" si="35"/>
        <v>7</v>
      </c>
      <c r="E135">
        <f t="shared" si="36"/>
        <v>0</v>
      </c>
      <c r="F135">
        <f t="shared" si="31"/>
        <v>0</v>
      </c>
      <c r="G135">
        <f t="shared" si="37"/>
        <v>1</v>
      </c>
      <c r="H135">
        <f t="shared" si="38"/>
        <v>50</v>
      </c>
      <c r="I135">
        <f t="shared" si="39"/>
        <v>25</v>
      </c>
      <c r="J135">
        <f t="shared" si="32"/>
        <v>0</v>
      </c>
      <c r="K135">
        <f t="shared" si="33"/>
        <v>0</v>
      </c>
      <c r="L135">
        <f t="shared" si="40"/>
        <v>54</v>
      </c>
      <c r="M135">
        <f t="shared" si="41"/>
        <v>32</v>
      </c>
      <c r="N135">
        <f t="shared" si="42"/>
        <v>1</v>
      </c>
      <c r="O135">
        <f t="shared" si="43"/>
        <v>17</v>
      </c>
      <c r="P135">
        <f t="shared" si="34"/>
        <v>7</v>
      </c>
      <c r="Q135">
        <f t="shared" si="44"/>
        <v>37</v>
      </c>
      <c r="R135">
        <f t="shared" si="44"/>
        <v>25</v>
      </c>
    </row>
    <row r="136" spans="1:18" x14ac:dyDescent="0.25">
      <c r="A136" s="1">
        <v>44785</v>
      </c>
      <c r="B136">
        <f t="shared" si="30"/>
        <v>5</v>
      </c>
      <c r="C136">
        <f t="shared" si="35"/>
        <v>37</v>
      </c>
      <c r="D136">
        <f t="shared" si="35"/>
        <v>25</v>
      </c>
      <c r="E136">
        <f t="shared" si="36"/>
        <v>0</v>
      </c>
      <c r="F136">
        <f t="shared" si="31"/>
        <v>0</v>
      </c>
      <c r="G136">
        <f t="shared" si="37"/>
        <v>0</v>
      </c>
      <c r="H136">
        <f t="shared" si="38"/>
        <v>0</v>
      </c>
      <c r="I136">
        <f t="shared" si="39"/>
        <v>0</v>
      </c>
      <c r="J136">
        <f t="shared" si="32"/>
        <v>0</v>
      </c>
      <c r="K136">
        <f t="shared" si="33"/>
        <v>0</v>
      </c>
      <c r="L136">
        <f t="shared" si="40"/>
        <v>37</v>
      </c>
      <c r="M136">
        <f t="shared" si="41"/>
        <v>25</v>
      </c>
      <c r="N136">
        <f t="shared" si="42"/>
        <v>1</v>
      </c>
      <c r="O136">
        <f t="shared" si="43"/>
        <v>12</v>
      </c>
      <c r="P136">
        <f t="shared" si="34"/>
        <v>5</v>
      </c>
      <c r="Q136">
        <f t="shared" si="44"/>
        <v>25</v>
      </c>
      <c r="R136">
        <f t="shared" si="44"/>
        <v>20</v>
      </c>
    </row>
    <row r="137" spans="1:18" x14ac:dyDescent="0.25">
      <c r="A137" s="1">
        <v>44786</v>
      </c>
      <c r="B137">
        <f t="shared" si="30"/>
        <v>6</v>
      </c>
      <c r="C137">
        <f t="shared" si="35"/>
        <v>25</v>
      </c>
      <c r="D137">
        <f t="shared" si="35"/>
        <v>20</v>
      </c>
      <c r="E137">
        <f t="shared" si="36"/>
        <v>0</v>
      </c>
      <c r="F137">
        <f t="shared" si="31"/>
        <v>0</v>
      </c>
      <c r="G137">
        <f t="shared" si="37"/>
        <v>0</v>
      </c>
      <c r="H137">
        <f t="shared" si="38"/>
        <v>0</v>
      </c>
      <c r="I137">
        <f t="shared" si="39"/>
        <v>0</v>
      </c>
      <c r="J137">
        <f t="shared" si="32"/>
        <v>0</v>
      </c>
      <c r="K137">
        <f t="shared" si="33"/>
        <v>0</v>
      </c>
      <c r="L137">
        <f t="shared" si="40"/>
        <v>25</v>
      </c>
      <c r="M137">
        <f t="shared" si="41"/>
        <v>20</v>
      </c>
      <c r="N137">
        <f t="shared" si="42"/>
        <v>1</v>
      </c>
      <c r="O137">
        <f t="shared" si="43"/>
        <v>8</v>
      </c>
      <c r="P137">
        <f t="shared" si="34"/>
        <v>4</v>
      </c>
      <c r="Q137">
        <f t="shared" si="44"/>
        <v>17</v>
      </c>
      <c r="R137">
        <f t="shared" si="44"/>
        <v>16</v>
      </c>
    </row>
    <row r="138" spans="1:18" x14ac:dyDescent="0.25">
      <c r="A138" s="1">
        <v>44787</v>
      </c>
      <c r="B138">
        <f t="shared" si="30"/>
        <v>7</v>
      </c>
      <c r="C138">
        <f t="shared" si="35"/>
        <v>17</v>
      </c>
      <c r="D138">
        <f t="shared" si="35"/>
        <v>16</v>
      </c>
      <c r="E138">
        <f t="shared" si="36"/>
        <v>0</v>
      </c>
      <c r="F138">
        <f t="shared" si="31"/>
        <v>0</v>
      </c>
      <c r="G138">
        <f t="shared" si="37"/>
        <v>0</v>
      </c>
      <c r="H138">
        <f t="shared" si="38"/>
        <v>0</v>
      </c>
      <c r="I138">
        <f t="shared" si="39"/>
        <v>0</v>
      </c>
      <c r="J138">
        <f t="shared" si="32"/>
        <v>0</v>
      </c>
      <c r="K138">
        <f t="shared" si="33"/>
        <v>0</v>
      </c>
      <c r="L138">
        <f t="shared" si="40"/>
        <v>17</v>
      </c>
      <c r="M138">
        <f t="shared" si="41"/>
        <v>16</v>
      </c>
      <c r="N138">
        <f t="shared" si="42"/>
        <v>0</v>
      </c>
      <c r="O138">
        <f t="shared" si="43"/>
        <v>0</v>
      </c>
      <c r="P138">
        <f t="shared" si="34"/>
        <v>0</v>
      </c>
      <c r="Q138">
        <f t="shared" si="44"/>
        <v>17</v>
      </c>
      <c r="R138">
        <f t="shared" si="44"/>
        <v>16</v>
      </c>
    </row>
    <row r="139" spans="1:18" x14ac:dyDescent="0.25">
      <c r="A139" s="1">
        <v>44788</v>
      </c>
      <c r="B139">
        <f t="shared" si="30"/>
        <v>1</v>
      </c>
      <c r="C139">
        <f t="shared" si="35"/>
        <v>17</v>
      </c>
      <c r="D139">
        <f t="shared" si="35"/>
        <v>16</v>
      </c>
      <c r="E139">
        <f t="shared" si="36"/>
        <v>1</v>
      </c>
      <c r="F139">
        <f t="shared" si="31"/>
        <v>1</v>
      </c>
      <c r="G139">
        <f t="shared" si="37"/>
        <v>0</v>
      </c>
      <c r="H139">
        <f t="shared" si="38"/>
        <v>0</v>
      </c>
      <c r="I139">
        <f t="shared" si="39"/>
        <v>0</v>
      </c>
      <c r="J139">
        <f t="shared" si="32"/>
        <v>0</v>
      </c>
      <c r="K139">
        <f t="shared" si="33"/>
        <v>0</v>
      </c>
      <c r="L139">
        <f t="shared" si="40"/>
        <v>16</v>
      </c>
      <c r="M139">
        <f t="shared" si="41"/>
        <v>16</v>
      </c>
      <c r="N139">
        <f t="shared" si="42"/>
        <v>1</v>
      </c>
      <c r="O139">
        <f t="shared" si="43"/>
        <v>5</v>
      </c>
      <c r="P139">
        <f t="shared" si="34"/>
        <v>4</v>
      </c>
      <c r="Q139">
        <f t="shared" si="44"/>
        <v>11</v>
      </c>
      <c r="R139">
        <f t="shared" si="44"/>
        <v>12</v>
      </c>
    </row>
    <row r="140" spans="1:18" x14ac:dyDescent="0.25">
      <c r="A140" s="1">
        <v>44789</v>
      </c>
      <c r="B140">
        <f t="shared" si="30"/>
        <v>2</v>
      </c>
      <c r="C140">
        <f t="shared" si="35"/>
        <v>11</v>
      </c>
      <c r="D140">
        <f t="shared" si="35"/>
        <v>12</v>
      </c>
      <c r="E140">
        <f t="shared" si="36"/>
        <v>0</v>
      </c>
      <c r="F140">
        <f t="shared" si="31"/>
        <v>0</v>
      </c>
      <c r="G140">
        <f t="shared" si="37"/>
        <v>0</v>
      </c>
      <c r="H140">
        <f t="shared" si="38"/>
        <v>0</v>
      </c>
      <c r="I140">
        <f t="shared" si="39"/>
        <v>0</v>
      </c>
      <c r="J140">
        <f t="shared" si="32"/>
        <v>0</v>
      </c>
      <c r="K140">
        <f t="shared" si="33"/>
        <v>0</v>
      </c>
      <c r="L140">
        <f t="shared" si="40"/>
        <v>11</v>
      </c>
      <c r="M140">
        <f t="shared" si="41"/>
        <v>12</v>
      </c>
      <c r="N140">
        <f t="shared" si="42"/>
        <v>1</v>
      </c>
      <c r="O140">
        <f t="shared" si="43"/>
        <v>4</v>
      </c>
      <c r="P140">
        <f t="shared" si="34"/>
        <v>3</v>
      </c>
      <c r="Q140">
        <f t="shared" si="44"/>
        <v>7</v>
      </c>
      <c r="R140">
        <f t="shared" si="44"/>
        <v>9</v>
      </c>
    </row>
    <row r="141" spans="1:18" x14ac:dyDescent="0.25">
      <c r="A141" s="1">
        <v>44790</v>
      </c>
      <c r="B141">
        <f t="shared" si="30"/>
        <v>3</v>
      </c>
      <c r="C141">
        <f t="shared" si="35"/>
        <v>7</v>
      </c>
      <c r="D141">
        <f t="shared" si="35"/>
        <v>9</v>
      </c>
      <c r="E141">
        <f t="shared" si="36"/>
        <v>0</v>
      </c>
      <c r="F141">
        <f t="shared" si="31"/>
        <v>0</v>
      </c>
      <c r="G141">
        <f t="shared" si="37"/>
        <v>0</v>
      </c>
      <c r="H141">
        <f t="shared" si="38"/>
        <v>0</v>
      </c>
      <c r="I141">
        <f t="shared" si="39"/>
        <v>0</v>
      </c>
      <c r="J141">
        <f t="shared" si="32"/>
        <v>0</v>
      </c>
      <c r="K141">
        <f t="shared" si="33"/>
        <v>0</v>
      </c>
      <c r="L141">
        <f t="shared" si="40"/>
        <v>7</v>
      </c>
      <c r="M141">
        <f t="shared" si="41"/>
        <v>9</v>
      </c>
      <c r="N141">
        <f t="shared" si="42"/>
        <v>1</v>
      </c>
      <c r="O141">
        <f t="shared" si="43"/>
        <v>3</v>
      </c>
      <c r="P141">
        <f t="shared" si="34"/>
        <v>2</v>
      </c>
      <c r="Q141">
        <f t="shared" si="44"/>
        <v>4</v>
      </c>
      <c r="R141">
        <f t="shared" si="44"/>
        <v>7</v>
      </c>
    </row>
    <row r="142" spans="1:18" x14ac:dyDescent="0.25">
      <c r="A142" s="1">
        <v>44791</v>
      </c>
      <c r="B142">
        <f t="shared" si="30"/>
        <v>4</v>
      </c>
      <c r="C142">
        <f t="shared" si="35"/>
        <v>4</v>
      </c>
      <c r="D142">
        <f t="shared" si="35"/>
        <v>7</v>
      </c>
      <c r="E142">
        <f t="shared" si="36"/>
        <v>0</v>
      </c>
      <c r="F142">
        <f t="shared" si="31"/>
        <v>0</v>
      </c>
      <c r="G142">
        <f t="shared" si="37"/>
        <v>1</v>
      </c>
      <c r="H142">
        <f t="shared" si="38"/>
        <v>50</v>
      </c>
      <c r="I142">
        <f t="shared" si="39"/>
        <v>25</v>
      </c>
      <c r="J142">
        <f t="shared" si="32"/>
        <v>0</v>
      </c>
      <c r="K142">
        <f t="shared" si="33"/>
        <v>0</v>
      </c>
      <c r="L142">
        <f t="shared" si="40"/>
        <v>54</v>
      </c>
      <c r="M142">
        <f t="shared" si="41"/>
        <v>32</v>
      </c>
      <c r="N142">
        <f t="shared" si="42"/>
        <v>1</v>
      </c>
      <c r="O142">
        <f t="shared" si="43"/>
        <v>17</v>
      </c>
      <c r="P142">
        <f t="shared" si="34"/>
        <v>7</v>
      </c>
      <c r="Q142">
        <f t="shared" si="44"/>
        <v>37</v>
      </c>
      <c r="R142">
        <f t="shared" si="44"/>
        <v>25</v>
      </c>
    </row>
    <row r="143" spans="1:18" x14ac:dyDescent="0.25">
      <c r="A143" s="1">
        <v>44792</v>
      </c>
      <c r="B143">
        <f t="shared" si="30"/>
        <v>5</v>
      </c>
      <c r="C143">
        <f t="shared" si="35"/>
        <v>37</v>
      </c>
      <c r="D143">
        <f t="shared" si="35"/>
        <v>25</v>
      </c>
      <c r="E143">
        <f t="shared" si="36"/>
        <v>0</v>
      </c>
      <c r="F143">
        <f t="shared" si="31"/>
        <v>0</v>
      </c>
      <c r="G143">
        <f t="shared" si="37"/>
        <v>0</v>
      </c>
      <c r="H143">
        <f t="shared" si="38"/>
        <v>0</v>
      </c>
      <c r="I143">
        <f t="shared" si="39"/>
        <v>0</v>
      </c>
      <c r="J143">
        <f t="shared" si="32"/>
        <v>0</v>
      </c>
      <c r="K143">
        <f t="shared" si="33"/>
        <v>0</v>
      </c>
      <c r="L143">
        <f t="shared" si="40"/>
        <v>37</v>
      </c>
      <c r="M143">
        <f t="shared" si="41"/>
        <v>25</v>
      </c>
      <c r="N143">
        <f t="shared" si="42"/>
        <v>1</v>
      </c>
      <c r="O143">
        <f t="shared" si="43"/>
        <v>12</v>
      </c>
      <c r="P143">
        <f t="shared" si="34"/>
        <v>5</v>
      </c>
      <c r="Q143">
        <f t="shared" si="44"/>
        <v>25</v>
      </c>
      <c r="R143">
        <f t="shared" si="44"/>
        <v>20</v>
      </c>
    </row>
    <row r="144" spans="1:18" x14ac:dyDescent="0.25">
      <c r="A144" s="1">
        <v>44793</v>
      </c>
      <c r="B144">
        <f t="shared" si="30"/>
        <v>6</v>
      </c>
      <c r="C144">
        <f t="shared" si="35"/>
        <v>25</v>
      </c>
      <c r="D144">
        <f t="shared" si="35"/>
        <v>20</v>
      </c>
      <c r="E144">
        <f t="shared" si="36"/>
        <v>0</v>
      </c>
      <c r="F144">
        <f t="shared" si="31"/>
        <v>0</v>
      </c>
      <c r="G144">
        <f t="shared" si="37"/>
        <v>0</v>
      </c>
      <c r="H144">
        <f t="shared" si="38"/>
        <v>0</v>
      </c>
      <c r="I144">
        <f t="shared" si="39"/>
        <v>0</v>
      </c>
      <c r="J144">
        <f t="shared" si="32"/>
        <v>0</v>
      </c>
      <c r="K144">
        <f t="shared" si="33"/>
        <v>0</v>
      </c>
      <c r="L144">
        <f t="shared" si="40"/>
        <v>25</v>
      </c>
      <c r="M144">
        <f t="shared" si="41"/>
        <v>20</v>
      </c>
      <c r="N144">
        <f t="shared" si="42"/>
        <v>1</v>
      </c>
      <c r="O144">
        <f t="shared" si="43"/>
        <v>8</v>
      </c>
      <c r="P144">
        <f t="shared" si="34"/>
        <v>4</v>
      </c>
      <c r="Q144">
        <f t="shared" si="44"/>
        <v>17</v>
      </c>
      <c r="R144">
        <f t="shared" si="44"/>
        <v>16</v>
      </c>
    </row>
    <row r="145" spans="1:18" x14ac:dyDescent="0.25">
      <c r="A145" s="1">
        <v>44794</v>
      </c>
      <c r="B145">
        <f t="shared" si="30"/>
        <v>7</v>
      </c>
      <c r="C145">
        <f t="shared" si="35"/>
        <v>17</v>
      </c>
      <c r="D145">
        <f t="shared" si="35"/>
        <v>16</v>
      </c>
      <c r="E145">
        <f t="shared" si="36"/>
        <v>0</v>
      </c>
      <c r="F145">
        <f t="shared" si="31"/>
        <v>0</v>
      </c>
      <c r="G145">
        <f t="shared" si="37"/>
        <v>0</v>
      </c>
      <c r="H145">
        <f t="shared" si="38"/>
        <v>0</v>
      </c>
      <c r="I145">
        <f t="shared" si="39"/>
        <v>0</v>
      </c>
      <c r="J145">
        <f t="shared" si="32"/>
        <v>0</v>
      </c>
      <c r="K145">
        <f t="shared" si="33"/>
        <v>0</v>
      </c>
      <c r="L145">
        <f t="shared" si="40"/>
        <v>17</v>
      </c>
      <c r="M145">
        <f t="shared" si="41"/>
        <v>16</v>
      </c>
      <c r="N145">
        <f t="shared" si="42"/>
        <v>0</v>
      </c>
      <c r="O145">
        <f t="shared" si="43"/>
        <v>0</v>
      </c>
      <c r="P145">
        <f t="shared" si="34"/>
        <v>0</v>
      </c>
      <c r="Q145">
        <f t="shared" si="44"/>
        <v>17</v>
      </c>
      <c r="R145">
        <f t="shared" si="44"/>
        <v>16</v>
      </c>
    </row>
    <row r="146" spans="1:18" x14ac:dyDescent="0.25">
      <c r="A146" s="1">
        <v>44795</v>
      </c>
      <c r="B146">
        <f t="shared" si="30"/>
        <v>1</v>
      </c>
      <c r="C146">
        <f t="shared" si="35"/>
        <v>17</v>
      </c>
      <c r="D146">
        <f t="shared" si="35"/>
        <v>16</v>
      </c>
      <c r="E146">
        <f t="shared" si="36"/>
        <v>1</v>
      </c>
      <c r="F146">
        <f t="shared" si="31"/>
        <v>1</v>
      </c>
      <c r="G146">
        <f t="shared" si="37"/>
        <v>0</v>
      </c>
      <c r="H146">
        <f t="shared" si="38"/>
        <v>0</v>
      </c>
      <c r="I146">
        <f t="shared" si="39"/>
        <v>0</v>
      </c>
      <c r="J146">
        <f t="shared" si="32"/>
        <v>0</v>
      </c>
      <c r="K146">
        <f t="shared" si="33"/>
        <v>0</v>
      </c>
      <c r="L146">
        <f t="shared" si="40"/>
        <v>16</v>
      </c>
      <c r="M146">
        <f t="shared" si="41"/>
        <v>16</v>
      </c>
      <c r="N146">
        <f t="shared" si="42"/>
        <v>1</v>
      </c>
      <c r="O146">
        <f t="shared" si="43"/>
        <v>5</v>
      </c>
      <c r="P146">
        <f t="shared" si="34"/>
        <v>4</v>
      </c>
      <c r="Q146">
        <f t="shared" si="44"/>
        <v>11</v>
      </c>
      <c r="R146">
        <f t="shared" si="44"/>
        <v>12</v>
      </c>
    </row>
    <row r="147" spans="1:18" x14ac:dyDescent="0.25">
      <c r="A147" s="1">
        <v>44796</v>
      </c>
      <c r="B147">
        <f t="shared" si="30"/>
        <v>2</v>
      </c>
      <c r="C147">
        <f t="shared" si="35"/>
        <v>11</v>
      </c>
      <c r="D147">
        <f t="shared" si="35"/>
        <v>12</v>
      </c>
      <c r="E147">
        <f t="shared" si="36"/>
        <v>0</v>
      </c>
      <c r="F147">
        <f t="shared" si="31"/>
        <v>0</v>
      </c>
      <c r="G147">
        <f t="shared" si="37"/>
        <v>0</v>
      </c>
      <c r="H147">
        <f t="shared" si="38"/>
        <v>0</v>
      </c>
      <c r="I147">
        <f t="shared" si="39"/>
        <v>0</v>
      </c>
      <c r="J147">
        <f t="shared" si="32"/>
        <v>0</v>
      </c>
      <c r="K147">
        <f t="shared" si="33"/>
        <v>0</v>
      </c>
      <c r="L147">
        <f t="shared" si="40"/>
        <v>11</v>
      </c>
      <c r="M147">
        <f t="shared" si="41"/>
        <v>12</v>
      </c>
      <c r="N147">
        <f t="shared" si="42"/>
        <v>1</v>
      </c>
      <c r="O147">
        <f t="shared" si="43"/>
        <v>4</v>
      </c>
      <c r="P147">
        <f t="shared" si="34"/>
        <v>3</v>
      </c>
      <c r="Q147">
        <f t="shared" si="44"/>
        <v>7</v>
      </c>
      <c r="R147">
        <f t="shared" si="44"/>
        <v>9</v>
      </c>
    </row>
    <row r="148" spans="1:18" x14ac:dyDescent="0.25">
      <c r="A148" s="1">
        <v>44797</v>
      </c>
      <c r="B148">
        <f t="shared" si="30"/>
        <v>3</v>
      </c>
      <c r="C148">
        <f t="shared" si="35"/>
        <v>7</v>
      </c>
      <c r="D148">
        <f t="shared" si="35"/>
        <v>9</v>
      </c>
      <c r="E148">
        <f t="shared" si="36"/>
        <v>0</v>
      </c>
      <c r="F148">
        <f t="shared" si="31"/>
        <v>0</v>
      </c>
      <c r="G148">
        <f t="shared" si="37"/>
        <v>0</v>
      </c>
      <c r="H148">
        <f t="shared" si="38"/>
        <v>0</v>
      </c>
      <c r="I148">
        <f t="shared" si="39"/>
        <v>0</v>
      </c>
      <c r="J148">
        <f t="shared" si="32"/>
        <v>0</v>
      </c>
      <c r="K148">
        <f t="shared" si="33"/>
        <v>0</v>
      </c>
      <c r="L148">
        <f t="shared" si="40"/>
        <v>7</v>
      </c>
      <c r="M148">
        <f t="shared" si="41"/>
        <v>9</v>
      </c>
      <c r="N148">
        <f t="shared" si="42"/>
        <v>1</v>
      </c>
      <c r="O148">
        <f t="shared" si="43"/>
        <v>3</v>
      </c>
      <c r="P148">
        <f t="shared" si="34"/>
        <v>2</v>
      </c>
      <c r="Q148">
        <f t="shared" si="44"/>
        <v>4</v>
      </c>
      <c r="R148">
        <f t="shared" si="44"/>
        <v>7</v>
      </c>
    </row>
    <row r="149" spans="1:18" x14ac:dyDescent="0.25">
      <c r="A149" s="1">
        <v>44798</v>
      </c>
      <c r="B149">
        <f t="shared" si="30"/>
        <v>4</v>
      </c>
      <c r="C149">
        <f t="shared" si="35"/>
        <v>4</v>
      </c>
      <c r="D149">
        <f t="shared" si="35"/>
        <v>7</v>
      </c>
      <c r="E149">
        <f t="shared" si="36"/>
        <v>0</v>
      </c>
      <c r="F149">
        <f t="shared" si="31"/>
        <v>0</v>
      </c>
      <c r="G149">
        <f t="shared" si="37"/>
        <v>1</v>
      </c>
      <c r="H149">
        <f t="shared" si="38"/>
        <v>50</v>
      </c>
      <c r="I149">
        <f t="shared" si="39"/>
        <v>25</v>
      </c>
      <c r="J149">
        <f t="shared" si="32"/>
        <v>0</v>
      </c>
      <c r="K149">
        <f t="shared" si="33"/>
        <v>0</v>
      </c>
      <c r="L149">
        <f t="shared" si="40"/>
        <v>54</v>
      </c>
      <c r="M149">
        <f t="shared" si="41"/>
        <v>32</v>
      </c>
      <c r="N149">
        <f t="shared" si="42"/>
        <v>1</v>
      </c>
      <c r="O149">
        <f t="shared" si="43"/>
        <v>17</v>
      </c>
      <c r="P149">
        <f t="shared" si="34"/>
        <v>7</v>
      </c>
      <c r="Q149">
        <f t="shared" si="44"/>
        <v>37</v>
      </c>
      <c r="R149">
        <f t="shared" si="44"/>
        <v>25</v>
      </c>
    </row>
    <row r="150" spans="1:18" x14ac:dyDescent="0.25">
      <c r="A150" s="1">
        <v>44799</v>
      </c>
      <c r="B150">
        <f t="shared" si="30"/>
        <v>5</v>
      </c>
      <c r="C150">
        <f t="shared" si="35"/>
        <v>37</v>
      </c>
      <c r="D150">
        <f t="shared" si="35"/>
        <v>25</v>
      </c>
      <c r="E150">
        <f t="shared" si="36"/>
        <v>0</v>
      </c>
      <c r="F150">
        <f t="shared" si="31"/>
        <v>0</v>
      </c>
      <c r="G150">
        <f t="shared" si="37"/>
        <v>0</v>
      </c>
      <c r="H150">
        <f t="shared" si="38"/>
        <v>0</v>
      </c>
      <c r="I150">
        <f t="shared" si="39"/>
        <v>0</v>
      </c>
      <c r="J150">
        <f t="shared" si="32"/>
        <v>0</v>
      </c>
      <c r="K150">
        <f t="shared" si="33"/>
        <v>0</v>
      </c>
      <c r="L150">
        <f t="shared" si="40"/>
        <v>37</v>
      </c>
      <c r="M150">
        <f t="shared" si="41"/>
        <v>25</v>
      </c>
      <c r="N150">
        <f t="shared" si="42"/>
        <v>1</v>
      </c>
      <c r="O150">
        <f t="shared" si="43"/>
        <v>12</v>
      </c>
      <c r="P150">
        <f t="shared" si="34"/>
        <v>5</v>
      </c>
      <c r="Q150">
        <f t="shared" si="44"/>
        <v>25</v>
      </c>
      <c r="R150">
        <f t="shared" si="44"/>
        <v>20</v>
      </c>
    </row>
    <row r="151" spans="1:18" x14ac:dyDescent="0.25">
      <c r="A151" s="1">
        <v>44800</v>
      </c>
      <c r="B151">
        <f t="shared" si="30"/>
        <v>6</v>
      </c>
      <c r="C151">
        <f t="shared" si="35"/>
        <v>25</v>
      </c>
      <c r="D151">
        <f t="shared" si="35"/>
        <v>20</v>
      </c>
      <c r="E151">
        <f t="shared" si="36"/>
        <v>0</v>
      </c>
      <c r="F151">
        <f t="shared" si="31"/>
        <v>0</v>
      </c>
      <c r="G151">
        <f t="shared" si="37"/>
        <v>0</v>
      </c>
      <c r="H151">
        <f t="shared" si="38"/>
        <v>0</v>
      </c>
      <c r="I151">
        <f t="shared" si="39"/>
        <v>0</v>
      </c>
      <c r="J151">
        <f t="shared" si="32"/>
        <v>0</v>
      </c>
      <c r="K151">
        <f t="shared" si="33"/>
        <v>0</v>
      </c>
      <c r="L151">
        <f t="shared" si="40"/>
        <v>25</v>
      </c>
      <c r="M151">
        <f t="shared" si="41"/>
        <v>20</v>
      </c>
      <c r="N151">
        <f t="shared" si="42"/>
        <v>1</v>
      </c>
      <c r="O151">
        <f t="shared" si="43"/>
        <v>8</v>
      </c>
      <c r="P151">
        <f t="shared" si="34"/>
        <v>4</v>
      </c>
      <c r="Q151">
        <f t="shared" si="44"/>
        <v>17</v>
      </c>
      <c r="R151">
        <f t="shared" si="44"/>
        <v>16</v>
      </c>
    </row>
    <row r="152" spans="1:18" x14ac:dyDescent="0.25">
      <c r="A152" s="1">
        <v>44801</v>
      </c>
      <c r="B152">
        <f t="shared" si="30"/>
        <v>7</v>
      </c>
      <c r="C152">
        <f t="shared" si="35"/>
        <v>17</v>
      </c>
      <c r="D152">
        <f t="shared" si="35"/>
        <v>16</v>
      </c>
      <c r="E152">
        <f t="shared" si="36"/>
        <v>0</v>
      </c>
      <c r="F152">
        <f t="shared" si="31"/>
        <v>0</v>
      </c>
      <c r="G152">
        <f t="shared" si="37"/>
        <v>0</v>
      </c>
      <c r="H152">
        <f t="shared" si="38"/>
        <v>0</v>
      </c>
      <c r="I152">
        <f t="shared" si="39"/>
        <v>0</v>
      </c>
      <c r="J152">
        <f t="shared" si="32"/>
        <v>0</v>
      </c>
      <c r="K152">
        <f t="shared" si="33"/>
        <v>0</v>
      </c>
      <c r="L152">
        <f t="shared" si="40"/>
        <v>17</v>
      </c>
      <c r="M152">
        <f t="shared" si="41"/>
        <v>16</v>
      </c>
      <c r="N152">
        <f t="shared" si="42"/>
        <v>0</v>
      </c>
      <c r="O152">
        <f t="shared" si="43"/>
        <v>0</v>
      </c>
      <c r="P152">
        <f t="shared" si="34"/>
        <v>0</v>
      </c>
      <c r="Q152">
        <f t="shared" si="44"/>
        <v>17</v>
      </c>
      <c r="R152">
        <f t="shared" si="44"/>
        <v>16</v>
      </c>
    </row>
    <row r="153" spans="1:18" x14ac:dyDescent="0.25">
      <c r="A153" s="1">
        <v>44802</v>
      </c>
      <c r="B153">
        <f t="shared" si="30"/>
        <v>1</v>
      </c>
      <c r="C153">
        <f t="shared" si="35"/>
        <v>17</v>
      </c>
      <c r="D153">
        <f t="shared" si="35"/>
        <v>16</v>
      </c>
      <c r="E153">
        <f t="shared" si="36"/>
        <v>1</v>
      </c>
      <c r="F153">
        <f t="shared" si="31"/>
        <v>1</v>
      </c>
      <c r="G153">
        <f t="shared" si="37"/>
        <v>0</v>
      </c>
      <c r="H153">
        <f t="shared" si="38"/>
        <v>0</v>
      </c>
      <c r="I153">
        <f t="shared" si="39"/>
        <v>0</v>
      </c>
      <c r="J153">
        <f t="shared" si="32"/>
        <v>0</v>
      </c>
      <c r="K153">
        <f t="shared" si="33"/>
        <v>0</v>
      </c>
      <c r="L153">
        <f t="shared" si="40"/>
        <v>16</v>
      </c>
      <c r="M153">
        <f t="shared" si="41"/>
        <v>16</v>
      </c>
      <c r="N153">
        <f t="shared" si="42"/>
        <v>1</v>
      </c>
      <c r="O153">
        <f t="shared" si="43"/>
        <v>5</v>
      </c>
      <c r="P153">
        <f t="shared" si="34"/>
        <v>4</v>
      </c>
      <c r="Q153">
        <f t="shared" si="44"/>
        <v>11</v>
      </c>
      <c r="R153">
        <f t="shared" si="44"/>
        <v>12</v>
      </c>
    </row>
    <row r="154" spans="1:18" x14ac:dyDescent="0.25">
      <c r="A154" s="1">
        <v>44803</v>
      </c>
      <c r="B154">
        <f t="shared" si="30"/>
        <v>2</v>
      </c>
      <c r="C154">
        <f t="shared" si="35"/>
        <v>11</v>
      </c>
      <c r="D154">
        <f t="shared" si="35"/>
        <v>12</v>
      </c>
      <c r="E154">
        <f t="shared" si="36"/>
        <v>0</v>
      </c>
      <c r="F154">
        <f t="shared" si="31"/>
        <v>0</v>
      </c>
      <c r="G154">
        <f t="shared" si="37"/>
        <v>0</v>
      </c>
      <c r="H154">
        <f t="shared" si="38"/>
        <v>0</v>
      </c>
      <c r="I154">
        <f t="shared" si="39"/>
        <v>0</v>
      </c>
      <c r="J154">
        <f t="shared" si="32"/>
        <v>0</v>
      </c>
      <c r="K154">
        <f t="shared" si="33"/>
        <v>0</v>
      </c>
      <c r="L154">
        <f t="shared" si="40"/>
        <v>11</v>
      </c>
      <c r="M154">
        <f t="shared" si="41"/>
        <v>12</v>
      </c>
      <c r="N154">
        <f t="shared" si="42"/>
        <v>1</v>
      </c>
      <c r="O154">
        <f t="shared" si="43"/>
        <v>4</v>
      </c>
      <c r="P154">
        <f t="shared" si="34"/>
        <v>3</v>
      </c>
      <c r="Q154">
        <f t="shared" si="44"/>
        <v>7</v>
      </c>
      <c r="R154">
        <f t="shared" si="44"/>
        <v>9</v>
      </c>
    </row>
    <row r="155" spans="1:18" x14ac:dyDescent="0.25">
      <c r="A155" s="1">
        <v>44804</v>
      </c>
      <c r="B155">
        <f t="shared" si="30"/>
        <v>3</v>
      </c>
      <c r="C155">
        <f t="shared" si="35"/>
        <v>7</v>
      </c>
      <c r="D155">
        <f t="shared" si="35"/>
        <v>9</v>
      </c>
      <c r="E155">
        <f t="shared" si="36"/>
        <v>0</v>
      </c>
      <c r="F155">
        <f t="shared" si="31"/>
        <v>0</v>
      </c>
      <c r="G155">
        <f t="shared" si="37"/>
        <v>0</v>
      </c>
      <c r="H155">
        <f t="shared" si="38"/>
        <v>0</v>
      </c>
      <c r="I155">
        <f t="shared" si="39"/>
        <v>0</v>
      </c>
      <c r="J155">
        <f t="shared" si="32"/>
        <v>0</v>
      </c>
      <c r="K155">
        <f t="shared" si="33"/>
        <v>0</v>
      </c>
      <c r="L155">
        <f t="shared" si="40"/>
        <v>7</v>
      </c>
      <c r="M155">
        <f t="shared" si="41"/>
        <v>9</v>
      </c>
      <c r="N155">
        <f t="shared" si="42"/>
        <v>1</v>
      </c>
      <c r="O155">
        <f t="shared" si="43"/>
        <v>3</v>
      </c>
      <c r="P155">
        <f t="shared" si="34"/>
        <v>2</v>
      </c>
      <c r="Q155">
        <f t="shared" si="44"/>
        <v>4</v>
      </c>
      <c r="R155">
        <f t="shared" si="44"/>
        <v>7</v>
      </c>
    </row>
    <row r="156" spans="1:18" x14ac:dyDescent="0.25">
      <c r="A156" s="1">
        <v>44805</v>
      </c>
      <c r="B156">
        <f t="shared" si="30"/>
        <v>4</v>
      </c>
      <c r="C156">
        <f t="shared" si="35"/>
        <v>4</v>
      </c>
      <c r="D156">
        <f t="shared" si="35"/>
        <v>7</v>
      </c>
      <c r="E156">
        <f t="shared" si="36"/>
        <v>0</v>
      </c>
      <c r="F156">
        <f t="shared" si="31"/>
        <v>0</v>
      </c>
      <c r="G156">
        <f t="shared" si="37"/>
        <v>1</v>
      </c>
      <c r="H156">
        <f t="shared" si="38"/>
        <v>50</v>
      </c>
      <c r="I156">
        <f t="shared" si="39"/>
        <v>25</v>
      </c>
      <c r="J156">
        <f t="shared" si="32"/>
        <v>0</v>
      </c>
      <c r="K156">
        <f t="shared" si="33"/>
        <v>0</v>
      </c>
      <c r="L156">
        <f t="shared" si="40"/>
        <v>54</v>
      </c>
      <c r="M156">
        <f t="shared" si="41"/>
        <v>32</v>
      </c>
      <c r="N156">
        <f t="shared" si="42"/>
        <v>1</v>
      </c>
      <c r="O156">
        <f t="shared" si="43"/>
        <v>17</v>
      </c>
      <c r="P156">
        <f t="shared" si="34"/>
        <v>7</v>
      </c>
      <c r="Q156">
        <f t="shared" si="44"/>
        <v>37</v>
      </c>
      <c r="R156">
        <f t="shared" si="44"/>
        <v>25</v>
      </c>
    </row>
    <row r="157" spans="1:18" x14ac:dyDescent="0.25">
      <c r="A157" s="1">
        <v>44806</v>
      </c>
      <c r="B157">
        <f t="shared" si="30"/>
        <v>5</v>
      </c>
      <c r="C157">
        <f t="shared" si="35"/>
        <v>37</v>
      </c>
      <c r="D157">
        <f t="shared" si="35"/>
        <v>25</v>
      </c>
      <c r="E157">
        <f t="shared" si="36"/>
        <v>0</v>
      </c>
      <c r="F157">
        <f t="shared" si="31"/>
        <v>0</v>
      </c>
      <c r="G157">
        <f t="shared" si="37"/>
        <v>0</v>
      </c>
      <c r="H157">
        <f t="shared" si="38"/>
        <v>0</v>
      </c>
      <c r="I157">
        <f t="shared" si="39"/>
        <v>0</v>
      </c>
      <c r="J157">
        <f t="shared" si="32"/>
        <v>0</v>
      </c>
      <c r="K157">
        <f t="shared" si="33"/>
        <v>0</v>
      </c>
      <c r="L157">
        <f t="shared" si="40"/>
        <v>37</v>
      </c>
      <c r="M157">
        <f t="shared" si="41"/>
        <v>25</v>
      </c>
      <c r="N157">
        <f t="shared" si="42"/>
        <v>1</v>
      </c>
      <c r="O157">
        <f t="shared" si="43"/>
        <v>12</v>
      </c>
      <c r="P157">
        <f t="shared" si="34"/>
        <v>5</v>
      </c>
      <c r="Q157">
        <f t="shared" si="44"/>
        <v>25</v>
      </c>
      <c r="R157">
        <f t="shared" si="44"/>
        <v>20</v>
      </c>
    </row>
    <row r="158" spans="1:18" x14ac:dyDescent="0.25">
      <c r="A158" s="1">
        <v>44807</v>
      </c>
      <c r="B158">
        <f t="shared" si="30"/>
        <v>6</v>
      </c>
      <c r="C158">
        <f t="shared" si="35"/>
        <v>25</v>
      </c>
      <c r="D158">
        <f t="shared" si="35"/>
        <v>20</v>
      </c>
      <c r="E158">
        <f t="shared" si="36"/>
        <v>0</v>
      </c>
      <c r="F158">
        <f t="shared" si="31"/>
        <v>0</v>
      </c>
      <c r="G158">
        <f t="shared" si="37"/>
        <v>0</v>
      </c>
      <c r="H158">
        <f t="shared" si="38"/>
        <v>0</v>
      </c>
      <c r="I158">
        <f t="shared" si="39"/>
        <v>0</v>
      </c>
      <c r="J158">
        <f t="shared" si="32"/>
        <v>0</v>
      </c>
      <c r="K158">
        <f t="shared" si="33"/>
        <v>0</v>
      </c>
      <c r="L158">
        <f t="shared" si="40"/>
        <v>25</v>
      </c>
      <c r="M158">
        <f t="shared" si="41"/>
        <v>20</v>
      </c>
      <c r="N158">
        <f t="shared" si="42"/>
        <v>1</v>
      </c>
      <c r="O158">
        <f t="shared" si="43"/>
        <v>8</v>
      </c>
      <c r="P158">
        <f t="shared" si="34"/>
        <v>4</v>
      </c>
      <c r="Q158">
        <f t="shared" si="44"/>
        <v>17</v>
      </c>
      <c r="R158">
        <f t="shared" si="44"/>
        <v>16</v>
      </c>
    </row>
    <row r="159" spans="1:18" x14ac:dyDescent="0.25">
      <c r="A159" s="1">
        <v>44808</v>
      </c>
      <c r="B159">
        <f t="shared" si="30"/>
        <v>7</v>
      </c>
      <c r="C159">
        <f t="shared" si="35"/>
        <v>17</v>
      </c>
      <c r="D159">
        <f t="shared" si="35"/>
        <v>16</v>
      </c>
      <c r="E159">
        <f t="shared" si="36"/>
        <v>0</v>
      </c>
      <c r="F159">
        <f t="shared" si="31"/>
        <v>0</v>
      </c>
      <c r="G159">
        <f t="shared" si="37"/>
        <v>0</v>
      </c>
      <c r="H159">
        <f t="shared" si="38"/>
        <v>0</v>
      </c>
      <c r="I159">
        <f t="shared" si="39"/>
        <v>0</v>
      </c>
      <c r="J159">
        <f t="shared" si="32"/>
        <v>0</v>
      </c>
      <c r="K159">
        <f t="shared" si="33"/>
        <v>0</v>
      </c>
      <c r="L159">
        <f t="shared" si="40"/>
        <v>17</v>
      </c>
      <c r="M159">
        <f t="shared" si="41"/>
        <v>16</v>
      </c>
      <c r="N159">
        <f t="shared" si="42"/>
        <v>0</v>
      </c>
      <c r="O159">
        <f t="shared" si="43"/>
        <v>0</v>
      </c>
      <c r="P159">
        <f t="shared" si="34"/>
        <v>0</v>
      </c>
      <c r="Q159">
        <f t="shared" si="44"/>
        <v>17</v>
      </c>
      <c r="R159">
        <f t="shared" si="44"/>
        <v>16</v>
      </c>
    </row>
    <row r="160" spans="1:18" x14ac:dyDescent="0.25">
      <c r="A160" s="1">
        <v>44809</v>
      </c>
      <c r="B160">
        <f t="shared" si="30"/>
        <v>1</v>
      </c>
      <c r="C160">
        <f t="shared" si="35"/>
        <v>17</v>
      </c>
      <c r="D160">
        <f t="shared" si="35"/>
        <v>16</v>
      </c>
      <c r="E160">
        <f t="shared" si="36"/>
        <v>1</v>
      </c>
      <c r="F160">
        <f t="shared" si="31"/>
        <v>1</v>
      </c>
      <c r="G160">
        <f t="shared" si="37"/>
        <v>0</v>
      </c>
      <c r="H160">
        <f t="shared" si="38"/>
        <v>0</v>
      </c>
      <c r="I160">
        <f t="shared" si="39"/>
        <v>0</v>
      </c>
      <c r="J160">
        <f t="shared" si="32"/>
        <v>0</v>
      </c>
      <c r="K160">
        <f t="shared" si="33"/>
        <v>0</v>
      </c>
      <c r="L160">
        <f t="shared" si="40"/>
        <v>16</v>
      </c>
      <c r="M160">
        <f t="shared" si="41"/>
        <v>16</v>
      </c>
      <c r="N160">
        <f t="shared" si="42"/>
        <v>1</v>
      </c>
      <c r="O160">
        <f t="shared" si="43"/>
        <v>5</v>
      </c>
      <c r="P160">
        <f t="shared" si="34"/>
        <v>4</v>
      </c>
      <c r="Q160">
        <f t="shared" si="44"/>
        <v>11</v>
      </c>
      <c r="R160">
        <f t="shared" si="44"/>
        <v>12</v>
      </c>
    </row>
    <row r="161" spans="1:18" x14ac:dyDescent="0.25">
      <c r="A161" s="1">
        <v>44810</v>
      </c>
      <c r="B161">
        <f t="shared" si="30"/>
        <v>2</v>
      </c>
      <c r="C161">
        <f t="shared" si="35"/>
        <v>11</v>
      </c>
      <c r="D161">
        <f t="shared" si="35"/>
        <v>12</v>
      </c>
      <c r="E161">
        <f t="shared" si="36"/>
        <v>0</v>
      </c>
      <c r="F161">
        <f t="shared" si="31"/>
        <v>0</v>
      </c>
      <c r="G161">
        <f t="shared" si="37"/>
        <v>0</v>
      </c>
      <c r="H161">
        <f t="shared" si="38"/>
        <v>0</v>
      </c>
      <c r="I161">
        <f t="shared" si="39"/>
        <v>0</v>
      </c>
      <c r="J161">
        <f t="shared" si="32"/>
        <v>0</v>
      </c>
      <c r="K161">
        <f t="shared" si="33"/>
        <v>0</v>
      </c>
      <c r="L161">
        <f t="shared" si="40"/>
        <v>11</v>
      </c>
      <c r="M161">
        <f t="shared" si="41"/>
        <v>12</v>
      </c>
      <c r="N161">
        <f t="shared" si="42"/>
        <v>1</v>
      </c>
      <c r="O161">
        <f t="shared" si="43"/>
        <v>4</v>
      </c>
      <c r="P161">
        <f t="shared" si="34"/>
        <v>3</v>
      </c>
      <c r="Q161">
        <f t="shared" si="44"/>
        <v>7</v>
      </c>
      <c r="R161">
        <f t="shared" si="44"/>
        <v>9</v>
      </c>
    </row>
    <row r="162" spans="1:18" x14ac:dyDescent="0.25">
      <c r="A162" s="1">
        <v>44811</v>
      </c>
      <c r="B162">
        <f t="shared" si="30"/>
        <v>3</v>
      </c>
      <c r="C162">
        <f t="shared" si="35"/>
        <v>7</v>
      </c>
      <c r="D162">
        <f t="shared" si="35"/>
        <v>9</v>
      </c>
      <c r="E162">
        <f t="shared" si="36"/>
        <v>0</v>
      </c>
      <c r="F162">
        <f t="shared" si="31"/>
        <v>0</v>
      </c>
      <c r="G162">
        <f t="shared" si="37"/>
        <v>0</v>
      </c>
      <c r="H162">
        <f t="shared" si="38"/>
        <v>0</v>
      </c>
      <c r="I162">
        <f t="shared" si="39"/>
        <v>0</v>
      </c>
      <c r="J162">
        <f t="shared" si="32"/>
        <v>0</v>
      </c>
      <c r="K162">
        <f t="shared" si="33"/>
        <v>0</v>
      </c>
      <c r="L162">
        <f t="shared" si="40"/>
        <v>7</v>
      </c>
      <c r="M162">
        <f t="shared" si="41"/>
        <v>9</v>
      </c>
      <c r="N162">
        <f t="shared" si="42"/>
        <v>1</v>
      </c>
      <c r="O162">
        <f t="shared" si="43"/>
        <v>3</v>
      </c>
      <c r="P162">
        <f t="shared" si="34"/>
        <v>2</v>
      </c>
      <c r="Q162">
        <f t="shared" si="44"/>
        <v>4</v>
      </c>
      <c r="R162">
        <f t="shared" si="44"/>
        <v>7</v>
      </c>
    </row>
    <row r="163" spans="1:18" x14ac:dyDescent="0.25">
      <c r="A163" s="1">
        <v>44812</v>
      </c>
      <c r="B163">
        <f t="shared" si="30"/>
        <v>4</v>
      </c>
      <c r="C163">
        <f t="shared" si="35"/>
        <v>4</v>
      </c>
      <c r="D163">
        <f t="shared" si="35"/>
        <v>7</v>
      </c>
      <c r="E163">
        <f t="shared" si="36"/>
        <v>0</v>
      </c>
      <c r="F163">
        <f t="shared" si="31"/>
        <v>0</v>
      </c>
      <c r="G163">
        <f t="shared" si="37"/>
        <v>1</v>
      </c>
      <c r="H163">
        <f t="shared" si="38"/>
        <v>50</v>
      </c>
      <c r="I163">
        <f t="shared" si="39"/>
        <v>25</v>
      </c>
      <c r="J163">
        <f t="shared" si="32"/>
        <v>0</v>
      </c>
      <c r="K163">
        <f t="shared" si="33"/>
        <v>0</v>
      </c>
      <c r="L163">
        <f t="shared" si="40"/>
        <v>54</v>
      </c>
      <c r="M163">
        <f t="shared" si="41"/>
        <v>32</v>
      </c>
      <c r="N163">
        <f t="shared" si="42"/>
        <v>1</v>
      </c>
      <c r="O163">
        <f t="shared" si="43"/>
        <v>17</v>
      </c>
      <c r="P163">
        <f t="shared" si="34"/>
        <v>7</v>
      </c>
      <c r="Q163">
        <f t="shared" si="44"/>
        <v>37</v>
      </c>
      <c r="R163">
        <f t="shared" si="44"/>
        <v>25</v>
      </c>
    </row>
    <row r="164" spans="1:18" x14ac:dyDescent="0.25">
      <c r="A164" s="1">
        <v>44813</v>
      </c>
      <c r="B164">
        <f t="shared" si="30"/>
        <v>5</v>
      </c>
      <c r="C164">
        <f t="shared" si="35"/>
        <v>37</v>
      </c>
      <c r="D164">
        <f t="shared" si="35"/>
        <v>25</v>
      </c>
      <c r="E164">
        <f t="shared" si="36"/>
        <v>0</v>
      </c>
      <c r="F164">
        <f t="shared" si="31"/>
        <v>0</v>
      </c>
      <c r="G164">
        <f t="shared" si="37"/>
        <v>0</v>
      </c>
      <c r="H164">
        <f t="shared" si="38"/>
        <v>0</v>
      </c>
      <c r="I164">
        <f t="shared" si="39"/>
        <v>0</v>
      </c>
      <c r="J164">
        <f t="shared" si="32"/>
        <v>0</v>
      </c>
      <c r="K164">
        <f t="shared" si="33"/>
        <v>0</v>
      </c>
      <c r="L164">
        <f t="shared" si="40"/>
        <v>37</v>
      </c>
      <c r="M164">
        <f t="shared" si="41"/>
        <v>25</v>
      </c>
      <c r="N164">
        <f t="shared" si="42"/>
        <v>1</v>
      </c>
      <c r="O164">
        <f t="shared" si="43"/>
        <v>12</v>
      </c>
      <c r="P164">
        <f t="shared" si="34"/>
        <v>5</v>
      </c>
      <c r="Q164">
        <f t="shared" si="44"/>
        <v>25</v>
      </c>
      <c r="R164">
        <f t="shared" si="44"/>
        <v>20</v>
      </c>
    </row>
    <row r="165" spans="1:18" x14ac:dyDescent="0.25">
      <c r="A165" s="1">
        <v>44814</v>
      </c>
      <c r="B165">
        <f t="shared" si="30"/>
        <v>6</v>
      </c>
      <c r="C165">
        <f t="shared" si="35"/>
        <v>25</v>
      </c>
      <c r="D165">
        <f t="shared" si="35"/>
        <v>20</v>
      </c>
      <c r="E165">
        <f t="shared" si="36"/>
        <v>0</v>
      </c>
      <c r="F165">
        <f t="shared" si="31"/>
        <v>0</v>
      </c>
      <c r="G165">
        <f t="shared" si="37"/>
        <v>0</v>
      </c>
      <c r="H165">
        <f t="shared" si="38"/>
        <v>0</v>
      </c>
      <c r="I165">
        <f t="shared" si="39"/>
        <v>0</v>
      </c>
      <c r="J165">
        <f t="shared" si="32"/>
        <v>0</v>
      </c>
      <c r="K165">
        <f t="shared" si="33"/>
        <v>0</v>
      </c>
      <c r="L165">
        <f t="shared" si="40"/>
        <v>25</v>
      </c>
      <c r="M165">
        <f t="shared" si="41"/>
        <v>20</v>
      </c>
      <c r="N165">
        <f t="shared" si="42"/>
        <v>1</v>
      </c>
      <c r="O165">
        <f t="shared" si="43"/>
        <v>8</v>
      </c>
      <c r="P165">
        <f t="shared" si="34"/>
        <v>4</v>
      </c>
      <c r="Q165">
        <f t="shared" si="44"/>
        <v>17</v>
      </c>
      <c r="R165">
        <f t="shared" si="44"/>
        <v>16</v>
      </c>
    </row>
    <row r="166" spans="1:18" x14ac:dyDescent="0.25">
      <c r="A166" s="1">
        <v>44815</v>
      </c>
      <c r="B166">
        <f t="shared" si="30"/>
        <v>7</v>
      </c>
      <c r="C166">
        <f t="shared" si="35"/>
        <v>17</v>
      </c>
      <c r="D166">
        <f t="shared" si="35"/>
        <v>16</v>
      </c>
      <c r="E166">
        <f t="shared" si="36"/>
        <v>0</v>
      </c>
      <c r="F166">
        <f t="shared" si="31"/>
        <v>0</v>
      </c>
      <c r="G166">
        <f t="shared" si="37"/>
        <v>0</v>
      </c>
      <c r="H166">
        <f t="shared" si="38"/>
        <v>0</v>
      </c>
      <c r="I166">
        <f t="shared" si="39"/>
        <v>0</v>
      </c>
      <c r="J166">
        <f t="shared" si="32"/>
        <v>0</v>
      </c>
      <c r="K166">
        <f t="shared" si="33"/>
        <v>0</v>
      </c>
      <c r="L166">
        <f t="shared" si="40"/>
        <v>17</v>
      </c>
      <c r="M166">
        <f t="shared" si="41"/>
        <v>16</v>
      </c>
      <c r="N166">
        <f t="shared" si="42"/>
        <v>0</v>
      </c>
      <c r="O166">
        <f t="shared" si="43"/>
        <v>0</v>
      </c>
      <c r="P166">
        <f t="shared" si="34"/>
        <v>0</v>
      </c>
      <c r="Q166">
        <f t="shared" si="44"/>
        <v>17</v>
      </c>
      <c r="R166">
        <f t="shared" si="44"/>
        <v>16</v>
      </c>
    </row>
    <row r="167" spans="1:18" x14ac:dyDescent="0.25">
      <c r="A167" s="1">
        <v>44816</v>
      </c>
      <c r="B167">
        <f t="shared" si="30"/>
        <v>1</v>
      </c>
      <c r="C167">
        <f t="shared" si="35"/>
        <v>17</v>
      </c>
      <c r="D167">
        <f t="shared" si="35"/>
        <v>16</v>
      </c>
      <c r="E167">
        <f t="shared" si="36"/>
        <v>1</v>
      </c>
      <c r="F167">
        <f t="shared" si="31"/>
        <v>1</v>
      </c>
      <c r="G167">
        <f t="shared" si="37"/>
        <v>0</v>
      </c>
      <c r="H167">
        <f t="shared" si="38"/>
        <v>0</v>
      </c>
      <c r="I167">
        <f t="shared" si="39"/>
        <v>0</v>
      </c>
      <c r="J167">
        <f t="shared" si="32"/>
        <v>0</v>
      </c>
      <c r="K167">
        <f t="shared" si="33"/>
        <v>0</v>
      </c>
      <c r="L167">
        <f t="shared" si="40"/>
        <v>16</v>
      </c>
      <c r="M167">
        <f t="shared" si="41"/>
        <v>16</v>
      </c>
      <c r="N167">
        <f t="shared" si="42"/>
        <v>1</v>
      </c>
      <c r="O167">
        <f t="shared" si="43"/>
        <v>5</v>
      </c>
      <c r="P167">
        <f t="shared" si="34"/>
        <v>4</v>
      </c>
      <c r="Q167">
        <f t="shared" si="44"/>
        <v>11</v>
      </c>
      <c r="R167">
        <f t="shared" si="44"/>
        <v>12</v>
      </c>
    </row>
    <row r="168" spans="1:18" x14ac:dyDescent="0.25">
      <c r="A168" s="1">
        <v>44817</v>
      </c>
      <c r="B168">
        <f t="shared" si="30"/>
        <v>2</v>
      </c>
      <c r="C168">
        <f t="shared" si="35"/>
        <v>11</v>
      </c>
      <c r="D168">
        <f t="shared" si="35"/>
        <v>12</v>
      </c>
      <c r="E168">
        <f t="shared" si="36"/>
        <v>0</v>
      </c>
      <c r="F168">
        <f t="shared" si="31"/>
        <v>0</v>
      </c>
      <c r="G168">
        <f t="shared" si="37"/>
        <v>0</v>
      </c>
      <c r="H168">
        <f t="shared" si="38"/>
        <v>0</v>
      </c>
      <c r="I168">
        <f t="shared" si="39"/>
        <v>0</v>
      </c>
      <c r="J168">
        <f t="shared" si="32"/>
        <v>0</v>
      </c>
      <c r="K168">
        <f t="shared" si="33"/>
        <v>0</v>
      </c>
      <c r="L168">
        <f t="shared" si="40"/>
        <v>11</v>
      </c>
      <c r="M168">
        <f t="shared" si="41"/>
        <v>12</v>
      </c>
      <c r="N168">
        <f t="shared" si="42"/>
        <v>1</v>
      </c>
      <c r="O168">
        <f t="shared" si="43"/>
        <v>4</v>
      </c>
      <c r="P168">
        <f t="shared" si="34"/>
        <v>3</v>
      </c>
      <c r="Q168">
        <f t="shared" si="44"/>
        <v>7</v>
      </c>
      <c r="R168">
        <f t="shared" si="44"/>
        <v>9</v>
      </c>
    </row>
    <row r="169" spans="1:18" x14ac:dyDescent="0.25">
      <c r="A169" s="1">
        <v>44818</v>
      </c>
      <c r="B169">
        <f t="shared" si="30"/>
        <v>3</v>
      </c>
      <c r="C169">
        <f t="shared" si="35"/>
        <v>7</v>
      </c>
      <c r="D169">
        <f t="shared" si="35"/>
        <v>9</v>
      </c>
      <c r="E169">
        <f t="shared" si="36"/>
        <v>0</v>
      </c>
      <c r="F169">
        <f t="shared" si="31"/>
        <v>0</v>
      </c>
      <c r="G169">
        <f t="shared" si="37"/>
        <v>0</v>
      </c>
      <c r="H169">
        <f t="shared" si="38"/>
        <v>0</v>
      </c>
      <c r="I169">
        <f t="shared" si="39"/>
        <v>0</v>
      </c>
      <c r="J169">
        <f t="shared" si="32"/>
        <v>0</v>
      </c>
      <c r="K169">
        <f t="shared" si="33"/>
        <v>0</v>
      </c>
      <c r="L169">
        <f t="shared" si="40"/>
        <v>7</v>
      </c>
      <c r="M169">
        <f t="shared" si="41"/>
        <v>9</v>
      </c>
      <c r="N169">
        <f t="shared" si="42"/>
        <v>1</v>
      </c>
      <c r="O169">
        <f t="shared" si="43"/>
        <v>3</v>
      </c>
      <c r="P169">
        <f t="shared" si="34"/>
        <v>2</v>
      </c>
      <c r="Q169">
        <f t="shared" si="44"/>
        <v>4</v>
      </c>
      <c r="R169">
        <f t="shared" si="44"/>
        <v>7</v>
      </c>
    </row>
    <row r="170" spans="1:18" x14ac:dyDescent="0.25">
      <c r="A170" s="1">
        <v>44819</v>
      </c>
      <c r="B170">
        <f t="shared" si="30"/>
        <v>4</v>
      </c>
      <c r="C170">
        <f t="shared" si="35"/>
        <v>4</v>
      </c>
      <c r="D170">
        <f t="shared" si="35"/>
        <v>7</v>
      </c>
      <c r="E170">
        <f t="shared" si="36"/>
        <v>0</v>
      </c>
      <c r="F170">
        <f t="shared" si="31"/>
        <v>0</v>
      </c>
      <c r="G170">
        <f t="shared" si="37"/>
        <v>1</v>
      </c>
      <c r="H170">
        <f t="shared" si="38"/>
        <v>50</v>
      </c>
      <c r="I170">
        <f t="shared" si="39"/>
        <v>25</v>
      </c>
      <c r="J170">
        <f t="shared" si="32"/>
        <v>0</v>
      </c>
      <c r="K170">
        <f t="shared" si="33"/>
        <v>0</v>
      </c>
      <c r="L170">
        <f t="shared" si="40"/>
        <v>54</v>
      </c>
      <c r="M170">
        <f t="shared" si="41"/>
        <v>32</v>
      </c>
      <c r="N170">
        <f t="shared" si="42"/>
        <v>1</v>
      </c>
      <c r="O170">
        <f t="shared" si="43"/>
        <v>17</v>
      </c>
      <c r="P170">
        <f t="shared" si="34"/>
        <v>7</v>
      </c>
      <c r="Q170">
        <f t="shared" si="44"/>
        <v>37</v>
      </c>
      <c r="R170">
        <f t="shared" si="44"/>
        <v>25</v>
      </c>
    </row>
    <row r="171" spans="1:18" x14ac:dyDescent="0.25">
      <c r="A171" s="1">
        <v>44820</v>
      </c>
      <c r="B171">
        <f t="shared" si="30"/>
        <v>5</v>
      </c>
      <c r="C171">
        <f t="shared" si="35"/>
        <v>37</v>
      </c>
      <c r="D171">
        <f t="shared" si="35"/>
        <v>25</v>
      </c>
      <c r="E171">
        <f t="shared" si="36"/>
        <v>0</v>
      </c>
      <c r="F171">
        <f t="shared" si="31"/>
        <v>0</v>
      </c>
      <c r="G171">
        <f t="shared" si="37"/>
        <v>0</v>
      </c>
      <c r="H171">
        <f t="shared" si="38"/>
        <v>0</v>
      </c>
      <c r="I171">
        <f t="shared" si="39"/>
        <v>0</v>
      </c>
      <c r="J171">
        <f t="shared" si="32"/>
        <v>0</v>
      </c>
      <c r="K171">
        <f t="shared" si="33"/>
        <v>0</v>
      </c>
      <c r="L171">
        <f t="shared" si="40"/>
        <v>37</v>
      </c>
      <c r="M171">
        <f t="shared" si="41"/>
        <v>25</v>
      </c>
      <c r="N171">
        <f t="shared" si="42"/>
        <v>1</v>
      </c>
      <c r="O171">
        <f t="shared" si="43"/>
        <v>12</v>
      </c>
      <c r="P171">
        <f t="shared" si="34"/>
        <v>5</v>
      </c>
      <c r="Q171">
        <f t="shared" si="44"/>
        <v>25</v>
      </c>
      <c r="R171">
        <f t="shared" si="44"/>
        <v>20</v>
      </c>
    </row>
    <row r="172" spans="1:18" x14ac:dyDescent="0.25">
      <c r="A172" s="1">
        <v>44821</v>
      </c>
      <c r="B172">
        <f t="shared" si="30"/>
        <v>6</v>
      </c>
      <c r="C172">
        <f t="shared" si="35"/>
        <v>25</v>
      </c>
      <c r="D172">
        <f t="shared" si="35"/>
        <v>20</v>
      </c>
      <c r="E172">
        <f t="shared" si="36"/>
        <v>0</v>
      </c>
      <c r="F172">
        <f t="shared" si="31"/>
        <v>0</v>
      </c>
      <c r="G172">
        <f t="shared" si="37"/>
        <v>0</v>
      </c>
      <c r="H172">
        <f t="shared" si="38"/>
        <v>0</v>
      </c>
      <c r="I172">
        <f t="shared" si="39"/>
        <v>0</v>
      </c>
      <c r="J172">
        <f t="shared" si="32"/>
        <v>0</v>
      </c>
      <c r="K172">
        <f t="shared" si="33"/>
        <v>0</v>
      </c>
      <c r="L172">
        <f t="shared" si="40"/>
        <v>25</v>
      </c>
      <c r="M172">
        <f t="shared" si="41"/>
        <v>20</v>
      </c>
      <c r="N172">
        <f t="shared" si="42"/>
        <v>1</v>
      </c>
      <c r="O172">
        <f t="shared" si="43"/>
        <v>8</v>
      </c>
      <c r="P172">
        <f t="shared" si="34"/>
        <v>4</v>
      </c>
      <c r="Q172">
        <f t="shared" si="44"/>
        <v>17</v>
      </c>
      <c r="R172">
        <f t="shared" si="44"/>
        <v>16</v>
      </c>
    </row>
    <row r="173" spans="1:18" x14ac:dyDescent="0.25">
      <c r="A173" s="1">
        <v>44822</v>
      </c>
      <c r="B173">
        <f t="shared" si="30"/>
        <v>7</v>
      </c>
      <c r="C173">
        <f t="shared" si="35"/>
        <v>17</v>
      </c>
      <c r="D173">
        <f t="shared" si="35"/>
        <v>16</v>
      </c>
      <c r="E173">
        <f t="shared" si="36"/>
        <v>0</v>
      </c>
      <c r="F173">
        <f t="shared" si="31"/>
        <v>0</v>
      </c>
      <c r="G173">
        <f t="shared" si="37"/>
        <v>0</v>
      </c>
      <c r="H173">
        <f t="shared" si="38"/>
        <v>0</v>
      </c>
      <c r="I173">
        <f t="shared" si="39"/>
        <v>0</v>
      </c>
      <c r="J173">
        <f t="shared" si="32"/>
        <v>0</v>
      </c>
      <c r="K173">
        <f t="shared" si="33"/>
        <v>0</v>
      </c>
      <c r="L173">
        <f t="shared" si="40"/>
        <v>17</v>
      </c>
      <c r="M173">
        <f t="shared" si="41"/>
        <v>16</v>
      </c>
      <c r="N173">
        <f t="shared" si="42"/>
        <v>0</v>
      </c>
      <c r="O173">
        <f t="shared" si="43"/>
        <v>0</v>
      </c>
      <c r="P173">
        <f t="shared" si="34"/>
        <v>0</v>
      </c>
      <c r="Q173">
        <f t="shared" si="44"/>
        <v>17</v>
      </c>
      <c r="R173">
        <f t="shared" si="44"/>
        <v>16</v>
      </c>
    </row>
    <row r="174" spans="1:18" x14ac:dyDescent="0.25">
      <c r="A174" s="1">
        <v>44823</v>
      </c>
      <c r="B174">
        <f t="shared" si="30"/>
        <v>1</v>
      </c>
      <c r="C174">
        <f t="shared" si="35"/>
        <v>17</v>
      </c>
      <c r="D174">
        <f t="shared" si="35"/>
        <v>16</v>
      </c>
      <c r="E174">
        <f t="shared" si="36"/>
        <v>1</v>
      </c>
      <c r="F174">
        <f t="shared" si="31"/>
        <v>1</v>
      </c>
      <c r="G174">
        <f t="shared" si="37"/>
        <v>0</v>
      </c>
      <c r="H174">
        <f t="shared" si="38"/>
        <v>0</v>
      </c>
      <c r="I174">
        <f t="shared" si="39"/>
        <v>0</v>
      </c>
      <c r="J174">
        <f t="shared" si="32"/>
        <v>0</v>
      </c>
      <c r="K174">
        <f t="shared" si="33"/>
        <v>0</v>
      </c>
      <c r="L174">
        <f t="shared" si="40"/>
        <v>16</v>
      </c>
      <c r="M174">
        <f t="shared" si="41"/>
        <v>16</v>
      </c>
      <c r="N174">
        <f t="shared" si="42"/>
        <v>1</v>
      </c>
      <c r="O174">
        <f t="shared" si="43"/>
        <v>5</v>
      </c>
      <c r="P174">
        <f t="shared" si="34"/>
        <v>4</v>
      </c>
      <c r="Q174">
        <f t="shared" si="44"/>
        <v>11</v>
      </c>
      <c r="R174">
        <f t="shared" si="44"/>
        <v>12</v>
      </c>
    </row>
    <row r="175" spans="1:18" x14ac:dyDescent="0.25">
      <c r="A175" s="1">
        <v>44824</v>
      </c>
      <c r="B175">
        <f t="shared" si="30"/>
        <v>2</v>
      </c>
      <c r="C175">
        <f t="shared" si="35"/>
        <v>11</v>
      </c>
      <c r="D175">
        <f t="shared" si="35"/>
        <v>12</v>
      </c>
      <c r="E175">
        <f t="shared" si="36"/>
        <v>0</v>
      </c>
      <c r="F175">
        <f t="shared" si="31"/>
        <v>0</v>
      </c>
      <c r="G175">
        <f t="shared" si="37"/>
        <v>0</v>
      </c>
      <c r="H175">
        <f t="shared" si="38"/>
        <v>0</v>
      </c>
      <c r="I175">
        <f t="shared" si="39"/>
        <v>0</v>
      </c>
      <c r="J175">
        <f t="shared" si="32"/>
        <v>0</v>
      </c>
      <c r="K175">
        <f t="shared" si="33"/>
        <v>0</v>
      </c>
      <c r="L175">
        <f t="shared" si="40"/>
        <v>11</v>
      </c>
      <c r="M175">
        <f t="shared" si="41"/>
        <v>12</v>
      </c>
      <c r="N175">
        <f t="shared" si="42"/>
        <v>1</v>
      </c>
      <c r="O175">
        <f t="shared" si="43"/>
        <v>4</v>
      </c>
      <c r="P175">
        <f t="shared" si="34"/>
        <v>3</v>
      </c>
      <c r="Q175">
        <f t="shared" si="44"/>
        <v>7</v>
      </c>
      <c r="R175">
        <f t="shared" si="44"/>
        <v>9</v>
      </c>
    </row>
    <row r="176" spans="1:18" x14ac:dyDescent="0.25">
      <c r="A176" s="1">
        <v>44825</v>
      </c>
      <c r="B176">
        <f t="shared" si="30"/>
        <v>3</v>
      </c>
      <c r="C176">
        <f t="shared" si="35"/>
        <v>7</v>
      </c>
      <c r="D176">
        <f t="shared" si="35"/>
        <v>9</v>
      </c>
      <c r="E176">
        <f t="shared" si="36"/>
        <v>0</v>
      </c>
      <c r="F176">
        <f t="shared" si="31"/>
        <v>0</v>
      </c>
      <c r="G176">
        <f t="shared" si="37"/>
        <v>0</v>
      </c>
      <c r="H176">
        <f t="shared" si="38"/>
        <v>0</v>
      </c>
      <c r="I176">
        <f t="shared" si="39"/>
        <v>0</v>
      </c>
      <c r="J176">
        <f t="shared" si="32"/>
        <v>0</v>
      </c>
      <c r="K176">
        <f t="shared" si="33"/>
        <v>0</v>
      </c>
      <c r="L176">
        <f t="shared" si="40"/>
        <v>7</v>
      </c>
      <c r="M176">
        <f t="shared" si="41"/>
        <v>9</v>
      </c>
      <c r="N176">
        <f t="shared" si="42"/>
        <v>1</v>
      </c>
      <c r="O176">
        <f t="shared" si="43"/>
        <v>3</v>
      </c>
      <c r="P176">
        <f t="shared" si="34"/>
        <v>2</v>
      </c>
      <c r="Q176">
        <f t="shared" si="44"/>
        <v>4</v>
      </c>
      <c r="R176">
        <f t="shared" si="44"/>
        <v>7</v>
      </c>
    </row>
    <row r="177" spans="1:18" x14ac:dyDescent="0.25">
      <c r="A177" s="1">
        <v>44826</v>
      </c>
      <c r="B177">
        <f t="shared" si="30"/>
        <v>4</v>
      </c>
      <c r="C177">
        <f t="shared" si="35"/>
        <v>4</v>
      </c>
      <c r="D177">
        <f t="shared" si="35"/>
        <v>7</v>
      </c>
      <c r="E177">
        <f t="shared" si="36"/>
        <v>0</v>
      </c>
      <c r="F177">
        <f t="shared" si="31"/>
        <v>0</v>
      </c>
      <c r="G177">
        <f t="shared" si="37"/>
        <v>1</v>
      </c>
      <c r="H177">
        <f t="shared" si="38"/>
        <v>50</v>
      </c>
      <c r="I177">
        <f t="shared" si="39"/>
        <v>25</v>
      </c>
      <c r="J177">
        <f t="shared" si="32"/>
        <v>0</v>
      </c>
      <c r="K177">
        <f t="shared" si="33"/>
        <v>0</v>
      </c>
      <c r="L177">
        <f t="shared" si="40"/>
        <v>54</v>
      </c>
      <c r="M177">
        <f t="shared" si="41"/>
        <v>32</v>
      </c>
      <c r="N177">
        <f t="shared" si="42"/>
        <v>1</v>
      </c>
      <c r="O177">
        <f t="shared" si="43"/>
        <v>17</v>
      </c>
      <c r="P177">
        <f t="shared" si="34"/>
        <v>7</v>
      </c>
      <c r="Q177">
        <f t="shared" si="44"/>
        <v>37</v>
      </c>
      <c r="R177">
        <f t="shared" si="44"/>
        <v>25</v>
      </c>
    </row>
    <row r="178" spans="1:18" x14ac:dyDescent="0.25">
      <c r="A178" s="1">
        <v>44827</v>
      </c>
      <c r="B178">
        <f t="shared" si="30"/>
        <v>5</v>
      </c>
      <c r="C178">
        <f t="shared" si="35"/>
        <v>37</v>
      </c>
      <c r="D178">
        <f t="shared" si="35"/>
        <v>25</v>
      </c>
      <c r="E178">
        <f t="shared" si="36"/>
        <v>0</v>
      </c>
      <c r="F178">
        <f t="shared" si="31"/>
        <v>0</v>
      </c>
      <c r="G178">
        <f t="shared" si="37"/>
        <v>0</v>
      </c>
      <c r="H178">
        <f t="shared" si="38"/>
        <v>0</v>
      </c>
      <c r="I178">
        <f t="shared" si="39"/>
        <v>0</v>
      </c>
      <c r="J178">
        <f t="shared" si="32"/>
        <v>0</v>
      </c>
      <c r="K178">
        <f t="shared" si="33"/>
        <v>0</v>
      </c>
      <c r="L178">
        <f t="shared" si="40"/>
        <v>37</v>
      </c>
      <c r="M178">
        <f t="shared" si="41"/>
        <v>25</v>
      </c>
      <c r="N178">
        <f t="shared" si="42"/>
        <v>1</v>
      </c>
      <c r="O178">
        <f t="shared" si="43"/>
        <v>12</v>
      </c>
      <c r="P178">
        <f t="shared" si="34"/>
        <v>5</v>
      </c>
      <c r="Q178">
        <f t="shared" si="44"/>
        <v>25</v>
      </c>
      <c r="R178">
        <f t="shared" si="44"/>
        <v>20</v>
      </c>
    </row>
    <row r="179" spans="1:18" x14ac:dyDescent="0.25">
      <c r="A179" s="1">
        <v>44828</v>
      </c>
      <c r="B179">
        <f t="shared" si="30"/>
        <v>6</v>
      </c>
      <c r="C179">
        <f t="shared" si="35"/>
        <v>25</v>
      </c>
      <c r="D179">
        <f t="shared" si="35"/>
        <v>20</v>
      </c>
      <c r="E179">
        <f t="shared" si="36"/>
        <v>0</v>
      </c>
      <c r="F179">
        <f t="shared" si="31"/>
        <v>0</v>
      </c>
      <c r="G179">
        <f t="shared" si="37"/>
        <v>0</v>
      </c>
      <c r="H179">
        <f t="shared" si="38"/>
        <v>0</v>
      </c>
      <c r="I179">
        <f t="shared" si="39"/>
        <v>0</v>
      </c>
      <c r="J179">
        <f t="shared" si="32"/>
        <v>0</v>
      </c>
      <c r="K179">
        <f t="shared" si="33"/>
        <v>0</v>
      </c>
      <c r="L179">
        <f t="shared" si="40"/>
        <v>25</v>
      </c>
      <c r="M179">
        <f t="shared" si="41"/>
        <v>20</v>
      </c>
      <c r="N179">
        <f t="shared" si="42"/>
        <v>1</v>
      </c>
      <c r="O179">
        <f t="shared" si="43"/>
        <v>8</v>
      </c>
      <c r="P179">
        <f t="shared" si="34"/>
        <v>4</v>
      </c>
      <c r="Q179">
        <f t="shared" si="44"/>
        <v>17</v>
      </c>
      <c r="R179">
        <f t="shared" si="44"/>
        <v>16</v>
      </c>
    </row>
    <row r="180" spans="1:18" x14ac:dyDescent="0.25">
      <c r="A180" s="1">
        <v>44829</v>
      </c>
      <c r="B180">
        <f t="shared" si="30"/>
        <v>7</v>
      </c>
      <c r="C180">
        <f t="shared" si="35"/>
        <v>17</v>
      </c>
      <c r="D180">
        <f t="shared" si="35"/>
        <v>16</v>
      </c>
      <c r="E180">
        <f t="shared" si="36"/>
        <v>0</v>
      </c>
      <c r="F180">
        <f t="shared" si="31"/>
        <v>0</v>
      </c>
      <c r="G180">
        <f t="shared" si="37"/>
        <v>0</v>
      </c>
      <c r="H180">
        <f t="shared" si="38"/>
        <v>0</v>
      </c>
      <c r="I180">
        <f t="shared" si="39"/>
        <v>0</v>
      </c>
      <c r="J180">
        <f t="shared" si="32"/>
        <v>0</v>
      </c>
      <c r="K180">
        <f t="shared" si="33"/>
        <v>0</v>
      </c>
      <c r="L180">
        <f t="shared" si="40"/>
        <v>17</v>
      </c>
      <c r="M180">
        <f t="shared" si="41"/>
        <v>16</v>
      </c>
      <c r="N180">
        <f t="shared" si="42"/>
        <v>0</v>
      </c>
      <c r="O180">
        <f t="shared" si="43"/>
        <v>0</v>
      </c>
      <c r="P180">
        <f t="shared" si="34"/>
        <v>0</v>
      </c>
      <c r="Q180">
        <f t="shared" si="44"/>
        <v>17</v>
      </c>
      <c r="R180">
        <f t="shared" si="44"/>
        <v>16</v>
      </c>
    </row>
    <row r="181" spans="1:18" x14ac:dyDescent="0.25">
      <c r="A181" s="1">
        <v>44830</v>
      </c>
      <c r="B181">
        <f t="shared" si="30"/>
        <v>1</v>
      </c>
      <c r="C181">
        <f t="shared" si="35"/>
        <v>17</v>
      </c>
      <c r="D181">
        <f t="shared" si="35"/>
        <v>16</v>
      </c>
      <c r="E181">
        <f t="shared" si="36"/>
        <v>1</v>
      </c>
      <c r="F181">
        <f t="shared" si="31"/>
        <v>1</v>
      </c>
      <c r="G181">
        <f t="shared" si="37"/>
        <v>0</v>
      </c>
      <c r="H181">
        <f t="shared" si="38"/>
        <v>0</v>
      </c>
      <c r="I181">
        <f t="shared" si="39"/>
        <v>0</v>
      </c>
      <c r="J181">
        <f t="shared" si="32"/>
        <v>0</v>
      </c>
      <c r="K181">
        <f t="shared" si="33"/>
        <v>0</v>
      </c>
      <c r="L181">
        <f t="shared" si="40"/>
        <v>16</v>
      </c>
      <c r="M181">
        <f t="shared" si="41"/>
        <v>16</v>
      </c>
      <c r="N181">
        <f t="shared" si="42"/>
        <v>1</v>
      </c>
      <c r="O181">
        <f t="shared" si="43"/>
        <v>5</v>
      </c>
      <c r="P181">
        <f t="shared" si="34"/>
        <v>4</v>
      </c>
      <c r="Q181">
        <f t="shared" si="44"/>
        <v>11</v>
      </c>
      <c r="R181">
        <f t="shared" si="44"/>
        <v>12</v>
      </c>
    </row>
    <row r="182" spans="1:18" x14ac:dyDescent="0.25">
      <c r="A182" s="1">
        <v>44831</v>
      </c>
      <c r="B182">
        <f t="shared" si="30"/>
        <v>2</v>
      </c>
      <c r="C182">
        <f t="shared" si="35"/>
        <v>11</v>
      </c>
      <c r="D182">
        <f t="shared" si="35"/>
        <v>12</v>
      </c>
      <c r="E182">
        <f t="shared" si="36"/>
        <v>0</v>
      </c>
      <c r="F182">
        <f t="shared" si="31"/>
        <v>0</v>
      </c>
      <c r="G182">
        <f t="shared" si="37"/>
        <v>0</v>
      </c>
      <c r="H182">
        <f t="shared" si="38"/>
        <v>0</v>
      </c>
      <c r="I182">
        <f t="shared" si="39"/>
        <v>0</v>
      </c>
      <c r="J182">
        <f t="shared" si="32"/>
        <v>0</v>
      </c>
      <c r="K182">
        <f t="shared" si="33"/>
        <v>0</v>
      </c>
      <c r="L182">
        <f t="shared" si="40"/>
        <v>11</v>
      </c>
      <c r="M182">
        <f t="shared" si="41"/>
        <v>12</v>
      </c>
      <c r="N182">
        <f t="shared" si="42"/>
        <v>1</v>
      </c>
      <c r="O182">
        <f t="shared" si="43"/>
        <v>4</v>
      </c>
      <c r="P182">
        <f t="shared" si="34"/>
        <v>3</v>
      </c>
      <c r="Q182">
        <f t="shared" si="44"/>
        <v>7</v>
      </c>
      <c r="R182">
        <f t="shared" si="44"/>
        <v>9</v>
      </c>
    </row>
    <row r="183" spans="1:18" x14ac:dyDescent="0.25">
      <c r="A183" s="1">
        <v>44832</v>
      </c>
      <c r="B183">
        <f t="shared" si="30"/>
        <v>3</v>
      </c>
      <c r="C183">
        <f t="shared" si="35"/>
        <v>7</v>
      </c>
      <c r="D183">
        <f t="shared" si="35"/>
        <v>9</v>
      </c>
      <c r="E183">
        <f t="shared" si="36"/>
        <v>0</v>
      </c>
      <c r="F183">
        <f t="shared" si="31"/>
        <v>0</v>
      </c>
      <c r="G183">
        <f t="shared" si="37"/>
        <v>0</v>
      </c>
      <c r="H183">
        <f t="shared" si="38"/>
        <v>0</v>
      </c>
      <c r="I183">
        <f t="shared" si="39"/>
        <v>0</v>
      </c>
      <c r="J183">
        <f t="shared" si="32"/>
        <v>0</v>
      </c>
      <c r="K183">
        <f t="shared" si="33"/>
        <v>0</v>
      </c>
      <c r="L183">
        <f t="shared" si="40"/>
        <v>7</v>
      </c>
      <c r="M183">
        <f t="shared" si="41"/>
        <v>9</v>
      </c>
      <c r="N183">
        <f t="shared" si="42"/>
        <v>1</v>
      </c>
      <c r="O183">
        <f t="shared" si="43"/>
        <v>3</v>
      </c>
      <c r="P183">
        <f t="shared" si="34"/>
        <v>2</v>
      </c>
      <c r="Q183">
        <f t="shared" si="44"/>
        <v>4</v>
      </c>
      <c r="R183">
        <f t="shared" si="44"/>
        <v>7</v>
      </c>
    </row>
    <row r="184" spans="1:18" x14ac:dyDescent="0.25">
      <c r="A184" s="1">
        <v>44833</v>
      </c>
      <c r="B184">
        <f t="shared" si="30"/>
        <v>4</v>
      </c>
      <c r="C184">
        <f t="shared" si="35"/>
        <v>4</v>
      </c>
      <c r="D184">
        <f t="shared" si="35"/>
        <v>7</v>
      </c>
      <c r="E184">
        <f t="shared" si="36"/>
        <v>0</v>
      </c>
      <c r="F184">
        <f t="shared" si="31"/>
        <v>0</v>
      </c>
      <c r="G184">
        <f t="shared" si="37"/>
        <v>1</v>
      </c>
      <c r="H184">
        <f t="shared" si="38"/>
        <v>50</v>
      </c>
      <c r="I184">
        <f t="shared" si="39"/>
        <v>25</v>
      </c>
      <c r="J184">
        <f t="shared" si="32"/>
        <v>0</v>
      </c>
      <c r="K184">
        <f t="shared" si="33"/>
        <v>0</v>
      </c>
      <c r="L184">
        <f t="shared" si="40"/>
        <v>54</v>
      </c>
      <c r="M184">
        <f t="shared" si="41"/>
        <v>32</v>
      </c>
      <c r="N184">
        <f t="shared" si="42"/>
        <v>1</v>
      </c>
      <c r="O184">
        <f t="shared" si="43"/>
        <v>17</v>
      </c>
      <c r="P184">
        <f t="shared" si="34"/>
        <v>7</v>
      </c>
      <c r="Q184">
        <f t="shared" si="44"/>
        <v>37</v>
      </c>
      <c r="R184">
        <f t="shared" si="44"/>
        <v>25</v>
      </c>
    </row>
    <row r="185" spans="1:18" x14ac:dyDescent="0.25">
      <c r="A185" s="1">
        <v>44834</v>
      </c>
      <c r="B185">
        <f t="shared" si="30"/>
        <v>5</v>
      </c>
      <c r="C185">
        <f t="shared" si="35"/>
        <v>37</v>
      </c>
      <c r="D185">
        <f t="shared" si="35"/>
        <v>25</v>
      </c>
      <c r="E185">
        <f t="shared" si="36"/>
        <v>0</v>
      </c>
      <c r="F185">
        <f t="shared" si="31"/>
        <v>0</v>
      </c>
      <c r="G185">
        <f t="shared" si="37"/>
        <v>0</v>
      </c>
      <c r="H185">
        <f t="shared" si="38"/>
        <v>0</v>
      </c>
      <c r="I185">
        <f t="shared" si="39"/>
        <v>0</v>
      </c>
      <c r="J185">
        <f t="shared" si="32"/>
        <v>0</v>
      </c>
      <c r="K185">
        <f t="shared" si="33"/>
        <v>0</v>
      </c>
      <c r="L185">
        <f t="shared" si="40"/>
        <v>37</v>
      </c>
      <c r="M185">
        <f t="shared" si="41"/>
        <v>25</v>
      </c>
      <c r="N185">
        <f t="shared" si="42"/>
        <v>1</v>
      </c>
      <c r="O185">
        <f t="shared" si="43"/>
        <v>12</v>
      </c>
      <c r="P185">
        <f t="shared" si="34"/>
        <v>5</v>
      </c>
      <c r="Q185">
        <f t="shared" si="44"/>
        <v>25</v>
      </c>
      <c r="R185">
        <f t="shared" si="44"/>
        <v>20</v>
      </c>
    </row>
    <row r="186" spans="1:18" x14ac:dyDescent="0.25">
      <c r="A186" s="1">
        <v>44835</v>
      </c>
      <c r="B186">
        <f t="shared" si="30"/>
        <v>6</v>
      </c>
      <c r="C186">
        <f t="shared" si="35"/>
        <v>25</v>
      </c>
      <c r="D186">
        <f t="shared" si="35"/>
        <v>20</v>
      </c>
      <c r="E186">
        <f t="shared" si="36"/>
        <v>0</v>
      </c>
      <c r="F186">
        <f t="shared" si="31"/>
        <v>0</v>
      </c>
      <c r="G186">
        <f t="shared" si="37"/>
        <v>0</v>
      </c>
      <c r="H186">
        <f t="shared" si="38"/>
        <v>0</v>
      </c>
      <c r="I186">
        <f t="shared" si="39"/>
        <v>0</v>
      </c>
      <c r="J186">
        <f t="shared" si="32"/>
        <v>0</v>
      </c>
      <c r="K186">
        <f t="shared" si="33"/>
        <v>0</v>
      </c>
      <c r="L186">
        <f t="shared" si="40"/>
        <v>25</v>
      </c>
      <c r="M186">
        <f t="shared" si="41"/>
        <v>20</v>
      </c>
      <c r="N186">
        <f t="shared" si="42"/>
        <v>1</v>
      </c>
      <c r="O186">
        <f t="shared" si="43"/>
        <v>8</v>
      </c>
      <c r="P186">
        <f t="shared" si="34"/>
        <v>4</v>
      </c>
      <c r="Q186">
        <f t="shared" si="44"/>
        <v>17</v>
      </c>
      <c r="R186">
        <f t="shared" si="44"/>
        <v>16</v>
      </c>
    </row>
    <row r="187" spans="1:18" x14ac:dyDescent="0.25">
      <c r="A187" s="1">
        <v>44836</v>
      </c>
      <c r="B187">
        <f t="shared" si="30"/>
        <v>7</v>
      </c>
      <c r="C187">
        <f t="shared" si="35"/>
        <v>17</v>
      </c>
      <c r="D187">
        <f t="shared" si="35"/>
        <v>16</v>
      </c>
      <c r="E187">
        <f t="shared" si="36"/>
        <v>0</v>
      </c>
      <c r="F187">
        <f t="shared" si="31"/>
        <v>0</v>
      </c>
      <c r="G187">
        <f t="shared" si="37"/>
        <v>0</v>
      </c>
      <c r="H187">
        <f t="shared" si="38"/>
        <v>0</v>
      </c>
      <c r="I187">
        <f t="shared" si="39"/>
        <v>0</v>
      </c>
      <c r="J187">
        <f t="shared" si="32"/>
        <v>0</v>
      </c>
      <c r="K187">
        <f t="shared" si="33"/>
        <v>0</v>
      </c>
      <c r="L187">
        <f t="shared" si="40"/>
        <v>17</v>
      </c>
      <c r="M187">
        <f t="shared" si="41"/>
        <v>16</v>
      </c>
      <c r="N187">
        <f t="shared" si="42"/>
        <v>0</v>
      </c>
      <c r="O187">
        <f t="shared" si="43"/>
        <v>0</v>
      </c>
      <c r="P187">
        <f t="shared" si="34"/>
        <v>0</v>
      </c>
      <c r="Q187">
        <f t="shared" si="44"/>
        <v>17</v>
      </c>
      <c r="R187">
        <f t="shared" si="44"/>
        <v>16</v>
      </c>
    </row>
    <row r="188" spans="1:18" x14ac:dyDescent="0.25">
      <c r="A188" s="1">
        <v>44837</v>
      </c>
      <c r="B188">
        <f t="shared" si="30"/>
        <v>1</v>
      </c>
      <c r="C188">
        <f t="shared" si="35"/>
        <v>17</v>
      </c>
      <c r="D188">
        <f t="shared" si="35"/>
        <v>16</v>
      </c>
      <c r="E188">
        <f t="shared" si="36"/>
        <v>1</v>
      </c>
      <c r="F188">
        <f t="shared" si="31"/>
        <v>1</v>
      </c>
      <c r="G188">
        <f t="shared" si="37"/>
        <v>0</v>
      </c>
      <c r="H188">
        <f t="shared" si="38"/>
        <v>0</v>
      </c>
      <c r="I188">
        <f t="shared" si="39"/>
        <v>0</v>
      </c>
      <c r="J188">
        <f t="shared" si="32"/>
        <v>0</v>
      </c>
      <c r="K188">
        <f t="shared" si="33"/>
        <v>0</v>
      </c>
      <c r="L188">
        <f t="shared" si="40"/>
        <v>16</v>
      </c>
      <c r="M188">
        <f t="shared" si="41"/>
        <v>16</v>
      </c>
      <c r="N188">
        <f t="shared" si="42"/>
        <v>1</v>
      </c>
      <c r="O188">
        <f t="shared" si="43"/>
        <v>5</v>
      </c>
      <c r="P188">
        <f t="shared" si="34"/>
        <v>4</v>
      </c>
      <c r="Q188">
        <f t="shared" si="44"/>
        <v>11</v>
      </c>
      <c r="R188">
        <f t="shared" si="44"/>
        <v>12</v>
      </c>
    </row>
    <row r="189" spans="1:18" x14ac:dyDescent="0.25">
      <c r="A189" s="1">
        <v>44838</v>
      </c>
      <c r="B189">
        <f t="shared" si="30"/>
        <v>2</v>
      </c>
      <c r="C189">
        <f t="shared" si="35"/>
        <v>11</v>
      </c>
      <c r="D189">
        <f t="shared" si="35"/>
        <v>12</v>
      </c>
      <c r="E189">
        <f t="shared" si="36"/>
        <v>0</v>
      </c>
      <c r="F189">
        <f t="shared" si="31"/>
        <v>0</v>
      </c>
      <c r="G189">
        <f t="shared" si="37"/>
        <v>0</v>
      </c>
      <c r="H189">
        <f t="shared" si="38"/>
        <v>0</v>
      </c>
      <c r="I189">
        <f t="shared" si="39"/>
        <v>0</v>
      </c>
      <c r="J189">
        <f t="shared" si="32"/>
        <v>0</v>
      </c>
      <c r="K189">
        <f t="shared" si="33"/>
        <v>0</v>
      </c>
      <c r="L189">
        <f t="shared" si="40"/>
        <v>11</v>
      </c>
      <c r="M189">
        <f t="shared" si="41"/>
        <v>12</v>
      </c>
      <c r="N189">
        <f t="shared" si="42"/>
        <v>1</v>
      </c>
      <c r="O189">
        <f t="shared" si="43"/>
        <v>4</v>
      </c>
      <c r="P189">
        <f t="shared" si="34"/>
        <v>3</v>
      </c>
      <c r="Q189">
        <f t="shared" si="44"/>
        <v>7</v>
      </c>
      <c r="R189">
        <f t="shared" si="44"/>
        <v>9</v>
      </c>
    </row>
    <row r="190" spans="1:18" x14ac:dyDescent="0.25">
      <c r="A190" s="1">
        <v>44839</v>
      </c>
      <c r="B190">
        <f t="shared" si="30"/>
        <v>3</v>
      </c>
      <c r="C190">
        <f t="shared" si="35"/>
        <v>7</v>
      </c>
      <c r="D190">
        <f t="shared" si="35"/>
        <v>9</v>
      </c>
      <c r="E190">
        <f t="shared" si="36"/>
        <v>0</v>
      </c>
      <c r="F190">
        <f t="shared" si="31"/>
        <v>0</v>
      </c>
      <c r="G190">
        <f t="shared" si="37"/>
        <v>0</v>
      </c>
      <c r="H190">
        <f t="shared" si="38"/>
        <v>0</v>
      </c>
      <c r="I190">
        <f t="shared" si="39"/>
        <v>0</v>
      </c>
      <c r="J190">
        <f t="shared" si="32"/>
        <v>0</v>
      </c>
      <c r="K190">
        <f t="shared" si="33"/>
        <v>0</v>
      </c>
      <c r="L190">
        <f t="shared" si="40"/>
        <v>7</v>
      </c>
      <c r="M190">
        <f t="shared" si="41"/>
        <v>9</v>
      </c>
      <c r="N190">
        <f t="shared" si="42"/>
        <v>1</v>
      </c>
      <c r="O190">
        <f t="shared" si="43"/>
        <v>3</v>
      </c>
      <c r="P190">
        <f t="shared" si="34"/>
        <v>2</v>
      </c>
      <c r="Q190">
        <f t="shared" si="44"/>
        <v>4</v>
      </c>
      <c r="R190">
        <f t="shared" si="44"/>
        <v>7</v>
      </c>
    </row>
    <row r="191" spans="1:18" x14ac:dyDescent="0.25">
      <c r="A191" s="1">
        <v>44840</v>
      </c>
      <c r="B191">
        <f t="shared" si="30"/>
        <v>4</v>
      </c>
      <c r="C191">
        <f t="shared" si="35"/>
        <v>4</v>
      </c>
      <c r="D191">
        <f t="shared" si="35"/>
        <v>7</v>
      </c>
      <c r="E191">
        <f t="shared" si="36"/>
        <v>0</v>
      </c>
      <c r="F191">
        <f t="shared" si="31"/>
        <v>0</v>
      </c>
      <c r="G191">
        <f t="shared" si="37"/>
        <v>1</v>
      </c>
      <c r="H191">
        <f t="shared" si="38"/>
        <v>50</v>
      </c>
      <c r="I191">
        <f t="shared" si="39"/>
        <v>25</v>
      </c>
      <c r="J191">
        <f t="shared" si="32"/>
        <v>0</v>
      </c>
      <c r="K191">
        <f t="shared" si="33"/>
        <v>0</v>
      </c>
      <c r="L191">
        <f t="shared" si="40"/>
        <v>54</v>
      </c>
      <c r="M191">
        <f t="shared" si="41"/>
        <v>32</v>
      </c>
      <c r="N191">
        <f t="shared" si="42"/>
        <v>1</v>
      </c>
      <c r="O191">
        <f t="shared" si="43"/>
        <v>17</v>
      </c>
      <c r="P191">
        <f t="shared" si="34"/>
        <v>7</v>
      </c>
      <c r="Q191">
        <f t="shared" si="44"/>
        <v>37</v>
      </c>
      <c r="R191">
        <f t="shared" si="44"/>
        <v>25</v>
      </c>
    </row>
    <row r="192" spans="1:18" x14ac:dyDescent="0.25">
      <c r="A192" s="1">
        <v>44841</v>
      </c>
      <c r="B192">
        <f t="shared" si="30"/>
        <v>5</v>
      </c>
      <c r="C192">
        <f t="shared" si="35"/>
        <v>37</v>
      </c>
      <c r="D192">
        <f t="shared" si="35"/>
        <v>25</v>
      </c>
      <c r="E192">
        <f t="shared" si="36"/>
        <v>0</v>
      </c>
      <c r="F192">
        <f t="shared" si="31"/>
        <v>0</v>
      </c>
      <c r="G192">
        <f t="shared" si="37"/>
        <v>0</v>
      </c>
      <c r="H192">
        <f t="shared" si="38"/>
        <v>0</v>
      </c>
      <c r="I192">
        <f t="shared" si="39"/>
        <v>0</v>
      </c>
      <c r="J192">
        <f t="shared" si="32"/>
        <v>0</v>
      </c>
      <c r="K192">
        <f t="shared" si="33"/>
        <v>0</v>
      </c>
      <c r="L192">
        <f t="shared" si="40"/>
        <v>37</v>
      </c>
      <c r="M192">
        <f t="shared" si="41"/>
        <v>25</v>
      </c>
      <c r="N192">
        <f t="shared" si="42"/>
        <v>1</v>
      </c>
      <c r="O192">
        <f t="shared" si="43"/>
        <v>12</v>
      </c>
      <c r="P192">
        <f t="shared" si="34"/>
        <v>5</v>
      </c>
      <c r="Q192">
        <f t="shared" si="44"/>
        <v>25</v>
      </c>
      <c r="R192">
        <f t="shared" si="44"/>
        <v>20</v>
      </c>
    </row>
    <row r="193" spans="1:18" x14ac:dyDescent="0.25">
      <c r="A193" s="1">
        <v>44842</v>
      </c>
      <c r="B193">
        <f t="shared" si="30"/>
        <v>6</v>
      </c>
      <c r="C193">
        <f t="shared" si="35"/>
        <v>25</v>
      </c>
      <c r="D193">
        <f t="shared" si="35"/>
        <v>20</v>
      </c>
      <c r="E193">
        <f t="shared" si="36"/>
        <v>0</v>
      </c>
      <c r="F193">
        <f t="shared" si="31"/>
        <v>0</v>
      </c>
      <c r="G193">
        <f t="shared" si="37"/>
        <v>0</v>
      </c>
      <c r="H193">
        <f t="shared" si="38"/>
        <v>0</v>
      </c>
      <c r="I193">
        <f t="shared" si="39"/>
        <v>0</v>
      </c>
      <c r="J193">
        <f t="shared" si="32"/>
        <v>0</v>
      </c>
      <c r="K193">
        <f t="shared" si="33"/>
        <v>0</v>
      </c>
      <c r="L193">
        <f t="shared" si="40"/>
        <v>25</v>
      </c>
      <c r="M193">
        <f t="shared" si="41"/>
        <v>20</v>
      </c>
      <c r="N193">
        <f t="shared" si="42"/>
        <v>1</v>
      </c>
      <c r="O193">
        <f t="shared" si="43"/>
        <v>8</v>
      </c>
      <c r="P193">
        <f t="shared" si="34"/>
        <v>4</v>
      </c>
      <c r="Q193">
        <f t="shared" si="44"/>
        <v>17</v>
      </c>
      <c r="R193">
        <f t="shared" si="44"/>
        <v>16</v>
      </c>
    </row>
    <row r="194" spans="1:18" x14ac:dyDescent="0.25">
      <c r="A194" s="1">
        <v>44843</v>
      </c>
      <c r="B194">
        <f t="shared" si="30"/>
        <v>7</v>
      </c>
      <c r="C194">
        <f t="shared" si="35"/>
        <v>17</v>
      </c>
      <c r="D194">
        <f t="shared" si="35"/>
        <v>16</v>
      </c>
      <c r="E194">
        <f t="shared" si="36"/>
        <v>0</v>
      </c>
      <c r="F194">
        <f t="shared" si="31"/>
        <v>0</v>
      </c>
      <c r="G194">
        <f t="shared" si="37"/>
        <v>0</v>
      </c>
      <c r="H194">
        <f t="shared" si="38"/>
        <v>0</v>
      </c>
      <c r="I194">
        <f t="shared" si="39"/>
        <v>0</v>
      </c>
      <c r="J194">
        <f t="shared" si="32"/>
        <v>0</v>
      </c>
      <c r="K194">
        <f t="shared" si="33"/>
        <v>0</v>
      </c>
      <c r="L194">
        <f t="shared" si="40"/>
        <v>17</v>
      </c>
      <c r="M194">
        <f t="shared" si="41"/>
        <v>16</v>
      </c>
      <c r="N194">
        <f t="shared" si="42"/>
        <v>0</v>
      </c>
      <c r="O194">
        <f t="shared" si="43"/>
        <v>0</v>
      </c>
      <c r="P194">
        <f t="shared" si="34"/>
        <v>0</v>
      </c>
      <c r="Q194">
        <f t="shared" si="44"/>
        <v>17</v>
      </c>
      <c r="R194">
        <f t="shared" si="44"/>
        <v>16</v>
      </c>
    </row>
    <row r="195" spans="1:18" x14ac:dyDescent="0.25">
      <c r="A195" s="1">
        <v>44844</v>
      </c>
      <c r="B195">
        <f t="shared" si="30"/>
        <v>1</v>
      </c>
      <c r="C195">
        <f t="shared" si="35"/>
        <v>17</v>
      </c>
      <c r="D195">
        <f t="shared" si="35"/>
        <v>16</v>
      </c>
      <c r="E195">
        <f t="shared" si="36"/>
        <v>1</v>
      </c>
      <c r="F195">
        <f t="shared" si="31"/>
        <v>1</v>
      </c>
      <c r="G195">
        <f t="shared" si="37"/>
        <v>0</v>
      </c>
      <c r="H195">
        <f t="shared" si="38"/>
        <v>0</v>
      </c>
      <c r="I195">
        <f t="shared" si="39"/>
        <v>0</v>
      </c>
      <c r="J195">
        <f t="shared" si="32"/>
        <v>0</v>
      </c>
      <c r="K195">
        <f t="shared" si="33"/>
        <v>0</v>
      </c>
      <c r="L195">
        <f t="shared" si="40"/>
        <v>16</v>
      </c>
      <c r="M195">
        <f t="shared" si="41"/>
        <v>16</v>
      </c>
      <c r="N195">
        <f t="shared" si="42"/>
        <v>1</v>
      </c>
      <c r="O195">
        <f t="shared" si="43"/>
        <v>5</v>
      </c>
      <c r="P195">
        <f t="shared" si="34"/>
        <v>4</v>
      </c>
      <c r="Q195">
        <f t="shared" si="44"/>
        <v>11</v>
      </c>
      <c r="R195">
        <f t="shared" si="44"/>
        <v>12</v>
      </c>
    </row>
    <row r="196" spans="1:18" x14ac:dyDescent="0.25">
      <c r="A196" s="1">
        <v>44845</v>
      </c>
      <c r="B196">
        <f t="shared" ref="B196:B216" si="45">WEEKDAY(A196, 2)</f>
        <v>2</v>
      </c>
      <c r="C196">
        <f t="shared" si="35"/>
        <v>11</v>
      </c>
      <c r="D196">
        <f t="shared" si="35"/>
        <v>12</v>
      </c>
      <c r="E196">
        <f t="shared" si="36"/>
        <v>0</v>
      </c>
      <c r="F196">
        <f t="shared" ref="F196:F216" si="46">IF(E196=1,ROUNDUP(5% * C196,0),0)</f>
        <v>0</v>
      </c>
      <c r="G196">
        <f t="shared" si="37"/>
        <v>0</v>
      </c>
      <c r="H196">
        <f t="shared" si="38"/>
        <v>0</v>
      </c>
      <c r="I196">
        <f t="shared" si="39"/>
        <v>0</v>
      </c>
      <c r="J196">
        <f t="shared" ref="J196:J216" si="47">IF(AND(B196=1,SUM(O193:O194)&gt;25),1,0)</f>
        <v>0</v>
      </c>
      <c r="K196">
        <f t="shared" ref="K196:K216" si="48">IF(J196=1,15,0)</f>
        <v>0</v>
      </c>
      <c r="L196">
        <f t="shared" si="40"/>
        <v>11</v>
      </c>
      <c r="M196">
        <f t="shared" si="41"/>
        <v>12</v>
      </c>
      <c r="N196">
        <f t="shared" si="42"/>
        <v>1</v>
      </c>
      <c r="O196">
        <f t="shared" si="43"/>
        <v>4</v>
      </c>
      <c r="P196">
        <f t="shared" ref="P196:P216" si="49">IF(N196=1,ROUNDUP(20% * M196,0),0)</f>
        <v>3</v>
      </c>
      <c r="Q196">
        <f t="shared" si="44"/>
        <v>7</v>
      </c>
      <c r="R196">
        <f t="shared" si="44"/>
        <v>9</v>
      </c>
    </row>
    <row r="197" spans="1:18" x14ac:dyDescent="0.25">
      <c r="A197" s="1">
        <v>44846</v>
      </c>
      <c r="B197">
        <f t="shared" si="45"/>
        <v>3</v>
      </c>
      <c r="C197">
        <f t="shared" ref="C197:D216" si="50">Q196</f>
        <v>7</v>
      </c>
      <c r="D197">
        <f t="shared" si="50"/>
        <v>9</v>
      </c>
      <c r="E197">
        <f t="shared" ref="E197:E216" si="51">IF(B197=1,1,0)</f>
        <v>0</v>
      </c>
      <c r="F197">
        <f t="shared" si="46"/>
        <v>0</v>
      </c>
      <c r="G197">
        <f t="shared" ref="G197:G216" si="52">IF(B197=4,1,0)</f>
        <v>0</v>
      </c>
      <c r="H197">
        <f t="shared" ref="H197:H216" si="53">IF(G197=1,50,0)</f>
        <v>0</v>
      </c>
      <c r="I197">
        <f t="shared" ref="I197:I216" si="54">IF(G197=1,25,0)</f>
        <v>0</v>
      </c>
      <c r="J197">
        <f t="shared" si="47"/>
        <v>0</v>
      </c>
      <c r="K197">
        <f t="shared" si="48"/>
        <v>0</v>
      </c>
      <c r="L197">
        <f t="shared" ref="L197:L216" si="55">K197+H197+C197-F197</f>
        <v>7</v>
      </c>
      <c r="M197">
        <f t="shared" ref="M197:M216" si="56">I197+D197</f>
        <v>9</v>
      </c>
      <c r="N197">
        <f t="shared" ref="N197:N216" si="57">IF(B197&lt;&gt;7,1,0)</f>
        <v>1</v>
      </c>
      <c r="O197">
        <f t="shared" ref="O197:O216" si="58">IF(N197=1,ROUNDUP(30% * L197,0),0)</f>
        <v>3</v>
      </c>
      <c r="P197">
        <f t="shared" si="49"/>
        <v>2</v>
      </c>
      <c r="Q197">
        <f t="shared" ref="Q197:R216" si="59">L197-O197</f>
        <v>4</v>
      </c>
      <c r="R197">
        <f t="shared" si="59"/>
        <v>7</v>
      </c>
    </row>
    <row r="198" spans="1:18" x14ac:dyDescent="0.25">
      <c r="A198" s="1">
        <v>44847</v>
      </c>
      <c r="B198">
        <f t="shared" si="45"/>
        <v>4</v>
      </c>
      <c r="C198">
        <f t="shared" si="50"/>
        <v>4</v>
      </c>
      <c r="D198">
        <f t="shared" si="50"/>
        <v>7</v>
      </c>
      <c r="E198">
        <f t="shared" si="51"/>
        <v>0</v>
      </c>
      <c r="F198">
        <f t="shared" si="46"/>
        <v>0</v>
      </c>
      <c r="G198">
        <f t="shared" si="52"/>
        <v>1</v>
      </c>
      <c r="H198">
        <f t="shared" si="53"/>
        <v>50</v>
      </c>
      <c r="I198">
        <f t="shared" si="54"/>
        <v>25</v>
      </c>
      <c r="J198">
        <f t="shared" si="47"/>
        <v>0</v>
      </c>
      <c r="K198">
        <f t="shared" si="48"/>
        <v>0</v>
      </c>
      <c r="L198">
        <f t="shared" si="55"/>
        <v>54</v>
      </c>
      <c r="M198">
        <f t="shared" si="56"/>
        <v>32</v>
      </c>
      <c r="N198">
        <f t="shared" si="57"/>
        <v>1</v>
      </c>
      <c r="O198">
        <f t="shared" si="58"/>
        <v>17</v>
      </c>
      <c r="P198">
        <f t="shared" si="49"/>
        <v>7</v>
      </c>
      <c r="Q198">
        <f t="shared" si="59"/>
        <v>37</v>
      </c>
      <c r="R198">
        <f t="shared" si="59"/>
        <v>25</v>
      </c>
    </row>
    <row r="199" spans="1:18" x14ac:dyDescent="0.25">
      <c r="A199" s="1">
        <v>44848</v>
      </c>
      <c r="B199">
        <f t="shared" si="45"/>
        <v>5</v>
      </c>
      <c r="C199">
        <f t="shared" si="50"/>
        <v>37</v>
      </c>
      <c r="D199">
        <f t="shared" si="50"/>
        <v>25</v>
      </c>
      <c r="E199">
        <f t="shared" si="51"/>
        <v>0</v>
      </c>
      <c r="F199">
        <f t="shared" si="46"/>
        <v>0</v>
      </c>
      <c r="G199">
        <f t="shared" si="52"/>
        <v>0</v>
      </c>
      <c r="H199">
        <f t="shared" si="53"/>
        <v>0</v>
      </c>
      <c r="I199">
        <f t="shared" si="54"/>
        <v>0</v>
      </c>
      <c r="J199">
        <f t="shared" si="47"/>
        <v>0</v>
      </c>
      <c r="K199">
        <f t="shared" si="48"/>
        <v>0</v>
      </c>
      <c r="L199">
        <f t="shared" si="55"/>
        <v>37</v>
      </c>
      <c r="M199">
        <f t="shared" si="56"/>
        <v>25</v>
      </c>
      <c r="N199">
        <f t="shared" si="57"/>
        <v>1</v>
      </c>
      <c r="O199">
        <f t="shared" si="58"/>
        <v>12</v>
      </c>
      <c r="P199">
        <f t="shared" si="49"/>
        <v>5</v>
      </c>
      <c r="Q199">
        <f t="shared" si="59"/>
        <v>25</v>
      </c>
      <c r="R199">
        <f t="shared" si="59"/>
        <v>20</v>
      </c>
    </row>
    <row r="200" spans="1:18" x14ac:dyDescent="0.25">
      <c r="A200" s="1">
        <v>44849</v>
      </c>
      <c r="B200">
        <f t="shared" si="45"/>
        <v>6</v>
      </c>
      <c r="C200">
        <f t="shared" si="50"/>
        <v>25</v>
      </c>
      <c r="D200">
        <f t="shared" si="50"/>
        <v>20</v>
      </c>
      <c r="E200">
        <f t="shared" si="51"/>
        <v>0</v>
      </c>
      <c r="F200">
        <f t="shared" si="46"/>
        <v>0</v>
      </c>
      <c r="G200">
        <f t="shared" si="52"/>
        <v>0</v>
      </c>
      <c r="H200">
        <f t="shared" si="53"/>
        <v>0</v>
      </c>
      <c r="I200">
        <f t="shared" si="54"/>
        <v>0</v>
      </c>
      <c r="J200">
        <f t="shared" si="47"/>
        <v>0</v>
      </c>
      <c r="K200">
        <f t="shared" si="48"/>
        <v>0</v>
      </c>
      <c r="L200">
        <f t="shared" si="55"/>
        <v>25</v>
      </c>
      <c r="M200">
        <f t="shared" si="56"/>
        <v>20</v>
      </c>
      <c r="N200">
        <f t="shared" si="57"/>
        <v>1</v>
      </c>
      <c r="O200">
        <f t="shared" si="58"/>
        <v>8</v>
      </c>
      <c r="P200">
        <f t="shared" si="49"/>
        <v>4</v>
      </c>
      <c r="Q200">
        <f t="shared" si="59"/>
        <v>17</v>
      </c>
      <c r="R200">
        <f t="shared" si="59"/>
        <v>16</v>
      </c>
    </row>
    <row r="201" spans="1:18" x14ac:dyDescent="0.25">
      <c r="A201" s="1">
        <v>44850</v>
      </c>
      <c r="B201">
        <f t="shared" si="45"/>
        <v>7</v>
      </c>
      <c r="C201">
        <f t="shared" si="50"/>
        <v>17</v>
      </c>
      <c r="D201">
        <f t="shared" si="50"/>
        <v>16</v>
      </c>
      <c r="E201">
        <f t="shared" si="51"/>
        <v>0</v>
      </c>
      <c r="F201">
        <f t="shared" si="46"/>
        <v>0</v>
      </c>
      <c r="G201">
        <f t="shared" si="52"/>
        <v>0</v>
      </c>
      <c r="H201">
        <f t="shared" si="53"/>
        <v>0</v>
      </c>
      <c r="I201">
        <f t="shared" si="54"/>
        <v>0</v>
      </c>
      <c r="J201">
        <f t="shared" si="47"/>
        <v>0</v>
      </c>
      <c r="K201">
        <f t="shared" si="48"/>
        <v>0</v>
      </c>
      <c r="L201">
        <f t="shared" si="55"/>
        <v>17</v>
      </c>
      <c r="M201">
        <f t="shared" si="56"/>
        <v>16</v>
      </c>
      <c r="N201">
        <f t="shared" si="57"/>
        <v>0</v>
      </c>
      <c r="O201">
        <f t="shared" si="58"/>
        <v>0</v>
      </c>
      <c r="P201">
        <f t="shared" si="49"/>
        <v>0</v>
      </c>
      <c r="Q201">
        <f t="shared" si="59"/>
        <v>17</v>
      </c>
      <c r="R201">
        <f t="shared" si="59"/>
        <v>16</v>
      </c>
    </row>
    <row r="202" spans="1:18" x14ac:dyDescent="0.25">
      <c r="A202" s="1">
        <v>44851</v>
      </c>
      <c r="B202">
        <f t="shared" si="45"/>
        <v>1</v>
      </c>
      <c r="C202">
        <f t="shared" si="50"/>
        <v>17</v>
      </c>
      <c r="D202">
        <f t="shared" si="50"/>
        <v>16</v>
      </c>
      <c r="E202">
        <f t="shared" si="51"/>
        <v>1</v>
      </c>
      <c r="F202">
        <f t="shared" si="46"/>
        <v>1</v>
      </c>
      <c r="G202">
        <f t="shared" si="52"/>
        <v>0</v>
      </c>
      <c r="H202">
        <f t="shared" si="53"/>
        <v>0</v>
      </c>
      <c r="I202">
        <f t="shared" si="54"/>
        <v>0</v>
      </c>
      <c r="J202">
        <f t="shared" si="47"/>
        <v>0</v>
      </c>
      <c r="K202">
        <f t="shared" si="48"/>
        <v>0</v>
      </c>
      <c r="L202">
        <f t="shared" si="55"/>
        <v>16</v>
      </c>
      <c r="M202">
        <f t="shared" si="56"/>
        <v>16</v>
      </c>
      <c r="N202">
        <f t="shared" si="57"/>
        <v>1</v>
      </c>
      <c r="O202">
        <f t="shared" si="58"/>
        <v>5</v>
      </c>
      <c r="P202">
        <f t="shared" si="49"/>
        <v>4</v>
      </c>
      <c r="Q202">
        <f t="shared" si="59"/>
        <v>11</v>
      </c>
      <c r="R202">
        <f t="shared" si="59"/>
        <v>12</v>
      </c>
    </row>
    <row r="203" spans="1:18" x14ac:dyDescent="0.25">
      <c r="A203" s="1">
        <v>44852</v>
      </c>
      <c r="B203">
        <f t="shared" si="45"/>
        <v>2</v>
      </c>
      <c r="C203">
        <f t="shared" si="50"/>
        <v>11</v>
      </c>
      <c r="D203">
        <f t="shared" si="50"/>
        <v>12</v>
      </c>
      <c r="E203">
        <f t="shared" si="51"/>
        <v>0</v>
      </c>
      <c r="F203">
        <f t="shared" si="46"/>
        <v>0</v>
      </c>
      <c r="G203">
        <f t="shared" si="52"/>
        <v>0</v>
      </c>
      <c r="H203">
        <f t="shared" si="53"/>
        <v>0</v>
      </c>
      <c r="I203">
        <f t="shared" si="54"/>
        <v>0</v>
      </c>
      <c r="J203">
        <f t="shared" si="47"/>
        <v>0</v>
      </c>
      <c r="K203">
        <f t="shared" si="48"/>
        <v>0</v>
      </c>
      <c r="L203">
        <f t="shared" si="55"/>
        <v>11</v>
      </c>
      <c r="M203">
        <f t="shared" si="56"/>
        <v>12</v>
      </c>
      <c r="N203">
        <f t="shared" si="57"/>
        <v>1</v>
      </c>
      <c r="O203">
        <f t="shared" si="58"/>
        <v>4</v>
      </c>
      <c r="P203">
        <f t="shared" si="49"/>
        <v>3</v>
      </c>
      <c r="Q203">
        <f t="shared" si="59"/>
        <v>7</v>
      </c>
      <c r="R203">
        <f t="shared" si="59"/>
        <v>9</v>
      </c>
    </row>
    <row r="204" spans="1:18" x14ac:dyDescent="0.25">
      <c r="A204" s="1">
        <v>44853</v>
      </c>
      <c r="B204">
        <f t="shared" si="45"/>
        <v>3</v>
      </c>
      <c r="C204">
        <f t="shared" si="50"/>
        <v>7</v>
      </c>
      <c r="D204">
        <f t="shared" si="50"/>
        <v>9</v>
      </c>
      <c r="E204">
        <f t="shared" si="51"/>
        <v>0</v>
      </c>
      <c r="F204">
        <f t="shared" si="46"/>
        <v>0</v>
      </c>
      <c r="G204">
        <f t="shared" si="52"/>
        <v>0</v>
      </c>
      <c r="H204">
        <f t="shared" si="53"/>
        <v>0</v>
      </c>
      <c r="I204">
        <f t="shared" si="54"/>
        <v>0</v>
      </c>
      <c r="J204">
        <f t="shared" si="47"/>
        <v>0</v>
      </c>
      <c r="K204">
        <f t="shared" si="48"/>
        <v>0</v>
      </c>
      <c r="L204">
        <f t="shared" si="55"/>
        <v>7</v>
      </c>
      <c r="M204">
        <f t="shared" si="56"/>
        <v>9</v>
      </c>
      <c r="N204">
        <f t="shared" si="57"/>
        <v>1</v>
      </c>
      <c r="O204">
        <f t="shared" si="58"/>
        <v>3</v>
      </c>
      <c r="P204">
        <f t="shared" si="49"/>
        <v>2</v>
      </c>
      <c r="Q204">
        <f t="shared" si="59"/>
        <v>4</v>
      </c>
      <c r="R204">
        <f t="shared" si="59"/>
        <v>7</v>
      </c>
    </row>
    <row r="205" spans="1:18" x14ac:dyDescent="0.25">
      <c r="A205" s="1">
        <v>44854</v>
      </c>
      <c r="B205">
        <f t="shared" si="45"/>
        <v>4</v>
      </c>
      <c r="C205">
        <f t="shared" si="50"/>
        <v>4</v>
      </c>
      <c r="D205">
        <f t="shared" si="50"/>
        <v>7</v>
      </c>
      <c r="E205">
        <f t="shared" si="51"/>
        <v>0</v>
      </c>
      <c r="F205">
        <f t="shared" si="46"/>
        <v>0</v>
      </c>
      <c r="G205">
        <f t="shared" si="52"/>
        <v>1</v>
      </c>
      <c r="H205">
        <f t="shared" si="53"/>
        <v>50</v>
      </c>
      <c r="I205">
        <f t="shared" si="54"/>
        <v>25</v>
      </c>
      <c r="J205">
        <f t="shared" si="47"/>
        <v>0</v>
      </c>
      <c r="K205">
        <f t="shared" si="48"/>
        <v>0</v>
      </c>
      <c r="L205">
        <f t="shared" si="55"/>
        <v>54</v>
      </c>
      <c r="M205">
        <f t="shared" si="56"/>
        <v>32</v>
      </c>
      <c r="N205">
        <f t="shared" si="57"/>
        <v>1</v>
      </c>
      <c r="O205">
        <f t="shared" si="58"/>
        <v>17</v>
      </c>
      <c r="P205">
        <f t="shared" si="49"/>
        <v>7</v>
      </c>
      <c r="Q205">
        <f t="shared" si="59"/>
        <v>37</v>
      </c>
      <c r="R205">
        <f t="shared" si="59"/>
        <v>25</v>
      </c>
    </row>
    <row r="206" spans="1:18" x14ac:dyDescent="0.25">
      <c r="A206" s="1">
        <v>44855</v>
      </c>
      <c r="B206">
        <f t="shared" si="45"/>
        <v>5</v>
      </c>
      <c r="C206">
        <f t="shared" si="50"/>
        <v>37</v>
      </c>
      <c r="D206">
        <f t="shared" si="50"/>
        <v>25</v>
      </c>
      <c r="E206">
        <f t="shared" si="51"/>
        <v>0</v>
      </c>
      <c r="F206">
        <f t="shared" si="46"/>
        <v>0</v>
      </c>
      <c r="G206">
        <f t="shared" si="52"/>
        <v>0</v>
      </c>
      <c r="H206">
        <f t="shared" si="53"/>
        <v>0</v>
      </c>
      <c r="I206">
        <f t="shared" si="54"/>
        <v>0</v>
      </c>
      <c r="J206">
        <f t="shared" si="47"/>
        <v>0</v>
      </c>
      <c r="K206">
        <f t="shared" si="48"/>
        <v>0</v>
      </c>
      <c r="L206">
        <f t="shared" si="55"/>
        <v>37</v>
      </c>
      <c r="M206">
        <f t="shared" si="56"/>
        <v>25</v>
      </c>
      <c r="N206">
        <f t="shared" si="57"/>
        <v>1</v>
      </c>
      <c r="O206">
        <f t="shared" si="58"/>
        <v>12</v>
      </c>
      <c r="P206">
        <f t="shared" si="49"/>
        <v>5</v>
      </c>
      <c r="Q206">
        <f t="shared" si="59"/>
        <v>25</v>
      </c>
      <c r="R206">
        <f t="shared" si="59"/>
        <v>20</v>
      </c>
    </row>
    <row r="207" spans="1:18" x14ac:dyDescent="0.25">
      <c r="A207" s="1">
        <v>44856</v>
      </c>
      <c r="B207">
        <f t="shared" si="45"/>
        <v>6</v>
      </c>
      <c r="C207">
        <f t="shared" si="50"/>
        <v>25</v>
      </c>
      <c r="D207">
        <f t="shared" si="50"/>
        <v>20</v>
      </c>
      <c r="E207">
        <f t="shared" si="51"/>
        <v>0</v>
      </c>
      <c r="F207">
        <f t="shared" si="46"/>
        <v>0</v>
      </c>
      <c r="G207">
        <f t="shared" si="52"/>
        <v>0</v>
      </c>
      <c r="H207">
        <f t="shared" si="53"/>
        <v>0</v>
      </c>
      <c r="I207">
        <f t="shared" si="54"/>
        <v>0</v>
      </c>
      <c r="J207">
        <f t="shared" si="47"/>
        <v>0</v>
      </c>
      <c r="K207">
        <f t="shared" si="48"/>
        <v>0</v>
      </c>
      <c r="L207">
        <f t="shared" si="55"/>
        <v>25</v>
      </c>
      <c r="M207">
        <f t="shared" si="56"/>
        <v>20</v>
      </c>
      <c r="N207">
        <f t="shared" si="57"/>
        <v>1</v>
      </c>
      <c r="O207">
        <f t="shared" si="58"/>
        <v>8</v>
      </c>
      <c r="P207">
        <f t="shared" si="49"/>
        <v>4</v>
      </c>
      <c r="Q207">
        <f t="shared" si="59"/>
        <v>17</v>
      </c>
      <c r="R207">
        <f t="shared" si="59"/>
        <v>16</v>
      </c>
    </row>
    <row r="208" spans="1:18" x14ac:dyDescent="0.25">
      <c r="A208" s="1">
        <v>44857</v>
      </c>
      <c r="B208">
        <f t="shared" si="45"/>
        <v>7</v>
      </c>
      <c r="C208">
        <f t="shared" si="50"/>
        <v>17</v>
      </c>
      <c r="D208">
        <f t="shared" si="50"/>
        <v>16</v>
      </c>
      <c r="E208">
        <f t="shared" si="51"/>
        <v>0</v>
      </c>
      <c r="F208">
        <f t="shared" si="46"/>
        <v>0</v>
      </c>
      <c r="G208">
        <f t="shared" si="52"/>
        <v>0</v>
      </c>
      <c r="H208">
        <f t="shared" si="53"/>
        <v>0</v>
      </c>
      <c r="I208">
        <f t="shared" si="54"/>
        <v>0</v>
      </c>
      <c r="J208">
        <f t="shared" si="47"/>
        <v>0</v>
      </c>
      <c r="K208">
        <f t="shared" si="48"/>
        <v>0</v>
      </c>
      <c r="L208">
        <f t="shared" si="55"/>
        <v>17</v>
      </c>
      <c r="M208">
        <f t="shared" si="56"/>
        <v>16</v>
      </c>
      <c r="N208">
        <f t="shared" si="57"/>
        <v>0</v>
      </c>
      <c r="O208">
        <f t="shared" si="58"/>
        <v>0</v>
      </c>
      <c r="P208">
        <f t="shared" si="49"/>
        <v>0</v>
      </c>
      <c r="Q208">
        <f t="shared" si="59"/>
        <v>17</v>
      </c>
      <c r="R208">
        <f t="shared" si="59"/>
        <v>16</v>
      </c>
    </row>
    <row r="209" spans="1:18" x14ac:dyDescent="0.25">
      <c r="A209" s="1">
        <v>44858</v>
      </c>
      <c r="B209">
        <f t="shared" si="45"/>
        <v>1</v>
      </c>
      <c r="C209">
        <f t="shared" si="50"/>
        <v>17</v>
      </c>
      <c r="D209">
        <f t="shared" si="50"/>
        <v>16</v>
      </c>
      <c r="E209">
        <f t="shared" si="51"/>
        <v>1</v>
      </c>
      <c r="F209">
        <f t="shared" si="46"/>
        <v>1</v>
      </c>
      <c r="G209">
        <f t="shared" si="52"/>
        <v>0</v>
      </c>
      <c r="H209">
        <f t="shared" si="53"/>
        <v>0</v>
      </c>
      <c r="I209">
        <f t="shared" si="54"/>
        <v>0</v>
      </c>
      <c r="J209">
        <f t="shared" si="47"/>
        <v>0</v>
      </c>
      <c r="K209">
        <f t="shared" si="48"/>
        <v>0</v>
      </c>
      <c r="L209">
        <f t="shared" si="55"/>
        <v>16</v>
      </c>
      <c r="M209">
        <f t="shared" si="56"/>
        <v>16</v>
      </c>
      <c r="N209">
        <f t="shared" si="57"/>
        <v>1</v>
      </c>
      <c r="O209">
        <f t="shared" si="58"/>
        <v>5</v>
      </c>
      <c r="P209">
        <f t="shared" si="49"/>
        <v>4</v>
      </c>
      <c r="Q209">
        <f t="shared" si="59"/>
        <v>11</v>
      </c>
      <c r="R209">
        <f t="shared" si="59"/>
        <v>12</v>
      </c>
    </row>
    <row r="210" spans="1:18" x14ac:dyDescent="0.25">
      <c r="A210" s="1">
        <v>44859</v>
      </c>
      <c r="B210">
        <f t="shared" si="45"/>
        <v>2</v>
      </c>
      <c r="C210">
        <f t="shared" si="50"/>
        <v>11</v>
      </c>
      <c r="D210">
        <f t="shared" si="50"/>
        <v>12</v>
      </c>
      <c r="E210">
        <f t="shared" si="51"/>
        <v>0</v>
      </c>
      <c r="F210">
        <f t="shared" si="46"/>
        <v>0</v>
      </c>
      <c r="G210">
        <f t="shared" si="52"/>
        <v>0</v>
      </c>
      <c r="H210">
        <f t="shared" si="53"/>
        <v>0</v>
      </c>
      <c r="I210">
        <f t="shared" si="54"/>
        <v>0</v>
      </c>
      <c r="J210">
        <f t="shared" si="47"/>
        <v>0</v>
      </c>
      <c r="K210">
        <f t="shared" si="48"/>
        <v>0</v>
      </c>
      <c r="L210">
        <f t="shared" si="55"/>
        <v>11</v>
      </c>
      <c r="M210">
        <f t="shared" si="56"/>
        <v>12</v>
      </c>
      <c r="N210">
        <f t="shared" si="57"/>
        <v>1</v>
      </c>
      <c r="O210">
        <f t="shared" si="58"/>
        <v>4</v>
      </c>
      <c r="P210">
        <f t="shared" si="49"/>
        <v>3</v>
      </c>
      <c r="Q210">
        <f t="shared" si="59"/>
        <v>7</v>
      </c>
      <c r="R210">
        <f t="shared" si="59"/>
        <v>9</v>
      </c>
    </row>
    <row r="211" spans="1:18" x14ac:dyDescent="0.25">
      <c r="A211" s="1">
        <v>44860</v>
      </c>
      <c r="B211">
        <f t="shared" si="45"/>
        <v>3</v>
      </c>
      <c r="C211">
        <f t="shared" si="50"/>
        <v>7</v>
      </c>
      <c r="D211">
        <f t="shared" si="50"/>
        <v>9</v>
      </c>
      <c r="E211">
        <f t="shared" si="51"/>
        <v>0</v>
      </c>
      <c r="F211">
        <f t="shared" si="46"/>
        <v>0</v>
      </c>
      <c r="G211">
        <f t="shared" si="52"/>
        <v>0</v>
      </c>
      <c r="H211">
        <f t="shared" si="53"/>
        <v>0</v>
      </c>
      <c r="I211">
        <f t="shared" si="54"/>
        <v>0</v>
      </c>
      <c r="J211">
        <f t="shared" si="47"/>
        <v>0</v>
      </c>
      <c r="K211">
        <f t="shared" si="48"/>
        <v>0</v>
      </c>
      <c r="L211">
        <f t="shared" si="55"/>
        <v>7</v>
      </c>
      <c r="M211">
        <f t="shared" si="56"/>
        <v>9</v>
      </c>
      <c r="N211">
        <f t="shared" si="57"/>
        <v>1</v>
      </c>
      <c r="O211">
        <f t="shared" si="58"/>
        <v>3</v>
      </c>
      <c r="P211">
        <f t="shared" si="49"/>
        <v>2</v>
      </c>
      <c r="Q211">
        <f t="shared" si="59"/>
        <v>4</v>
      </c>
      <c r="R211">
        <f t="shared" si="59"/>
        <v>7</v>
      </c>
    </row>
    <row r="212" spans="1:18" x14ac:dyDescent="0.25">
      <c r="A212" s="1">
        <v>44861</v>
      </c>
      <c r="B212">
        <f t="shared" si="45"/>
        <v>4</v>
      </c>
      <c r="C212">
        <f t="shared" si="50"/>
        <v>4</v>
      </c>
      <c r="D212">
        <f t="shared" si="50"/>
        <v>7</v>
      </c>
      <c r="E212">
        <f t="shared" si="51"/>
        <v>0</v>
      </c>
      <c r="F212">
        <f t="shared" si="46"/>
        <v>0</v>
      </c>
      <c r="G212">
        <f t="shared" si="52"/>
        <v>1</v>
      </c>
      <c r="H212">
        <f t="shared" si="53"/>
        <v>50</v>
      </c>
      <c r="I212">
        <f t="shared" si="54"/>
        <v>25</v>
      </c>
      <c r="J212">
        <f t="shared" si="47"/>
        <v>0</v>
      </c>
      <c r="K212">
        <f t="shared" si="48"/>
        <v>0</v>
      </c>
      <c r="L212">
        <f t="shared" si="55"/>
        <v>54</v>
      </c>
      <c r="M212">
        <f t="shared" si="56"/>
        <v>32</v>
      </c>
      <c r="N212">
        <f t="shared" si="57"/>
        <v>1</v>
      </c>
      <c r="O212">
        <f t="shared" si="58"/>
        <v>17</v>
      </c>
      <c r="P212">
        <f t="shared" si="49"/>
        <v>7</v>
      </c>
      <c r="Q212">
        <f t="shared" si="59"/>
        <v>37</v>
      </c>
      <c r="R212">
        <f t="shared" si="59"/>
        <v>25</v>
      </c>
    </row>
    <row r="213" spans="1:18" x14ac:dyDescent="0.25">
      <c r="A213" s="1">
        <v>44862</v>
      </c>
      <c r="B213">
        <f t="shared" si="45"/>
        <v>5</v>
      </c>
      <c r="C213">
        <f t="shared" si="50"/>
        <v>37</v>
      </c>
      <c r="D213">
        <f t="shared" si="50"/>
        <v>25</v>
      </c>
      <c r="E213">
        <f t="shared" si="51"/>
        <v>0</v>
      </c>
      <c r="F213">
        <f t="shared" si="46"/>
        <v>0</v>
      </c>
      <c r="G213">
        <f t="shared" si="52"/>
        <v>0</v>
      </c>
      <c r="H213">
        <f t="shared" si="53"/>
        <v>0</v>
      </c>
      <c r="I213">
        <f t="shared" si="54"/>
        <v>0</v>
      </c>
      <c r="J213">
        <f t="shared" si="47"/>
        <v>0</v>
      </c>
      <c r="K213">
        <f t="shared" si="48"/>
        <v>0</v>
      </c>
      <c r="L213">
        <f t="shared" si="55"/>
        <v>37</v>
      </c>
      <c r="M213">
        <f t="shared" si="56"/>
        <v>25</v>
      </c>
      <c r="N213">
        <f t="shared" si="57"/>
        <v>1</v>
      </c>
      <c r="O213">
        <f t="shared" si="58"/>
        <v>12</v>
      </c>
      <c r="P213">
        <f t="shared" si="49"/>
        <v>5</v>
      </c>
      <c r="Q213">
        <f t="shared" si="59"/>
        <v>25</v>
      </c>
      <c r="R213">
        <f t="shared" si="59"/>
        <v>20</v>
      </c>
    </row>
    <row r="214" spans="1:18" x14ac:dyDescent="0.25">
      <c r="A214" s="1">
        <v>44863</v>
      </c>
      <c r="B214">
        <f t="shared" si="45"/>
        <v>6</v>
      </c>
      <c r="C214">
        <f t="shared" si="50"/>
        <v>25</v>
      </c>
      <c r="D214">
        <f t="shared" si="50"/>
        <v>20</v>
      </c>
      <c r="E214">
        <f t="shared" si="51"/>
        <v>0</v>
      </c>
      <c r="F214">
        <f t="shared" si="46"/>
        <v>0</v>
      </c>
      <c r="G214">
        <f t="shared" si="52"/>
        <v>0</v>
      </c>
      <c r="H214">
        <f t="shared" si="53"/>
        <v>0</v>
      </c>
      <c r="I214">
        <f t="shared" si="54"/>
        <v>0</v>
      </c>
      <c r="J214">
        <f t="shared" si="47"/>
        <v>0</v>
      </c>
      <c r="K214">
        <f t="shared" si="48"/>
        <v>0</v>
      </c>
      <c r="L214">
        <f t="shared" si="55"/>
        <v>25</v>
      </c>
      <c r="M214">
        <f t="shared" si="56"/>
        <v>20</v>
      </c>
      <c r="N214">
        <f t="shared" si="57"/>
        <v>1</v>
      </c>
      <c r="O214">
        <f t="shared" si="58"/>
        <v>8</v>
      </c>
      <c r="P214">
        <f t="shared" si="49"/>
        <v>4</v>
      </c>
      <c r="Q214">
        <f t="shared" si="59"/>
        <v>17</v>
      </c>
      <c r="R214">
        <f t="shared" si="59"/>
        <v>16</v>
      </c>
    </row>
    <row r="215" spans="1:18" x14ac:dyDescent="0.25">
      <c r="A215" s="1">
        <v>44864</v>
      </c>
      <c r="B215">
        <f t="shared" si="45"/>
        <v>7</v>
      </c>
      <c r="C215">
        <f t="shared" si="50"/>
        <v>17</v>
      </c>
      <c r="D215">
        <f t="shared" si="50"/>
        <v>16</v>
      </c>
      <c r="E215">
        <f t="shared" si="51"/>
        <v>0</v>
      </c>
      <c r="F215">
        <f t="shared" si="46"/>
        <v>0</v>
      </c>
      <c r="G215">
        <f t="shared" si="52"/>
        <v>0</v>
      </c>
      <c r="H215">
        <f t="shared" si="53"/>
        <v>0</v>
      </c>
      <c r="I215">
        <f t="shared" si="54"/>
        <v>0</v>
      </c>
      <c r="J215">
        <f t="shared" si="47"/>
        <v>0</v>
      </c>
      <c r="K215">
        <f t="shared" si="48"/>
        <v>0</v>
      </c>
      <c r="L215">
        <f t="shared" si="55"/>
        <v>17</v>
      </c>
      <c r="M215">
        <f t="shared" si="56"/>
        <v>16</v>
      </c>
      <c r="N215">
        <f t="shared" si="57"/>
        <v>0</v>
      </c>
      <c r="O215">
        <f t="shared" si="58"/>
        <v>0</v>
      </c>
      <c r="P215">
        <f t="shared" si="49"/>
        <v>0</v>
      </c>
      <c r="Q215">
        <f t="shared" si="59"/>
        <v>17</v>
      </c>
      <c r="R215">
        <f t="shared" si="59"/>
        <v>16</v>
      </c>
    </row>
    <row r="216" spans="1:18" x14ac:dyDescent="0.25">
      <c r="A216" s="1">
        <v>44865</v>
      </c>
      <c r="B216">
        <f t="shared" si="45"/>
        <v>1</v>
      </c>
      <c r="C216">
        <f t="shared" si="50"/>
        <v>17</v>
      </c>
      <c r="D216">
        <f t="shared" si="50"/>
        <v>16</v>
      </c>
      <c r="E216">
        <f t="shared" si="51"/>
        <v>1</v>
      </c>
      <c r="F216">
        <f t="shared" si="46"/>
        <v>1</v>
      </c>
      <c r="G216">
        <f t="shared" si="52"/>
        <v>0</v>
      </c>
      <c r="H216">
        <f t="shared" si="53"/>
        <v>0</v>
      </c>
      <c r="I216">
        <f t="shared" si="54"/>
        <v>0</v>
      </c>
      <c r="J216">
        <f t="shared" si="47"/>
        <v>0</v>
      </c>
      <c r="K216">
        <f t="shared" si="48"/>
        <v>0</v>
      </c>
      <c r="L216">
        <f t="shared" si="55"/>
        <v>16</v>
      </c>
      <c r="M216">
        <f t="shared" si="56"/>
        <v>16</v>
      </c>
      <c r="N216">
        <f t="shared" si="57"/>
        <v>1</v>
      </c>
      <c r="O216">
        <f t="shared" si="58"/>
        <v>5</v>
      </c>
      <c r="P216">
        <f t="shared" si="49"/>
        <v>4</v>
      </c>
      <c r="Q216">
        <f t="shared" si="59"/>
        <v>11</v>
      </c>
      <c r="R216">
        <f t="shared" si="59"/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B5C3A-377B-4F24-B38F-971E94A643BE}">
  <dimension ref="A1:X215"/>
  <sheetViews>
    <sheetView topLeftCell="O1" workbookViewId="0">
      <pane ySplit="1" topLeftCell="A2" activePane="bottomLeft" state="frozen"/>
      <selection pane="bottomLeft" activeCell="AC3" sqref="AC3"/>
    </sheetView>
  </sheetViews>
  <sheetFormatPr defaultRowHeight="15" x14ac:dyDescent="0.25"/>
  <cols>
    <col min="1" max="1" width="10.140625" bestFit="1" customWidth="1"/>
    <col min="2" max="2" width="14.140625" bestFit="1" customWidth="1"/>
    <col min="3" max="3" width="11.28515625" bestFit="1" customWidth="1"/>
    <col min="4" max="4" width="9.85546875" bestFit="1" customWidth="1"/>
    <col min="5" max="5" width="11.7109375" bestFit="1" customWidth="1"/>
    <col min="6" max="6" width="11.7109375" customWidth="1"/>
    <col min="7" max="7" width="11.5703125" bestFit="1" customWidth="1"/>
    <col min="9" max="9" width="8.42578125" bestFit="1" customWidth="1"/>
    <col min="10" max="10" width="14.28515625" bestFit="1" customWidth="1"/>
    <col min="11" max="11" width="19.85546875" bestFit="1" customWidth="1"/>
    <col min="12" max="12" width="11.7109375" bestFit="1" customWidth="1"/>
    <col min="13" max="13" width="9.85546875" bestFit="1" customWidth="1"/>
    <col min="14" max="14" width="11.85546875" bestFit="1" customWidth="1"/>
    <col min="15" max="15" width="20" bestFit="1" customWidth="1"/>
    <col min="16" max="16" width="19.28515625" bestFit="1" customWidth="1"/>
    <col min="17" max="17" width="10.5703125" bestFit="1" customWidth="1"/>
    <col min="18" max="18" width="9.85546875" bestFit="1" customWidth="1"/>
    <col min="22" max="22" width="10.140625" bestFit="1" customWidth="1"/>
    <col min="23" max="23" width="20" bestFit="1" customWidth="1"/>
    <col min="24" max="24" width="19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14</v>
      </c>
      <c r="F1" t="s">
        <v>15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3</v>
      </c>
      <c r="N1" t="s">
        <v>10</v>
      </c>
      <c r="O1" t="s">
        <v>11</v>
      </c>
      <c r="P1" t="s">
        <v>12</v>
      </c>
      <c r="Q1" t="s">
        <v>13</v>
      </c>
      <c r="R1" t="s">
        <v>3</v>
      </c>
    </row>
    <row r="2" spans="1:24" x14ac:dyDescent="0.25">
      <c r="A2" s="1">
        <v>44652</v>
      </c>
      <c r="B2">
        <f>WEEKDAY(A2, 2)</f>
        <v>5</v>
      </c>
      <c r="C2">
        <v>100</v>
      </c>
      <c r="D2">
        <v>75</v>
      </c>
      <c r="E2">
        <f>IF(B2=1,1,0)</f>
        <v>0</v>
      </c>
      <c r="F2">
        <f>IF(E2=1,ROUNDUP(5% * C2,0),0)</f>
        <v>0</v>
      </c>
      <c r="G2">
        <f>IF(B2=4,1,0)</f>
        <v>0</v>
      </c>
      <c r="H2">
        <f>IF(G2=1,50,0)</f>
        <v>0</v>
      </c>
      <c r="I2">
        <f>IF(G2=1,25,0)</f>
        <v>0</v>
      </c>
      <c r="J2">
        <v>0</v>
      </c>
      <c r="K2">
        <f>IF(J2=1,15,0)</f>
        <v>0</v>
      </c>
      <c r="L2">
        <f>K2+H2+C2-F2</f>
        <v>100</v>
      </c>
      <c r="M2">
        <f>I2+D2</f>
        <v>75</v>
      </c>
      <c r="N2">
        <f>IF(B2&lt;&gt;7,1,0)</f>
        <v>1</v>
      </c>
      <c r="O2">
        <f>IF(N2=1,ROUNDUP(30% * L2,0),0)</f>
        <v>30</v>
      </c>
      <c r="P2">
        <f>IF(N2=1,ROUNDUP(20% * M2,0),0)</f>
        <v>15</v>
      </c>
      <c r="Q2">
        <f>L2-O2</f>
        <v>70</v>
      </c>
      <c r="R2">
        <f>M2-P2</f>
        <v>60</v>
      </c>
    </row>
    <row r="3" spans="1:24" x14ac:dyDescent="0.25">
      <c r="A3" s="1">
        <v>44653</v>
      </c>
      <c r="B3">
        <f t="shared" ref="B3:B66" si="0">WEEKDAY(A3, 2)</f>
        <v>6</v>
      </c>
      <c r="C3">
        <f>Q2</f>
        <v>70</v>
      </c>
      <c r="D3">
        <f>R2</f>
        <v>60</v>
      </c>
      <c r="E3">
        <f>IF(B3=1,1,0)</f>
        <v>0</v>
      </c>
      <c r="F3">
        <f t="shared" ref="F3:F66" si="1">IF(E3=1,ROUNDUP(5% * C3,0),0)</f>
        <v>0</v>
      </c>
      <c r="G3">
        <f>IF(B3=4,1,0)</f>
        <v>0</v>
      </c>
      <c r="H3">
        <f>IF(G3=1,50,0)</f>
        <v>0</v>
      </c>
      <c r="I3">
        <f>IF(G3=1,25,0)</f>
        <v>0</v>
      </c>
      <c r="J3">
        <f>IF(AND(B3=1,SUM(O1:O1)&gt;25),1,0)</f>
        <v>0</v>
      </c>
      <c r="K3">
        <f t="shared" ref="K3:K66" si="2">IF(J3=1,15,0)</f>
        <v>0</v>
      </c>
      <c r="L3">
        <f>K3+H3+C3-F3</f>
        <v>70</v>
      </c>
      <c r="M3">
        <f>I3+D3</f>
        <v>60</v>
      </c>
      <c r="N3">
        <f>IF(B3&lt;&gt;7,1,0)</f>
        <v>1</v>
      </c>
      <c r="O3">
        <f>IF(N3=1,ROUNDUP(30% * L3,0),0)</f>
        <v>21</v>
      </c>
      <c r="P3">
        <f t="shared" ref="P3:P66" si="3">IF(N3=1,ROUNDUP(20% * M3,0),0)</f>
        <v>12</v>
      </c>
      <c r="Q3">
        <f>L3-O3</f>
        <v>49</v>
      </c>
      <c r="R3">
        <f>M3-P3</f>
        <v>48</v>
      </c>
      <c r="V3" t="s">
        <v>0</v>
      </c>
      <c r="W3" t="s">
        <v>11</v>
      </c>
      <c r="X3" t="s">
        <v>12</v>
      </c>
    </row>
    <row r="4" spans="1:24" x14ac:dyDescent="0.25">
      <c r="A4" s="1">
        <v>44654</v>
      </c>
      <c r="B4">
        <f t="shared" si="0"/>
        <v>7</v>
      </c>
      <c r="C4">
        <f t="shared" ref="C4:D67" si="4">Q3</f>
        <v>49</v>
      </c>
      <c r="D4">
        <f t="shared" si="4"/>
        <v>48</v>
      </c>
      <c r="E4">
        <f t="shared" ref="E4:E67" si="5">IF(B4=1,1,0)</f>
        <v>0</v>
      </c>
      <c r="F4">
        <f t="shared" si="1"/>
        <v>0</v>
      </c>
      <c r="G4">
        <f t="shared" ref="G4:G67" si="6">IF(B4=4,1,0)</f>
        <v>0</v>
      </c>
      <c r="H4">
        <f t="shared" ref="H4:H67" si="7">IF(G4=1,50,0)</f>
        <v>0</v>
      </c>
      <c r="I4">
        <f t="shared" ref="I4:I67" si="8">IF(G4=1,25,0)</f>
        <v>0</v>
      </c>
      <c r="J4">
        <f t="shared" ref="J4:J66" si="9">IF(AND(B4=1,SUM(O1:O2)&gt;25),1,0)</f>
        <v>0</v>
      </c>
      <c r="K4">
        <f t="shared" si="2"/>
        <v>0</v>
      </c>
      <c r="L4">
        <f t="shared" ref="L4:L67" si="10">K4+H4+C4-F4</f>
        <v>49</v>
      </c>
      <c r="M4">
        <f t="shared" ref="M4:M67" si="11">I4+D4</f>
        <v>48</v>
      </c>
      <c r="N4">
        <f t="shared" ref="N4:N67" si="12">IF(B4&lt;&gt;7,1,0)</f>
        <v>0</v>
      </c>
      <c r="O4">
        <f t="shared" ref="O4:O67" si="13">IF(N4=1,ROUNDUP(30% * L4,0),0)</f>
        <v>0</v>
      </c>
      <c r="P4">
        <f t="shared" si="3"/>
        <v>0</v>
      </c>
      <c r="Q4">
        <f t="shared" ref="Q4:R67" si="14">L4-O4</f>
        <v>49</v>
      </c>
      <c r="R4">
        <f t="shared" si="14"/>
        <v>48</v>
      </c>
      <c r="V4" s="1">
        <v>44743</v>
      </c>
      <c r="W4">
        <v>12</v>
      </c>
      <c r="X4">
        <v>5</v>
      </c>
    </row>
    <row r="5" spans="1:24" x14ac:dyDescent="0.25">
      <c r="A5" s="1">
        <v>44655</v>
      </c>
      <c r="B5">
        <f t="shared" si="0"/>
        <v>1</v>
      </c>
      <c r="C5">
        <f t="shared" si="4"/>
        <v>49</v>
      </c>
      <c r="D5">
        <f t="shared" si="4"/>
        <v>48</v>
      </c>
      <c r="E5">
        <f t="shared" si="5"/>
        <v>1</v>
      </c>
      <c r="F5">
        <f t="shared" si="1"/>
        <v>3</v>
      </c>
      <c r="G5">
        <f t="shared" si="6"/>
        <v>0</v>
      </c>
      <c r="H5">
        <f t="shared" si="7"/>
        <v>0</v>
      </c>
      <c r="I5">
        <f t="shared" si="8"/>
        <v>0</v>
      </c>
      <c r="J5">
        <f t="shared" si="9"/>
        <v>1</v>
      </c>
      <c r="K5">
        <f t="shared" si="2"/>
        <v>15</v>
      </c>
      <c r="L5">
        <f t="shared" si="10"/>
        <v>61</v>
      </c>
      <c r="M5">
        <f t="shared" si="11"/>
        <v>48</v>
      </c>
      <c r="N5">
        <f t="shared" si="12"/>
        <v>1</v>
      </c>
      <c r="O5">
        <f t="shared" si="13"/>
        <v>19</v>
      </c>
      <c r="P5">
        <f t="shared" si="3"/>
        <v>10</v>
      </c>
      <c r="Q5">
        <f t="shared" si="14"/>
        <v>42</v>
      </c>
      <c r="R5">
        <f t="shared" si="14"/>
        <v>38</v>
      </c>
      <c r="V5" s="1">
        <v>44744</v>
      </c>
      <c r="W5">
        <v>8</v>
      </c>
      <c r="X5">
        <v>4</v>
      </c>
    </row>
    <row r="6" spans="1:24" x14ac:dyDescent="0.25">
      <c r="A6" s="1">
        <v>44656</v>
      </c>
      <c r="B6">
        <f t="shared" si="0"/>
        <v>2</v>
      </c>
      <c r="C6">
        <f t="shared" si="4"/>
        <v>42</v>
      </c>
      <c r="D6">
        <f t="shared" si="4"/>
        <v>38</v>
      </c>
      <c r="E6">
        <f t="shared" si="5"/>
        <v>0</v>
      </c>
      <c r="F6">
        <f t="shared" si="1"/>
        <v>0</v>
      </c>
      <c r="G6">
        <f t="shared" si="6"/>
        <v>0</v>
      </c>
      <c r="H6">
        <f t="shared" si="7"/>
        <v>0</v>
      </c>
      <c r="I6">
        <f t="shared" si="8"/>
        <v>0</v>
      </c>
      <c r="J6">
        <f t="shared" si="9"/>
        <v>0</v>
      </c>
      <c r="K6">
        <f t="shared" si="2"/>
        <v>0</v>
      </c>
      <c r="L6">
        <f t="shared" si="10"/>
        <v>42</v>
      </c>
      <c r="M6">
        <f t="shared" si="11"/>
        <v>38</v>
      </c>
      <c r="N6">
        <f t="shared" si="12"/>
        <v>1</v>
      </c>
      <c r="O6">
        <f t="shared" si="13"/>
        <v>13</v>
      </c>
      <c r="P6">
        <f t="shared" si="3"/>
        <v>8</v>
      </c>
      <c r="Q6">
        <f t="shared" si="14"/>
        <v>29</v>
      </c>
      <c r="R6">
        <f t="shared" si="14"/>
        <v>30</v>
      </c>
      <c r="V6" s="1">
        <v>44745</v>
      </c>
      <c r="W6">
        <v>0</v>
      </c>
      <c r="X6">
        <v>0</v>
      </c>
    </row>
    <row r="7" spans="1:24" x14ac:dyDescent="0.25">
      <c r="A7" s="1">
        <v>44657</v>
      </c>
      <c r="B7">
        <f t="shared" si="0"/>
        <v>3</v>
      </c>
      <c r="C7">
        <f t="shared" si="4"/>
        <v>29</v>
      </c>
      <c r="D7">
        <f t="shared" si="4"/>
        <v>30</v>
      </c>
      <c r="E7">
        <f t="shared" si="5"/>
        <v>0</v>
      </c>
      <c r="F7">
        <f t="shared" si="1"/>
        <v>0</v>
      </c>
      <c r="G7">
        <f t="shared" si="6"/>
        <v>0</v>
      </c>
      <c r="H7">
        <f t="shared" si="7"/>
        <v>0</v>
      </c>
      <c r="I7">
        <f t="shared" si="8"/>
        <v>0</v>
      </c>
      <c r="J7">
        <f t="shared" si="9"/>
        <v>0</v>
      </c>
      <c r="K7">
        <f t="shared" si="2"/>
        <v>0</v>
      </c>
      <c r="L7">
        <f t="shared" si="10"/>
        <v>29</v>
      </c>
      <c r="M7">
        <f t="shared" si="11"/>
        <v>30</v>
      </c>
      <c r="N7">
        <f t="shared" si="12"/>
        <v>1</v>
      </c>
      <c r="O7">
        <f t="shared" si="13"/>
        <v>9</v>
      </c>
      <c r="P7">
        <f t="shared" si="3"/>
        <v>6</v>
      </c>
      <c r="Q7">
        <f t="shared" si="14"/>
        <v>20</v>
      </c>
      <c r="R7">
        <f t="shared" si="14"/>
        <v>24</v>
      </c>
      <c r="V7" s="1">
        <v>44746</v>
      </c>
      <c r="W7">
        <v>5</v>
      </c>
      <c r="X7">
        <v>4</v>
      </c>
    </row>
    <row r="8" spans="1:24" x14ac:dyDescent="0.25">
      <c r="A8" s="1">
        <v>44658</v>
      </c>
      <c r="B8">
        <f t="shared" si="0"/>
        <v>4</v>
      </c>
      <c r="C8">
        <f t="shared" si="4"/>
        <v>20</v>
      </c>
      <c r="D8">
        <f t="shared" si="4"/>
        <v>24</v>
      </c>
      <c r="E8">
        <f t="shared" si="5"/>
        <v>0</v>
      </c>
      <c r="F8">
        <f t="shared" si="1"/>
        <v>0</v>
      </c>
      <c r="G8">
        <f t="shared" si="6"/>
        <v>1</v>
      </c>
      <c r="H8">
        <f t="shared" si="7"/>
        <v>50</v>
      </c>
      <c r="I8">
        <f t="shared" si="8"/>
        <v>25</v>
      </c>
      <c r="J8">
        <f t="shared" si="9"/>
        <v>0</v>
      </c>
      <c r="K8">
        <f t="shared" si="2"/>
        <v>0</v>
      </c>
      <c r="L8">
        <f t="shared" si="10"/>
        <v>70</v>
      </c>
      <c r="M8">
        <f t="shared" si="11"/>
        <v>49</v>
      </c>
      <c r="N8">
        <f t="shared" si="12"/>
        <v>1</v>
      </c>
      <c r="O8">
        <f t="shared" si="13"/>
        <v>21</v>
      </c>
      <c r="P8">
        <f t="shared" si="3"/>
        <v>10</v>
      </c>
      <c r="Q8">
        <f t="shared" si="14"/>
        <v>49</v>
      </c>
      <c r="R8">
        <f t="shared" si="14"/>
        <v>39</v>
      </c>
      <c r="V8" s="1">
        <v>44747</v>
      </c>
      <c r="W8">
        <v>4</v>
      </c>
      <c r="X8">
        <v>3</v>
      </c>
    </row>
    <row r="9" spans="1:24" x14ac:dyDescent="0.25">
      <c r="A9" s="1">
        <v>44659</v>
      </c>
      <c r="B9">
        <f t="shared" si="0"/>
        <v>5</v>
      </c>
      <c r="C9">
        <f t="shared" si="4"/>
        <v>49</v>
      </c>
      <c r="D9">
        <f t="shared" si="4"/>
        <v>39</v>
      </c>
      <c r="E9">
        <f t="shared" si="5"/>
        <v>0</v>
      </c>
      <c r="F9">
        <f t="shared" si="1"/>
        <v>0</v>
      </c>
      <c r="G9">
        <f t="shared" si="6"/>
        <v>0</v>
      </c>
      <c r="H9">
        <f t="shared" si="7"/>
        <v>0</v>
      </c>
      <c r="I9">
        <f t="shared" si="8"/>
        <v>0</v>
      </c>
      <c r="J9">
        <f t="shared" si="9"/>
        <v>0</v>
      </c>
      <c r="K9">
        <f t="shared" si="2"/>
        <v>0</v>
      </c>
      <c r="L9">
        <f t="shared" si="10"/>
        <v>49</v>
      </c>
      <c r="M9">
        <f t="shared" si="11"/>
        <v>39</v>
      </c>
      <c r="N9">
        <f t="shared" si="12"/>
        <v>1</v>
      </c>
      <c r="O9">
        <f t="shared" si="13"/>
        <v>15</v>
      </c>
      <c r="P9">
        <f t="shared" si="3"/>
        <v>8</v>
      </c>
      <c r="Q9">
        <f t="shared" si="14"/>
        <v>34</v>
      </c>
      <c r="R9">
        <f t="shared" si="14"/>
        <v>31</v>
      </c>
      <c r="V9" s="1">
        <v>44748</v>
      </c>
      <c r="W9">
        <v>3</v>
      </c>
      <c r="X9">
        <v>2</v>
      </c>
    </row>
    <row r="10" spans="1:24" x14ac:dyDescent="0.25">
      <c r="A10" s="1">
        <v>44660</v>
      </c>
      <c r="B10">
        <f t="shared" si="0"/>
        <v>6</v>
      </c>
      <c r="C10">
        <f t="shared" si="4"/>
        <v>34</v>
      </c>
      <c r="D10">
        <f t="shared" si="4"/>
        <v>31</v>
      </c>
      <c r="E10">
        <f t="shared" si="5"/>
        <v>0</v>
      </c>
      <c r="F10">
        <f t="shared" si="1"/>
        <v>0</v>
      </c>
      <c r="G10">
        <f t="shared" si="6"/>
        <v>0</v>
      </c>
      <c r="H10">
        <f t="shared" si="7"/>
        <v>0</v>
      </c>
      <c r="I10">
        <f t="shared" si="8"/>
        <v>0</v>
      </c>
      <c r="J10">
        <f t="shared" si="9"/>
        <v>0</v>
      </c>
      <c r="K10">
        <f t="shared" si="2"/>
        <v>0</v>
      </c>
      <c r="L10">
        <f t="shared" si="10"/>
        <v>34</v>
      </c>
      <c r="M10">
        <f t="shared" si="11"/>
        <v>31</v>
      </c>
      <c r="N10">
        <f t="shared" si="12"/>
        <v>1</v>
      </c>
      <c r="O10">
        <f t="shared" si="13"/>
        <v>11</v>
      </c>
      <c r="P10">
        <f t="shared" si="3"/>
        <v>7</v>
      </c>
      <c r="Q10">
        <f t="shared" si="14"/>
        <v>23</v>
      </c>
      <c r="R10">
        <f t="shared" si="14"/>
        <v>24</v>
      </c>
      <c r="V10" s="1">
        <v>44749</v>
      </c>
      <c r="W10">
        <v>17</v>
      </c>
      <c r="X10">
        <v>7</v>
      </c>
    </row>
    <row r="11" spans="1:24" x14ac:dyDescent="0.25">
      <c r="A11" s="1">
        <v>44661</v>
      </c>
      <c r="B11">
        <f t="shared" si="0"/>
        <v>7</v>
      </c>
      <c r="C11">
        <f t="shared" si="4"/>
        <v>23</v>
      </c>
      <c r="D11">
        <f t="shared" si="4"/>
        <v>24</v>
      </c>
      <c r="E11">
        <f t="shared" si="5"/>
        <v>0</v>
      </c>
      <c r="F11">
        <f t="shared" si="1"/>
        <v>0</v>
      </c>
      <c r="G11">
        <f t="shared" si="6"/>
        <v>0</v>
      </c>
      <c r="H11">
        <f t="shared" si="7"/>
        <v>0</v>
      </c>
      <c r="I11">
        <f t="shared" si="8"/>
        <v>0</v>
      </c>
      <c r="J11">
        <f t="shared" si="9"/>
        <v>0</v>
      </c>
      <c r="K11">
        <f t="shared" si="2"/>
        <v>0</v>
      </c>
      <c r="L11">
        <f t="shared" si="10"/>
        <v>23</v>
      </c>
      <c r="M11">
        <f t="shared" si="11"/>
        <v>24</v>
      </c>
      <c r="N11">
        <f t="shared" si="12"/>
        <v>0</v>
      </c>
      <c r="O11">
        <f t="shared" si="13"/>
        <v>0</v>
      </c>
      <c r="P11">
        <f t="shared" si="3"/>
        <v>0</v>
      </c>
      <c r="Q11">
        <f t="shared" si="14"/>
        <v>23</v>
      </c>
      <c r="R11">
        <f t="shared" si="14"/>
        <v>24</v>
      </c>
      <c r="V11" s="1">
        <v>44750</v>
      </c>
      <c r="W11">
        <v>12</v>
      </c>
      <c r="X11">
        <v>5</v>
      </c>
    </row>
    <row r="12" spans="1:24" x14ac:dyDescent="0.25">
      <c r="A12" s="1">
        <v>44662</v>
      </c>
      <c r="B12">
        <f t="shared" si="0"/>
        <v>1</v>
      </c>
      <c r="C12">
        <f t="shared" si="4"/>
        <v>23</v>
      </c>
      <c r="D12">
        <f t="shared" si="4"/>
        <v>24</v>
      </c>
      <c r="E12">
        <f t="shared" si="5"/>
        <v>1</v>
      </c>
      <c r="F12">
        <f t="shared" si="1"/>
        <v>2</v>
      </c>
      <c r="G12">
        <f t="shared" si="6"/>
        <v>0</v>
      </c>
      <c r="H12">
        <f t="shared" si="7"/>
        <v>0</v>
      </c>
      <c r="I12">
        <f t="shared" si="8"/>
        <v>0</v>
      </c>
      <c r="J12">
        <f t="shared" si="9"/>
        <v>1</v>
      </c>
      <c r="K12">
        <f t="shared" si="2"/>
        <v>15</v>
      </c>
      <c r="L12">
        <f t="shared" si="10"/>
        <v>36</v>
      </c>
      <c r="M12">
        <f t="shared" si="11"/>
        <v>24</v>
      </c>
      <c r="N12">
        <f t="shared" si="12"/>
        <v>1</v>
      </c>
      <c r="O12">
        <f t="shared" si="13"/>
        <v>11</v>
      </c>
      <c r="P12">
        <f t="shared" si="3"/>
        <v>5</v>
      </c>
      <c r="Q12">
        <f t="shared" si="14"/>
        <v>25</v>
      </c>
      <c r="R12">
        <f t="shared" si="14"/>
        <v>19</v>
      </c>
      <c r="V12" s="1">
        <v>44751</v>
      </c>
      <c r="W12">
        <v>8</v>
      </c>
      <c r="X12">
        <v>4</v>
      </c>
    </row>
    <row r="13" spans="1:24" x14ac:dyDescent="0.25">
      <c r="A13" s="1">
        <v>44663</v>
      </c>
      <c r="B13">
        <f t="shared" si="0"/>
        <v>2</v>
      </c>
      <c r="C13">
        <f t="shared" si="4"/>
        <v>25</v>
      </c>
      <c r="D13">
        <f t="shared" si="4"/>
        <v>19</v>
      </c>
      <c r="E13">
        <f t="shared" si="5"/>
        <v>0</v>
      </c>
      <c r="F13">
        <f t="shared" si="1"/>
        <v>0</v>
      </c>
      <c r="G13">
        <f t="shared" si="6"/>
        <v>0</v>
      </c>
      <c r="H13">
        <f t="shared" si="7"/>
        <v>0</v>
      </c>
      <c r="I13">
        <f t="shared" si="8"/>
        <v>0</v>
      </c>
      <c r="J13">
        <f t="shared" si="9"/>
        <v>0</v>
      </c>
      <c r="K13">
        <f t="shared" si="2"/>
        <v>0</v>
      </c>
      <c r="L13">
        <f t="shared" si="10"/>
        <v>25</v>
      </c>
      <c r="M13">
        <f t="shared" si="11"/>
        <v>19</v>
      </c>
      <c r="N13">
        <f t="shared" si="12"/>
        <v>1</v>
      </c>
      <c r="O13">
        <f t="shared" si="13"/>
        <v>8</v>
      </c>
      <c r="P13">
        <f t="shared" si="3"/>
        <v>4</v>
      </c>
      <c r="Q13">
        <f t="shared" si="14"/>
        <v>17</v>
      </c>
      <c r="R13">
        <f t="shared" si="14"/>
        <v>15</v>
      </c>
      <c r="V13" s="1">
        <v>44752</v>
      </c>
      <c r="W13">
        <v>0</v>
      </c>
      <c r="X13">
        <v>0</v>
      </c>
    </row>
    <row r="14" spans="1:24" x14ac:dyDescent="0.25">
      <c r="A14" s="1">
        <v>44664</v>
      </c>
      <c r="B14">
        <f t="shared" si="0"/>
        <v>3</v>
      </c>
      <c r="C14">
        <f t="shared" si="4"/>
        <v>17</v>
      </c>
      <c r="D14">
        <f t="shared" si="4"/>
        <v>15</v>
      </c>
      <c r="E14">
        <f t="shared" si="5"/>
        <v>0</v>
      </c>
      <c r="F14">
        <f t="shared" si="1"/>
        <v>0</v>
      </c>
      <c r="G14">
        <f t="shared" si="6"/>
        <v>0</v>
      </c>
      <c r="H14">
        <f t="shared" si="7"/>
        <v>0</v>
      </c>
      <c r="I14">
        <f t="shared" si="8"/>
        <v>0</v>
      </c>
      <c r="J14">
        <f t="shared" si="9"/>
        <v>0</v>
      </c>
      <c r="K14">
        <f t="shared" si="2"/>
        <v>0</v>
      </c>
      <c r="L14">
        <f t="shared" si="10"/>
        <v>17</v>
      </c>
      <c r="M14">
        <f t="shared" si="11"/>
        <v>15</v>
      </c>
      <c r="N14">
        <f t="shared" si="12"/>
        <v>1</v>
      </c>
      <c r="O14">
        <f t="shared" si="13"/>
        <v>6</v>
      </c>
      <c r="P14">
        <f t="shared" si="3"/>
        <v>3</v>
      </c>
      <c r="Q14">
        <f t="shared" si="14"/>
        <v>11</v>
      </c>
      <c r="R14">
        <f t="shared" si="14"/>
        <v>12</v>
      </c>
      <c r="V14" s="1">
        <v>44753</v>
      </c>
      <c r="W14">
        <v>5</v>
      </c>
      <c r="X14">
        <v>4</v>
      </c>
    </row>
    <row r="15" spans="1:24" x14ac:dyDescent="0.25">
      <c r="A15" s="1">
        <v>44665</v>
      </c>
      <c r="B15">
        <f t="shared" si="0"/>
        <v>4</v>
      </c>
      <c r="C15">
        <f t="shared" si="4"/>
        <v>11</v>
      </c>
      <c r="D15">
        <f t="shared" si="4"/>
        <v>12</v>
      </c>
      <c r="E15">
        <f t="shared" si="5"/>
        <v>0</v>
      </c>
      <c r="F15">
        <f t="shared" si="1"/>
        <v>0</v>
      </c>
      <c r="G15">
        <f t="shared" si="6"/>
        <v>1</v>
      </c>
      <c r="H15">
        <f t="shared" si="7"/>
        <v>50</v>
      </c>
      <c r="I15">
        <f t="shared" si="8"/>
        <v>25</v>
      </c>
      <c r="J15">
        <f t="shared" si="9"/>
        <v>0</v>
      </c>
      <c r="K15">
        <f t="shared" si="2"/>
        <v>0</v>
      </c>
      <c r="L15">
        <f t="shared" si="10"/>
        <v>61</v>
      </c>
      <c r="M15">
        <f t="shared" si="11"/>
        <v>37</v>
      </c>
      <c r="N15">
        <f t="shared" si="12"/>
        <v>1</v>
      </c>
      <c r="O15">
        <f t="shared" si="13"/>
        <v>19</v>
      </c>
      <c r="P15">
        <f t="shared" si="3"/>
        <v>8</v>
      </c>
      <c r="Q15">
        <f t="shared" si="14"/>
        <v>42</v>
      </c>
      <c r="R15">
        <f t="shared" si="14"/>
        <v>29</v>
      </c>
      <c r="V15" s="1">
        <v>44754</v>
      </c>
      <c r="W15">
        <v>4</v>
      </c>
      <c r="X15">
        <v>3</v>
      </c>
    </row>
    <row r="16" spans="1:24" x14ac:dyDescent="0.25">
      <c r="A16" s="1">
        <v>44666</v>
      </c>
      <c r="B16">
        <f t="shared" si="0"/>
        <v>5</v>
      </c>
      <c r="C16">
        <f t="shared" si="4"/>
        <v>42</v>
      </c>
      <c r="D16">
        <f t="shared" si="4"/>
        <v>29</v>
      </c>
      <c r="E16">
        <f t="shared" si="5"/>
        <v>0</v>
      </c>
      <c r="F16">
        <f t="shared" si="1"/>
        <v>0</v>
      </c>
      <c r="G16">
        <f t="shared" si="6"/>
        <v>0</v>
      </c>
      <c r="H16">
        <f t="shared" si="7"/>
        <v>0</v>
      </c>
      <c r="I16">
        <f t="shared" si="8"/>
        <v>0</v>
      </c>
      <c r="J16">
        <f t="shared" si="9"/>
        <v>0</v>
      </c>
      <c r="K16">
        <f t="shared" si="2"/>
        <v>0</v>
      </c>
      <c r="L16">
        <f t="shared" si="10"/>
        <v>42</v>
      </c>
      <c r="M16">
        <f t="shared" si="11"/>
        <v>29</v>
      </c>
      <c r="N16">
        <f t="shared" si="12"/>
        <v>1</v>
      </c>
      <c r="O16">
        <f t="shared" si="13"/>
        <v>13</v>
      </c>
      <c r="P16">
        <f t="shared" si="3"/>
        <v>6</v>
      </c>
      <c r="Q16">
        <f t="shared" si="14"/>
        <v>29</v>
      </c>
      <c r="R16">
        <f t="shared" si="14"/>
        <v>23</v>
      </c>
      <c r="V16" s="1">
        <v>44755</v>
      </c>
      <c r="W16">
        <v>3</v>
      </c>
      <c r="X16">
        <v>2</v>
      </c>
    </row>
    <row r="17" spans="1:24" x14ac:dyDescent="0.25">
      <c r="A17" s="1">
        <v>44667</v>
      </c>
      <c r="B17">
        <f t="shared" si="0"/>
        <v>6</v>
      </c>
      <c r="C17">
        <f t="shared" si="4"/>
        <v>29</v>
      </c>
      <c r="D17">
        <f t="shared" si="4"/>
        <v>23</v>
      </c>
      <c r="E17">
        <f t="shared" si="5"/>
        <v>0</v>
      </c>
      <c r="F17">
        <f t="shared" si="1"/>
        <v>0</v>
      </c>
      <c r="G17">
        <f t="shared" si="6"/>
        <v>0</v>
      </c>
      <c r="H17">
        <f t="shared" si="7"/>
        <v>0</v>
      </c>
      <c r="I17">
        <f t="shared" si="8"/>
        <v>0</v>
      </c>
      <c r="J17">
        <f t="shared" si="9"/>
        <v>0</v>
      </c>
      <c r="K17">
        <f t="shared" si="2"/>
        <v>0</v>
      </c>
      <c r="L17">
        <f t="shared" si="10"/>
        <v>29</v>
      </c>
      <c r="M17">
        <f t="shared" si="11"/>
        <v>23</v>
      </c>
      <c r="N17">
        <f t="shared" si="12"/>
        <v>1</v>
      </c>
      <c r="O17">
        <f t="shared" si="13"/>
        <v>9</v>
      </c>
      <c r="P17">
        <f t="shared" si="3"/>
        <v>5</v>
      </c>
      <c r="Q17">
        <f t="shared" si="14"/>
        <v>20</v>
      </c>
      <c r="R17">
        <f t="shared" si="14"/>
        <v>18</v>
      </c>
      <c r="V17" s="1">
        <v>44756</v>
      </c>
      <c r="W17">
        <v>17</v>
      </c>
      <c r="X17">
        <v>7</v>
      </c>
    </row>
    <row r="18" spans="1:24" x14ac:dyDescent="0.25">
      <c r="A18" s="1">
        <v>44668</v>
      </c>
      <c r="B18">
        <f t="shared" si="0"/>
        <v>7</v>
      </c>
      <c r="C18">
        <f t="shared" si="4"/>
        <v>20</v>
      </c>
      <c r="D18">
        <f t="shared" si="4"/>
        <v>18</v>
      </c>
      <c r="E18">
        <f t="shared" si="5"/>
        <v>0</v>
      </c>
      <c r="F18">
        <f t="shared" si="1"/>
        <v>0</v>
      </c>
      <c r="G18">
        <f t="shared" si="6"/>
        <v>0</v>
      </c>
      <c r="H18">
        <f t="shared" si="7"/>
        <v>0</v>
      </c>
      <c r="I18">
        <f t="shared" si="8"/>
        <v>0</v>
      </c>
      <c r="J18">
        <f t="shared" si="9"/>
        <v>0</v>
      </c>
      <c r="K18">
        <f t="shared" si="2"/>
        <v>0</v>
      </c>
      <c r="L18">
        <f t="shared" si="10"/>
        <v>20</v>
      </c>
      <c r="M18">
        <f t="shared" si="11"/>
        <v>18</v>
      </c>
      <c r="N18">
        <f t="shared" si="12"/>
        <v>0</v>
      </c>
      <c r="O18">
        <f t="shared" si="13"/>
        <v>0</v>
      </c>
      <c r="P18">
        <f t="shared" si="3"/>
        <v>0</v>
      </c>
      <c r="Q18">
        <f t="shared" si="14"/>
        <v>20</v>
      </c>
      <c r="R18">
        <f t="shared" si="14"/>
        <v>18</v>
      </c>
      <c r="V18" s="1">
        <v>44757</v>
      </c>
      <c r="W18">
        <v>12</v>
      </c>
      <c r="X18">
        <v>5</v>
      </c>
    </row>
    <row r="19" spans="1:24" x14ac:dyDescent="0.25">
      <c r="A19" s="1">
        <v>44669</v>
      </c>
      <c r="B19">
        <f t="shared" si="0"/>
        <v>1</v>
      </c>
      <c r="C19">
        <f t="shared" si="4"/>
        <v>20</v>
      </c>
      <c r="D19">
        <f t="shared" si="4"/>
        <v>18</v>
      </c>
      <c r="E19">
        <f t="shared" si="5"/>
        <v>1</v>
      </c>
      <c r="F19">
        <f t="shared" si="1"/>
        <v>1</v>
      </c>
      <c r="G19">
        <f t="shared" si="6"/>
        <v>0</v>
      </c>
      <c r="H19">
        <f t="shared" si="7"/>
        <v>0</v>
      </c>
      <c r="I19">
        <f t="shared" si="8"/>
        <v>0</v>
      </c>
      <c r="J19">
        <f t="shared" si="9"/>
        <v>0</v>
      </c>
      <c r="K19">
        <f t="shared" si="2"/>
        <v>0</v>
      </c>
      <c r="L19">
        <f t="shared" si="10"/>
        <v>19</v>
      </c>
      <c r="M19">
        <f t="shared" si="11"/>
        <v>18</v>
      </c>
      <c r="N19">
        <f t="shared" si="12"/>
        <v>1</v>
      </c>
      <c r="O19">
        <f t="shared" si="13"/>
        <v>6</v>
      </c>
      <c r="P19">
        <f t="shared" si="3"/>
        <v>4</v>
      </c>
      <c r="Q19">
        <f t="shared" si="14"/>
        <v>13</v>
      </c>
      <c r="R19">
        <f t="shared" si="14"/>
        <v>14</v>
      </c>
      <c r="V19" s="1">
        <v>44758</v>
      </c>
      <c r="W19">
        <v>8</v>
      </c>
      <c r="X19">
        <v>4</v>
      </c>
    </row>
    <row r="20" spans="1:24" x14ac:dyDescent="0.25">
      <c r="A20" s="1">
        <v>44670</v>
      </c>
      <c r="B20">
        <f t="shared" si="0"/>
        <v>2</v>
      </c>
      <c r="C20">
        <f t="shared" si="4"/>
        <v>13</v>
      </c>
      <c r="D20">
        <f t="shared" si="4"/>
        <v>14</v>
      </c>
      <c r="E20">
        <f t="shared" si="5"/>
        <v>0</v>
      </c>
      <c r="F20">
        <f t="shared" si="1"/>
        <v>0</v>
      </c>
      <c r="G20">
        <f t="shared" si="6"/>
        <v>0</v>
      </c>
      <c r="H20">
        <f t="shared" si="7"/>
        <v>0</v>
      </c>
      <c r="I20">
        <f t="shared" si="8"/>
        <v>0</v>
      </c>
      <c r="J20">
        <f t="shared" si="9"/>
        <v>0</v>
      </c>
      <c r="K20">
        <f t="shared" si="2"/>
        <v>0</v>
      </c>
      <c r="L20">
        <f t="shared" si="10"/>
        <v>13</v>
      </c>
      <c r="M20">
        <f t="shared" si="11"/>
        <v>14</v>
      </c>
      <c r="N20">
        <f t="shared" si="12"/>
        <v>1</v>
      </c>
      <c r="O20">
        <f t="shared" si="13"/>
        <v>4</v>
      </c>
      <c r="P20">
        <f t="shared" si="3"/>
        <v>3</v>
      </c>
      <c r="Q20">
        <f t="shared" si="14"/>
        <v>9</v>
      </c>
      <c r="R20">
        <f t="shared" si="14"/>
        <v>11</v>
      </c>
      <c r="V20" s="1">
        <v>44759</v>
      </c>
      <c r="W20">
        <v>0</v>
      </c>
      <c r="X20">
        <v>0</v>
      </c>
    </row>
    <row r="21" spans="1:24" x14ac:dyDescent="0.25">
      <c r="A21" s="1">
        <v>44671</v>
      </c>
      <c r="B21">
        <f t="shared" si="0"/>
        <v>3</v>
      </c>
      <c r="C21">
        <f t="shared" si="4"/>
        <v>9</v>
      </c>
      <c r="D21">
        <f t="shared" si="4"/>
        <v>11</v>
      </c>
      <c r="E21">
        <f t="shared" si="5"/>
        <v>0</v>
      </c>
      <c r="F21">
        <f t="shared" si="1"/>
        <v>0</v>
      </c>
      <c r="G21">
        <f t="shared" si="6"/>
        <v>0</v>
      </c>
      <c r="H21">
        <f t="shared" si="7"/>
        <v>0</v>
      </c>
      <c r="I21">
        <f t="shared" si="8"/>
        <v>0</v>
      </c>
      <c r="J21">
        <f t="shared" si="9"/>
        <v>0</v>
      </c>
      <c r="K21">
        <f t="shared" si="2"/>
        <v>0</v>
      </c>
      <c r="L21">
        <f t="shared" si="10"/>
        <v>9</v>
      </c>
      <c r="M21">
        <f t="shared" si="11"/>
        <v>11</v>
      </c>
      <c r="N21">
        <f t="shared" si="12"/>
        <v>1</v>
      </c>
      <c r="O21">
        <f t="shared" si="13"/>
        <v>3</v>
      </c>
      <c r="P21">
        <f t="shared" si="3"/>
        <v>3</v>
      </c>
      <c r="Q21">
        <f t="shared" si="14"/>
        <v>6</v>
      </c>
      <c r="R21">
        <f t="shared" si="14"/>
        <v>8</v>
      </c>
      <c r="V21" s="1">
        <v>44760</v>
      </c>
      <c r="W21">
        <v>5</v>
      </c>
      <c r="X21">
        <v>4</v>
      </c>
    </row>
    <row r="22" spans="1:24" x14ac:dyDescent="0.25">
      <c r="A22" s="1">
        <v>44672</v>
      </c>
      <c r="B22">
        <f t="shared" si="0"/>
        <v>4</v>
      </c>
      <c r="C22">
        <f t="shared" si="4"/>
        <v>6</v>
      </c>
      <c r="D22">
        <f t="shared" si="4"/>
        <v>8</v>
      </c>
      <c r="E22">
        <f t="shared" si="5"/>
        <v>0</v>
      </c>
      <c r="F22">
        <f t="shared" si="1"/>
        <v>0</v>
      </c>
      <c r="G22">
        <f t="shared" si="6"/>
        <v>1</v>
      </c>
      <c r="H22">
        <f t="shared" si="7"/>
        <v>50</v>
      </c>
      <c r="I22">
        <f t="shared" si="8"/>
        <v>25</v>
      </c>
      <c r="J22">
        <f t="shared" si="9"/>
        <v>0</v>
      </c>
      <c r="K22">
        <f t="shared" si="2"/>
        <v>0</v>
      </c>
      <c r="L22">
        <f t="shared" si="10"/>
        <v>56</v>
      </c>
      <c r="M22">
        <f t="shared" si="11"/>
        <v>33</v>
      </c>
      <c r="N22">
        <f t="shared" si="12"/>
        <v>1</v>
      </c>
      <c r="O22">
        <f t="shared" si="13"/>
        <v>17</v>
      </c>
      <c r="P22">
        <f t="shared" si="3"/>
        <v>7</v>
      </c>
      <c r="Q22">
        <f t="shared" si="14"/>
        <v>39</v>
      </c>
      <c r="R22">
        <f t="shared" si="14"/>
        <v>26</v>
      </c>
      <c r="V22" s="1">
        <v>44761</v>
      </c>
      <c r="W22">
        <v>4</v>
      </c>
      <c r="X22">
        <v>3</v>
      </c>
    </row>
    <row r="23" spans="1:24" x14ac:dyDescent="0.25">
      <c r="A23" s="1">
        <v>44673</v>
      </c>
      <c r="B23">
        <f t="shared" si="0"/>
        <v>5</v>
      </c>
      <c r="C23">
        <f t="shared" si="4"/>
        <v>39</v>
      </c>
      <c r="D23">
        <f t="shared" si="4"/>
        <v>26</v>
      </c>
      <c r="E23">
        <f t="shared" si="5"/>
        <v>0</v>
      </c>
      <c r="F23">
        <f t="shared" si="1"/>
        <v>0</v>
      </c>
      <c r="G23">
        <f t="shared" si="6"/>
        <v>0</v>
      </c>
      <c r="H23">
        <f t="shared" si="7"/>
        <v>0</v>
      </c>
      <c r="I23">
        <f t="shared" si="8"/>
        <v>0</v>
      </c>
      <c r="J23">
        <f t="shared" si="9"/>
        <v>0</v>
      </c>
      <c r="K23">
        <f t="shared" si="2"/>
        <v>0</v>
      </c>
      <c r="L23">
        <f t="shared" si="10"/>
        <v>39</v>
      </c>
      <c r="M23">
        <f t="shared" si="11"/>
        <v>26</v>
      </c>
      <c r="N23">
        <f t="shared" si="12"/>
        <v>1</v>
      </c>
      <c r="O23">
        <f t="shared" si="13"/>
        <v>12</v>
      </c>
      <c r="P23">
        <f t="shared" si="3"/>
        <v>6</v>
      </c>
      <c r="Q23">
        <f t="shared" si="14"/>
        <v>27</v>
      </c>
      <c r="R23">
        <f t="shared" si="14"/>
        <v>20</v>
      </c>
      <c r="V23" s="1">
        <v>44762</v>
      </c>
      <c r="W23">
        <v>3</v>
      </c>
      <c r="X23">
        <v>2</v>
      </c>
    </row>
    <row r="24" spans="1:24" x14ac:dyDescent="0.25">
      <c r="A24" s="1">
        <v>44674</v>
      </c>
      <c r="B24">
        <f t="shared" si="0"/>
        <v>6</v>
      </c>
      <c r="C24">
        <f t="shared" si="4"/>
        <v>27</v>
      </c>
      <c r="D24">
        <f t="shared" si="4"/>
        <v>20</v>
      </c>
      <c r="E24">
        <f t="shared" si="5"/>
        <v>0</v>
      </c>
      <c r="F24">
        <f t="shared" si="1"/>
        <v>0</v>
      </c>
      <c r="G24">
        <f t="shared" si="6"/>
        <v>0</v>
      </c>
      <c r="H24">
        <f t="shared" si="7"/>
        <v>0</v>
      </c>
      <c r="I24">
        <f t="shared" si="8"/>
        <v>0</v>
      </c>
      <c r="J24">
        <f t="shared" si="9"/>
        <v>0</v>
      </c>
      <c r="K24">
        <f t="shared" si="2"/>
        <v>0</v>
      </c>
      <c r="L24">
        <f t="shared" si="10"/>
        <v>27</v>
      </c>
      <c r="M24">
        <f t="shared" si="11"/>
        <v>20</v>
      </c>
      <c r="N24">
        <f t="shared" si="12"/>
        <v>1</v>
      </c>
      <c r="O24">
        <f t="shared" si="13"/>
        <v>9</v>
      </c>
      <c r="P24">
        <f t="shared" si="3"/>
        <v>4</v>
      </c>
      <c r="Q24">
        <f t="shared" si="14"/>
        <v>18</v>
      </c>
      <c r="R24">
        <f t="shared" si="14"/>
        <v>16</v>
      </c>
      <c r="V24" s="1">
        <v>44763</v>
      </c>
      <c r="W24">
        <v>17</v>
      </c>
      <c r="X24">
        <v>7</v>
      </c>
    </row>
    <row r="25" spans="1:24" x14ac:dyDescent="0.25">
      <c r="A25" s="1">
        <v>44675</v>
      </c>
      <c r="B25">
        <f t="shared" si="0"/>
        <v>7</v>
      </c>
      <c r="C25">
        <f t="shared" si="4"/>
        <v>18</v>
      </c>
      <c r="D25">
        <f t="shared" si="4"/>
        <v>16</v>
      </c>
      <c r="E25">
        <f t="shared" si="5"/>
        <v>0</v>
      </c>
      <c r="F25">
        <f t="shared" si="1"/>
        <v>0</v>
      </c>
      <c r="G25">
        <f t="shared" si="6"/>
        <v>0</v>
      </c>
      <c r="H25">
        <f t="shared" si="7"/>
        <v>0</v>
      </c>
      <c r="I25">
        <f t="shared" si="8"/>
        <v>0</v>
      </c>
      <c r="J25">
        <f t="shared" si="9"/>
        <v>0</v>
      </c>
      <c r="K25">
        <f t="shared" si="2"/>
        <v>0</v>
      </c>
      <c r="L25">
        <f t="shared" si="10"/>
        <v>18</v>
      </c>
      <c r="M25">
        <f t="shared" si="11"/>
        <v>16</v>
      </c>
      <c r="N25">
        <f t="shared" si="12"/>
        <v>0</v>
      </c>
      <c r="O25">
        <f t="shared" si="13"/>
        <v>0</v>
      </c>
      <c r="P25">
        <f t="shared" si="3"/>
        <v>0</v>
      </c>
      <c r="Q25">
        <f t="shared" si="14"/>
        <v>18</v>
      </c>
      <c r="R25">
        <f t="shared" si="14"/>
        <v>16</v>
      </c>
      <c r="V25" s="1">
        <v>44764</v>
      </c>
      <c r="W25">
        <v>12</v>
      </c>
      <c r="X25">
        <v>5</v>
      </c>
    </row>
    <row r="26" spans="1:24" x14ac:dyDescent="0.25">
      <c r="A26" s="1">
        <v>44676</v>
      </c>
      <c r="B26">
        <f t="shared" si="0"/>
        <v>1</v>
      </c>
      <c r="C26">
        <f t="shared" si="4"/>
        <v>18</v>
      </c>
      <c r="D26">
        <f t="shared" si="4"/>
        <v>16</v>
      </c>
      <c r="E26">
        <f t="shared" si="5"/>
        <v>1</v>
      </c>
      <c r="F26">
        <f t="shared" si="1"/>
        <v>1</v>
      </c>
      <c r="G26">
        <f t="shared" si="6"/>
        <v>0</v>
      </c>
      <c r="H26">
        <f t="shared" si="7"/>
        <v>0</v>
      </c>
      <c r="I26">
        <f t="shared" si="8"/>
        <v>0</v>
      </c>
      <c r="J26">
        <f t="shared" si="9"/>
        <v>0</v>
      </c>
      <c r="K26">
        <f t="shared" si="2"/>
        <v>0</v>
      </c>
      <c r="L26">
        <f t="shared" si="10"/>
        <v>17</v>
      </c>
      <c r="M26">
        <f t="shared" si="11"/>
        <v>16</v>
      </c>
      <c r="N26">
        <f t="shared" si="12"/>
        <v>1</v>
      </c>
      <c r="O26">
        <f t="shared" si="13"/>
        <v>6</v>
      </c>
      <c r="P26">
        <f t="shared" si="3"/>
        <v>4</v>
      </c>
      <c r="Q26">
        <f t="shared" si="14"/>
        <v>11</v>
      </c>
      <c r="R26">
        <f t="shared" si="14"/>
        <v>12</v>
      </c>
      <c r="V26" s="1">
        <v>44765</v>
      </c>
      <c r="W26">
        <v>8</v>
      </c>
      <c r="X26">
        <v>4</v>
      </c>
    </row>
    <row r="27" spans="1:24" x14ac:dyDescent="0.25">
      <c r="A27" s="1">
        <v>44677</v>
      </c>
      <c r="B27">
        <f t="shared" si="0"/>
        <v>2</v>
      </c>
      <c r="C27">
        <f t="shared" si="4"/>
        <v>11</v>
      </c>
      <c r="D27">
        <f t="shared" si="4"/>
        <v>12</v>
      </c>
      <c r="E27">
        <f t="shared" si="5"/>
        <v>0</v>
      </c>
      <c r="F27">
        <f t="shared" si="1"/>
        <v>0</v>
      </c>
      <c r="G27">
        <f t="shared" si="6"/>
        <v>0</v>
      </c>
      <c r="H27">
        <f t="shared" si="7"/>
        <v>0</v>
      </c>
      <c r="I27">
        <f t="shared" si="8"/>
        <v>0</v>
      </c>
      <c r="J27">
        <f t="shared" si="9"/>
        <v>0</v>
      </c>
      <c r="K27">
        <f t="shared" si="2"/>
        <v>0</v>
      </c>
      <c r="L27">
        <f t="shared" si="10"/>
        <v>11</v>
      </c>
      <c r="M27">
        <f t="shared" si="11"/>
        <v>12</v>
      </c>
      <c r="N27">
        <f t="shared" si="12"/>
        <v>1</v>
      </c>
      <c r="O27">
        <f t="shared" si="13"/>
        <v>4</v>
      </c>
      <c r="P27">
        <f t="shared" si="3"/>
        <v>3</v>
      </c>
      <c r="Q27">
        <f t="shared" si="14"/>
        <v>7</v>
      </c>
      <c r="R27">
        <f t="shared" si="14"/>
        <v>9</v>
      </c>
      <c r="V27" s="1">
        <v>44766</v>
      </c>
      <c r="W27">
        <v>0</v>
      </c>
      <c r="X27">
        <v>0</v>
      </c>
    </row>
    <row r="28" spans="1:24" x14ac:dyDescent="0.25">
      <c r="A28" s="1">
        <v>44678</v>
      </c>
      <c r="B28">
        <f t="shared" si="0"/>
        <v>3</v>
      </c>
      <c r="C28">
        <f t="shared" si="4"/>
        <v>7</v>
      </c>
      <c r="D28">
        <f t="shared" si="4"/>
        <v>9</v>
      </c>
      <c r="E28">
        <f t="shared" si="5"/>
        <v>0</v>
      </c>
      <c r="F28">
        <f t="shared" si="1"/>
        <v>0</v>
      </c>
      <c r="G28">
        <f t="shared" si="6"/>
        <v>0</v>
      </c>
      <c r="H28">
        <f t="shared" si="7"/>
        <v>0</v>
      </c>
      <c r="I28">
        <f t="shared" si="8"/>
        <v>0</v>
      </c>
      <c r="J28">
        <f t="shared" si="9"/>
        <v>0</v>
      </c>
      <c r="K28">
        <f t="shared" si="2"/>
        <v>0</v>
      </c>
      <c r="L28">
        <f t="shared" si="10"/>
        <v>7</v>
      </c>
      <c r="M28">
        <f t="shared" si="11"/>
        <v>9</v>
      </c>
      <c r="N28">
        <f t="shared" si="12"/>
        <v>1</v>
      </c>
      <c r="O28">
        <f t="shared" si="13"/>
        <v>3</v>
      </c>
      <c r="P28">
        <f t="shared" si="3"/>
        <v>2</v>
      </c>
      <c r="Q28">
        <f t="shared" si="14"/>
        <v>4</v>
      </c>
      <c r="R28">
        <f t="shared" si="14"/>
        <v>7</v>
      </c>
      <c r="V28" s="1">
        <v>44767</v>
      </c>
      <c r="W28">
        <v>5</v>
      </c>
      <c r="X28">
        <v>4</v>
      </c>
    </row>
    <row r="29" spans="1:24" x14ac:dyDescent="0.25">
      <c r="A29" s="1">
        <v>44679</v>
      </c>
      <c r="B29">
        <f t="shared" si="0"/>
        <v>4</v>
      </c>
      <c r="C29">
        <f t="shared" si="4"/>
        <v>4</v>
      </c>
      <c r="D29">
        <f t="shared" si="4"/>
        <v>7</v>
      </c>
      <c r="E29">
        <f t="shared" si="5"/>
        <v>0</v>
      </c>
      <c r="F29">
        <f t="shared" si="1"/>
        <v>0</v>
      </c>
      <c r="G29">
        <f t="shared" si="6"/>
        <v>1</v>
      </c>
      <c r="H29">
        <f t="shared" si="7"/>
        <v>50</v>
      </c>
      <c r="I29">
        <f t="shared" si="8"/>
        <v>25</v>
      </c>
      <c r="J29">
        <f t="shared" si="9"/>
        <v>0</v>
      </c>
      <c r="K29">
        <f t="shared" si="2"/>
        <v>0</v>
      </c>
      <c r="L29">
        <f t="shared" si="10"/>
        <v>54</v>
      </c>
      <c r="M29">
        <f t="shared" si="11"/>
        <v>32</v>
      </c>
      <c r="N29">
        <f t="shared" si="12"/>
        <v>1</v>
      </c>
      <c r="O29">
        <f t="shared" si="13"/>
        <v>17</v>
      </c>
      <c r="P29">
        <f t="shared" si="3"/>
        <v>7</v>
      </c>
      <c r="Q29">
        <f t="shared" si="14"/>
        <v>37</v>
      </c>
      <c r="R29">
        <f t="shared" si="14"/>
        <v>25</v>
      </c>
      <c r="V29" s="1">
        <v>44768</v>
      </c>
      <c r="W29">
        <v>4</v>
      </c>
      <c r="X29">
        <v>3</v>
      </c>
    </row>
    <row r="30" spans="1:24" x14ac:dyDescent="0.25">
      <c r="A30" s="1">
        <v>44680</v>
      </c>
      <c r="B30">
        <f t="shared" si="0"/>
        <v>5</v>
      </c>
      <c r="C30">
        <f t="shared" si="4"/>
        <v>37</v>
      </c>
      <c r="D30">
        <f t="shared" si="4"/>
        <v>25</v>
      </c>
      <c r="E30">
        <f t="shared" si="5"/>
        <v>0</v>
      </c>
      <c r="F30">
        <f t="shared" si="1"/>
        <v>0</v>
      </c>
      <c r="G30">
        <f t="shared" si="6"/>
        <v>0</v>
      </c>
      <c r="H30">
        <f t="shared" si="7"/>
        <v>0</v>
      </c>
      <c r="I30">
        <f t="shared" si="8"/>
        <v>0</v>
      </c>
      <c r="J30">
        <f t="shared" si="9"/>
        <v>0</v>
      </c>
      <c r="K30">
        <f t="shared" si="2"/>
        <v>0</v>
      </c>
      <c r="L30">
        <f t="shared" si="10"/>
        <v>37</v>
      </c>
      <c r="M30">
        <f t="shared" si="11"/>
        <v>25</v>
      </c>
      <c r="N30">
        <f t="shared" si="12"/>
        <v>1</v>
      </c>
      <c r="O30">
        <f t="shared" si="13"/>
        <v>12</v>
      </c>
      <c r="P30">
        <f t="shared" si="3"/>
        <v>5</v>
      </c>
      <c r="Q30">
        <f t="shared" si="14"/>
        <v>25</v>
      </c>
      <c r="R30">
        <f t="shared" si="14"/>
        <v>20</v>
      </c>
      <c r="V30" s="1">
        <v>44769</v>
      </c>
      <c r="W30">
        <v>3</v>
      </c>
      <c r="X30">
        <v>2</v>
      </c>
    </row>
    <row r="31" spans="1:24" x14ac:dyDescent="0.25">
      <c r="A31" s="1">
        <v>44681</v>
      </c>
      <c r="B31">
        <f t="shared" si="0"/>
        <v>6</v>
      </c>
      <c r="C31">
        <f t="shared" si="4"/>
        <v>25</v>
      </c>
      <c r="D31">
        <f t="shared" si="4"/>
        <v>20</v>
      </c>
      <c r="E31">
        <f t="shared" si="5"/>
        <v>0</v>
      </c>
      <c r="F31">
        <f t="shared" si="1"/>
        <v>0</v>
      </c>
      <c r="G31">
        <f t="shared" si="6"/>
        <v>0</v>
      </c>
      <c r="H31">
        <f t="shared" si="7"/>
        <v>0</v>
      </c>
      <c r="I31">
        <f t="shared" si="8"/>
        <v>0</v>
      </c>
      <c r="J31">
        <f t="shared" si="9"/>
        <v>0</v>
      </c>
      <c r="K31">
        <f t="shared" si="2"/>
        <v>0</v>
      </c>
      <c r="L31">
        <f t="shared" si="10"/>
        <v>25</v>
      </c>
      <c r="M31">
        <f t="shared" si="11"/>
        <v>20</v>
      </c>
      <c r="N31">
        <f t="shared" si="12"/>
        <v>1</v>
      </c>
      <c r="O31">
        <f t="shared" si="13"/>
        <v>8</v>
      </c>
      <c r="P31">
        <f t="shared" si="3"/>
        <v>4</v>
      </c>
      <c r="Q31">
        <f t="shared" si="14"/>
        <v>17</v>
      </c>
      <c r="R31">
        <f t="shared" si="14"/>
        <v>16</v>
      </c>
      <c r="V31" s="1">
        <v>44770</v>
      </c>
      <c r="W31">
        <v>17</v>
      </c>
      <c r="X31">
        <v>7</v>
      </c>
    </row>
    <row r="32" spans="1:24" x14ac:dyDescent="0.25">
      <c r="A32" s="1">
        <v>44682</v>
      </c>
      <c r="B32">
        <f t="shared" si="0"/>
        <v>7</v>
      </c>
      <c r="C32">
        <f t="shared" si="4"/>
        <v>17</v>
      </c>
      <c r="D32">
        <f t="shared" si="4"/>
        <v>16</v>
      </c>
      <c r="E32">
        <f t="shared" si="5"/>
        <v>0</v>
      </c>
      <c r="F32">
        <f t="shared" si="1"/>
        <v>0</v>
      </c>
      <c r="G32">
        <f t="shared" si="6"/>
        <v>0</v>
      </c>
      <c r="H32">
        <f t="shared" si="7"/>
        <v>0</v>
      </c>
      <c r="I32">
        <f t="shared" si="8"/>
        <v>0</v>
      </c>
      <c r="J32">
        <f t="shared" si="9"/>
        <v>0</v>
      </c>
      <c r="K32">
        <f t="shared" si="2"/>
        <v>0</v>
      </c>
      <c r="L32">
        <f t="shared" si="10"/>
        <v>17</v>
      </c>
      <c r="M32">
        <f t="shared" si="11"/>
        <v>16</v>
      </c>
      <c r="N32">
        <f t="shared" si="12"/>
        <v>0</v>
      </c>
      <c r="O32">
        <f t="shared" si="13"/>
        <v>0</v>
      </c>
      <c r="P32">
        <f t="shared" si="3"/>
        <v>0</v>
      </c>
      <c r="Q32">
        <f t="shared" si="14"/>
        <v>17</v>
      </c>
      <c r="R32">
        <f t="shared" si="14"/>
        <v>16</v>
      </c>
      <c r="V32" s="1">
        <v>44771</v>
      </c>
      <c r="W32">
        <v>12</v>
      </c>
      <c r="X32">
        <v>5</v>
      </c>
    </row>
    <row r="33" spans="1:24" x14ac:dyDescent="0.25">
      <c r="A33" s="1">
        <v>44683</v>
      </c>
      <c r="B33">
        <f t="shared" si="0"/>
        <v>1</v>
      </c>
      <c r="C33">
        <f t="shared" si="4"/>
        <v>17</v>
      </c>
      <c r="D33">
        <f t="shared" si="4"/>
        <v>16</v>
      </c>
      <c r="E33">
        <f t="shared" si="5"/>
        <v>1</v>
      </c>
      <c r="F33">
        <f t="shared" si="1"/>
        <v>1</v>
      </c>
      <c r="G33">
        <f t="shared" si="6"/>
        <v>0</v>
      </c>
      <c r="H33">
        <f t="shared" si="7"/>
        <v>0</v>
      </c>
      <c r="I33">
        <f t="shared" si="8"/>
        <v>0</v>
      </c>
      <c r="J33">
        <f t="shared" si="9"/>
        <v>0</v>
      </c>
      <c r="K33">
        <f t="shared" si="2"/>
        <v>0</v>
      </c>
      <c r="L33">
        <f t="shared" si="10"/>
        <v>16</v>
      </c>
      <c r="M33">
        <f t="shared" si="11"/>
        <v>16</v>
      </c>
      <c r="N33">
        <f t="shared" si="12"/>
        <v>1</v>
      </c>
      <c r="O33">
        <f t="shared" si="13"/>
        <v>5</v>
      </c>
      <c r="P33">
        <f t="shared" si="3"/>
        <v>4</v>
      </c>
      <c r="Q33">
        <f t="shared" si="14"/>
        <v>11</v>
      </c>
      <c r="R33">
        <f t="shared" si="14"/>
        <v>12</v>
      </c>
      <c r="V33" s="1">
        <v>44772</v>
      </c>
      <c r="W33">
        <v>8</v>
      </c>
      <c r="X33">
        <v>4</v>
      </c>
    </row>
    <row r="34" spans="1:24" x14ac:dyDescent="0.25">
      <c r="A34" s="1">
        <v>44684</v>
      </c>
      <c r="B34">
        <f t="shared" si="0"/>
        <v>2</v>
      </c>
      <c r="C34">
        <f t="shared" si="4"/>
        <v>11</v>
      </c>
      <c r="D34">
        <f t="shared" si="4"/>
        <v>12</v>
      </c>
      <c r="E34">
        <f t="shared" si="5"/>
        <v>0</v>
      </c>
      <c r="F34">
        <f t="shared" si="1"/>
        <v>0</v>
      </c>
      <c r="G34">
        <f t="shared" si="6"/>
        <v>0</v>
      </c>
      <c r="H34">
        <f t="shared" si="7"/>
        <v>0</v>
      </c>
      <c r="I34">
        <f t="shared" si="8"/>
        <v>0</v>
      </c>
      <c r="J34">
        <f t="shared" si="9"/>
        <v>0</v>
      </c>
      <c r="K34">
        <f t="shared" si="2"/>
        <v>0</v>
      </c>
      <c r="L34">
        <f t="shared" si="10"/>
        <v>11</v>
      </c>
      <c r="M34">
        <f t="shared" si="11"/>
        <v>12</v>
      </c>
      <c r="N34">
        <f t="shared" si="12"/>
        <v>1</v>
      </c>
      <c r="O34">
        <f t="shared" si="13"/>
        <v>4</v>
      </c>
      <c r="P34">
        <f t="shared" si="3"/>
        <v>3</v>
      </c>
      <c r="Q34">
        <f t="shared" si="14"/>
        <v>7</v>
      </c>
      <c r="R34">
        <f t="shared" si="14"/>
        <v>9</v>
      </c>
      <c r="V34" s="1">
        <v>44773</v>
      </c>
      <c r="W34">
        <v>0</v>
      </c>
      <c r="X34">
        <v>0</v>
      </c>
    </row>
    <row r="35" spans="1:24" x14ac:dyDescent="0.25">
      <c r="A35" s="1">
        <v>44685</v>
      </c>
      <c r="B35">
        <f t="shared" si="0"/>
        <v>3</v>
      </c>
      <c r="C35">
        <f t="shared" si="4"/>
        <v>7</v>
      </c>
      <c r="D35">
        <f t="shared" si="4"/>
        <v>9</v>
      </c>
      <c r="E35">
        <f t="shared" si="5"/>
        <v>0</v>
      </c>
      <c r="F35">
        <f t="shared" si="1"/>
        <v>0</v>
      </c>
      <c r="G35">
        <f t="shared" si="6"/>
        <v>0</v>
      </c>
      <c r="H35">
        <f t="shared" si="7"/>
        <v>0</v>
      </c>
      <c r="I35">
        <f t="shared" si="8"/>
        <v>0</v>
      </c>
      <c r="J35">
        <f t="shared" si="9"/>
        <v>0</v>
      </c>
      <c r="K35">
        <f t="shared" si="2"/>
        <v>0</v>
      </c>
      <c r="L35">
        <f t="shared" si="10"/>
        <v>7</v>
      </c>
      <c r="M35">
        <f t="shared" si="11"/>
        <v>9</v>
      </c>
      <c r="N35">
        <f t="shared" si="12"/>
        <v>1</v>
      </c>
      <c r="O35">
        <f t="shared" si="13"/>
        <v>3</v>
      </c>
      <c r="P35">
        <f t="shared" si="3"/>
        <v>2</v>
      </c>
      <c r="Q35">
        <f t="shared" si="14"/>
        <v>4</v>
      </c>
      <c r="R35">
        <f t="shared" si="14"/>
        <v>7</v>
      </c>
      <c r="V35" s="1">
        <v>44774</v>
      </c>
      <c r="W35">
        <v>5</v>
      </c>
      <c r="X35">
        <v>4</v>
      </c>
    </row>
    <row r="36" spans="1:24" x14ac:dyDescent="0.25">
      <c r="A36" s="1">
        <v>44686</v>
      </c>
      <c r="B36">
        <f t="shared" si="0"/>
        <v>4</v>
      </c>
      <c r="C36">
        <f t="shared" si="4"/>
        <v>4</v>
      </c>
      <c r="D36">
        <f t="shared" si="4"/>
        <v>7</v>
      </c>
      <c r="E36">
        <f t="shared" si="5"/>
        <v>0</v>
      </c>
      <c r="F36">
        <f t="shared" si="1"/>
        <v>0</v>
      </c>
      <c r="G36">
        <f t="shared" si="6"/>
        <v>1</v>
      </c>
      <c r="H36">
        <f t="shared" si="7"/>
        <v>50</v>
      </c>
      <c r="I36">
        <f t="shared" si="8"/>
        <v>25</v>
      </c>
      <c r="J36">
        <f t="shared" si="9"/>
        <v>0</v>
      </c>
      <c r="K36">
        <f t="shared" si="2"/>
        <v>0</v>
      </c>
      <c r="L36">
        <f t="shared" si="10"/>
        <v>54</v>
      </c>
      <c r="M36">
        <f t="shared" si="11"/>
        <v>32</v>
      </c>
      <c r="N36">
        <f t="shared" si="12"/>
        <v>1</v>
      </c>
      <c r="O36">
        <f t="shared" si="13"/>
        <v>17</v>
      </c>
      <c r="P36">
        <f t="shared" si="3"/>
        <v>7</v>
      </c>
      <c r="Q36">
        <f t="shared" si="14"/>
        <v>37</v>
      </c>
      <c r="R36">
        <f t="shared" si="14"/>
        <v>25</v>
      </c>
      <c r="V36" s="1">
        <v>44775</v>
      </c>
      <c r="W36">
        <v>4</v>
      </c>
      <c r="X36">
        <v>3</v>
      </c>
    </row>
    <row r="37" spans="1:24" x14ac:dyDescent="0.25">
      <c r="A37" s="1">
        <v>44687</v>
      </c>
      <c r="B37">
        <f t="shared" si="0"/>
        <v>5</v>
      </c>
      <c r="C37">
        <f t="shared" si="4"/>
        <v>37</v>
      </c>
      <c r="D37">
        <f t="shared" si="4"/>
        <v>25</v>
      </c>
      <c r="E37">
        <f t="shared" si="5"/>
        <v>0</v>
      </c>
      <c r="F37">
        <f t="shared" si="1"/>
        <v>0</v>
      </c>
      <c r="G37">
        <f t="shared" si="6"/>
        <v>0</v>
      </c>
      <c r="H37">
        <f t="shared" si="7"/>
        <v>0</v>
      </c>
      <c r="I37">
        <f t="shared" si="8"/>
        <v>0</v>
      </c>
      <c r="J37">
        <f t="shared" si="9"/>
        <v>0</v>
      </c>
      <c r="K37">
        <f t="shared" si="2"/>
        <v>0</v>
      </c>
      <c r="L37">
        <f t="shared" si="10"/>
        <v>37</v>
      </c>
      <c r="M37">
        <f t="shared" si="11"/>
        <v>25</v>
      </c>
      <c r="N37">
        <f t="shared" si="12"/>
        <v>1</v>
      </c>
      <c r="O37">
        <f t="shared" si="13"/>
        <v>12</v>
      </c>
      <c r="P37">
        <f t="shared" si="3"/>
        <v>5</v>
      </c>
      <c r="Q37">
        <f t="shared" si="14"/>
        <v>25</v>
      </c>
      <c r="R37">
        <f t="shared" si="14"/>
        <v>20</v>
      </c>
      <c r="V37" s="1">
        <v>44776</v>
      </c>
      <c r="W37">
        <v>3</v>
      </c>
      <c r="X37">
        <v>2</v>
      </c>
    </row>
    <row r="38" spans="1:24" x14ac:dyDescent="0.25">
      <c r="A38" s="1">
        <v>44688</v>
      </c>
      <c r="B38">
        <f t="shared" si="0"/>
        <v>6</v>
      </c>
      <c r="C38">
        <f t="shared" si="4"/>
        <v>25</v>
      </c>
      <c r="D38">
        <f t="shared" si="4"/>
        <v>20</v>
      </c>
      <c r="E38">
        <f t="shared" si="5"/>
        <v>0</v>
      </c>
      <c r="F38">
        <f t="shared" si="1"/>
        <v>0</v>
      </c>
      <c r="G38">
        <f t="shared" si="6"/>
        <v>0</v>
      </c>
      <c r="H38">
        <f t="shared" si="7"/>
        <v>0</v>
      </c>
      <c r="I38">
        <f t="shared" si="8"/>
        <v>0</v>
      </c>
      <c r="J38">
        <f t="shared" si="9"/>
        <v>0</v>
      </c>
      <c r="K38">
        <f t="shared" si="2"/>
        <v>0</v>
      </c>
      <c r="L38">
        <f t="shared" si="10"/>
        <v>25</v>
      </c>
      <c r="M38">
        <f t="shared" si="11"/>
        <v>20</v>
      </c>
      <c r="N38">
        <f t="shared" si="12"/>
        <v>1</v>
      </c>
      <c r="O38">
        <f t="shared" si="13"/>
        <v>8</v>
      </c>
      <c r="P38">
        <f t="shared" si="3"/>
        <v>4</v>
      </c>
      <c r="Q38">
        <f t="shared" si="14"/>
        <v>17</v>
      </c>
      <c r="R38">
        <f t="shared" si="14"/>
        <v>16</v>
      </c>
      <c r="V38" s="1">
        <v>44777</v>
      </c>
      <c r="W38">
        <v>17</v>
      </c>
      <c r="X38">
        <v>7</v>
      </c>
    </row>
    <row r="39" spans="1:24" x14ac:dyDescent="0.25">
      <c r="A39" s="1">
        <v>44689</v>
      </c>
      <c r="B39">
        <f t="shared" si="0"/>
        <v>7</v>
      </c>
      <c r="C39">
        <f t="shared" si="4"/>
        <v>17</v>
      </c>
      <c r="D39">
        <f t="shared" si="4"/>
        <v>16</v>
      </c>
      <c r="E39">
        <f t="shared" si="5"/>
        <v>0</v>
      </c>
      <c r="F39">
        <f t="shared" si="1"/>
        <v>0</v>
      </c>
      <c r="G39">
        <f t="shared" si="6"/>
        <v>0</v>
      </c>
      <c r="H39">
        <f t="shared" si="7"/>
        <v>0</v>
      </c>
      <c r="I39">
        <f t="shared" si="8"/>
        <v>0</v>
      </c>
      <c r="J39">
        <f t="shared" si="9"/>
        <v>0</v>
      </c>
      <c r="K39">
        <f t="shared" si="2"/>
        <v>0</v>
      </c>
      <c r="L39">
        <f t="shared" si="10"/>
        <v>17</v>
      </c>
      <c r="M39">
        <f t="shared" si="11"/>
        <v>16</v>
      </c>
      <c r="N39">
        <f t="shared" si="12"/>
        <v>0</v>
      </c>
      <c r="O39">
        <f t="shared" si="13"/>
        <v>0</v>
      </c>
      <c r="P39">
        <f t="shared" si="3"/>
        <v>0</v>
      </c>
      <c r="Q39">
        <f t="shared" si="14"/>
        <v>17</v>
      </c>
      <c r="R39">
        <f t="shared" si="14"/>
        <v>16</v>
      </c>
      <c r="V39" s="1">
        <v>44778</v>
      </c>
      <c r="W39">
        <v>12</v>
      </c>
      <c r="X39">
        <v>5</v>
      </c>
    </row>
    <row r="40" spans="1:24" x14ac:dyDescent="0.25">
      <c r="A40" s="1">
        <v>44690</v>
      </c>
      <c r="B40">
        <f t="shared" si="0"/>
        <v>1</v>
      </c>
      <c r="C40">
        <f t="shared" si="4"/>
        <v>17</v>
      </c>
      <c r="D40">
        <f t="shared" si="4"/>
        <v>16</v>
      </c>
      <c r="E40">
        <f t="shared" si="5"/>
        <v>1</v>
      </c>
      <c r="F40">
        <f t="shared" si="1"/>
        <v>1</v>
      </c>
      <c r="G40">
        <f t="shared" si="6"/>
        <v>0</v>
      </c>
      <c r="H40">
        <f t="shared" si="7"/>
        <v>0</v>
      </c>
      <c r="I40">
        <f t="shared" si="8"/>
        <v>0</v>
      </c>
      <c r="J40">
        <f t="shared" si="9"/>
        <v>0</v>
      </c>
      <c r="K40">
        <f t="shared" si="2"/>
        <v>0</v>
      </c>
      <c r="L40">
        <f t="shared" si="10"/>
        <v>16</v>
      </c>
      <c r="M40">
        <f t="shared" si="11"/>
        <v>16</v>
      </c>
      <c r="N40">
        <f t="shared" si="12"/>
        <v>1</v>
      </c>
      <c r="O40">
        <f t="shared" si="13"/>
        <v>5</v>
      </c>
      <c r="P40">
        <f t="shared" si="3"/>
        <v>4</v>
      </c>
      <c r="Q40">
        <f t="shared" si="14"/>
        <v>11</v>
      </c>
      <c r="R40">
        <f t="shared" si="14"/>
        <v>12</v>
      </c>
      <c r="V40" s="1">
        <v>44779</v>
      </c>
      <c r="W40">
        <v>8</v>
      </c>
      <c r="X40">
        <v>4</v>
      </c>
    </row>
    <row r="41" spans="1:24" x14ac:dyDescent="0.25">
      <c r="A41" s="1">
        <v>44691</v>
      </c>
      <c r="B41">
        <f t="shared" si="0"/>
        <v>2</v>
      </c>
      <c r="C41">
        <f t="shared" si="4"/>
        <v>11</v>
      </c>
      <c r="D41">
        <f t="shared" si="4"/>
        <v>12</v>
      </c>
      <c r="E41">
        <f t="shared" si="5"/>
        <v>0</v>
      </c>
      <c r="F41">
        <f t="shared" si="1"/>
        <v>0</v>
      </c>
      <c r="G41">
        <f t="shared" si="6"/>
        <v>0</v>
      </c>
      <c r="H41">
        <f t="shared" si="7"/>
        <v>0</v>
      </c>
      <c r="I41">
        <f t="shared" si="8"/>
        <v>0</v>
      </c>
      <c r="J41">
        <f t="shared" si="9"/>
        <v>0</v>
      </c>
      <c r="K41">
        <f t="shared" si="2"/>
        <v>0</v>
      </c>
      <c r="L41">
        <f t="shared" si="10"/>
        <v>11</v>
      </c>
      <c r="M41">
        <f t="shared" si="11"/>
        <v>12</v>
      </c>
      <c r="N41">
        <f t="shared" si="12"/>
        <v>1</v>
      </c>
      <c r="O41">
        <f t="shared" si="13"/>
        <v>4</v>
      </c>
      <c r="P41">
        <f t="shared" si="3"/>
        <v>3</v>
      </c>
      <c r="Q41">
        <f t="shared" si="14"/>
        <v>7</v>
      </c>
      <c r="R41">
        <f t="shared" si="14"/>
        <v>9</v>
      </c>
      <c r="V41" s="1">
        <v>44780</v>
      </c>
      <c r="W41">
        <v>0</v>
      </c>
      <c r="X41">
        <v>0</v>
      </c>
    </row>
    <row r="42" spans="1:24" x14ac:dyDescent="0.25">
      <c r="A42" s="1">
        <v>44692</v>
      </c>
      <c r="B42">
        <f t="shared" si="0"/>
        <v>3</v>
      </c>
      <c r="C42">
        <f t="shared" si="4"/>
        <v>7</v>
      </c>
      <c r="D42">
        <f t="shared" si="4"/>
        <v>9</v>
      </c>
      <c r="E42">
        <f t="shared" si="5"/>
        <v>0</v>
      </c>
      <c r="F42">
        <f t="shared" si="1"/>
        <v>0</v>
      </c>
      <c r="G42">
        <f t="shared" si="6"/>
        <v>0</v>
      </c>
      <c r="H42">
        <f t="shared" si="7"/>
        <v>0</v>
      </c>
      <c r="I42">
        <f t="shared" si="8"/>
        <v>0</v>
      </c>
      <c r="J42">
        <f t="shared" si="9"/>
        <v>0</v>
      </c>
      <c r="K42">
        <f t="shared" si="2"/>
        <v>0</v>
      </c>
      <c r="L42">
        <f t="shared" si="10"/>
        <v>7</v>
      </c>
      <c r="M42">
        <f t="shared" si="11"/>
        <v>9</v>
      </c>
      <c r="N42">
        <f t="shared" si="12"/>
        <v>1</v>
      </c>
      <c r="O42">
        <f t="shared" si="13"/>
        <v>3</v>
      </c>
      <c r="P42">
        <f t="shared" si="3"/>
        <v>2</v>
      </c>
      <c r="Q42">
        <f t="shared" si="14"/>
        <v>4</v>
      </c>
      <c r="R42">
        <f t="shared" si="14"/>
        <v>7</v>
      </c>
      <c r="V42" s="1">
        <v>44781</v>
      </c>
      <c r="W42">
        <v>5</v>
      </c>
      <c r="X42">
        <v>4</v>
      </c>
    </row>
    <row r="43" spans="1:24" x14ac:dyDescent="0.25">
      <c r="A43" s="1">
        <v>44693</v>
      </c>
      <c r="B43">
        <f t="shared" si="0"/>
        <v>4</v>
      </c>
      <c r="C43">
        <f t="shared" si="4"/>
        <v>4</v>
      </c>
      <c r="D43">
        <f t="shared" si="4"/>
        <v>7</v>
      </c>
      <c r="E43">
        <f t="shared" si="5"/>
        <v>0</v>
      </c>
      <c r="F43">
        <f t="shared" si="1"/>
        <v>0</v>
      </c>
      <c r="G43">
        <f t="shared" si="6"/>
        <v>1</v>
      </c>
      <c r="H43">
        <f t="shared" si="7"/>
        <v>50</v>
      </c>
      <c r="I43">
        <f t="shared" si="8"/>
        <v>25</v>
      </c>
      <c r="J43">
        <f t="shared" si="9"/>
        <v>0</v>
      </c>
      <c r="K43">
        <f t="shared" si="2"/>
        <v>0</v>
      </c>
      <c r="L43">
        <f t="shared" si="10"/>
        <v>54</v>
      </c>
      <c r="M43">
        <f t="shared" si="11"/>
        <v>32</v>
      </c>
      <c r="N43">
        <f t="shared" si="12"/>
        <v>1</v>
      </c>
      <c r="O43">
        <f t="shared" si="13"/>
        <v>17</v>
      </c>
      <c r="P43">
        <f t="shared" si="3"/>
        <v>7</v>
      </c>
      <c r="Q43">
        <f t="shared" si="14"/>
        <v>37</v>
      </c>
      <c r="R43">
        <f t="shared" si="14"/>
        <v>25</v>
      </c>
      <c r="V43" s="1">
        <v>44782</v>
      </c>
      <c r="W43">
        <v>4</v>
      </c>
      <c r="X43">
        <v>3</v>
      </c>
    </row>
    <row r="44" spans="1:24" x14ac:dyDescent="0.25">
      <c r="A44" s="1">
        <v>44694</v>
      </c>
      <c r="B44">
        <f t="shared" si="0"/>
        <v>5</v>
      </c>
      <c r="C44">
        <f t="shared" si="4"/>
        <v>37</v>
      </c>
      <c r="D44">
        <f t="shared" si="4"/>
        <v>25</v>
      </c>
      <c r="E44">
        <f t="shared" si="5"/>
        <v>0</v>
      </c>
      <c r="F44">
        <f t="shared" si="1"/>
        <v>0</v>
      </c>
      <c r="G44">
        <f t="shared" si="6"/>
        <v>0</v>
      </c>
      <c r="H44">
        <f t="shared" si="7"/>
        <v>0</v>
      </c>
      <c r="I44">
        <f t="shared" si="8"/>
        <v>0</v>
      </c>
      <c r="J44">
        <f t="shared" si="9"/>
        <v>0</v>
      </c>
      <c r="K44">
        <f t="shared" si="2"/>
        <v>0</v>
      </c>
      <c r="L44">
        <f t="shared" si="10"/>
        <v>37</v>
      </c>
      <c r="M44">
        <f t="shared" si="11"/>
        <v>25</v>
      </c>
      <c r="N44">
        <f t="shared" si="12"/>
        <v>1</v>
      </c>
      <c r="O44">
        <f t="shared" si="13"/>
        <v>12</v>
      </c>
      <c r="P44">
        <f t="shared" si="3"/>
        <v>5</v>
      </c>
      <c r="Q44">
        <f t="shared" si="14"/>
        <v>25</v>
      </c>
      <c r="R44">
        <f t="shared" si="14"/>
        <v>20</v>
      </c>
      <c r="V44" s="1">
        <v>44783</v>
      </c>
      <c r="W44">
        <v>3</v>
      </c>
      <c r="X44">
        <v>2</v>
      </c>
    </row>
    <row r="45" spans="1:24" x14ac:dyDescent="0.25">
      <c r="A45" s="1">
        <v>44695</v>
      </c>
      <c r="B45">
        <f t="shared" si="0"/>
        <v>6</v>
      </c>
      <c r="C45">
        <f t="shared" si="4"/>
        <v>25</v>
      </c>
      <c r="D45">
        <f t="shared" si="4"/>
        <v>20</v>
      </c>
      <c r="E45">
        <f t="shared" si="5"/>
        <v>0</v>
      </c>
      <c r="F45">
        <f t="shared" si="1"/>
        <v>0</v>
      </c>
      <c r="G45">
        <f t="shared" si="6"/>
        <v>0</v>
      </c>
      <c r="H45">
        <f t="shared" si="7"/>
        <v>0</v>
      </c>
      <c r="I45">
        <f t="shared" si="8"/>
        <v>0</v>
      </c>
      <c r="J45">
        <f t="shared" si="9"/>
        <v>0</v>
      </c>
      <c r="K45">
        <f t="shared" si="2"/>
        <v>0</v>
      </c>
      <c r="L45">
        <f t="shared" si="10"/>
        <v>25</v>
      </c>
      <c r="M45">
        <f t="shared" si="11"/>
        <v>20</v>
      </c>
      <c r="N45">
        <f t="shared" si="12"/>
        <v>1</v>
      </c>
      <c r="O45">
        <f t="shared" si="13"/>
        <v>8</v>
      </c>
      <c r="P45">
        <f t="shared" si="3"/>
        <v>4</v>
      </c>
      <c r="Q45">
        <f t="shared" si="14"/>
        <v>17</v>
      </c>
      <c r="R45">
        <f t="shared" si="14"/>
        <v>16</v>
      </c>
      <c r="V45" s="1">
        <v>44784</v>
      </c>
      <c r="W45">
        <v>17</v>
      </c>
      <c r="X45">
        <v>7</v>
      </c>
    </row>
    <row r="46" spans="1:24" x14ac:dyDescent="0.25">
      <c r="A46" s="1">
        <v>44696</v>
      </c>
      <c r="B46">
        <f t="shared" si="0"/>
        <v>7</v>
      </c>
      <c r="C46">
        <f t="shared" si="4"/>
        <v>17</v>
      </c>
      <c r="D46">
        <f t="shared" si="4"/>
        <v>16</v>
      </c>
      <c r="E46">
        <f t="shared" si="5"/>
        <v>0</v>
      </c>
      <c r="F46">
        <f t="shared" si="1"/>
        <v>0</v>
      </c>
      <c r="G46">
        <f t="shared" si="6"/>
        <v>0</v>
      </c>
      <c r="H46">
        <f t="shared" si="7"/>
        <v>0</v>
      </c>
      <c r="I46">
        <f t="shared" si="8"/>
        <v>0</v>
      </c>
      <c r="J46">
        <f t="shared" si="9"/>
        <v>0</v>
      </c>
      <c r="K46">
        <f t="shared" si="2"/>
        <v>0</v>
      </c>
      <c r="L46">
        <f t="shared" si="10"/>
        <v>17</v>
      </c>
      <c r="M46">
        <f t="shared" si="11"/>
        <v>16</v>
      </c>
      <c r="N46">
        <f t="shared" si="12"/>
        <v>0</v>
      </c>
      <c r="O46">
        <f t="shared" si="13"/>
        <v>0</v>
      </c>
      <c r="P46">
        <f t="shared" si="3"/>
        <v>0</v>
      </c>
      <c r="Q46">
        <f t="shared" si="14"/>
        <v>17</v>
      </c>
      <c r="R46">
        <f t="shared" si="14"/>
        <v>16</v>
      </c>
      <c r="V46" s="1">
        <v>44785</v>
      </c>
      <c r="W46">
        <v>12</v>
      </c>
      <c r="X46">
        <v>5</v>
      </c>
    </row>
    <row r="47" spans="1:24" x14ac:dyDescent="0.25">
      <c r="A47" s="1">
        <v>44697</v>
      </c>
      <c r="B47">
        <f t="shared" si="0"/>
        <v>1</v>
      </c>
      <c r="C47">
        <f t="shared" si="4"/>
        <v>17</v>
      </c>
      <c r="D47">
        <f t="shared" si="4"/>
        <v>16</v>
      </c>
      <c r="E47">
        <f t="shared" si="5"/>
        <v>1</v>
      </c>
      <c r="F47">
        <f t="shared" si="1"/>
        <v>1</v>
      </c>
      <c r="G47">
        <f t="shared" si="6"/>
        <v>0</v>
      </c>
      <c r="H47">
        <f t="shared" si="7"/>
        <v>0</v>
      </c>
      <c r="I47">
        <f t="shared" si="8"/>
        <v>0</v>
      </c>
      <c r="J47">
        <f t="shared" si="9"/>
        <v>0</v>
      </c>
      <c r="K47">
        <f t="shared" si="2"/>
        <v>0</v>
      </c>
      <c r="L47">
        <f t="shared" si="10"/>
        <v>16</v>
      </c>
      <c r="M47">
        <f t="shared" si="11"/>
        <v>16</v>
      </c>
      <c r="N47">
        <f t="shared" si="12"/>
        <v>1</v>
      </c>
      <c r="O47">
        <f t="shared" si="13"/>
        <v>5</v>
      </c>
      <c r="P47">
        <f t="shared" si="3"/>
        <v>4</v>
      </c>
      <c r="Q47">
        <f t="shared" si="14"/>
        <v>11</v>
      </c>
      <c r="R47">
        <f t="shared" si="14"/>
        <v>12</v>
      </c>
      <c r="V47" s="1">
        <v>44786</v>
      </c>
      <c r="W47">
        <v>8</v>
      </c>
      <c r="X47">
        <v>4</v>
      </c>
    </row>
    <row r="48" spans="1:24" x14ac:dyDescent="0.25">
      <c r="A48" s="1">
        <v>44698</v>
      </c>
      <c r="B48">
        <f t="shared" si="0"/>
        <v>2</v>
      </c>
      <c r="C48">
        <f t="shared" si="4"/>
        <v>11</v>
      </c>
      <c r="D48">
        <f t="shared" si="4"/>
        <v>12</v>
      </c>
      <c r="E48">
        <f t="shared" si="5"/>
        <v>0</v>
      </c>
      <c r="F48">
        <f t="shared" si="1"/>
        <v>0</v>
      </c>
      <c r="G48">
        <f t="shared" si="6"/>
        <v>0</v>
      </c>
      <c r="H48">
        <f t="shared" si="7"/>
        <v>0</v>
      </c>
      <c r="I48">
        <f t="shared" si="8"/>
        <v>0</v>
      </c>
      <c r="J48">
        <f t="shared" si="9"/>
        <v>0</v>
      </c>
      <c r="K48">
        <f t="shared" si="2"/>
        <v>0</v>
      </c>
      <c r="L48">
        <f t="shared" si="10"/>
        <v>11</v>
      </c>
      <c r="M48">
        <f t="shared" si="11"/>
        <v>12</v>
      </c>
      <c r="N48">
        <f t="shared" si="12"/>
        <v>1</v>
      </c>
      <c r="O48">
        <f t="shared" si="13"/>
        <v>4</v>
      </c>
      <c r="P48">
        <f t="shared" si="3"/>
        <v>3</v>
      </c>
      <c r="Q48">
        <f t="shared" si="14"/>
        <v>7</v>
      </c>
      <c r="R48">
        <f t="shared" si="14"/>
        <v>9</v>
      </c>
      <c r="V48" s="1">
        <v>44787</v>
      </c>
      <c r="W48">
        <v>0</v>
      </c>
      <c r="X48">
        <v>0</v>
      </c>
    </row>
    <row r="49" spans="1:24" x14ac:dyDescent="0.25">
      <c r="A49" s="1">
        <v>44699</v>
      </c>
      <c r="B49">
        <f t="shared" si="0"/>
        <v>3</v>
      </c>
      <c r="C49">
        <f t="shared" si="4"/>
        <v>7</v>
      </c>
      <c r="D49">
        <f t="shared" si="4"/>
        <v>9</v>
      </c>
      <c r="E49">
        <f t="shared" si="5"/>
        <v>0</v>
      </c>
      <c r="F49">
        <f t="shared" si="1"/>
        <v>0</v>
      </c>
      <c r="G49">
        <f t="shared" si="6"/>
        <v>0</v>
      </c>
      <c r="H49">
        <f t="shared" si="7"/>
        <v>0</v>
      </c>
      <c r="I49">
        <f t="shared" si="8"/>
        <v>0</v>
      </c>
      <c r="J49">
        <f t="shared" si="9"/>
        <v>0</v>
      </c>
      <c r="K49">
        <f t="shared" si="2"/>
        <v>0</v>
      </c>
      <c r="L49">
        <f t="shared" si="10"/>
        <v>7</v>
      </c>
      <c r="M49">
        <f t="shared" si="11"/>
        <v>9</v>
      </c>
      <c r="N49">
        <f t="shared" si="12"/>
        <v>1</v>
      </c>
      <c r="O49">
        <f t="shared" si="13"/>
        <v>3</v>
      </c>
      <c r="P49">
        <f t="shared" si="3"/>
        <v>2</v>
      </c>
      <c r="Q49">
        <f t="shared" si="14"/>
        <v>4</v>
      </c>
      <c r="R49">
        <f t="shared" si="14"/>
        <v>7</v>
      </c>
      <c r="V49" s="1">
        <v>44788</v>
      </c>
      <c r="W49">
        <v>5</v>
      </c>
      <c r="X49">
        <v>4</v>
      </c>
    </row>
    <row r="50" spans="1:24" x14ac:dyDescent="0.25">
      <c r="A50" s="1">
        <v>44700</v>
      </c>
      <c r="B50">
        <f t="shared" si="0"/>
        <v>4</v>
      </c>
      <c r="C50">
        <f t="shared" si="4"/>
        <v>4</v>
      </c>
      <c r="D50">
        <f t="shared" si="4"/>
        <v>7</v>
      </c>
      <c r="E50">
        <f t="shared" si="5"/>
        <v>0</v>
      </c>
      <c r="F50">
        <f t="shared" si="1"/>
        <v>0</v>
      </c>
      <c r="G50">
        <f t="shared" si="6"/>
        <v>1</v>
      </c>
      <c r="H50">
        <f t="shared" si="7"/>
        <v>50</v>
      </c>
      <c r="I50">
        <f t="shared" si="8"/>
        <v>25</v>
      </c>
      <c r="J50">
        <f t="shared" si="9"/>
        <v>0</v>
      </c>
      <c r="K50">
        <f t="shared" si="2"/>
        <v>0</v>
      </c>
      <c r="L50">
        <f t="shared" si="10"/>
        <v>54</v>
      </c>
      <c r="M50">
        <f t="shared" si="11"/>
        <v>32</v>
      </c>
      <c r="N50">
        <f t="shared" si="12"/>
        <v>1</v>
      </c>
      <c r="O50">
        <f t="shared" si="13"/>
        <v>17</v>
      </c>
      <c r="P50">
        <f t="shared" si="3"/>
        <v>7</v>
      </c>
      <c r="Q50">
        <f t="shared" si="14"/>
        <v>37</v>
      </c>
      <c r="R50">
        <f t="shared" si="14"/>
        <v>25</v>
      </c>
      <c r="V50" s="1">
        <v>44789</v>
      </c>
      <c r="W50">
        <v>4</v>
      </c>
      <c r="X50">
        <v>3</v>
      </c>
    </row>
    <row r="51" spans="1:24" x14ac:dyDescent="0.25">
      <c r="A51" s="1">
        <v>44701</v>
      </c>
      <c r="B51">
        <f t="shared" si="0"/>
        <v>5</v>
      </c>
      <c r="C51">
        <f t="shared" si="4"/>
        <v>37</v>
      </c>
      <c r="D51">
        <f t="shared" si="4"/>
        <v>25</v>
      </c>
      <c r="E51">
        <f t="shared" si="5"/>
        <v>0</v>
      </c>
      <c r="F51">
        <f t="shared" si="1"/>
        <v>0</v>
      </c>
      <c r="G51">
        <f t="shared" si="6"/>
        <v>0</v>
      </c>
      <c r="H51">
        <f t="shared" si="7"/>
        <v>0</v>
      </c>
      <c r="I51">
        <f t="shared" si="8"/>
        <v>0</v>
      </c>
      <c r="J51">
        <f t="shared" si="9"/>
        <v>0</v>
      </c>
      <c r="K51">
        <f t="shared" si="2"/>
        <v>0</v>
      </c>
      <c r="L51">
        <f t="shared" si="10"/>
        <v>37</v>
      </c>
      <c r="M51">
        <f t="shared" si="11"/>
        <v>25</v>
      </c>
      <c r="N51">
        <f t="shared" si="12"/>
        <v>1</v>
      </c>
      <c r="O51">
        <f t="shared" si="13"/>
        <v>12</v>
      </c>
      <c r="P51">
        <f t="shared" si="3"/>
        <v>5</v>
      </c>
      <c r="Q51">
        <f t="shared" si="14"/>
        <v>25</v>
      </c>
      <c r="R51">
        <f t="shared" si="14"/>
        <v>20</v>
      </c>
      <c r="V51" s="1">
        <v>44790</v>
      </c>
      <c r="W51">
        <v>3</v>
      </c>
      <c r="X51">
        <v>2</v>
      </c>
    </row>
    <row r="52" spans="1:24" x14ac:dyDescent="0.25">
      <c r="A52" s="1">
        <v>44702</v>
      </c>
      <c r="B52">
        <f t="shared" si="0"/>
        <v>6</v>
      </c>
      <c r="C52">
        <f t="shared" si="4"/>
        <v>25</v>
      </c>
      <c r="D52">
        <f t="shared" si="4"/>
        <v>20</v>
      </c>
      <c r="E52">
        <f t="shared" si="5"/>
        <v>0</v>
      </c>
      <c r="F52">
        <f t="shared" si="1"/>
        <v>0</v>
      </c>
      <c r="G52">
        <f t="shared" si="6"/>
        <v>0</v>
      </c>
      <c r="H52">
        <f t="shared" si="7"/>
        <v>0</v>
      </c>
      <c r="I52">
        <f t="shared" si="8"/>
        <v>0</v>
      </c>
      <c r="J52">
        <f t="shared" si="9"/>
        <v>0</v>
      </c>
      <c r="K52">
        <f t="shared" si="2"/>
        <v>0</v>
      </c>
      <c r="L52">
        <f t="shared" si="10"/>
        <v>25</v>
      </c>
      <c r="M52">
        <f t="shared" si="11"/>
        <v>20</v>
      </c>
      <c r="N52">
        <f t="shared" si="12"/>
        <v>1</v>
      </c>
      <c r="O52">
        <f t="shared" si="13"/>
        <v>8</v>
      </c>
      <c r="P52">
        <f t="shared" si="3"/>
        <v>4</v>
      </c>
      <c r="Q52">
        <f t="shared" si="14"/>
        <v>17</v>
      </c>
      <c r="R52">
        <f t="shared" si="14"/>
        <v>16</v>
      </c>
      <c r="V52" s="1">
        <v>44791</v>
      </c>
      <c r="W52">
        <v>17</v>
      </c>
      <c r="X52">
        <v>7</v>
      </c>
    </row>
    <row r="53" spans="1:24" x14ac:dyDescent="0.25">
      <c r="A53" s="1">
        <v>44703</v>
      </c>
      <c r="B53">
        <f t="shared" si="0"/>
        <v>7</v>
      </c>
      <c r="C53">
        <f t="shared" si="4"/>
        <v>17</v>
      </c>
      <c r="D53">
        <f t="shared" si="4"/>
        <v>16</v>
      </c>
      <c r="E53">
        <f t="shared" si="5"/>
        <v>0</v>
      </c>
      <c r="F53">
        <f t="shared" si="1"/>
        <v>0</v>
      </c>
      <c r="G53">
        <f t="shared" si="6"/>
        <v>0</v>
      </c>
      <c r="H53">
        <f t="shared" si="7"/>
        <v>0</v>
      </c>
      <c r="I53">
        <f t="shared" si="8"/>
        <v>0</v>
      </c>
      <c r="J53">
        <f t="shared" si="9"/>
        <v>0</v>
      </c>
      <c r="K53">
        <f t="shared" si="2"/>
        <v>0</v>
      </c>
      <c r="L53">
        <f t="shared" si="10"/>
        <v>17</v>
      </c>
      <c r="M53">
        <f t="shared" si="11"/>
        <v>16</v>
      </c>
      <c r="N53">
        <f t="shared" si="12"/>
        <v>0</v>
      </c>
      <c r="O53">
        <f t="shared" si="13"/>
        <v>0</v>
      </c>
      <c r="P53">
        <f t="shared" si="3"/>
        <v>0</v>
      </c>
      <c r="Q53">
        <f t="shared" si="14"/>
        <v>17</v>
      </c>
      <c r="R53">
        <f t="shared" si="14"/>
        <v>16</v>
      </c>
      <c r="V53" s="1">
        <v>44792</v>
      </c>
      <c r="W53">
        <v>12</v>
      </c>
      <c r="X53">
        <v>5</v>
      </c>
    </row>
    <row r="54" spans="1:24" x14ac:dyDescent="0.25">
      <c r="A54" s="1">
        <v>44704</v>
      </c>
      <c r="B54">
        <f t="shared" si="0"/>
        <v>1</v>
      </c>
      <c r="C54">
        <f t="shared" si="4"/>
        <v>17</v>
      </c>
      <c r="D54">
        <f t="shared" si="4"/>
        <v>16</v>
      </c>
      <c r="E54">
        <f t="shared" si="5"/>
        <v>1</v>
      </c>
      <c r="F54">
        <f t="shared" si="1"/>
        <v>1</v>
      </c>
      <c r="G54">
        <f t="shared" si="6"/>
        <v>0</v>
      </c>
      <c r="H54">
        <f t="shared" si="7"/>
        <v>0</v>
      </c>
      <c r="I54">
        <f t="shared" si="8"/>
        <v>0</v>
      </c>
      <c r="J54">
        <f t="shared" si="9"/>
        <v>0</v>
      </c>
      <c r="K54">
        <f t="shared" si="2"/>
        <v>0</v>
      </c>
      <c r="L54">
        <f t="shared" si="10"/>
        <v>16</v>
      </c>
      <c r="M54">
        <f t="shared" si="11"/>
        <v>16</v>
      </c>
      <c r="N54">
        <f t="shared" si="12"/>
        <v>1</v>
      </c>
      <c r="O54">
        <f t="shared" si="13"/>
        <v>5</v>
      </c>
      <c r="P54">
        <f t="shared" si="3"/>
        <v>4</v>
      </c>
      <c r="Q54">
        <f t="shared" si="14"/>
        <v>11</v>
      </c>
      <c r="R54">
        <f t="shared" si="14"/>
        <v>12</v>
      </c>
      <c r="V54" s="1">
        <v>44793</v>
      </c>
      <c r="W54">
        <v>8</v>
      </c>
      <c r="X54">
        <v>4</v>
      </c>
    </row>
    <row r="55" spans="1:24" x14ac:dyDescent="0.25">
      <c r="A55" s="1">
        <v>44705</v>
      </c>
      <c r="B55">
        <f t="shared" si="0"/>
        <v>2</v>
      </c>
      <c r="C55">
        <f t="shared" si="4"/>
        <v>11</v>
      </c>
      <c r="D55">
        <f t="shared" si="4"/>
        <v>12</v>
      </c>
      <c r="E55">
        <f t="shared" si="5"/>
        <v>0</v>
      </c>
      <c r="F55">
        <f t="shared" si="1"/>
        <v>0</v>
      </c>
      <c r="G55">
        <f t="shared" si="6"/>
        <v>0</v>
      </c>
      <c r="H55">
        <f t="shared" si="7"/>
        <v>0</v>
      </c>
      <c r="I55">
        <f t="shared" si="8"/>
        <v>0</v>
      </c>
      <c r="J55">
        <f t="shared" si="9"/>
        <v>0</v>
      </c>
      <c r="K55">
        <f t="shared" si="2"/>
        <v>0</v>
      </c>
      <c r="L55">
        <f t="shared" si="10"/>
        <v>11</v>
      </c>
      <c r="M55">
        <f t="shared" si="11"/>
        <v>12</v>
      </c>
      <c r="N55">
        <f t="shared" si="12"/>
        <v>1</v>
      </c>
      <c r="O55">
        <f t="shared" si="13"/>
        <v>4</v>
      </c>
      <c r="P55">
        <f t="shared" si="3"/>
        <v>3</v>
      </c>
      <c r="Q55">
        <f t="shared" si="14"/>
        <v>7</v>
      </c>
      <c r="R55">
        <f t="shared" si="14"/>
        <v>9</v>
      </c>
      <c r="V55" s="1">
        <v>44794</v>
      </c>
      <c r="W55">
        <v>0</v>
      </c>
      <c r="X55">
        <v>0</v>
      </c>
    </row>
    <row r="56" spans="1:24" x14ac:dyDescent="0.25">
      <c r="A56" s="1">
        <v>44706</v>
      </c>
      <c r="B56">
        <f t="shared" si="0"/>
        <v>3</v>
      </c>
      <c r="C56">
        <f t="shared" si="4"/>
        <v>7</v>
      </c>
      <c r="D56">
        <f t="shared" si="4"/>
        <v>9</v>
      </c>
      <c r="E56">
        <f t="shared" si="5"/>
        <v>0</v>
      </c>
      <c r="F56">
        <f t="shared" si="1"/>
        <v>0</v>
      </c>
      <c r="G56">
        <f t="shared" si="6"/>
        <v>0</v>
      </c>
      <c r="H56">
        <f t="shared" si="7"/>
        <v>0</v>
      </c>
      <c r="I56">
        <f t="shared" si="8"/>
        <v>0</v>
      </c>
      <c r="J56">
        <f t="shared" si="9"/>
        <v>0</v>
      </c>
      <c r="K56">
        <f t="shared" si="2"/>
        <v>0</v>
      </c>
      <c r="L56">
        <f t="shared" si="10"/>
        <v>7</v>
      </c>
      <c r="M56">
        <f t="shared" si="11"/>
        <v>9</v>
      </c>
      <c r="N56">
        <f t="shared" si="12"/>
        <v>1</v>
      </c>
      <c r="O56">
        <f t="shared" si="13"/>
        <v>3</v>
      </c>
      <c r="P56">
        <f t="shared" si="3"/>
        <v>2</v>
      </c>
      <c r="Q56">
        <f t="shared" si="14"/>
        <v>4</v>
      </c>
      <c r="R56">
        <f t="shared" si="14"/>
        <v>7</v>
      </c>
      <c r="V56" s="1">
        <v>44795</v>
      </c>
      <c r="W56">
        <v>5</v>
      </c>
      <c r="X56">
        <v>4</v>
      </c>
    </row>
    <row r="57" spans="1:24" x14ac:dyDescent="0.25">
      <c r="A57" s="1">
        <v>44707</v>
      </c>
      <c r="B57">
        <f t="shared" si="0"/>
        <v>4</v>
      </c>
      <c r="C57">
        <f t="shared" si="4"/>
        <v>4</v>
      </c>
      <c r="D57">
        <f t="shared" si="4"/>
        <v>7</v>
      </c>
      <c r="E57">
        <f t="shared" si="5"/>
        <v>0</v>
      </c>
      <c r="F57">
        <f t="shared" si="1"/>
        <v>0</v>
      </c>
      <c r="G57">
        <f t="shared" si="6"/>
        <v>1</v>
      </c>
      <c r="H57">
        <f t="shared" si="7"/>
        <v>50</v>
      </c>
      <c r="I57">
        <f t="shared" si="8"/>
        <v>25</v>
      </c>
      <c r="J57">
        <f t="shared" si="9"/>
        <v>0</v>
      </c>
      <c r="K57">
        <f t="shared" si="2"/>
        <v>0</v>
      </c>
      <c r="L57">
        <f t="shared" si="10"/>
        <v>54</v>
      </c>
      <c r="M57">
        <f t="shared" si="11"/>
        <v>32</v>
      </c>
      <c r="N57">
        <f t="shared" si="12"/>
        <v>1</v>
      </c>
      <c r="O57">
        <f t="shared" si="13"/>
        <v>17</v>
      </c>
      <c r="P57">
        <f t="shared" si="3"/>
        <v>7</v>
      </c>
      <c r="Q57">
        <f t="shared" si="14"/>
        <v>37</v>
      </c>
      <c r="R57">
        <f t="shared" si="14"/>
        <v>25</v>
      </c>
      <c r="V57" s="1">
        <v>44796</v>
      </c>
      <c r="W57">
        <v>4</v>
      </c>
      <c r="X57">
        <v>3</v>
      </c>
    </row>
    <row r="58" spans="1:24" x14ac:dyDescent="0.25">
      <c r="A58" s="1">
        <v>44708</v>
      </c>
      <c r="B58">
        <f t="shared" si="0"/>
        <v>5</v>
      </c>
      <c r="C58">
        <f t="shared" si="4"/>
        <v>37</v>
      </c>
      <c r="D58">
        <f t="shared" si="4"/>
        <v>25</v>
      </c>
      <c r="E58">
        <f t="shared" si="5"/>
        <v>0</v>
      </c>
      <c r="F58">
        <f t="shared" si="1"/>
        <v>0</v>
      </c>
      <c r="G58">
        <f t="shared" si="6"/>
        <v>0</v>
      </c>
      <c r="H58">
        <f t="shared" si="7"/>
        <v>0</v>
      </c>
      <c r="I58">
        <f t="shared" si="8"/>
        <v>0</v>
      </c>
      <c r="J58">
        <f t="shared" si="9"/>
        <v>0</v>
      </c>
      <c r="K58">
        <f t="shared" si="2"/>
        <v>0</v>
      </c>
      <c r="L58">
        <f t="shared" si="10"/>
        <v>37</v>
      </c>
      <c r="M58">
        <f t="shared" si="11"/>
        <v>25</v>
      </c>
      <c r="N58">
        <f t="shared" si="12"/>
        <v>1</v>
      </c>
      <c r="O58">
        <f t="shared" si="13"/>
        <v>12</v>
      </c>
      <c r="P58">
        <f t="shared" si="3"/>
        <v>5</v>
      </c>
      <c r="Q58">
        <f t="shared" si="14"/>
        <v>25</v>
      </c>
      <c r="R58">
        <f t="shared" si="14"/>
        <v>20</v>
      </c>
      <c r="V58" s="1">
        <v>44797</v>
      </c>
      <c r="W58">
        <v>3</v>
      </c>
      <c r="X58">
        <v>2</v>
      </c>
    </row>
    <row r="59" spans="1:24" x14ac:dyDescent="0.25">
      <c r="A59" s="1">
        <v>44709</v>
      </c>
      <c r="B59">
        <f t="shared" si="0"/>
        <v>6</v>
      </c>
      <c r="C59">
        <f t="shared" si="4"/>
        <v>25</v>
      </c>
      <c r="D59">
        <f t="shared" si="4"/>
        <v>20</v>
      </c>
      <c r="E59">
        <f t="shared" si="5"/>
        <v>0</v>
      </c>
      <c r="F59">
        <f t="shared" si="1"/>
        <v>0</v>
      </c>
      <c r="G59">
        <f t="shared" si="6"/>
        <v>0</v>
      </c>
      <c r="H59">
        <f t="shared" si="7"/>
        <v>0</v>
      </c>
      <c r="I59">
        <f t="shared" si="8"/>
        <v>0</v>
      </c>
      <c r="J59">
        <f t="shared" si="9"/>
        <v>0</v>
      </c>
      <c r="K59">
        <f t="shared" si="2"/>
        <v>0</v>
      </c>
      <c r="L59">
        <f t="shared" si="10"/>
        <v>25</v>
      </c>
      <c r="M59">
        <f t="shared" si="11"/>
        <v>20</v>
      </c>
      <c r="N59">
        <f t="shared" si="12"/>
        <v>1</v>
      </c>
      <c r="O59">
        <f t="shared" si="13"/>
        <v>8</v>
      </c>
      <c r="P59">
        <f t="shared" si="3"/>
        <v>4</v>
      </c>
      <c r="Q59">
        <f t="shared" si="14"/>
        <v>17</v>
      </c>
      <c r="R59">
        <f t="shared" si="14"/>
        <v>16</v>
      </c>
      <c r="V59" s="1">
        <v>44798</v>
      </c>
      <c r="W59">
        <v>17</v>
      </c>
      <c r="X59">
        <v>7</v>
      </c>
    </row>
    <row r="60" spans="1:24" x14ac:dyDescent="0.25">
      <c r="A60" s="1">
        <v>44710</v>
      </c>
      <c r="B60">
        <f t="shared" si="0"/>
        <v>7</v>
      </c>
      <c r="C60">
        <f t="shared" si="4"/>
        <v>17</v>
      </c>
      <c r="D60">
        <f t="shared" si="4"/>
        <v>16</v>
      </c>
      <c r="E60">
        <f t="shared" si="5"/>
        <v>0</v>
      </c>
      <c r="F60">
        <f t="shared" si="1"/>
        <v>0</v>
      </c>
      <c r="G60">
        <f t="shared" si="6"/>
        <v>0</v>
      </c>
      <c r="H60">
        <f t="shared" si="7"/>
        <v>0</v>
      </c>
      <c r="I60">
        <f t="shared" si="8"/>
        <v>0</v>
      </c>
      <c r="J60">
        <f t="shared" si="9"/>
        <v>0</v>
      </c>
      <c r="K60">
        <f t="shared" si="2"/>
        <v>0</v>
      </c>
      <c r="L60">
        <f t="shared" si="10"/>
        <v>17</v>
      </c>
      <c r="M60">
        <f t="shared" si="11"/>
        <v>16</v>
      </c>
      <c r="N60">
        <f t="shared" si="12"/>
        <v>0</v>
      </c>
      <c r="O60">
        <f t="shared" si="13"/>
        <v>0</v>
      </c>
      <c r="P60">
        <f t="shared" si="3"/>
        <v>0</v>
      </c>
      <c r="Q60">
        <f t="shared" si="14"/>
        <v>17</v>
      </c>
      <c r="R60">
        <f t="shared" si="14"/>
        <v>16</v>
      </c>
      <c r="V60" s="1">
        <v>44799</v>
      </c>
      <c r="W60">
        <v>12</v>
      </c>
      <c r="X60">
        <v>5</v>
      </c>
    </row>
    <row r="61" spans="1:24" x14ac:dyDescent="0.25">
      <c r="A61" s="1">
        <v>44711</v>
      </c>
      <c r="B61">
        <f t="shared" si="0"/>
        <v>1</v>
      </c>
      <c r="C61">
        <f t="shared" si="4"/>
        <v>17</v>
      </c>
      <c r="D61">
        <f t="shared" si="4"/>
        <v>16</v>
      </c>
      <c r="E61">
        <f t="shared" si="5"/>
        <v>1</v>
      </c>
      <c r="F61">
        <f t="shared" si="1"/>
        <v>1</v>
      </c>
      <c r="G61">
        <f t="shared" si="6"/>
        <v>0</v>
      </c>
      <c r="H61">
        <f t="shared" si="7"/>
        <v>0</v>
      </c>
      <c r="I61">
        <f t="shared" si="8"/>
        <v>0</v>
      </c>
      <c r="J61">
        <f t="shared" si="9"/>
        <v>0</v>
      </c>
      <c r="K61">
        <f t="shared" si="2"/>
        <v>0</v>
      </c>
      <c r="L61">
        <f t="shared" si="10"/>
        <v>16</v>
      </c>
      <c r="M61">
        <f t="shared" si="11"/>
        <v>16</v>
      </c>
      <c r="N61">
        <f t="shared" si="12"/>
        <v>1</v>
      </c>
      <c r="O61">
        <f t="shared" si="13"/>
        <v>5</v>
      </c>
      <c r="P61">
        <f t="shared" si="3"/>
        <v>4</v>
      </c>
      <c r="Q61">
        <f t="shared" si="14"/>
        <v>11</v>
      </c>
      <c r="R61">
        <f t="shared" si="14"/>
        <v>12</v>
      </c>
      <c r="V61" s="1">
        <v>44800</v>
      </c>
      <c r="W61">
        <v>8</v>
      </c>
      <c r="X61">
        <v>4</v>
      </c>
    </row>
    <row r="62" spans="1:24" x14ac:dyDescent="0.25">
      <c r="A62" s="1">
        <v>44712</v>
      </c>
      <c r="B62">
        <f t="shared" si="0"/>
        <v>2</v>
      </c>
      <c r="C62">
        <f t="shared" si="4"/>
        <v>11</v>
      </c>
      <c r="D62">
        <f t="shared" si="4"/>
        <v>12</v>
      </c>
      <c r="E62">
        <f t="shared" si="5"/>
        <v>0</v>
      </c>
      <c r="F62">
        <f t="shared" si="1"/>
        <v>0</v>
      </c>
      <c r="G62">
        <f t="shared" si="6"/>
        <v>0</v>
      </c>
      <c r="H62">
        <f t="shared" si="7"/>
        <v>0</v>
      </c>
      <c r="I62">
        <f t="shared" si="8"/>
        <v>0</v>
      </c>
      <c r="J62">
        <f t="shared" si="9"/>
        <v>0</v>
      </c>
      <c r="K62">
        <f t="shared" si="2"/>
        <v>0</v>
      </c>
      <c r="L62">
        <f t="shared" si="10"/>
        <v>11</v>
      </c>
      <c r="M62">
        <f t="shared" si="11"/>
        <v>12</v>
      </c>
      <c r="N62">
        <f t="shared" si="12"/>
        <v>1</v>
      </c>
      <c r="O62">
        <f t="shared" si="13"/>
        <v>4</v>
      </c>
      <c r="P62">
        <f t="shared" si="3"/>
        <v>3</v>
      </c>
      <c r="Q62">
        <f t="shared" si="14"/>
        <v>7</v>
      </c>
      <c r="R62">
        <f t="shared" si="14"/>
        <v>9</v>
      </c>
      <c r="V62" s="1">
        <v>44801</v>
      </c>
      <c r="W62">
        <v>0</v>
      </c>
      <c r="X62">
        <v>0</v>
      </c>
    </row>
    <row r="63" spans="1:24" x14ac:dyDescent="0.25">
      <c r="A63" s="1">
        <v>44713</v>
      </c>
      <c r="B63">
        <f t="shared" si="0"/>
        <v>3</v>
      </c>
      <c r="C63">
        <f t="shared" si="4"/>
        <v>7</v>
      </c>
      <c r="D63">
        <f t="shared" si="4"/>
        <v>9</v>
      </c>
      <c r="E63">
        <f t="shared" si="5"/>
        <v>0</v>
      </c>
      <c r="F63">
        <f t="shared" si="1"/>
        <v>0</v>
      </c>
      <c r="G63">
        <f t="shared" si="6"/>
        <v>0</v>
      </c>
      <c r="H63">
        <f t="shared" si="7"/>
        <v>0</v>
      </c>
      <c r="I63">
        <f t="shared" si="8"/>
        <v>0</v>
      </c>
      <c r="J63">
        <f t="shared" si="9"/>
        <v>0</v>
      </c>
      <c r="K63">
        <f t="shared" si="2"/>
        <v>0</v>
      </c>
      <c r="L63">
        <f t="shared" si="10"/>
        <v>7</v>
      </c>
      <c r="M63">
        <f t="shared" si="11"/>
        <v>9</v>
      </c>
      <c r="N63">
        <f t="shared" si="12"/>
        <v>1</v>
      </c>
      <c r="O63">
        <f t="shared" si="13"/>
        <v>3</v>
      </c>
      <c r="P63">
        <f t="shared" si="3"/>
        <v>2</v>
      </c>
      <c r="Q63">
        <f t="shared" si="14"/>
        <v>4</v>
      </c>
      <c r="R63">
        <f t="shared" si="14"/>
        <v>7</v>
      </c>
      <c r="V63" s="1">
        <v>44802</v>
      </c>
      <c r="W63">
        <v>5</v>
      </c>
      <c r="X63">
        <v>4</v>
      </c>
    </row>
    <row r="64" spans="1:24" x14ac:dyDescent="0.25">
      <c r="A64" s="1">
        <v>44714</v>
      </c>
      <c r="B64">
        <f t="shared" si="0"/>
        <v>4</v>
      </c>
      <c r="C64">
        <f t="shared" si="4"/>
        <v>4</v>
      </c>
      <c r="D64">
        <f t="shared" si="4"/>
        <v>7</v>
      </c>
      <c r="E64">
        <f t="shared" si="5"/>
        <v>0</v>
      </c>
      <c r="F64">
        <f t="shared" si="1"/>
        <v>0</v>
      </c>
      <c r="G64">
        <f t="shared" si="6"/>
        <v>1</v>
      </c>
      <c r="H64">
        <f t="shared" si="7"/>
        <v>50</v>
      </c>
      <c r="I64">
        <f t="shared" si="8"/>
        <v>25</v>
      </c>
      <c r="J64">
        <f t="shared" si="9"/>
        <v>0</v>
      </c>
      <c r="K64">
        <f t="shared" si="2"/>
        <v>0</v>
      </c>
      <c r="L64">
        <f t="shared" si="10"/>
        <v>54</v>
      </c>
      <c r="M64">
        <f t="shared" si="11"/>
        <v>32</v>
      </c>
      <c r="N64">
        <f t="shared" si="12"/>
        <v>1</v>
      </c>
      <c r="O64">
        <f t="shared" si="13"/>
        <v>17</v>
      </c>
      <c r="P64">
        <f t="shared" si="3"/>
        <v>7</v>
      </c>
      <c r="Q64">
        <f t="shared" si="14"/>
        <v>37</v>
      </c>
      <c r="R64">
        <f t="shared" si="14"/>
        <v>25</v>
      </c>
      <c r="V64" s="1">
        <v>44803</v>
      </c>
      <c r="W64">
        <v>4</v>
      </c>
      <c r="X64">
        <v>3</v>
      </c>
    </row>
    <row r="65" spans="1:24" x14ac:dyDescent="0.25">
      <c r="A65" s="1">
        <v>44715</v>
      </c>
      <c r="B65">
        <f t="shared" si="0"/>
        <v>5</v>
      </c>
      <c r="C65">
        <f t="shared" si="4"/>
        <v>37</v>
      </c>
      <c r="D65">
        <f t="shared" si="4"/>
        <v>25</v>
      </c>
      <c r="E65">
        <f t="shared" si="5"/>
        <v>0</v>
      </c>
      <c r="F65">
        <f t="shared" si="1"/>
        <v>0</v>
      </c>
      <c r="G65">
        <f t="shared" si="6"/>
        <v>0</v>
      </c>
      <c r="H65">
        <f t="shared" si="7"/>
        <v>0</v>
      </c>
      <c r="I65">
        <f t="shared" si="8"/>
        <v>0</v>
      </c>
      <c r="J65">
        <f t="shared" si="9"/>
        <v>0</v>
      </c>
      <c r="K65">
        <f t="shared" si="2"/>
        <v>0</v>
      </c>
      <c r="L65">
        <f t="shared" si="10"/>
        <v>37</v>
      </c>
      <c r="M65">
        <f t="shared" si="11"/>
        <v>25</v>
      </c>
      <c r="N65">
        <f t="shared" si="12"/>
        <v>1</v>
      </c>
      <c r="O65">
        <f t="shared" si="13"/>
        <v>12</v>
      </c>
      <c r="P65">
        <f t="shared" si="3"/>
        <v>5</v>
      </c>
      <c r="Q65">
        <f t="shared" si="14"/>
        <v>25</v>
      </c>
      <c r="R65">
        <f t="shared" si="14"/>
        <v>20</v>
      </c>
      <c r="V65" s="1">
        <v>44804</v>
      </c>
      <c r="W65">
        <v>3</v>
      </c>
      <c r="X65">
        <v>2</v>
      </c>
    </row>
    <row r="66" spans="1:24" x14ac:dyDescent="0.25">
      <c r="A66" s="1">
        <v>44716</v>
      </c>
      <c r="B66">
        <f t="shared" si="0"/>
        <v>6</v>
      </c>
      <c r="C66">
        <f t="shared" si="4"/>
        <v>25</v>
      </c>
      <c r="D66">
        <f t="shared" si="4"/>
        <v>20</v>
      </c>
      <c r="E66">
        <f t="shared" si="5"/>
        <v>0</v>
      </c>
      <c r="F66">
        <f t="shared" si="1"/>
        <v>0</v>
      </c>
      <c r="G66">
        <f t="shared" si="6"/>
        <v>0</v>
      </c>
      <c r="H66">
        <f t="shared" si="7"/>
        <v>0</v>
      </c>
      <c r="I66">
        <f t="shared" si="8"/>
        <v>0</v>
      </c>
      <c r="J66">
        <f t="shared" si="9"/>
        <v>0</v>
      </c>
      <c r="K66">
        <f t="shared" si="2"/>
        <v>0</v>
      </c>
      <c r="L66">
        <f t="shared" si="10"/>
        <v>25</v>
      </c>
      <c r="M66">
        <f t="shared" si="11"/>
        <v>20</v>
      </c>
      <c r="N66">
        <f t="shared" si="12"/>
        <v>1</v>
      </c>
      <c r="O66">
        <f t="shared" si="13"/>
        <v>8</v>
      </c>
      <c r="P66">
        <f t="shared" si="3"/>
        <v>4</v>
      </c>
      <c r="Q66">
        <f t="shared" si="14"/>
        <v>17</v>
      </c>
      <c r="R66">
        <f t="shared" si="14"/>
        <v>16</v>
      </c>
    </row>
    <row r="67" spans="1:24" x14ac:dyDescent="0.25">
      <c r="A67" s="1">
        <v>44717</v>
      </c>
      <c r="B67">
        <f t="shared" ref="B67:B130" si="15">WEEKDAY(A67, 2)</f>
        <v>7</v>
      </c>
      <c r="C67">
        <f t="shared" si="4"/>
        <v>17</v>
      </c>
      <c r="D67">
        <f t="shared" si="4"/>
        <v>16</v>
      </c>
      <c r="E67">
        <f t="shared" si="5"/>
        <v>0</v>
      </c>
      <c r="F67">
        <f t="shared" ref="F67:F130" si="16">IF(E67=1,ROUNDUP(5% * C67,0),0)</f>
        <v>0</v>
      </c>
      <c r="G67">
        <f t="shared" si="6"/>
        <v>0</v>
      </c>
      <c r="H67">
        <f t="shared" si="7"/>
        <v>0</v>
      </c>
      <c r="I67">
        <f t="shared" si="8"/>
        <v>0</v>
      </c>
      <c r="J67">
        <f t="shared" ref="J67:J130" si="17">IF(AND(B67=1,SUM(O64:O65)&gt;25),1,0)</f>
        <v>0</v>
      </c>
      <c r="K67">
        <f t="shared" ref="K67:K130" si="18">IF(J67=1,15,0)</f>
        <v>0</v>
      </c>
      <c r="L67">
        <f t="shared" si="10"/>
        <v>17</v>
      </c>
      <c r="M67">
        <f t="shared" si="11"/>
        <v>16</v>
      </c>
      <c r="N67">
        <f t="shared" si="12"/>
        <v>0</v>
      </c>
      <c r="O67">
        <f t="shared" si="13"/>
        <v>0</v>
      </c>
      <c r="P67">
        <f t="shared" ref="P67:P130" si="19">IF(N67=1,ROUNDUP(20% * M67,0),0)</f>
        <v>0</v>
      </c>
      <c r="Q67">
        <f t="shared" si="14"/>
        <v>17</v>
      </c>
      <c r="R67">
        <f t="shared" si="14"/>
        <v>16</v>
      </c>
    </row>
    <row r="68" spans="1:24" x14ac:dyDescent="0.25">
      <c r="A68" s="1">
        <v>44718</v>
      </c>
      <c r="B68">
        <f t="shared" si="15"/>
        <v>1</v>
      </c>
      <c r="C68">
        <f t="shared" ref="C68:D131" si="20">Q67</f>
        <v>17</v>
      </c>
      <c r="D68">
        <f t="shared" si="20"/>
        <v>16</v>
      </c>
      <c r="E68">
        <f t="shared" ref="E68:E131" si="21">IF(B68=1,1,0)</f>
        <v>1</v>
      </c>
      <c r="F68">
        <f t="shared" si="16"/>
        <v>1</v>
      </c>
      <c r="G68">
        <f t="shared" ref="G68:G131" si="22">IF(B68=4,1,0)</f>
        <v>0</v>
      </c>
      <c r="H68">
        <f t="shared" ref="H68:H131" si="23">IF(G68=1,50,0)</f>
        <v>0</v>
      </c>
      <c r="I68">
        <f t="shared" ref="I68:I131" si="24">IF(G68=1,25,0)</f>
        <v>0</v>
      </c>
      <c r="J68">
        <f t="shared" si="17"/>
        <v>0</v>
      </c>
      <c r="K68">
        <f t="shared" si="18"/>
        <v>0</v>
      </c>
      <c r="L68">
        <f t="shared" ref="L68:L131" si="25">K68+H68+C68-F68</f>
        <v>16</v>
      </c>
      <c r="M68">
        <f t="shared" ref="M68:M131" si="26">I68+D68</f>
        <v>16</v>
      </c>
      <c r="N68">
        <f t="shared" ref="N68:N131" si="27">IF(B68&lt;&gt;7,1,0)</f>
        <v>1</v>
      </c>
      <c r="O68">
        <f t="shared" ref="O68:O131" si="28">IF(N68=1,ROUNDUP(30% * L68,0),0)</f>
        <v>5</v>
      </c>
      <c r="P68">
        <f t="shared" si="19"/>
        <v>4</v>
      </c>
      <c r="Q68">
        <f t="shared" ref="Q68:R131" si="29">L68-O68</f>
        <v>11</v>
      </c>
      <c r="R68">
        <f t="shared" si="29"/>
        <v>12</v>
      </c>
    </row>
    <row r="69" spans="1:24" x14ac:dyDescent="0.25">
      <c r="A69" s="1">
        <v>44719</v>
      </c>
      <c r="B69">
        <f t="shared" si="15"/>
        <v>2</v>
      </c>
      <c r="C69">
        <f t="shared" si="20"/>
        <v>11</v>
      </c>
      <c r="D69">
        <f t="shared" si="20"/>
        <v>12</v>
      </c>
      <c r="E69">
        <f t="shared" si="21"/>
        <v>0</v>
      </c>
      <c r="F69">
        <f t="shared" si="16"/>
        <v>0</v>
      </c>
      <c r="G69">
        <f t="shared" si="22"/>
        <v>0</v>
      </c>
      <c r="H69">
        <f t="shared" si="23"/>
        <v>0</v>
      </c>
      <c r="I69">
        <f t="shared" si="24"/>
        <v>0</v>
      </c>
      <c r="J69">
        <f t="shared" si="17"/>
        <v>0</v>
      </c>
      <c r="K69">
        <f t="shared" si="18"/>
        <v>0</v>
      </c>
      <c r="L69">
        <f t="shared" si="25"/>
        <v>11</v>
      </c>
      <c r="M69">
        <f t="shared" si="26"/>
        <v>12</v>
      </c>
      <c r="N69">
        <f t="shared" si="27"/>
        <v>1</v>
      </c>
      <c r="O69">
        <f t="shared" si="28"/>
        <v>4</v>
      </c>
      <c r="P69">
        <f t="shared" si="19"/>
        <v>3</v>
      </c>
      <c r="Q69">
        <f t="shared" si="29"/>
        <v>7</v>
      </c>
      <c r="R69">
        <f t="shared" si="29"/>
        <v>9</v>
      </c>
    </row>
    <row r="70" spans="1:24" x14ac:dyDescent="0.25">
      <c r="A70" s="1">
        <v>44720</v>
      </c>
      <c r="B70">
        <f t="shared" si="15"/>
        <v>3</v>
      </c>
      <c r="C70">
        <f t="shared" si="20"/>
        <v>7</v>
      </c>
      <c r="D70">
        <f t="shared" si="20"/>
        <v>9</v>
      </c>
      <c r="E70">
        <f t="shared" si="21"/>
        <v>0</v>
      </c>
      <c r="F70">
        <f t="shared" si="16"/>
        <v>0</v>
      </c>
      <c r="G70">
        <f t="shared" si="22"/>
        <v>0</v>
      </c>
      <c r="H70">
        <f t="shared" si="23"/>
        <v>0</v>
      </c>
      <c r="I70">
        <f t="shared" si="24"/>
        <v>0</v>
      </c>
      <c r="J70">
        <f t="shared" si="17"/>
        <v>0</v>
      </c>
      <c r="K70">
        <f t="shared" si="18"/>
        <v>0</v>
      </c>
      <c r="L70">
        <f t="shared" si="25"/>
        <v>7</v>
      </c>
      <c r="M70">
        <f t="shared" si="26"/>
        <v>9</v>
      </c>
      <c r="N70">
        <f t="shared" si="27"/>
        <v>1</v>
      </c>
      <c r="O70">
        <f t="shared" si="28"/>
        <v>3</v>
      </c>
      <c r="P70">
        <f t="shared" si="19"/>
        <v>2</v>
      </c>
      <c r="Q70">
        <f t="shared" si="29"/>
        <v>4</v>
      </c>
      <c r="R70">
        <f t="shared" si="29"/>
        <v>7</v>
      </c>
    </row>
    <row r="71" spans="1:24" x14ac:dyDescent="0.25">
      <c r="A71" s="1">
        <v>44721</v>
      </c>
      <c r="B71">
        <f t="shared" si="15"/>
        <v>4</v>
      </c>
      <c r="C71">
        <f t="shared" si="20"/>
        <v>4</v>
      </c>
      <c r="D71">
        <f t="shared" si="20"/>
        <v>7</v>
      </c>
      <c r="E71">
        <f t="shared" si="21"/>
        <v>0</v>
      </c>
      <c r="F71">
        <f t="shared" si="16"/>
        <v>0</v>
      </c>
      <c r="G71">
        <f t="shared" si="22"/>
        <v>1</v>
      </c>
      <c r="H71">
        <f t="shared" si="23"/>
        <v>50</v>
      </c>
      <c r="I71">
        <f t="shared" si="24"/>
        <v>25</v>
      </c>
      <c r="J71">
        <f t="shared" si="17"/>
        <v>0</v>
      </c>
      <c r="K71">
        <f t="shared" si="18"/>
        <v>0</v>
      </c>
      <c r="L71">
        <f t="shared" si="25"/>
        <v>54</v>
      </c>
      <c r="M71">
        <f t="shared" si="26"/>
        <v>32</v>
      </c>
      <c r="N71">
        <f t="shared" si="27"/>
        <v>1</v>
      </c>
      <c r="O71">
        <f t="shared" si="28"/>
        <v>17</v>
      </c>
      <c r="P71">
        <f t="shared" si="19"/>
        <v>7</v>
      </c>
      <c r="Q71">
        <f t="shared" si="29"/>
        <v>37</v>
      </c>
      <c r="R71">
        <f t="shared" si="29"/>
        <v>25</v>
      </c>
    </row>
    <row r="72" spans="1:24" x14ac:dyDescent="0.25">
      <c r="A72" s="1">
        <v>44722</v>
      </c>
      <c r="B72">
        <f t="shared" si="15"/>
        <v>5</v>
      </c>
      <c r="C72">
        <f t="shared" si="20"/>
        <v>37</v>
      </c>
      <c r="D72">
        <f t="shared" si="20"/>
        <v>25</v>
      </c>
      <c r="E72">
        <f t="shared" si="21"/>
        <v>0</v>
      </c>
      <c r="F72">
        <f t="shared" si="16"/>
        <v>0</v>
      </c>
      <c r="G72">
        <f t="shared" si="22"/>
        <v>0</v>
      </c>
      <c r="H72">
        <f t="shared" si="23"/>
        <v>0</v>
      </c>
      <c r="I72">
        <f t="shared" si="24"/>
        <v>0</v>
      </c>
      <c r="J72">
        <f t="shared" si="17"/>
        <v>0</v>
      </c>
      <c r="K72">
        <f t="shared" si="18"/>
        <v>0</v>
      </c>
      <c r="L72">
        <f t="shared" si="25"/>
        <v>37</v>
      </c>
      <c r="M72">
        <f t="shared" si="26"/>
        <v>25</v>
      </c>
      <c r="N72">
        <f t="shared" si="27"/>
        <v>1</v>
      </c>
      <c r="O72">
        <f t="shared" si="28"/>
        <v>12</v>
      </c>
      <c r="P72">
        <f t="shared" si="19"/>
        <v>5</v>
      </c>
      <c r="Q72">
        <f t="shared" si="29"/>
        <v>25</v>
      </c>
      <c r="R72">
        <f t="shared" si="29"/>
        <v>20</v>
      </c>
    </row>
    <row r="73" spans="1:24" x14ac:dyDescent="0.25">
      <c r="A73" s="1">
        <v>44723</v>
      </c>
      <c r="B73">
        <f t="shared" si="15"/>
        <v>6</v>
      </c>
      <c r="C73">
        <f t="shared" si="20"/>
        <v>25</v>
      </c>
      <c r="D73">
        <f t="shared" si="20"/>
        <v>20</v>
      </c>
      <c r="E73">
        <f t="shared" si="21"/>
        <v>0</v>
      </c>
      <c r="F73">
        <f t="shared" si="16"/>
        <v>0</v>
      </c>
      <c r="G73">
        <f t="shared" si="22"/>
        <v>0</v>
      </c>
      <c r="H73">
        <f t="shared" si="23"/>
        <v>0</v>
      </c>
      <c r="I73">
        <f t="shared" si="24"/>
        <v>0</v>
      </c>
      <c r="J73">
        <f t="shared" si="17"/>
        <v>0</v>
      </c>
      <c r="K73">
        <f t="shared" si="18"/>
        <v>0</v>
      </c>
      <c r="L73">
        <f t="shared" si="25"/>
        <v>25</v>
      </c>
      <c r="M73">
        <f t="shared" si="26"/>
        <v>20</v>
      </c>
      <c r="N73">
        <f t="shared" si="27"/>
        <v>1</v>
      </c>
      <c r="O73">
        <f t="shared" si="28"/>
        <v>8</v>
      </c>
      <c r="P73">
        <f t="shared" si="19"/>
        <v>4</v>
      </c>
      <c r="Q73">
        <f t="shared" si="29"/>
        <v>17</v>
      </c>
      <c r="R73">
        <f t="shared" si="29"/>
        <v>16</v>
      </c>
    </row>
    <row r="74" spans="1:24" x14ac:dyDescent="0.25">
      <c r="A74" s="1">
        <v>44724</v>
      </c>
      <c r="B74">
        <f t="shared" si="15"/>
        <v>7</v>
      </c>
      <c r="C74">
        <f t="shared" si="20"/>
        <v>17</v>
      </c>
      <c r="D74">
        <f t="shared" si="20"/>
        <v>16</v>
      </c>
      <c r="E74">
        <f t="shared" si="21"/>
        <v>0</v>
      </c>
      <c r="F74">
        <f t="shared" si="16"/>
        <v>0</v>
      </c>
      <c r="G74">
        <f t="shared" si="22"/>
        <v>0</v>
      </c>
      <c r="H74">
        <f t="shared" si="23"/>
        <v>0</v>
      </c>
      <c r="I74">
        <f t="shared" si="24"/>
        <v>0</v>
      </c>
      <c r="J74">
        <f t="shared" si="17"/>
        <v>0</v>
      </c>
      <c r="K74">
        <f t="shared" si="18"/>
        <v>0</v>
      </c>
      <c r="L74">
        <f t="shared" si="25"/>
        <v>17</v>
      </c>
      <c r="M74">
        <f t="shared" si="26"/>
        <v>16</v>
      </c>
      <c r="N74">
        <f t="shared" si="27"/>
        <v>0</v>
      </c>
      <c r="O74">
        <f t="shared" si="28"/>
        <v>0</v>
      </c>
      <c r="P74">
        <f t="shared" si="19"/>
        <v>0</v>
      </c>
      <c r="Q74">
        <f t="shared" si="29"/>
        <v>17</v>
      </c>
      <c r="R74">
        <f t="shared" si="29"/>
        <v>16</v>
      </c>
    </row>
    <row r="75" spans="1:24" x14ac:dyDescent="0.25">
      <c r="A75" s="1">
        <v>44725</v>
      </c>
      <c r="B75">
        <f t="shared" si="15"/>
        <v>1</v>
      </c>
      <c r="C75">
        <f t="shared" si="20"/>
        <v>17</v>
      </c>
      <c r="D75">
        <f t="shared" si="20"/>
        <v>16</v>
      </c>
      <c r="E75">
        <f t="shared" si="21"/>
        <v>1</v>
      </c>
      <c r="F75">
        <f t="shared" si="16"/>
        <v>1</v>
      </c>
      <c r="G75">
        <f t="shared" si="22"/>
        <v>0</v>
      </c>
      <c r="H75">
        <f t="shared" si="23"/>
        <v>0</v>
      </c>
      <c r="I75">
        <f t="shared" si="24"/>
        <v>0</v>
      </c>
      <c r="J75">
        <f t="shared" si="17"/>
        <v>0</v>
      </c>
      <c r="K75">
        <f t="shared" si="18"/>
        <v>0</v>
      </c>
      <c r="L75">
        <f t="shared" si="25"/>
        <v>16</v>
      </c>
      <c r="M75">
        <f t="shared" si="26"/>
        <v>16</v>
      </c>
      <c r="N75">
        <f t="shared" si="27"/>
        <v>1</v>
      </c>
      <c r="O75">
        <f t="shared" si="28"/>
        <v>5</v>
      </c>
      <c r="P75">
        <f t="shared" si="19"/>
        <v>4</v>
      </c>
      <c r="Q75">
        <f t="shared" si="29"/>
        <v>11</v>
      </c>
      <c r="R75">
        <f t="shared" si="29"/>
        <v>12</v>
      </c>
    </row>
    <row r="76" spans="1:24" x14ac:dyDescent="0.25">
      <c r="A76" s="1">
        <v>44726</v>
      </c>
      <c r="B76">
        <f t="shared" si="15"/>
        <v>2</v>
      </c>
      <c r="C76">
        <f t="shared" si="20"/>
        <v>11</v>
      </c>
      <c r="D76">
        <f t="shared" si="20"/>
        <v>12</v>
      </c>
      <c r="E76">
        <f t="shared" si="21"/>
        <v>0</v>
      </c>
      <c r="F76">
        <f t="shared" si="16"/>
        <v>0</v>
      </c>
      <c r="G76">
        <f t="shared" si="22"/>
        <v>0</v>
      </c>
      <c r="H76">
        <f t="shared" si="23"/>
        <v>0</v>
      </c>
      <c r="I76">
        <f t="shared" si="24"/>
        <v>0</v>
      </c>
      <c r="J76">
        <f t="shared" si="17"/>
        <v>0</v>
      </c>
      <c r="K76">
        <f t="shared" si="18"/>
        <v>0</v>
      </c>
      <c r="L76">
        <f t="shared" si="25"/>
        <v>11</v>
      </c>
      <c r="M76">
        <f t="shared" si="26"/>
        <v>12</v>
      </c>
      <c r="N76">
        <f t="shared" si="27"/>
        <v>1</v>
      </c>
      <c r="O76">
        <f t="shared" si="28"/>
        <v>4</v>
      </c>
      <c r="P76">
        <f t="shared" si="19"/>
        <v>3</v>
      </c>
      <c r="Q76">
        <f t="shared" si="29"/>
        <v>7</v>
      </c>
      <c r="R76">
        <f t="shared" si="29"/>
        <v>9</v>
      </c>
    </row>
    <row r="77" spans="1:24" x14ac:dyDescent="0.25">
      <c r="A77" s="1">
        <v>44727</v>
      </c>
      <c r="B77">
        <f t="shared" si="15"/>
        <v>3</v>
      </c>
      <c r="C77">
        <f t="shared" si="20"/>
        <v>7</v>
      </c>
      <c r="D77">
        <f t="shared" si="20"/>
        <v>9</v>
      </c>
      <c r="E77">
        <f t="shared" si="21"/>
        <v>0</v>
      </c>
      <c r="F77">
        <f t="shared" si="16"/>
        <v>0</v>
      </c>
      <c r="G77">
        <f t="shared" si="22"/>
        <v>0</v>
      </c>
      <c r="H77">
        <f t="shared" si="23"/>
        <v>0</v>
      </c>
      <c r="I77">
        <f t="shared" si="24"/>
        <v>0</v>
      </c>
      <c r="J77">
        <f t="shared" si="17"/>
        <v>0</v>
      </c>
      <c r="K77">
        <f t="shared" si="18"/>
        <v>0</v>
      </c>
      <c r="L77">
        <f t="shared" si="25"/>
        <v>7</v>
      </c>
      <c r="M77">
        <f t="shared" si="26"/>
        <v>9</v>
      </c>
      <c r="N77">
        <f t="shared" si="27"/>
        <v>1</v>
      </c>
      <c r="O77">
        <f t="shared" si="28"/>
        <v>3</v>
      </c>
      <c r="P77">
        <f t="shared" si="19"/>
        <v>2</v>
      </c>
      <c r="Q77">
        <f t="shared" si="29"/>
        <v>4</v>
      </c>
      <c r="R77">
        <f t="shared" si="29"/>
        <v>7</v>
      </c>
    </row>
    <row r="78" spans="1:24" x14ac:dyDescent="0.25">
      <c r="A78" s="1">
        <v>44728</v>
      </c>
      <c r="B78">
        <f t="shared" si="15"/>
        <v>4</v>
      </c>
      <c r="C78">
        <f t="shared" si="20"/>
        <v>4</v>
      </c>
      <c r="D78">
        <f t="shared" si="20"/>
        <v>7</v>
      </c>
      <c r="E78">
        <f t="shared" si="21"/>
        <v>0</v>
      </c>
      <c r="F78">
        <f t="shared" si="16"/>
        <v>0</v>
      </c>
      <c r="G78">
        <f t="shared" si="22"/>
        <v>1</v>
      </c>
      <c r="H78">
        <f t="shared" si="23"/>
        <v>50</v>
      </c>
      <c r="I78">
        <f t="shared" si="24"/>
        <v>25</v>
      </c>
      <c r="J78">
        <f t="shared" si="17"/>
        <v>0</v>
      </c>
      <c r="K78">
        <f t="shared" si="18"/>
        <v>0</v>
      </c>
      <c r="L78">
        <f t="shared" si="25"/>
        <v>54</v>
      </c>
      <c r="M78">
        <f t="shared" si="26"/>
        <v>32</v>
      </c>
      <c r="N78">
        <f t="shared" si="27"/>
        <v>1</v>
      </c>
      <c r="O78">
        <f t="shared" si="28"/>
        <v>17</v>
      </c>
      <c r="P78">
        <f t="shared" si="19"/>
        <v>7</v>
      </c>
      <c r="Q78">
        <f t="shared" si="29"/>
        <v>37</v>
      </c>
      <c r="R78">
        <f t="shared" si="29"/>
        <v>25</v>
      </c>
    </row>
    <row r="79" spans="1:24" x14ac:dyDescent="0.25">
      <c r="A79" s="1">
        <v>44729</v>
      </c>
      <c r="B79">
        <f t="shared" si="15"/>
        <v>5</v>
      </c>
      <c r="C79">
        <f t="shared" si="20"/>
        <v>37</v>
      </c>
      <c r="D79">
        <f t="shared" si="20"/>
        <v>25</v>
      </c>
      <c r="E79">
        <f t="shared" si="21"/>
        <v>0</v>
      </c>
      <c r="F79">
        <f t="shared" si="16"/>
        <v>0</v>
      </c>
      <c r="G79">
        <f t="shared" si="22"/>
        <v>0</v>
      </c>
      <c r="H79">
        <f t="shared" si="23"/>
        <v>0</v>
      </c>
      <c r="I79">
        <f t="shared" si="24"/>
        <v>0</v>
      </c>
      <c r="J79">
        <f t="shared" si="17"/>
        <v>0</v>
      </c>
      <c r="K79">
        <f t="shared" si="18"/>
        <v>0</v>
      </c>
      <c r="L79">
        <f t="shared" si="25"/>
        <v>37</v>
      </c>
      <c r="M79">
        <f t="shared" si="26"/>
        <v>25</v>
      </c>
      <c r="N79">
        <f t="shared" si="27"/>
        <v>1</v>
      </c>
      <c r="O79">
        <f t="shared" si="28"/>
        <v>12</v>
      </c>
      <c r="P79">
        <f t="shared" si="19"/>
        <v>5</v>
      </c>
      <c r="Q79">
        <f t="shared" si="29"/>
        <v>25</v>
      </c>
      <c r="R79">
        <f t="shared" si="29"/>
        <v>20</v>
      </c>
    </row>
    <row r="80" spans="1:24" x14ac:dyDescent="0.25">
      <c r="A80" s="1">
        <v>44730</v>
      </c>
      <c r="B80">
        <f t="shared" si="15"/>
        <v>6</v>
      </c>
      <c r="C80">
        <f t="shared" si="20"/>
        <v>25</v>
      </c>
      <c r="D80">
        <f t="shared" si="20"/>
        <v>20</v>
      </c>
      <c r="E80">
        <f t="shared" si="21"/>
        <v>0</v>
      </c>
      <c r="F80">
        <f t="shared" si="16"/>
        <v>0</v>
      </c>
      <c r="G80">
        <f t="shared" si="22"/>
        <v>0</v>
      </c>
      <c r="H80">
        <f t="shared" si="23"/>
        <v>0</v>
      </c>
      <c r="I80">
        <f t="shared" si="24"/>
        <v>0</v>
      </c>
      <c r="J80">
        <f t="shared" si="17"/>
        <v>0</v>
      </c>
      <c r="K80">
        <f t="shared" si="18"/>
        <v>0</v>
      </c>
      <c r="L80">
        <f t="shared" si="25"/>
        <v>25</v>
      </c>
      <c r="M80">
        <f t="shared" si="26"/>
        <v>20</v>
      </c>
      <c r="N80">
        <f t="shared" si="27"/>
        <v>1</v>
      </c>
      <c r="O80">
        <f t="shared" si="28"/>
        <v>8</v>
      </c>
      <c r="P80">
        <f t="shared" si="19"/>
        <v>4</v>
      </c>
      <c r="Q80">
        <f t="shared" si="29"/>
        <v>17</v>
      </c>
      <c r="R80">
        <f t="shared" si="29"/>
        <v>16</v>
      </c>
    </row>
    <row r="81" spans="1:18" x14ac:dyDescent="0.25">
      <c r="A81" s="1">
        <v>44731</v>
      </c>
      <c r="B81">
        <f t="shared" si="15"/>
        <v>7</v>
      </c>
      <c r="C81">
        <f t="shared" si="20"/>
        <v>17</v>
      </c>
      <c r="D81">
        <f t="shared" si="20"/>
        <v>16</v>
      </c>
      <c r="E81">
        <f t="shared" si="21"/>
        <v>0</v>
      </c>
      <c r="F81">
        <f t="shared" si="16"/>
        <v>0</v>
      </c>
      <c r="G81">
        <f t="shared" si="22"/>
        <v>0</v>
      </c>
      <c r="H81">
        <f t="shared" si="23"/>
        <v>0</v>
      </c>
      <c r="I81">
        <f t="shared" si="24"/>
        <v>0</v>
      </c>
      <c r="J81">
        <f t="shared" si="17"/>
        <v>0</v>
      </c>
      <c r="K81">
        <f t="shared" si="18"/>
        <v>0</v>
      </c>
      <c r="L81">
        <f t="shared" si="25"/>
        <v>17</v>
      </c>
      <c r="M81">
        <f t="shared" si="26"/>
        <v>16</v>
      </c>
      <c r="N81">
        <f t="shared" si="27"/>
        <v>0</v>
      </c>
      <c r="O81">
        <f t="shared" si="28"/>
        <v>0</v>
      </c>
      <c r="P81">
        <f t="shared" si="19"/>
        <v>0</v>
      </c>
      <c r="Q81">
        <f t="shared" si="29"/>
        <v>17</v>
      </c>
      <c r="R81">
        <f t="shared" si="29"/>
        <v>16</v>
      </c>
    </row>
    <row r="82" spans="1:18" x14ac:dyDescent="0.25">
      <c r="A82" s="1">
        <v>44732</v>
      </c>
      <c r="B82">
        <f t="shared" si="15"/>
        <v>1</v>
      </c>
      <c r="C82">
        <f t="shared" si="20"/>
        <v>17</v>
      </c>
      <c r="D82">
        <f t="shared" si="20"/>
        <v>16</v>
      </c>
      <c r="E82">
        <f t="shared" si="21"/>
        <v>1</v>
      </c>
      <c r="F82">
        <f t="shared" si="16"/>
        <v>1</v>
      </c>
      <c r="G82">
        <f t="shared" si="22"/>
        <v>0</v>
      </c>
      <c r="H82">
        <f t="shared" si="23"/>
        <v>0</v>
      </c>
      <c r="I82">
        <f t="shared" si="24"/>
        <v>0</v>
      </c>
      <c r="J82">
        <f t="shared" si="17"/>
        <v>0</v>
      </c>
      <c r="K82">
        <f t="shared" si="18"/>
        <v>0</v>
      </c>
      <c r="L82">
        <f t="shared" si="25"/>
        <v>16</v>
      </c>
      <c r="M82">
        <f t="shared" si="26"/>
        <v>16</v>
      </c>
      <c r="N82">
        <f t="shared" si="27"/>
        <v>1</v>
      </c>
      <c r="O82">
        <f t="shared" si="28"/>
        <v>5</v>
      </c>
      <c r="P82">
        <f t="shared" si="19"/>
        <v>4</v>
      </c>
      <c r="Q82">
        <f t="shared" si="29"/>
        <v>11</v>
      </c>
      <c r="R82">
        <f t="shared" si="29"/>
        <v>12</v>
      </c>
    </row>
    <row r="83" spans="1:18" x14ac:dyDescent="0.25">
      <c r="A83" s="1">
        <v>44733</v>
      </c>
      <c r="B83">
        <f t="shared" si="15"/>
        <v>2</v>
      </c>
      <c r="C83">
        <f t="shared" si="20"/>
        <v>11</v>
      </c>
      <c r="D83">
        <f t="shared" si="20"/>
        <v>12</v>
      </c>
      <c r="E83">
        <f t="shared" si="21"/>
        <v>0</v>
      </c>
      <c r="F83">
        <f t="shared" si="16"/>
        <v>0</v>
      </c>
      <c r="G83">
        <f t="shared" si="22"/>
        <v>0</v>
      </c>
      <c r="H83">
        <f t="shared" si="23"/>
        <v>0</v>
      </c>
      <c r="I83">
        <f t="shared" si="24"/>
        <v>0</v>
      </c>
      <c r="J83">
        <f t="shared" si="17"/>
        <v>0</v>
      </c>
      <c r="K83">
        <f t="shared" si="18"/>
        <v>0</v>
      </c>
      <c r="L83">
        <f t="shared" si="25"/>
        <v>11</v>
      </c>
      <c r="M83">
        <f t="shared" si="26"/>
        <v>12</v>
      </c>
      <c r="N83">
        <f t="shared" si="27"/>
        <v>1</v>
      </c>
      <c r="O83">
        <f t="shared" si="28"/>
        <v>4</v>
      </c>
      <c r="P83">
        <f t="shared" si="19"/>
        <v>3</v>
      </c>
      <c r="Q83">
        <f t="shared" si="29"/>
        <v>7</v>
      </c>
      <c r="R83">
        <f t="shared" si="29"/>
        <v>9</v>
      </c>
    </row>
    <row r="84" spans="1:18" x14ac:dyDescent="0.25">
      <c r="A84" s="1">
        <v>44734</v>
      </c>
      <c r="B84">
        <f t="shared" si="15"/>
        <v>3</v>
      </c>
      <c r="C84">
        <f t="shared" si="20"/>
        <v>7</v>
      </c>
      <c r="D84">
        <f t="shared" si="20"/>
        <v>9</v>
      </c>
      <c r="E84">
        <f t="shared" si="21"/>
        <v>0</v>
      </c>
      <c r="F84">
        <f t="shared" si="16"/>
        <v>0</v>
      </c>
      <c r="G84">
        <f t="shared" si="22"/>
        <v>0</v>
      </c>
      <c r="H84">
        <f t="shared" si="23"/>
        <v>0</v>
      </c>
      <c r="I84">
        <f t="shared" si="24"/>
        <v>0</v>
      </c>
      <c r="J84">
        <f t="shared" si="17"/>
        <v>0</v>
      </c>
      <c r="K84">
        <f t="shared" si="18"/>
        <v>0</v>
      </c>
      <c r="L84">
        <f t="shared" si="25"/>
        <v>7</v>
      </c>
      <c r="M84">
        <f t="shared" si="26"/>
        <v>9</v>
      </c>
      <c r="N84">
        <f t="shared" si="27"/>
        <v>1</v>
      </c>
      <c r="O84">
        <f t="shared" si="28"/>
        <v>3</v>
      </c>
      <c r="P84">
        <f t="shared" si="19"/>
        <v>2</v>
      </c>
      <c r="Q84">
        <f t="shared" si="29"/>
        <v>4</v>
      </c>
      <c r="R84">
        <f t="shared" si="29"/>
        <v>7</v>
      </c>
    </row>
    <row r="85" spans="1:18" x14ac:dyDescent="0.25">
      <c r="A85" s="1">
        <v>44735</v>
      </c>
      <c r="B85">
        <f t="shared" si="15"/>
        <v>4</v>
      </c>
      <c r="C85">
        <f t="shared" si="20"/>
        <v>4</v>
      </c>
      <c r="D85">
        <f t="shared" si="20"/>
        <v>7</v>
      </c>
      <c r="E85">
        <f t="shared" si="21"/>
        <v>0</v>
      </c>
      <c r="F85">
        <f t="shared" si="16"/>
        <v>0</v>
      </c>
      <c r="G85">
        <f t="shared" si="22"/>
        <v>1</v>
      </c>
      <c r="H85">
        <f t="shared" si="23"/>
        <v>50</v>
      </c>
      <c r="I85">
        <f t="shared" si="24"/>
        <v>25</v>
      </c>
      <c r="J85">
        <f t="shared" si="17"/>
        <v>0</v>
      </c>
      <c r="K85">
        <f t="shared" si="18"/>
        <v>0</v>
      </c>
      <c r="L85">
        <f t="shared" si="25"/>
        <v>54</v>
      </c>
      <c r="M85">
        <f t="shared" si="26"/>
        <v>32</v>
      </c>
      <c r="N85">
        <f t="shared" si="27"/>
        <v>1</v>
      </c>
      <c r="O85">
        <f t="shared" si="28"/>
        <v>17</v>
      </c>
      <c r="P85">
        <f t="shared" si="19"/>
        <v>7</v>
      </c>
      <c r="Q85">
        <f t="shared" si="29"/>
        <v>37</v>
      </c>
      <c r="R85">
        <f t="shared" si="29"/>
        <v>25</v>
      </c>
    </row>
    <row r="86" spans="1:18" x14ac:dyDescent="0.25">
      <c r="A86" s="1">
        <v>44736</v>
      </c>
      <c r="B86">
        <f t="shared" si="15"/>
        <v>5</v>
      </c>
      <c r="C86">
        <f t="shared" si="20"/>
        <v>37</v>
      </c>
      <c r="D86">
        <f t="shared" si="20"/>
        <v>25</v>
      </c>
      <c r="E86">
        <f t="shared" si="21"/>
        <v>0</v>
      </c>
      <c r="F86">
        <f t="shared" si="16"/>
        <v>0</v>
      </c>
      <c r="G86">
        <f t="shared" si="22"/>
        <v>0</v>
      </c>
      <c r="H86">
        <f t="shared" si="23"/>
        <v>0</v>
      </c>
      <c r="I86">
        <f t="shared" si="24"/>
        <v>0</v>
      </c>
      <c r="J86">
        <f t="shared" si="17"/>
        <v>0</v>
      </c>
      <c r="K86">
        <f t="shared" si="18"/>
        <v>0</v>
      </c>
      <c r="L86">
        <f t="shared" si="25"/>
        <v>37</v>
      </c>
      <c r="M86">
        <f t="shared" si="26"/>
        <v>25</v>
      </c>
      <c r="N86">
        <f t="shared" si="27"/>
        <v>1</v>
      </c>
      <c r="O86">
        <f t="shared" si="28"/>
        <v>12</v>
      </c>
      <c r="P86">
        <f t="shared" si="19"/>
        <v>5</v>
      </c>
      <c r="Q86">
        <f t="shared" si="29"/>
        <v>25</v>
      </c>
      <c r="R86">
        <f t="shared" si="29"/>
        <v>20</v>
      </c>
    </row>
    <row r="87" spans="1:18" x14ac:dyDescent="0.25">
      <c r="A87" s="1">
        <v>44737</v>
      </c>
      <c r="B87">
        <f t="shared" si="15"/>
        <v>6</v>
      </c>
      <c r="C87">
        <f t="shared" si="20"/>
        <v>25</v>
      </c>
      <c r="D87">
        <f t="shared" si="20"/>
        <v>20</v>
      </c>
      <c r="E87">
        <f t="shared" si="21"/>
        <v>0</v>
      </c>
      <c r="F87">
        <f t="shared" si="16"/>
        <v>0</v>
      </c>
      <c r="G87">
        <f t="shared" si="22"/>
        <v>0</v>
      </c>
      <c r="H87">
        <f t="shared" si="23"/>
        <v>0</v>
      </c>
      <c r="I87">
        <f t="shared" si="24"/>
        <v>0</v>
      </c>
      <c r="J87">
        <f t="shared" si="17"/>
        <v>0</v>
      </c>
      <c r="K87">
        <f t="shared" si="18"/>
        <v>0</v>
      </c>
      <c r="L87">
        <f t="shared" si="25"/>
        <v>25</v>
      </c>
      <c r="M87">
        <f t="shared" si="26"/>
        <v>20</v>
      </c>
      <c r="N87">
        <f t="shared" si="27"/>
        <v>1</v>
      </c>
      <c r="O87">
        <f t="shared" si="28"/>
        <v>8</v>
      </c>
      <c r="P87">
        <f t="shared" si="19"/>
        <v>4</v>
      </c>
      <c r="Q87">
        <f t="shared" si="29"/>
        <v>17</v>
      </c>
      <c r="R87">
        <f t="shared" si="29"/>
        <v>16</v>
      </c>
    </row>
    <row r="88" spans="1:18" x14ac:dyDescent="0.25">
      <c r="A88" s="1">
        <v>44738</v>
      </c>
      <c r="B88">
        <f t="shared" si="15"/>
        <v>7</v>
      </c>
      <c r="C88">
        <f t="shared" si="20"/>
        <v>17</v>
      </c>
      <c r="D88">
        <f t="shared" si="20"/>
        <v>16</v>
      </c>
      <c r="E88">
        <f t="shared" si="21"/>
        <v>0</v>
      </c>
      <c r="F88">
        <f t="shared" si="16"/>
        <v>0</v>
      </c>
      <c r="G88">
        <f t="shared" si="22"/>
        <v>0</v>
      </c>
      <c r="H88">
        <f t="shared" si="23"/>
        <v>0</v>
      </c>
      <c r="I88">
        <f t="shared" si="24"/>
        <v>0</v>
      </c>
      <c r="J88">
        <f t="shared" si="17"/>
        <v>0</v>
      </c>
      <c r="K88">
        <f t="shared" si="18"/>
        <v>0</v>
      </c>
      <c r="L88">
        <f t="shared" si="25"/>
        <v>17</v>
      </c>
      <c r="M88">
        <f t="shared" si="26"/>
        <v>16</v>
      </c>
      <c r="N88">
        <f t="shared" si="27"/>
        <v>0</v>
      </c>
      <c r="O88">
        <f t="shared" si="28"/>
        <v>0</v>
      </c>
      <c r="P88">
        <f t="shared" si="19"/>
        <v>0</v>
      </c>
      <c r="Q88">
        <f t="shared" si="29"/>
        <v>17</v>
      </c>
      <c r="R88">
        <f t="shared" si="29"/>
        <v>16</v>
      </c>
    </row>
    <row r="89" spans="1:18" x14ac:dyDescent="0.25">
      <c r="A89" s="1">
        <v>44739</v>
      </c>
      <c r="B89">
        <f t="shared" si="15"/>
        <v>1</v>
      </c>
      <c r="C89">
        <f t="shared" si="20"/>
        <v>17</v>
      </c>
      <c r="D89">
        <f t="shared" si="20"/>
        <v>16</v>
      </c>
      <c r="E89">
        <f t="shared" si="21"/>
        <v>1</v>
      </c>
      <c r="F89">
        <f t="shared" si="16"/>
        <v>1</v>
      </c>
      <c r="G89">
        <f t="shared" si="22"/>
        <v>0</v>
      </c>
      <c r="H89">
        <f t="shared" si="23"/>
        <v>0</v>
      </c>
      <c r="I89">
        <f t="shared" si="24"/>
        <v>0</v>
      </c>
      <c r="J89">
        <f t="shared" si="17"/>
        <v>0</v>
      </c>
      <c r="K89">
        <f t="shared" si="18"/>
        <v>0</v>
      </c>
      <c r="L89">
        <f t="shared" si="25"/>
        <v>16</v>
      </c>
      <c r="M89">
        <f t="shared" si="26"/>
        <v>16</v>
      </c>
      <c r="N89">
        <f t="shared" si="27"/>
        <v>1</v>
      </c>
      <c r="O89">
        <f t="shared" si="28"/>
        <v>5</v>
      </c>
      <c r="P89">
        <f t="shared" si="19"/>
        <v>4</v>
      </c>
      <c r="Q89">
        <f t="shared" si="29"/>
        <v>11</v>
      </c>
      <c r="R89">
        <f t="shared" si="29"/>
        <v>12</v>
      </c>
    </row>
    <row r="90" spans="1:18" x14ac:dyDescent="0.25">
      <c r="A90" s="1">
        <v>44740</v>
      </c>
      <c r="B90">
        <f t="shared" si="15"/>
        <v>2</v>
      </c>
      <c r="C90">
        <f t="shared" si="20"/>
        <v>11</v>
      </c>
      <c r="D90">
        <f t="shared" si="20"/>
        <v>12</v>
      </c>
      <c r="E90">
        <f t="shared" si="21"/>
        <v>0</v>
      </c>
      <c r="F90">
        <f t="shared" si="16"/>
        <v>0</v>
      </c>
      <c r="G90">
        <f t="shared" si="22"/>
        <v>0</v>
      </c>
      <c r="H90">
        <f t="shared" si="23"/>
        <v>0</v>
      </c>
      <c r="I90">
        <f t="shared" si="24"/>
        <v>0</v>
      </c>
      <c r="J90">
        <f t="shared" si="17"/>
        <v>0</v>
      </c>
      <c r="K90">
        <f t="shared" si="18"/>
        <v>0</v>
      </c>
      <c r="L90">
        <f t="shared" si="25"/>
        <v>11</v>
      </c>
      <c r="M90">
        <f t="shared" si="26"/>
        <v>12</v>
      </c>
      <c r="N90">
        <f t="shared" si="27"/>
        <v>1</v>
      </c>
      <c r="O90">
        <f t="shared" si="28"/>
        <v>4</v>
      </c>
      <c r="P90">
        <f t="shared" si="19"/>
        <v>3</v>
      </c>
      <c r="Q90">
        <f t="shared" si="29"/>
        <v>7</v>
      </c>
      <c r="R90">
        <f t="shared" si="29"/>
        <v>9</v>
      </c>
    </row>
    <row r="91" spans="1:18" x14ac:dyDescent="0.25">
      <c r="A91" s="1">
        <v>44741</v>
      </c>
      <c r="B91">
        <f t="shared" si="15"/>
        <v>3</v>
      </c>
      <c r="C91">
        <f t="shared" si="20"/>
        <v>7</v>
      </c>
      <c r="D91">
        <f t="shared" si="20"/>
        <v>9</v>
      </c>
      <c r="E91">
        <f t="shared" si="21"/>
        <v>0</v>
      </c>
      <c r="F91">
        <f t="shared" si="16"/>
        <v>0</v>
      </c>
      <c r="G91">
        <f t="shared" si="22"/>
        <v>0</v>
      </c>
      <c r="H91">
        <f t="shared" si="23"/>
        <v>0</v>
      </c>
      <c r="I91">
        <f t="shared" si="24"/>
        <v>0</v>
      </c>
      <c r="J91">
        <f t="shared" si="17"/>
        <v>0</v>
      </c>
      <c r="K91">
        <f t="shared" si="18"/>
        <v>0</v>
      </c>
      <c r="L91">
        <f t="shared" si="25"/>
        <v>7</v>
      </c>
      <c r="M91">
        <f t="shared" si="26"/>
        <v>9</v>
      </c>
      <c r="N91">
        <f t="shared" si="27"/>
        <v>1</v>
      </c>
      <c r="O91">
        <f t="shared" si="28"/>
        <v>3</v>
      </c>
      <c r="P91">
        <f t="shared" si="19"/>
        <v>2</v>
      </c>
      <c r="Q91">
        <f t="shared" si="29"/>
        <v>4</v>
      </c>
      <c r="R91">
        <f t="shared" si="29"/>
        <v>7</v>
      </c>
    </row>
    <row r="92" spans="1:18" x14ac:dyDescent="0.25">
      <c r="A92" s="1">
        <v>44742</v>
      </c>
      <c r="B92">
        <f t="shared" si="15"/>
        <v>4</v>
      </c>
      <c r="C92">
        <f t="shared" si="20"/>
        <v>4</v>
      </c>
      <c r="D92">
        <f t="shared" si="20"/>
        <v>7</v>
      </c>
      <c r="E92">
        <f t="shared" si="21"/>
        <v>0</v>
      </c>
      <c r="F92">
        <f t="shared" si="16"/>
        <v>0</v>
      </c>
      <c r="G92">
        <f t="shared" si="22"/>
        <v>1</v>
      </c>
      <c r="H92">
        <f t="shared" si="23"/>
        <v>50</v>
      </c>
      <c r="I92">
        <f t="shared" si="24"/>
        <v>25</v>
      </c>
      <c r="J92">
        <f t="shared" si="17"/>
        <v>0</v>
      </c>
      <c r="K92">
        <f t="shared" si="18"/>
        <v>0</v>
      </c>
      <c r="L92">
        <f t="shared" si="25"/>
        <v>54</v>
      </c>
      <c r="M92">
        <f t="shared" si="26"/>
        <v>32</v>
      </c>
      <c r="N92">
        <f t="shared" si="27"/>
        <v>1</v>
      </c>
      <c r="O92">
        <f t="shared" si="28"/>
        <v>17</v>
      </c>
      <c r="P92">
        <f t="shared" si="19"/>
        <v>7</v>
      </c>
      <c r="Q92">
        <f t="shared" si="29"/>
        <v>37</v>
      </c>
      <c r="R92">
        <f t="shared" si="29"/>
        <v>25</v>
      </c>
    </row>
    <row r="93" spans="1:18" x14ac:dyDescent="0.25">
      <c r="A93" s="1">
        <v>44743</v>
      </c>
      <c r="B93">
        <f t="shared" si="15"/>
        <v>5</v>
      </c>
      <c r="C93">
        <f t="shared" si="20"/>
        <v>37</v>
      </c>
      <c r="D93">
        <f t="shared" si="20"/>
        <v>25</v>
      </c>
      <c r="E93">
        <f t="shared" si="21"/>
        <v>0</v>
      </c>
      <c r="F93">
        <f t="shared" si="16"/>
        <v>0</v>
      </c>
      <c r="G93">
        <f t="shared" si="22"/>
        <v>0</v>
      </c>
      <c r="H93">
        <f t="shared" si="23"/>
        <v>0</v>
      </c>
      <c r="I93">
        <f t="shared" si="24"/>
        <v>0</v>
      </c>
      <c r="J93">
        <f t="shared" si="17"/>
        <v>0</v>
      </c>
      <c r="K93">
        <f t="shared" si="18"/>
        <v>0</v>
      </c>
      <c r="L93">
        <f t="shared" si="25"/>
        <v>37</v>
      </c>
      <c r="M93">
        <f t="shared" si="26"/>
        <v>25</v>
      </c>
      <c r="N93">
        <f t="shared" si="27"/>
        <v>1</v>
      </c>
      <c r="O93">
        <f t="shared" si="28"/>
        <v>12</v>
      </c>
      <c r="P93">
        <f t="shared" si="19"/>
        <v>5</v>
      </c>
      <c r="Q93">
        <f t="shared" si="29"/>
        <v>25</v>
      </c>
      <c r="R93">
        <f t="shared" si="29"/>
        <v>20</v>
      </c>
    </row>
    <row r="94" spans="1:18" x14ac:dyDescent="0.25">
      <c r="A94" s="1">
        <v>44744</v>
      </c>
      <c r="B94">
        <f t="shared" si="15"/>
        <v>6</v>
      </c>
      <c r="C94">
        <f t="shared" si="20"/>
        <v>25</v>
      </c>
      <c r="D94">
        <f t="shared" si="20"/>
        <v>20</v>
      </c>
      <c r="E94">
        <f t="shared" si="21"/>
        <v>0</v>
      </c>
      <c r="F94">
        <f t="shared" si="16"/>
        <v>0</v>
      </c>
      <c r="G94">
        <f t="shared" si="22"/>
        <v>0</v>
      </c>
      <c r="H94">
        <f t="shared" si="23"/>
        <v>0</v>
      </c>
      <c r="I94">
        <f t="shared" si="24"/>
        <v>0</v>
      </c>
      <c r="J94">
        <f t="shared" si="17"/>
        <v>0</v>
      </c>
      <c r="K94">
        <f t="shared" si="18"/>
        <v>0</v>
      </c>
      <c r="L94">
        <f t="shared" si="25"/>
        <v>25</v>
      </c>
      <c r="M94">
        <f t="shared" si="26"/>
        <v>20</v>
      </c>
      <c r="N94">
        <f t="shared" si="27"/>
        <v>1</v>
      </c>
      <c r="O94">
        <f t="shared" si="28"/>
        <v>8</v>
      </c>
      <c r="P94">
        <f t="shared" si="19"/>
        <v>4</v>
      </c>
      <c r="Q94">
        <f t="shared" si="29"/>
        <v>17</v>
      </c>
      <c r="R94">
        <f t="shared" si="29"/>
        <v>16</v>
      </c>
    </row>
    <row r="95" spans="1:18" x14ac:dyDescent="0.25">
      <c r="A95" s="1">
        <v>44745</v>
      </c>
      <c r="B95">
        <f t="shared" si="15"/>
        <v>7</v>
      </c>
      <c r="C95">
        <f t="shared" si="20"/>
        <v>17</v>
      </c>
      <c r="D95">
        <f t="shared" si="20"/>
        <v>16</v>
      </c>
      <c r="E95">
        <f t="shared" si="21"/>
        <v>0</v>
      </c>
      <c r="F95">
        <f t="shared" si="16"/>
        <v>0</v>
      </c>
      <c r="G95">
        <f t="shared" si="22"/>
        <v>0</v>
      </c>
      <c r="H95">
        <f t="shared" si="23"/>
        <v>0</v>
      </c>
      <c r="I95">
        <f t="shared" si="24"/>
        <v>0</v>
      </c>
      <c r="J95">
        <f t="shared" si="17"/>
        <v>0</v>
      </c>
      <c r="K95">
        <f t="shared" si="18"/>
        <v>0</v>
      </c>
      <c r="L95">
        <f t="shared" si="25"/>
        <v>17</v>
      </c>
      <c r="M95">
        <f t="shared" si="26"/>
        <v>16</v>
      </c>
      <c r="N95">
        <f t="shared" si="27"/>
        <v>0</v>
      </c>
      <c r="O95">
        <f t="shared" si="28"/>
        <v>0</v>
      </c>
      <c r="P95">
        <f t="shared" si="19"/>
        <v>0</v>
      </c>
      <c r="Q95">
        <f t="shared" si="29"/>
        <v>17</v>
      </c>
      <c r="R95">
        <f t="shared" si="29"/>
        <v>16</v>
      </c>
    </row>
    <row r="96" spans="1:18" x14ac:dyDescent="0.25">
      <c r="A96" s="1">
        <v>44746</v>
      </c>
      <c r="B96">
        <f t="shared" si="15"/>
        <v>1</v>
      </c>
      <c r="C96">
        <f t="shared" si="20"/>
        <v>17</v>
      </c>
      <c r="D96">
        <f t="shared" si="20"/>
        <v>16</v>
      </c>
      <c r="E96">
        <f t="shared" si="21"/>
        <v>1</v>
      </c>
      <c r="F96">
        <f t="shared" si="16"/>
        <v>1</v>
      </c>
      <c r="G96">
        <f t="shared" si="22"/>
        <v>0</v>
      </c>
      <c r="H96">
        <f t="shared" si="23"/>
        <v>0</v>
      </c>
      <c r="I96">
        <f t="shared" si="24"/>
        <v>0</v>
      </c>
      <c r="J96">
        <f t="shared" si="17"/>
        <v>0</v>
      </c>
      <c r="K96">
        <f t="shared" si="18"/>
        <v>0</v>
      </c>
      <c r="L96">
        <f t="shared" si="25"/>
        <v>16</v>
      </c>
      <c r="M96">
        <f t="shared" si="26"/>
        <v>16</v>
      </c>
      <c r="N96">
        <f t="shared" si="27"/>
        <v>1</v>
      </c>
      <c r="O96">
        <f t="shared" si="28"/>
        <v>5</v>
      </c>
      <c r="P96">
        <f t="shared" si="19"/>
        <v>4</v>
      </c>
      <c r="Q96">
        <f t="shared" si="29"/>
        <v>11</v>
      </c>
      <c r="R96">
        <f t="shared" si="29"/>
        <v>12</v>
      </c>
    </row>
    <row r="97" spans="1:18" x14ac:dyDescent="0.25">
      <c r="A97" s="1">
        <v>44747</v>
      </c>
      <c r="B97">
        <f t="shared" si="15"/>
        <v>2</v>
      </c>
      <c r="C97">
        <f t="shared" si="20"/>
        <v>11</v>
      </c>
      <c r="D97">
        <f t="shared" si="20"/>
        <v>12</v>
      </c>
      <c r="E97">
        <f t="shared" si="21"/>
        <v>0</v>
      </c>
      <c r="F97">
        <f t="shared" si="16"/>
        <v>0</v>
      </c>
      <c r="G97">
        <f t="shared" si="22"/>
        <v>0</v>
      </c>
      <c r="H97">
        <f t="shared" si="23"/>
        <v>0</v>
      </c>
      <c r="I97">
        <f t="shared" si="24"/>
        <v>0</v>
      </c>
      <c r="J97">
        <f t="shared" si="17"/>
        <v>0</v>
      </c>
      <c r="K97">
        <f t="shared" si="18"/>
        <v>0</v>
      </c>
      <c r="L97">
        <f t="shared" si="25"/>
        <v>11</v>
      </c>
      <c r="M97">
        <f t="shared" si="26"/>
        <v>12</v>
      </c>
      <c r="N97">
        <f t="shared" si="27"/>
        <v>1</v>
      </c>
      <c r="O97">
        <f t="shared" si="28"/>
        <v>4</v>
      </c>
      <c r="P97">
        <f t="shared" si="19"/>
        <v>3</v>
      </c>
      <c r="Q97">
        <f t="shared" si="29"/>
        <v>7</v>
      </c>
      <c r="R97">
        <f t="shared" si="29"/>
        <v>9</v>
      </c>
    </row>
    <row r="98" spans="1:18" x14ac:dyDescent="0.25">
      <c r="A98" s="1">
        <v>44748</v>
      </c>
      <c r="B98">
        <f t="shared" si="15"/>
        <v>3</v>
      </c>
      <c r="C98">
        <f t="shared" si="20"/>
        <v>7</v>
      </c>
      <c r="D98">
        <f t="shared" si="20"/>
        <v>9</v>
      </c>
      <c r="E98">
        <f t="shared" si="21"/>
        <v>0</v>
      </c>
      <c r="F98">
        <f t="shared" si="16"/>
        <v>0</v>
      </c>
      <c r="G98">
        <f t="shared" si="22"/>
        <v>0</v>
      </c>
      <c r="H98">
        <f t="shared" si="23"/>
        <v>0</v>
      </c>
      <c r="I98">
        <f t="shared" si="24"/>
        <v>0</v>
      </c>
      <c r="J98">
        <f t="shared" si="17"/>
        <v>0</v>
      </c>
      <c r="K98">
        <f t="shared" si="18"/>
        <v>0</v>
      </c>
      <c r="L98">
        <f t="shared" si="25"/>
        <v>7</v>
      </c>
      <c r="M98">
        <f t="shared" si="26"/>
        <v>9</v>
      </c>
      <c r="N98">
        <f t="shared" si="27"/>
        <v>1</v>
      </c>
      <c r="O98">
        <f t="shared" si="28"/>
        <v>3</v>
      </c>
      <c r="P98">
        <f t="shared" si="19"/>
        <v>2</v>
      </c>
      <c r="Q98">
        <f t="shared" si="29"/>
        <v>4</v>
      </c>
      <c r="R98">
        <f t="shared" si="29"/>
        <v>7</v>
      </c>
    </row>
    <row r="99" spans="1:18" x14ac:dyDescent="0.25">
      <c r="A99" s="1">
        <v>44749</v>
      </c>
      <c r="B99">
        <f t="shared" si="15"/>
        <v>4</v>
      </c>
      <c r="C99">
        <f t="shared" si="20"/>
        <v>4</v>
      </c>
      <c r="D99">
        <f t="shared" si="20"/>
        <v>7</v>
      </c>
      <c r="E99">
        <f t="shared" si="21"/>
        <v>0</v>
      </c>
      <c r="F99">
        <f t="shared" si="16"/>
        <v>0</v>
      </c>
      <c r="G99">
        <f t="shared" si="22"/>
        <v>1</v>
      </c>
      <c r="H99">
        <f t="shared" si="23"/>
        <v>50</v>
      </c>
      <c r="I99">
        <f t="shared" si="24"/>
        <v>25</v>
      </c>
      <c r="J99">
        <f t="shared" si="17"/>
        <v>0</v>
      </c>
      <c r="K99">
        <f t="shared" si="18"/>
        <v>0</v>
      </c>
      <c r="L99">
        <f t="shared" si="25"/>
        <v>54</v>
      </c>
      <c r="M99">
        <f t="shared" si="26"/>
        <v>32</v>
      </c>
      <c r="N99">
        <f t="shared" si="27"/>
        <v>1</v>
      </c>
      <c r="O99">
        <f t="shared" si="28"/>
        <v>17</v>
      </c>
      <c r="P99">
        <f t="shared" si="19"/>
        <v>7</v>
      </c>
      <c r="Q99">
        <f t="shared" si="29"/>
        <v>37</v>
      </c>
      <c r="R99">
        <f t="shared" si="29"/>
        <v>25</v>
      </c>
    </row>
    <row r="100" spans="1:18" x14ac:dyDescent="0.25">
      <c r="A100" s="1">
        <v>44750</v>
      </c>
      <c r="B100">
        <f t="shared" si="15"/>
        <v>5</v>
      </c>
      <c r="C100">
        <f t="shared" si="20"/>
        <v>37</v>
      </c>
      <c r="D100">
        <f t="shared" si="20"/>
        <v>25</v>
      </c>
      <c r="E100">
        <f t="shared" si="21"/>
        <v>0</v>
      </c>
      <c r="F100">
        <f t="shared" si="16"/>
        <v>0</v>
      </c>
      <c r="G100">
        <f t="shared" si="22"/>
        <v>0</v>
      </c>
      <c r="H100">
        <f t="shared" si="23"/>
        <v>0</v>
      </c>
      <c r="I100">
        <f t="shared" si="24"/>
        <v>0</v>
      </c>
      <c r="J100">
        <f t="shared" si="17"/>
        <v>0</v>
      </c>
      <c r="K100">
        <f t="shared" si="18"/>
        <v>0</v>
      </c>
      <c r="L100">
        <f t="shared" si="25"/>
        <v>37</v>
      </c>
      <c r="M100">
        <f t="shared" si="26"/>
        <v>25</v>
      </c>
      <c r="N100">
        <f t="shared" si="27"/>
        <v>1</v>
      </c>
      <c r="O100">
        <f t="shared" si="28"/>
        <v>12</v>
      </c>
      <c r="P100">
        <f t="shared" si="19"/>
        <v>5</v>
      </c>
      <c r="Q100">
        <f t="shared" si="29"/>
        <v>25</v>
      </c>
      <c r="R100">
        <f t="shared" si="29"/>
        <v>20</v>
      </c>
    </row>
    <row r="101" spans="1:18" x14ac:dyDescent="0.25">
      <c r="A101" s="1">
        <v>44751</v>
      </c>
      <c r="B101">
        <f t="shared" si="15"/>
        <v>6</v>
      </c>
      <c r="C101">
        <f t="shared" si="20"/>
        <v>25</v>
      </c>
      <c r="D101">
        <f t="shared" si="20"/>
        <v>20</v>
      </c>
      <c r="E101">
        <f t="shared" si="21"/>
        <v>0</v>
      </c>
      <c r="F101">
        <f t="shared" si="16"/>
        <v>0</v>
      </c>
      <c r="G101">
        <f t="shared" si="22"/>
        <v>0</v>
      </c>
      <c r="H101">
        <f t="shared" si="23"/>
        <v>0</v>
      </c>
      <c r="I101">
        <f t="shared" si="24"/>
        <v>0</v>
      </c>
      <c r="J101">
        <f t="shared" si="17"/>
        <v>0</v>
      </c>
      <c r="K101">
        <f t="shared" si="18"/>
        <v>0</v>
      </c>
      <c r="L101">
        <f t="shared" si="25"/>
        <v>25</v>
      </c>
      <c r="M101">
        <f t="shared" si="26"/>
        <v>20</v>
      </c>
      <c r="N101">
        <f t="shared" si="27"/>
        <v>1</v>
      </c>
      <c r="O101">
        <f t="shared" si="28"/>
        <v>8</v>
      </c>
      <c r="P101">
        <f t="shared" si="19"/>
        <v>4</v>
      </c>
      <c r="Q101">
        <f t="shared" si="29"/>
        <v>17</v>
      </c>
      <c r="R101">
        <f t="shared" si="29"/>
        <v>16</v>
      </c>
    </row>
    <row r="102" spans="1:18" x14ac:dyDescent="0.25">
      <c r="A102" s="1">
        <v>44752</v>
      </c>
      <c r="B102">
        <f t="shared" si="15"/>
        <v>7</v>
      </c>
      <c r="C102">
        <f t="shared" si="20"/>
        <v>17</v>
      </c>
      <c r="D102">
        <f t="shared" si="20"/>
        <v>16</v>
      </c>
      <c r="E102">
        <f t="shared" si="21"/>
        <v>0</v>
      </c>
      <c r="F102">
        <f t="shared" si="16"/>
        <v>0</v>
      </c>
      <c r="G102">
        <f t="shared" si="22"/>
        <v>0</v>
      </c>
      <c r="H102">
        <f t="shared" si="23"/>
        <v>0</v>
      </c>
      <c r="I102">
        <f t="shared" si="24"/>
        <v>0</v>
      </c>
      <c r="J102">
        <f t="shared" si="17"/>
        <v>0</v>
      </c>
      <c r="K102">
        <f t="shared" si="18"/>
        <v>0</v>
      </c>
      <c r="L102">
        <f t="shared" si="25"/>
        <v>17</v>
      </c>
      <c r="M102">
        <f t="shared" si="26"/>
        <v>16</v>
      </c>
      <c r="N102">
        <f t="shared" si="27"/>
        <v>0</v>
      </c>
      <c r="O102">
        <f t="shared" si="28"/>
        <v>0</v>
      </c>
      <c r="P102">
        <f t="shared" si="19"/>
        <v>0</v>
      </c>
      <c r="Q102">
        <f t="shared" si="29"/>
        <v>17</v>
      </c>
      <c r="R102">
        <f t="shared" si="29"/>
        <v>16</v>
      </c>
    </row>
    <row r="103" spans="1:18" x14ac:dyDescent="0.25">
      <c r="A103" s="1">
        <v>44753</v>
      </c>
      <c r="B103">
        <f t="shared" si="15"/>
        <v>1</v>
      </c>
      <c r="C103">
        <f t="shared" si="20"/>
        <v>17</v>
      </c>
      <c r="D103">
        <f t="shared" si="20"/>
        <v>16</v>
      </c>
      <c r="E103">
        <f t="shared" si="21"/>
        <v>1</v>
      </c>
      <c r="F103">
        <f t="shared" si="16"/>
        <v>1</v>
      </c>
      <c r="G103">
        <f t="shared" si="22"/>
        <v>0</v>
      </c>
      <c r="H103">
        <f t="shared" si="23"/>
        <v>0</v>
      </c>
      <c r="I103">
        <f t="shared" si="24"/>
        <v>0</v>
      </c>
      <c r="J103">
        <f t="shared" si="17"/>
        <v>0</v>
      </c>
      <c r="K103">
        <f t="shared" si="18"/>
        <v>0</v>
      </c>
      <c r="L103">
        <f t="shared" si="25"/>
        <v>16</v>
      </c>
      <c r="M103">
        <f t="shared" si="26"/>
        <v>16</v>
      </c>
      <c r="N103">
        <f t="shared" si="27"/>
        <v>1</v>
      </c>
      <c r="O103">
        <f t="shared" si="28"/>
        <v>5</v>
      </c>
      <c r="P103">
        <f t="shared" si="19"/>
        <v>4</v>
      </c>
      <c r="Q103">
        <f t="shared" si="29"/>
        <v>11</v>
      </c>
      <c r="R103">
        <f t="shared" si="29"/>
        <v>12</v>
      </c>
    </row>
    <row r="104" spans="1:18" x14ac:dyDescent="0.25">
      <c r="A104" s="1">
        <v>44754</v>
      </c>
      <c r="B104">
        <f t="shared" si="15"/>
        <v>2</v>
      </c>
      <c r="C104">
        <f t="shared" si="20"/>
        <v>11</v>
      </c>
      <c r="D104">
        <f t="shared" si="20"/>
        <v>12</v>
      </c>
      <c r="E104">
        <f t="shared" si="21"/>
        <v>0</v>
      </c>
      <c r="F104">
        <f t="shared" si="16"/>
        <v>0</v>
      </c>
      <c r="G104">
        <f t="shared" si="22"/>
        <v>0</v>
      </c>
      <c r="H104">
        <f t="shared" si="23"/>
        <v>0</v>
      </c>
      <c r="I104">
        <f t="shared" si="24"/>
        <v>0</v>
      </c>
      <c r="J104">
        <f t="shared" si="17"/>
        <v>0</v>
      </c>
      <c r="K104">
        <f t="shared" si="18"/>
        <v>0</v>
      </c>
      <c r="L104">
        <f t="shared" si="25"/>
        <v>11</v>
      </c>
      <c r="M104">
        <f t="shared" si="26"/>
        <v>12</v>
      </c>
      <c r="N104">
        <f t="shared" si="27"/>
        <v>1</v>
      </c>
      <c r="O104">
        <f t="shared" si="28"/>
        <v>4</v>
      </c>
      <c r="P104">
        <f t="shared" si="19"/>
        <v>3</v>
      </c>
      <c r="Q104">
        <f t="shared" si="29"/>
        <v>7</v>
      </c>
      <c r="R104">
        <f t="shared" si="29"/>
        <v>9</v>
      </c>
    </row>
    <row r="105" spans="1:18" x14ac:dyDescent="0.25">
      <c r="A105" s="1">
        <v>44755</v>
      </c>
      <c r="B105">
        <f t="shared" si="15"/>
        <v>3</v>
      </c>
      <c r="C105">
        <f t="shared" si="20"/>
        <v>7</v>
      </c>
      <c r="D105">
        <f t="shared" si="20"/>
        <v>9</v>
      </c>
      <c r="E105">
        <f t="shared" si="21"/>
        <v>0</v>
      </c>
      <c r="F105">
        <f t="shared" si="16"/>
        <v>0</v>
      </c>
      <c r="G105">
        <f t="shared" si="22"/>
        <v>0</v>
      </c>
      <c r="H105">
        <f t="shared" si="23"/>
        <v>0</v>
      </c>
      <c r="I105">
        <f t="shared" si="24"/>
        <v>0</v>
      </c>
      <c r="J105">
        <f t="shared" si="17"/>
        <v>0</v>
      </c>
      <c r="K105">
        <f t="shared" si="18"/>
        <v>0</v>
      </c>
      <c r="L105">
        <f t="shared" si="25"/>
        <v>7</v>
      </c>
      <c r="M105">
        <f t="shared" si="26"/>
        <v>9</v>
      </c>
      <c r="N105">
        <f t="shared" si="27"/>
        <v>1</v>
      </c>
      <c r="O105">
        <f t="shared" si="28"/>
        <v>3</v>
      </c>
      <c r="P105">
        <f t="shared" si="19"/>
        <v>2</v>
      </c>
      <c r="Q105">
        <f t="shared" si="29"/>
        <v>4</v>
      </c>
      <c r="R105">
        <f t="shared" si="29"/>
        <v>7</v>
      </c>
    </row>
    <row r="106" spans="1:18" x14ac:dyDescent="0.25">
      <c r="A106" s="1">
        <v>44756</v>
      </c>
      <c r="B106">
        <f t="shared" si="15"/>
        <v>4</v>
      </c>
      <c r="C106">
        <f t="shared" si="20"/>
        <v>4</v>
      </c>
      <c r="D106">
        <f t="shared" si="20"/>
        <v>7</v>
      </c>
      <c r="E106">
        <f t="shared" si="21"/>
        <v>0</v>
      </c>
      <c r="F106">
        <f t="shared" si="16"/>
        <v>0</v>
      </c>
      <c r="G106">
        <f t="shared" si="22"/>
        <v>1</v>
      </c>
      <c r="H106">
        <f t="shared" si="23"/>
        <v>50</v>
      </c>
      <c r="I106">
        <f t="shared" si="24"/>
        <v>25</v>
      </c>
      <c r="J106">
        <f t="shared" si="17"/>
        <v>0</v>
      </c>
      <c r="K106">
        <f t="shared" si="18"/>
        <v>0</v>
      </c>
      <c r="L106">
        <f t="shared" si="25"/>
        <v>54</v>
      </c>
      <c r="M106">
        <f t="shared" si="26"/>
        <v>32</v>
      </c>
      <c r="N106">
        <f t="shared" si="27"/>
        <v>1</v>
      </c>
      <c r="O106">
        <f t="shared" si="28"/>
        <v>17</v>
      </c>
      <c r="P106">
        <f t="shared" si="19"/>
        <v>7</v>
      </c>
      <c r="Q106">
        <f t="shared" si="29"/>
        <v>37</v>
      </c>
      <c r="R106">
        <f t="shared" si="29"/>
        <v>25</v>
      </c>
    </row>
    <row r="107" spans="1:18" x14ac:dyDescent="0.25">
      <c r="A107" s="1">
        <v>44757</v>
      </c>
      <c r="B107">
        <f t="shared" si="15"/>
        <v>5</v>
      </c>
      <c r="C107">
        <f t="shared" si="20"/>
        <v>37</v>
      </c>
      <c r="D107">
        <f t="shared" si="20"/>
        <v>25</v>
      </c>
      <c r="E107">
        <f t="shared" si="21"/>
        <v>0</v>
      </c>
      <c r="F107">
        <f t="shared" si="16"/>
        <v>0</v>
      </c>
      <c r="G107">
        <f t="shared" si="22"/>
        <v>0</v>
      </c>
      <c r="H107">
        <f t="shared" si="23"/>
        <v>0</v>
      </c>
      <c r="I107">
        <f t="shared" si="24"/>
        <v>0</v>
      </c>
      <c r="J107">
        <f t="shared" si="17"/>
        <v>0</v>
      </c>
      <c r="K107">
        <f t="shared" si="18"/>
        <v>0</v>
      </c>
      <c r="L107">
        <f t="shared" si="25"/>
        <v>37</v>
      </c>
      <c r="M107">
        <f t="shared" si="26"/>
        <v>25</v>
      </c>
      <c r="N107">
        <f t="shared" si="27"/>
        <v>1</v>
      </c>
      <c r="O107">
        <f t="shared" si="28"/>
        <v>12</v>
      </c>
      <c r="P107">
        <f t="shared" si="19"/>
        <v>5</v>
      </c>
      <c r="Q107">
        <f t="shared" si="29"/>
        <v>25</v>
      </c>
      <c r="R107">
        <f t="shared" si="29"/>
        <v>20</v>
      </c>
    </row>
    <row r="108" spans="1:18" x14ac:dyDescent="0.25">
      <c r="A108" s="1">
        <v>44758</v>
      </c>
      <c r="B108">
        <f t="shared" si="15"/>
        <v>6</v>
      </c>
      <c r="C108">
        <f t="shared" si="20"/>
        <v>25</v>
      </c>
      <c r="D108">
        <f t="shared" si="20"/>
        <v>20</v>
      </c>
      <c r="E108">
        <f t="shared" si="21"/>
        <v>0</v>
      </c>
      <c r="F108">
        <f t="shared" si="16"/>
        <v>0</v>
      </c>
      <c r="G108">
        <f t="shared" si="22"/>
        <v>0</v>
      </c>
      <c r="H108">
        <f t="shared" si="23"/>
        <v>0</v>
      </c>
      <c r="I108">
        <f t="shared" si="24"/>
        <v>0</v>
      </c>
      <c r="J108">
        <f t="shared" si="17"/>
        <v>0</v>
      </c>
      <c r="K108">
        <f t="shared" si="18"/>
        <v>0</v>
      </c>
      <c r="L108">
        <f t="shared" si="25"/>
        <v>25</v>
      </c>
      <c r="M108">
        <f t="shared" si="26"/>
        <v>20</v>
      </c>
      <c r="N108">
        <f t="shared" si="27"/>
        <v>1</v>
      </c>
      <c r="O108">
        <f t="shared" si="28"/>
        <v>8</v>
      </c>
      <c r="P108">
        <f t="shared" si="19"/>
        <v>4</v>
      </c>
      <c r="Q108">
        <f t="shared" si="29"/>
        <v>17</v>
      </c>
      <c r="R108">
        <f t="shared" si="29"/>
        <v>16</v>
      </c>
    </row>
    <row r="109" spans="1:18" x14ac:dyDescent="0.25">
      <c r="A109" s="1">
        <v>44759</v>
      </c>
      <c r="B109">
        <f t="shared" si="15"/>
        <v>7</v>
      </c>
      <c r="C109">
        <f t="shared" si="20"/>
        <v>17</v>
      </c>
      <c r="D109">
        <f t="shared" si="20"/>
        <v>16</v>
      </c>
      <c r="E109">
        <f t="shared" si="21"/>
        <v>0</v>
      </c>
      <c r="F109">
        <f t="shared" si="16"/>
        <v>0</v>
      </c>
      <c r="G109">
        <f t="shared" si="22"/>
        <v>0</v>
      </c>
      <c r="H109">
        <f t="shared" si="23"/>
        <v>0</v>
      </c>
      <c r="I109">
        <f t="shared" si="24"/>
        <v>0</v>
      </c>
      <c r="J109">
        <f t="shared" si="17"/>
        <v>0</v>
      </c>
      <c r="K109">
        <f t="shared" si="18"/>
        <v>0</v>
      </c>
      <c r="L109">
        <f t="shared" si="25"/>
        <v>17</v>
      </c>
      <c r="M109">
        <f t="shared" si="26"/>
        <v>16</v>
      </c>
      <c r="N109">
        <f t="shared" si="27"/>
        <v>0</v>
      </c>
      <c r="O109">
        <f t="shared" si="28"/>
        <v>0</v>
      </c>
      <c r="P109">
        <f t="shared" si="19"/>
        <v>0</v>
      </c>
      <c r="Q109">
        <f t="shared" si="29"/>
        <v>17</v>
      </c>
      <c r="R109">
        <f t="shared" si="29"/>
        <v>16</v>
      </c>
    </row>
    <row r="110" spans="1:18" x14ac:dyDescent="0.25">
      <c r="A110" s="1">
        <v>44760</v>
      </c>
      <c r="B110">
        <f t="shared" si="15"/>
        <v>1</v>
      </c>
      <c r="C110">
        <f t="shared" si="20"/>
        <v>17</v>
      </c>
      <c r="D110">
        <f t="shared" si="20"/>
        <v>16</v>
      </c>
      <c r="E110">
        <f t="shared" si="21"/>
        <v>1</v>
      </c>
      <c r="F110">
        <f t="shared" si="16"/>
        <v>1</v>
      </c>
      <c r="G110">
        <f t="shared" si="22"/>
        <v>0</v>
      </c>
      <c r="H110">
        <f t="shared" si="23"/>
        <v>0</v>
      </c>
      <c r="I110">
        <f t="shared" si="24"/>
        <v>0</v>
      </c>
      <c r="J110">
        <f t="shared" si="17"/>
        <v>0</v>
      </c>
      <c r="K110">
        <f t="shared" si="18"/>
        <v>0</v>
      </c>
      <c r="L110">
        <f t="shared" si="25"/>
        <v>16</v>
      </c>
      <c r="M110">
        <f t="shared" si="26"/>
        <v>16</v>
      </c>
      <c r="N110">
        <f t="shared" si="27"/>
        <v>1</v>
      </c>
      <c r="O110">
        <f t="shared" si="28"/>
        <v>5</v>
      </c>
      <c r="P110">
        <f t="shared" si="19"/>
        <v>4</v>
      </c>
      <c r="Q110">
        <f t="shared" si="29"/>
        <v>11</v>
      </c>
      <c r="R110">
        <f t="shared" si="29"/>
        <v>12</v>
      </c>
    </row>
    <row r="111" spans="1:18" x14ac:dyDescent="0.25">
      <c r="A111" s="1">
        <v>44761</v>
      </c>
      <c r="B111">
        <f t="shared" si="15"/>
        <v>2</v>
      </c>
      <c r="C111">
        <f t="shared" si="20"/>
        <v>11</v>
      </c>
      <c r="D111">
        <f t="shared" si="20"/>
        <v>12</v>
      </c>
      <c r="E111">
        <f t="shared" si="21"/>
        <v>0</v>
      </c>
      <c r="F111">
        <f t="shared" si="16"/>
        <v>0</v>
      </c>
      <c r="G111">
        <f t="shared" si="22"/>
        <v>0</v>
      </c>
      <c r="H111">
        <f t="shared" si="23"/>
        <v>0</v>
      </c>
      <c r="I111">
        <f t="shared" si="24"/>
        <v>0</v>
      </c>
      <c r="J111">
        <f t="shared" si="17"/>
        <v>0</v>
      </c>
      <c r="K111">
        <f t="shared" si="18"/>
        <v>0</v>
      </c>
      <c r="L111">
        <f t="shared" si="25"/>
        <v>11</v>
      </c>
      <c r="M111">
        <f t="shared" si="26"/>
        <v>12</v>
      </c>
      <c r="N111">
        <f t="shared" si="27"/>
        <v>1</v>
      </c>
      <c r="O111">
        <f t="shared" si="28"/>
        <v>4</v>
      </c>
      <c r="P111">
        <f t="shared" si="19"/>
        <v>3</v>
      </c>
      <c r="Q111">
        <f t="shared" si="29"/>
        <v>7</v>
      </c>
      <c r="R111">
        <f t="shared" si="29"/>
        <v>9</v>
      </c>
    </row>
    <row r="112" spans="1:18" x14ac:dyDescent="0.25">
      <c r="A112" s="1">
        <v>44762</v>
      </c>
      <c r="B112">
        <f t="shared" si="15"/>
        <v>3</v>
      </c>
      <c r="C112">
        <f t="shared" si="20"/>
        <v>7</v>
      </c>
      <c r="D112">
        <f t="shared" si="20"/>
        <v>9</v>
      </c>
      <c r="E112">
        <f t="shared" si="21"/>
        <v>0</v>
      </c>
      <c r="F112">
        <f t="shared" si="16"/>
        <v>0</v>
      </c>
      <c r="G112">
        <f t="shared" si="22"/>
        <v>0</v>
      </c>
      <c r="H112">
        <f t="shared" si="23"/>
        <v>0</v>
      </c>
      <c r="I112">
        <f t="shared" si="24"/>
        <v>0</v>
      </c>
      <c r="J112">
        <f t="shared" si="17"/>
        <v>0</v>
      </c>
      <c r="K112">
        <f t="shared" si="18"/>
        <v>0</v>
      </c>
      <c r="L112">
        <f t="shared" si="25"/>
        <v>7</v>
      </c>
      <c r="M112">
        <f t="shared" si="26"/>
        <v>9</v>
      </c>
      <c r="N112">
        <f t="shared" si="27"/>
        <v>1</v>
      </c>
      <c r="O112">
        <f t="shared" si="28"/>
        <v>3</v>
      </c>
      <c r="P112">
        <f t="shared" si="19"/>
        <v>2</v>
      </c>
      <c r="Q112">
        <f t="shared" si="29"/>
        <v>4</v>
      </c>
      <c r="R112">
        <f t="shared" si="29"/>
        <v>7</v>
      </c>
    </row>
    <row r="113" spans="1:18" x14ac:dyDescent="0.25">
      <c r="A113" s="1">
        <v>44763</v>
      </c>
      <c r="B113">
        <f t="shared" si="15"/>
        <v>4</v>
      </c>
      <c r="C113">
        <f t="shared" si="20"/>
        <v>4</v>
      </c>
      <c r="D113">
        <f t="shared" si="20"/>
        <v>7</v>
      </c>
      <c r="E113">
        <f t="shared" si="21"/>
        <v>0</v>
      </c>
      <c r="F113">
        <f t="shared" si="16"/>
        <v>0</v>
      </c>
      <c r="G113">
        <f t="shared" si="22"/>
        <v>1</v>
      </c>
      <c r="H113">
        <f t="shared" si="23"/>
        <v>50</v>
      </c>
      <c r="I113">
        <f t="shared" si="24"/>
        <v>25</v>
      </c>
      <c r="J113">
        <f t="shared" si="17"/>
        <v>0</v>
      </c>
      <c r="K113">
        <f t="shared" si="18"/>
        <v>0</v>
      </c>
      <c r="L113">
        <f t="shared" si="25"/>
        <v>54</v>
      </c>
      <c r="M113">
        <f t="shared" si="26"/>
        <v>32</v>
      </c>
      <c r="N113">
        <f t="shared" si="27"/>
        <v>1</v>
      </c>
      <c r="O113">
        <f t="shared" si="28"/>
        <v>17</v>
      </c>
      <c r="P113">
        <f t="shared" si="19"/>
        <v>7</v>
      </c>
      <c r="Q113">
        <f t="shared" si="29"/>
        <v>37</v>
      </c>
      <c r="R113">
        <f t="shared" si="29"/>
        <v>25</v>
      </c>
    </row>
    <row r="114" spans="1:18" x14ac:dyDescent="0.25">
      <c r="A114" s="1">
        <v>44764</v>
      </c>
      <c r="B114">
        <f t="shared" si="15"/>
        <v>5</v>
      </c>
      <c r="C114">
        <f t="shared" si="20"/>
        <v>37</v>
      </c>
      <c r="D114">
        <f t="shared" si="20"/>
        <v>25</v>
      </c>
      <c r="E114">
        <f t="shared" si="21"/>
        <v>0</v>
      </c>
      <c r="F114">
        <f t="shared" si="16"/>
        <v>0</v>
      </c>
      <c r="G114">
        <f t="shared" si="22"/>
        <v>0</v>
      </c>
      <c r="H114">
        <f t="shared" si="23"/>
        <v>0</v>
      </c>
      <c r="I114">
        <f t="shared" si="24"/>
        <v>0</v>
      </c>
      <c r="J114">
        <f t="shared" si="17"/>
        <v>0</v>
      </c>
      <c r="K114">
        <f t="shared" si="18"/>
        <v>0</v>
      </c>
      <c r="L114">
        <f t="shared" si="25"/>
        <v>37</v>
      </c>
      <c r="M114">
        <f t="shared" si="26"/>
        <v>25</v>
      </c>
      <c r="N114">
        <f t="shared" si="27"/>
        <v>1</v>
      </c>
      <c r="O114">
        <f t="shared" si="28"/>
        <v>12</v>
      </c>
      <c r="P114">
        <f t="shared" si="19"/>
        <v>5</v>
      </c>
      <c r="Q114">
        <f t="shared" si="29"/>
        <v>25</v>
      </c>
      <c r="R114">
        <f t="shared" si="29"/>
        <v>20</v>
      </c>
    </row>
    <row r="115" spans="1:18" x14ac:dyDescent="0.25">
      <c r="A115" s="1">
        <v>44765</v>
      </c>
      <c r="B115">
        <f t="shared" si="15"/>
        <v>6</v>
      </c>
      <c r="C115">
        <f t="shared" si="20"/>
        <v>25</v>
      </c>
      <c r="D115">
        <f t="shared" si="20"/>
        <v>20</v>
      </c>
      <c r="E115">
        <f t="shared" si="21"/>
        <v>0</v>
      </c>
      <c r="F115">
        <f t="shared" si="16"/>
        <v>0</v>
      </c>
      <c r="G115">
        <f t="shared" si="22"/>
        <v>0</v>
      </c>
      <c r="H115">
        <f t="shared" si="23"/>
        <v>0</v>
      </c>
      <c r="I115">
        <f t="shared" si="24"/>
        <v>0</v>
      </c>
      <c r="J115">
        <f t="shared" si="17"/>
        <v>0</v>
      </c>
      <c r="K115">
        <f t="shared" si="18"/>
        <v>0</v>
      </c>
      <c r="L115">
        <f t="shared" si="25"/>
        <v>25</v>
      </c>
      <c r="M115">
        <f t="shared" si="26"/>
        <v>20</v>
      </c>
      <c r="N115">
        <f t="shared" si="27"/>
        <v>1</v>
      </c>
      <c r="O115">
        <f t="shared" si="28"/>
        <v>8</v>
      </c>
      <c r="P115">
        <f t="shared" si="19"/>
        <v>4</v>
      </c>
      <c r="Q115">
        <f t="shared" si="29"/>
        <v>17</v>
      </c>
      <c r="R115">
        <f t="shared" si="29"/>
        <v>16</v>
      </c>
    </row>
    <row r="116" spans="1:18" x14ac:dyDescent="0.25">
      <c r="A116" s="1">
        <v>44766</v>
      </c>
      <c r="B116">
        <f t="shared" si="15"/>
        <v>7</v>
      </c>
      <c r="C116">
        <f t="shared" si="20"/>
        <v>17</v>
      </c>
      <c r="D116">
        <f t="shared" si="20"/>
        <v>16</v>
      </c>
      <c r="E116">
        <f t="shared" si="21"/>
        <v>0</v>
      </c>
      <c r="F116">
        <f t="shared" si="16"/>
        <v>0</v>
      </c>
      <c r="G116">
        <f t="shared" si="22"/>
        <v>0</v>
      </c>
      <c r="H116">
        <f t="shared" si="23"/>
        <v>0</v>
      </c>
      <c r="I116">
        <f t="shared" si="24"/>
        <v>0</v>
      </c>
      <c r="J116">
        <f t="shared" si="17"/>
        <v>0</v>
      </c>
      <c r="K116">
        <f t="shared" si="18"/>
        <v>0</v>
      </c>
      <c r="L116">
        <f t="shared" si="25"/>
        <v>17</v>
      </c>
      <c r="M116">
        <f t="shared" si="26"/>
        <v>16</v>
      </c>
      <c r="N116">
        <f t="shared" si="27"/>
        <v>0</v>
      </c>
      <c r="O116">
        <f t="shared" si="28"/>
        <v>0</v>
      </c>
      <c r="P116">
        <f t="shared" si="19"/>
        <v>0</v>
      </c>
      <c r="Q116">
        <f t="shared" si="29"/>
        <v>17</v>
      </c>
      <c r="R116">
        <f t="shared" si="29"/>
        <v>16</v>
      </c>
    </row>
    <row r="117" spans="1:18" x14ac:dyDescent="0.25">
      <c r="A117" s="1">
        <v>44767</v>
      </c>
      <c r="B117">
        <f t="shared" si="15"/>
        <v>1</v>
      </c>
      <c r="C117">
        <f t="shared" si="20"/>
        <v>17</v>
      </c>
      <c r="D117">
        <f t="shared" si="20"/>
        <v>16</v>
      </c>
      <c r="E117">
        <f t="shared" si="21"/>
        <v>1</v>
      </c>
      <c r="F117">
        <f t="shared" si="16"/>
        <v>1</v>
      </c>
      <c r="G117">
        <f t="shared" si="22"/>
        <v>0</v>
      </c>
      <c r="H117">
        <f t="shared" si="23"/>
        <v>0</v>
      </c>
      <c r="I117">
        <f t="shared" si="24"/>
        <v>0</v>
      </c>
      <c r="J117">
        <f t="shared" si="17"/>
        <v>0</v>
      </c>
      <c r="K117">
        <f t="shared" si="18"/>
        <v>0</v>
      </c>
      <c r="L117">
        <f t="shared" si="25"/>
        <v>16</v>
      </c>
      <c r="M117">
        <f t="shared" si="26"/>
        <v>16</v>
      </c>
      <c r="N117">
        <f t="shared" si="27"/>
        <v>1</v>
      </c>
      <c r="O117">
        <f t="shared" si="28"/>
        <v>5</v>
      </c>
      <c r="P117">
        <f t="shared" si="19"/>
        <v>4</v>
      </c>
      <c r="Q117">
        <f t="shared" si="29"/>
        <v>11</v>
      </c>
      <c r="R117">
        <f t="shared" si="29"/>
        <v>12</v>
      </c>
    </row>
    <row r="118" spans="1:18" x14ac:dyDescent="0.25">
      <c r="A118" s="1">
        <v>44768</v>
      </c>
      <c r="B118">
        <f t="shared" si="15"/>
        <v>2</v>
      </c>
      <c r="C118">
        <f t="shared" si="20"/>
        <v>11</v>
      </c>
      <c r="D118">
        <f t="shared" si="20"/>
        <v>12</v>
      </c>
      <c r="E118">
        <f t="shared" si="21"/>
        <v>0</v>
      </c>
      <c r="F118">
        <f t="shared" si="16"/>
        <v>0</v>
      </c>
      <c r="G118">
        <f t="shared" si="22"/>
        <v>0</v>
      </c>
      <c r="H118">
        <f t="shared" si="23"/>
        <v>0</v>
      </c>
      <c r="I118">
        <f t="shared" si="24"/>
        <v>0</v>
      </c>
      <c r="J118">
        <f t="shared" si="17"/>
        <v>0</v>
      </c>
      <c r="K118">
        <f t="shared" si="18"/>
        <v>0</v>
      </c>
      <c r="L118">
        <f t="shared" si="25"/>
        <v>11</v>
      </c>
      <c r="M118">
        <f t="shared" si="26"/>
        <v>12</v>
      </c>
      <c r="N118">
        <f t="shared" si="27"/>
        <v>1</v>
      </c>
      <c r="O118">
        <f t="shared" si="28"/>
        <v>4</v>
      </c>
      <c r="P118">
        <f t="shared" si="19"/>
        <v>3</v>
      </c>
      <c r="Q118">
        <f t="shared" si="29"/>
        <v>7</v>
      </c>
      <c r="R118">
        <f t="shared" si="29"/>
        <v>9</v>
      </c>
    </row>
    <row r="119" spans="1:18" x14ac:dyDescent="0.25">
      <c r="A119" s="1">
        <v>44769</v>
      </c>
      <c r="B119">
        <f t="shared" si="15"/>
        <v>3</v>
      </c>
      <c r="C119">
        <f t="shared" si="20"/>
        <v>7</v>
      </c>
      <c r="D119">
        <f t="shared" si="20"/>
        <v>9</v>
      </c>
      <c r="E119">
        <f t="shared" si="21"/>
        <v>0</v>
      </c>
      <c r="F119">
        <f t="shared" si="16"/>
        <v>0</v>
      </c>
      <c r="G119">
        <f t="shared" si="22"/>
        <v>0</v>
      </c>
      <c r="H119">
        <f t="shared" si="23"/>
        <v>0</v>
      </c>
      <c r="I119">
        <f t="shared" si="24"/>
        <v>0</v>
      </c>
      <c r="J119">
        <f t="shared" si="17"/>
        <v>0</v>
      </c>
      <c r="K119">
        <f t="shared" si="18"/>
        <v>0</v>
      </c>
      <c r="L119">
        <f t="shared" si="25"/>
        <v>7</v>
      </c>
      <c r="M119">
        <f t="shared" si="26"/>
        <v>9</v>
      </c>
      <c r="N119">
        <f t="shared" si="27"/>
        <v>1</v>
      </c>
      <c r="O119">
        <f t="shared" si="28"/>
        <v>3</v>
      </c>
      <c r="P119">
        <f t="shared" si="19"/>
        <v>2</v>
      </c>
      <c r="Q119">
        <f t="shared" si="29"/>
        <v>4</v>
      </c>
      <c r="R119">
        <f t="shared" si="29"/>
        <v>7</v>
      </c>
    </row>
    <row r="120" spans="1:18" x14ac:dyDescent="0.25">
      <c r="A120" s="1">
        <v>44770</v>
      </c>
      <c r="B120">
        <f t="shared" si="15"/>
        <v>4</v>
      </c>
      <c r="C120">
        <f t="shared" si="20"/>
        <v>4</v>
      </c>
      <c r="D120">
        <f t="shared" si="20"/>
        <v>7</v>
      </c>
      <c r="E120">
        <f t="shared" si="21"/>
        <v>0</v>
      </c>
      <c r="F120">
        <f t="shared" si="16"/>
        <v>0</v>
      </c>
      <c r="G120">
        <f t="shared" si="22"/>
        <v>1</v>
      </c>
      <c r="H120">
        <f t="shared" si="23"/>
        <v>50</v>
      </c>
      <c r="I120">
        <f t="shared" si="24"/>
        <v>25</v>
      </c>
      <c r="J120">
        <f t="shared" si="17"/>
        <v>0</v>
      </c>
      <c r="K120">
        <f t="shared" si="18"/>
        <v>0</v>
      </c>
      <c r="L120">
        <f t="shared" si="25"/>
        <v>54</v>
      </c>
      <c r="M120">
        <f t="shared" si="26"/>
        <v>32</v>
      </c>
      <c r="N120">
        <f t="shared" si="27"/>
        <v>1</v>
      </c>
      <c r="O120">
        <f t="shared" si="28"/>
        <v>17</v>
      </c>
      <c r="P120">
        <f t="shared" si="19"/>
        <v>7</v>
      </c>
      <c r="Q120">
        <f t="shared" si="29"/>
        <v>37</v>
      </c>
      <c r="R120">
        <f t="shared" si="29"/>
        <v>25</v>
      </c>
    </row>
    <row r="121" spans="1:18" x14ac:dyDescent="0.25">
      <c r="A121" s="1">
        <v>44771</v>
      </c>
      <c r="B121">
        <f t="shared" si="15"/>
        <v>5</v>
      </c>
      <c r="C121">
        <f t="shared" si="20"/>
        <v>37</v>
      </c>
      <c r="D121">
        <f t="shared" si="20"/>
        <v>25</v>
      </c>
      <c r="E121">
        <f t="shared" si="21"/>
        <v>0</v>
      </c>
      <c r="F121">
        <f t="shared" si="16"/>
        <v>0</v>
      </c>
      <c r="G121">
        <f t="shared" si="22"/>
        <v>0</v>
      </c>
      <c r="H121">
        <f t="shared" si="23"/>
        <v>0</v>
      </c>
      <c r="I121">
        <f t="shared" si="24"/>
        <v>0</v>
      </c>
      <c r="J121">
        <f t="shared" si="17"/>
        <v>0</v>
      </c>
      <c r="K121">
        <f t="shared" si="18"/>
        <v>0</v>
      </c>
      <c r="L121">
        <f t="shared" si="25"/>
        <v>37</v>
      </c>
      <c r="M121">
        <f t="shared" si="26"/>
        <v>25</v>
      </c>
      <c r="N121">
        <f t="shared" si="27"/>
        <v>1</v>
      </c>
      <c r="O121">
        <f t="shared" si="28"/>
        <v>12</v>
      </c>
      <c r="P121">
        <f t="shared" si="19"/>
        <v>5</v>
      </c>
      <c r="Q121">
        <f t="shared" si="29"/>
        <v>25</v>
      </c>
      <c r="R121">
        <f t="shared" si="29"/>
        <v>20</v>
      </c>
    </row>
    <row r="122" spans="1:18" x14ac:dyDescent="0.25">
      <c r="A122" s="1">
        <v>44772</v>
      </c>
      <c r="B122">
        <f t="shared" si="15"/>
        <v>6</v>
      </c>
      <c r="C122">
        <f t="shared" si="20"/>
        <v>25</v>
      </c>
      <c r="D122">
        <f t="shared" si="20"/>
        <v>20</v>
      </c>
      <c r="E122">
        <f t="shared" si="21"/>
        <v>0</v>
      </c>
      <c r="F122">
        <f t="shared" si="16"/>
        <v>0</v>
      </c>
      <c r="G122">
        <f t="shared" si="22"/>
        <v>0</v>
      </c>
      <c r="H122">
        <f t="shared" si="23"/>
        <v>0</v>
      </c>
      <c r="I122">
        <f t="shared" si="24"/>
        <v>0</v>
      </c>
      <c r="J122">
        <f t="shared" si="17"/>
        <v>0</v>
      </c>
      <c r="K122">
        <f t="shared" si="18"/>
        <v>0</v>
      </c>
      <c r="L122">
        <f t="shared" si="25"/>
        <v>25</v>
      </c>
      <c r="M122">
        <f t="shared" si="26"/>
        <v>20</v>
      </c>
      <c r="N122">
        <f t="shared" si="27"/>
        <v>1</v>
      </c>
      <c r="O122">
        <f t="shared" si="28"/>
        <v>8</v>
      </c>
      <c r="P122">
        <f t="shared" si="19"/>
        <v>4</v>
      </c>
      <c r="Q122">
        <f t="shared" si="29"/>
        <v>17</v>
      </c>
      <c r="R122">
        <f t="shared" si="29"/>
        <v>16</v>
      </c>
    </row>
    <row r="123" spans="1:18" x14ac:dyDescent="0.25">
      <c r="A123" s="1">
        <v>44773</v>
      </c>
      <c r="B123">
        <f t="shared" si="15"/>
        <v>7</v>
      </c>
      <c r="C123">
        <f t="shared" si="20"/>
        <v>17</v>
      </c>
      <c r="D123">
        <f t="shared" si="20"/>
        <v>16</v>
      </c>
      <c r="E123">
        <f t="shared" si="21"/>
        <v>0</v>
      </c>
      <c r="F123">
        <f t="shared" si="16"/>
        <v>0</v>
      </c>
      <c r="G123">
        <f t="shared" si="22"/>
        <v>0</v>
      </c>
      <c r="H123">
        <f t="shared" si="23"/>
        <v>0</v>
      </c>
      <c r="I123">
        <f t="shared" si="24"/>
        <v>0</v>
      </c>
      <c r="J123">
        <f t="shared" si="17"/>
        <v>0</v>
      </c>
      <c r="K123">
        <f t="shared" si="18"/>
        <v>0</v>
      </c>
      <c r="L123">
        <f t="shared" si="25"/>
        <v>17</v>
      </c>
      <c r="M123">
        <f t="shared" si="26"/>
        <v>16</v>
      </c>
      <c r="N123">
        <f t="shared" si="27"/>
        <v>0</v>
      </c>
      <c r="O123">
        <f t="shared" si="28"/>
        <v>0</v>
      </c>
      <c r="P123">
        <f t="shared" si="19"/>
        <v>0</v>
      </c>
      <c r="Q123">
        <f t="shared" si="29"/>
        <v>17</v>
      </c>
      <c r="R123">
        <f t="shared" si="29"/>
        <v>16</v>
      </c>
    </row>
    <row r="124" spans="1:18" x14ac:dyDescent="0.25">
      <c r="A124" s="1">
        <v>44774</v>
      </c>
      <c r="B124">
        <f t="shared" si="15"/>
        <v>1</v>
      </c>
      <c r="C124">
        <f t="shared" si="20"/>
        <v>17</v>
      </c>
      <c r="D124">
        <f t="shared" si="20"/>
        <v>16</v>
      </c>
      <c r="E124">
        <f t="shared" si="21"/>
        <v>1</v>
      </c>
      <c r="F124">
        <f t="shared" si="16"/>
        <v>1</v>
      </c>
      <c r="G124">
        <f t="shared" si="22"/>
        <v>0</v>
      </c>
      <c r="H124">
        <f t="shared" si="23"/>
        <v>0</v>
      </c>
      <c r="I124">
        <f t="shared" si="24"/>
        <v>0</v>
      </c>
      <c r="J124">
        <f t="shared" si="17"/>
        <v>0</v>
      </c>
      <c r="K124">
        <f t="shared" si="18"/>
        <v>0</v>
      </c>
      <c r="L124">
        <f t="shared" si="25"/>
        <v>16</v>
      </c>
      <c r="M124">
        <f t="shared" si="26"/>
        <v>16</v>
      </c>
      <c r="N124">
        <f t="shared" si="27"/>
        <v>1</v>
      </c>
      <c r="O124">
        <f t="shared" si="28"/>
        <v>5</v>
      </c>
      <c r="P124">
        <f t="shared" si="19"/>
        <v>4</v>
      </c>
      <c r="Q124">
        <f t="shared" si="29"/>
        <v>11</v>
      </c>
      <c r="R124">
        <f t="shared" si="29"/>
        <v>12</v>
      </c>
    </row>
    <row r="125" spans="1:18" x14ac:dyDescent="0.25">
      <c r="A125" s="1">
        <v>44775</v>
      </c>
      <c r="B125">
        <f t="shared" si="15"/>
        <v>2</v>
      </c>
      <c r="C125">
        <f t="shared" si="20"/>
        <v>11</v>
      </c>
      <c r="D125">
        <f t="shared" si="20"/>
        <v>12</v>
      </c>
      <c r="E125">
        <f t="shared" si="21"/>
        <v>0</v>
      </c>
      <c r="F125">
        <f t="shared" si="16"/>
        <v>0</v>
      </c>
      <c r="G125">
        <f t="shared" si="22"/>
        <v>0</v>
      </c>
      <c r="H125">
        <f t="shared" si="23"/>
        <v>0</v>
      </c>
      <c r="I125">
        <f t="shared" si="24"/>
        <v>0</v>
      </c>
      <c r="J125">
        <f t="shared" si="17"/>
        <v>0</v>
      </c>
      <c r="K125">
        <f t="shared" si="18"/>
        <v>0</v>
      </c>
      <c r="L125">
        <f t="shared" si="25"/>
        <v>11</v>
      </c>
      <c r="M125">
        <f t="shared" si="26"/>
        <v>12</v>
      </c>
      <c r="N125">
        <f t="shared" si="27"/>
        <v>1</v>
      </c>
      <c r="O125">
        <f t="shared" si="28"/>
        <v>4</v>
      </c>
      <c r="P125">
        <f t="shared" si="19"/>
        <v>3</v>
      </c>
      <c r="Q125">
        <f t="shared" si="29"/>
        <v>7</v>
      </c>
      <c r="R125">
        <f t="shared" si="29"/>
        <v>9</v>
      </c>
    </row>
    <row r="126" spans="1:18" x14ac:dyDescent="0.25">
      <c r="A126" s="1">
        <v>44776</v>
      </c>
      <c r="B126">
        <f t="shared" si="15"/>
        <v>3</v>
      </c>
      <c r="C126">
        <f t="shared" si="20"/>
        <v>7</v>
      </c>
      <c r="D126">
        <f t="shared" si="20"/>
        <v>9</v>
      </c>
      <c r="E126">
        <f t="shared" si="21"/>
        <v>0</v>
      </c>
      <c r="F126">
        <f t="shared" si="16"/>
        <v>0</v>
      </c>
      <c r="G126">
        <f t="shared" si="22"/>
        <v>0</v>
      </c>
      <c r="H126">
        <f t="shared" si="23"/>
        <v>0</v>
      </c>
      <c r="I126">
        <f t="shared" si="24"/>
        <v>0</v>
      </c>
      <c r="J126">
        <f t="shared" si="17"/>
        <v>0</v>
      </c>
      <c r="K126">
        <f t="shared" si="18"/>
        <v>0</v>
      </c>
      <c r="L126">
        <f t="shared" si="25"/>
        <v>7</v>
      </c>
      <c r="M126">
        <f t="shared" si="26"/>
        <v>9</v>
      </c>
      <c r="N126">
        <f t="shared" si="27"/>
        <v>1</v>
      </c>
      <c r="O126">
        <f t="shared" si="28"/>
        <v>3</v>
      </c>
      <c r="P126">
        <f t="shared" si="19"/>
        <v>2</v>
      </c>
      <c r="Q126">
        <f t="shared" si="29"/>
        <v>4</v>
      </c>
      <c r="R126">
        <f t="shared" si="29"/>
        <v>7</v>
      </c>
    </row>
    <row r="127" spans="1:18" x14ac:dyDescent="0.25">
      <c r="A127" s="1">
        <v>44777</v>
      </c>
      <c r="B127">
        <f t="shared" si="15"/>
        <v>4</v>
      </c>
      <c r="C127">
        <f t="shared" si="20"/>
        <v>4</v>
      </c>
      <c r="D127">
        <f t="shared" si="20"/>
        <v>7</v>
      </c>
      <c r="E127">
        <f t="shared" si="21"/>
        <v>0</v>
      </c>
      <c r="F127">
        <f t="shared" si="16"/>
        <v>0</v>
      </c>
      <c r="G127">
        <f t="shared" si="22"/>
        <v>1</v>
      </c>
      <c r="H127">
        <f t="shared" si="23"/>
        <v>50</v>
      </c>
      <c r="I127">
        <f t="shared" si="24"/>
        <v>25</v>
      </c>
      <c r="J127">
        <f t="shared" si="17"/>
        <v>0</v>
      </c>
      <c r="K127">
        <f t="shared" si="18"/>
        <v>0</v>
      </c>
      <c r="L127">
        <f t="shared" si="25"/>
        <v>54</v>
      </c>
      <c r="M127">
        <f t="shared" si="26"/>
        <v>32</v>
      </c>
      <c r="N127">
        <f t="shared" si="27"/>
        <v>1</v>
      </c>
      <c r="O127">
        <f t="shared" si="28"/>
        <v>17</v>
      </c>
      <c r="P127">
        <f t="shared" si="19"/>
        <v>7</v>
      </c>
      <c r="Q127">
        <f t="shared" si="29"/>
        <v>37</v>
      </c>
      <c r="R127">
        <f t="shared" si="29"/>
        <v>25</v>
      </c>
    </row>
    <row r="128" spans="1:18" x14ac:dyDescent="0.25">
      <c r="A128" s="1">
        <v>44778</v>
      </c>
      <c r="B128">
        <f t="shared" si="15"/>
        <v>5</v>
      </c>
      <c r="C128">
        <f t="shared" si="20"/>
        <v>37</v>
      </c>
      <c r="D128">
        <f t="shared" si="20"/>
        <v>25</v>
      </c>
      <c r="E128">
        <f t="shared" si="21"/>
        <v>0</v>
      </c>
      <c r="F128">
        <f t="shared" si="16"/>
        <v>0</v>
      </c>
      <c r="G128">
        <f t="shared" si="22"/>
        <v>0</v>
      </c>
      <c r="H128">
        <f t="shared" si="23"/>
        <v>0</v>
      </c>
      <c r="I128">
        <f t="shared" si="24"/>
        <v>0</v>
      </c>
      <c r="J128">
        <f t="shared" si="17"/>
        <v>0</v>
      </c>
      <c r="K128">
        <f t="shared" si="18"/>
        <v>0</v>
      </c>
      <c r="L128">
        <f t="shared" si="25"/>
        <v>37</v>
      </c>
      <c r="M128">
        <f t="shared" si="26"/>
        <v>25</v>
      </c>
      <c r="N128">
        <f t="shared" si="27"/>
        <v>1</v>
      </c>
      <c r="O128">
        <f t="shared" si="28"/>
        <v>12</v>
      </c>
      <c r="P128">
        <f t="shared" si="19"/>
        <v>5</v>
      </c>
      <c r="Q128">
        <f t="shared" si="29"/>
        <v>25</v>
      </c>
      <c r="R128">
        <f t="shared" si="29"/>
        <v>20</v>
      </c>
    </row>
    <row r="129" spans="1:18" x14ac:dyDescent="0.25">
      <c r="A129" s="1">
        <v>44779</v>
      </c>
      <c r="B129">
        <f t="shared" si="15"/>
        <v>6</v>
      </c>
      <c r="C129">
        <f t="shared" si="20"/>
        <v>25</v>
      </c>
      <c r="D129">
        <f t="shared" si="20"/>
        <v>20</v>
      </c>
      <c r="E129">
        <f t="shared" si="21"/>
        <v>0</v>
      </c>
      <c r="F129">
        <f t="shared" si="16"/>
        <v>0</v>
      </c>
      <c r="G129">
        <f t="shared" si="22"/>
        <v>0</v>
      </c>
      <c r="H129">
        <f t="shared" si="23"/>
        <v>0</v>
      </c>
      <c r="I129">
        <f t="shared" si="24"/>
        <v>0</v>
      </c>
      <c r="J129">
        <f t="shared" si="17"/>
        <v>0</v>
      </c>
      <c r="K129">
        <f t="shared" si="18"/>
        <v>0</v>
      </c>
      <c r="L129">
        <f t="shared" si="25"/>
        <v>25</v>
      </c>
      <c r="M129">
        <f t="shared" si="26"/>
        <v>20</v>
      </c>
      <c r="N129">
        <f t="shared" si="27"/>
        <v>1</v>
      </c>
      <c r="O129">
        <f t="shared" si="28"/>
        <v>8</v>
      </c>
      <c r="P129">
        <f t="shared" si="19"/>
        <v>4</v>
      </c>
      <c r="Q129">
        <f t="shared" si="29"/>
        <v>17</v>
      </c>
      <c r="R129">
        <f t="shared" si="29"/>
        <v>16</v>
      </c>
    </row>
    <row r="130" spans="1:18" x14ac:dyDescent="0.25">
      <c r="A130" s="1">
        <v>44780</v>
      </c>
      <c r="B130">
        <f t="shared" si="15"/>
        <v>7</v>
      </c>
      <c r="C130">
        <f t="shared" si="20"/>
        <v>17</v>
      </c>
      <c r="D130">
        <f t="shared" si="20"/>
        <v>16</v>
      </c>
      <c r="E130">
        <f t="shared" si="21"/>
        <v>0</v>
      </c>
      <c r="F130">
        <f t="shared" si="16"/>
        <v>0</v>
      </c>
      <c r="G130">
        <f t="shared" si="22"/>
        <v>0</v>
      </c>
      <c r="H130">
        <f t="shared" si="23"/>
        <v>0</v>
      </c>
      <c r="I130">
        <f t="shared" si="24"/>
        <v>0</v>
      </c>
      <c r="J130">
        <f t="shared" si="17"/>
        <v>0</v>
      </c>
      <c r="K130">
        <f t="shared" si="18"/>
        <v>0</v>
      </c>
      <c r="L130">
        <f t="shared" si="25"/>
        <v>17</v>
      </c>
      <c r="M130">
        <f t="shared" si="26"/>
        <v>16</v>
      </c>
      <c r="N130">
        <f t="shared" si="27"/>
        <v>0</v>
      </c>
      <c r="O130">
        <f t="shared" si="28"/>
        <v>0</v>
      </c>
      <c r="P130">
        <f t="shared" si="19"/>
        <v>0</v>
      </c>
      <c r="Q130">
        <f t="shared" si="29"/>
        <v>17</v>
      </c>
      <c r="R130">
        <f t="shared" si="29"/>
        <v>16</v>
      </c>
    </row>
    <row r="131" spans="1:18" x14ac:dyDescent="0.25">
      <c r="A131" s="1">
        <v>44781</v>
      </c>
      <c r="B131">
        <f t="shared" ref="B131:B194" si="30">WEEKDAY(A131, 2)</f>
        <v>1</v>
      </c>
      <c r="C131">
        <f t="shared" si="20"/>
        <v>17</v>
      </c>
      <c r="D131">
        <f t="shared" si="20"/>
        <v>16</v>
      </c>
      <c r="E131">
        <f t="shared" si="21"/>
        <v>1</v>
      </c>
      <c r="F131">
        <f t="shared" ref="F131:F194" si="31">IF(E131=1,ROUNDUP(5% * C131,0),0)</f>
        <v>1</v>
      </c>
      <c r="G131">
        <f t="shared" si="22"/>
        <v>0</v>
      </c>
      <c r="H131">
        <f t="shared" si="23"/>
        <v>0</v>
      </c>
      <c r="I131">
        <f t="shared" si="24"/>
        <v>0</v>
      </c>
      <c r="J131">
        <f t="shared" ref="J131:J194" si="32">IF(AND(B131=1,SUM(O128:O129)&gt;25),1,0)</f>
        <v>0</v>
      </c>
      <c r="K131">
        <f t="shared" ref="K131:K194" si="33">IF(J131=1,15,0)</f>
        <v>0</v>
      </c>
      <c r="L131">
        <f t="shared" si="25"/>
        <v>16</v>
      </c>
      <c r="M131">
        <f t="shared" si="26"/>
        <v>16</v>
      </c>
      <c r="N131">
        <f t="shared" si="27"/>
        <v>1</v>
      </c>
      <c r="O131">
        <f t="shared" si="28"/>
        <v>5</v>
      </c>
      <c r="P131">
        <f t="shared" ref="P131:P194" si="34">IF(N131=1,ROUNDUP(20% * M131,0),0)</f>
        <v>4</v>
      </c>
      <c r="Q131">
        <f t="shared" si="29"/>
        <v>11</v>
      </c>
      <c r="R131">
        <f t="shared" si="29"/>
        <v>12</v>
      </c>
    </row>
    <row r="132" spans="1:18" x14ac:dyDescent="0.25">
      <c r="A132" s="1">
        <v>44782</v>
      </c>
      <c r="B132">
        <f t="shared" si="30"/>
        <v>2</v>
      </c>
      <c r="C132">
        <f t="shared" ref="C132:D195" si="35">Q131</f>
        <v>11</v>
      </c>
      <c r="D132">
        <f t="shared" si="35"/>
        <v>12</v>
      </c>
      <c r="E132">
        <f t="shared" ref="E132:E195" si="36">IF(B132=1,1,0)</f>
        <v>0</v>
      </c>
      <c r="F132">
        <f t="shared" si="31"/>
        <v>0</v>
      </c>
      <c r="G132">
        <f t="shared" ref="G132:G195" si="37">IF(B132=4,1,0)</f>
        <v>0</v>
      </c>
      <c r="H132">
        <f t="shared" ref="H132:H195" si="38">IF(G132=1,50,0)</f>
        <v>0</v>
      </c>
      <c r="I132">
        <f t="shared" ref="I132:I195" si="39">IF(G132=1,25,0)</f>
        <v>0</v>
      </c>
      <c r="J132">
        <f t="shared" si="32"/>
        <v>0</v>
      </c>
      <c r="K132">
        <f t="shared" si="33"/>
        <v>0</v>
      </c>
      <c r="L132">
        <f t="shared" ref="L132:L195" si="40">K132+H132+C132-F132</f>
        <v>11</v>
      </c>
      <c r="M132">
        <f t="shared" ref="M132:M195" si="41">I132+D132</f>
        <v>12</v>
      </c>
      <c r="N132">
        <f t="shared" ref="N132:N195" si="42">IF(B132&lt;&gt;7,1,0)</f>
        <v>1</v>
      </c>
      <c r="O132">
        <f t="shared" ref="O132:O195" si="43">IF(N132=1,ROUNDUP(30% * L132,0),0)</f>
        <v>4</v>
      </c>
      <c r="P132">
        <f t="shared" si="34"/>
        <v>3</v>
      </c>
      <c r="Q132">
        <f t="shared" ref="Q132:R195" si="44">L132-O132</f>
        <v>7</v>
      </c>
      <c r="R132">
        <f t="shared" si="44"/>
        <v>9</v>
      </c>
    </row>
    <row r="133" spans="1:18" x14ac:dyDescent="0.25">
      <c r="A133" s="1">
        <v>44783</v>
      </c>
      <c r="B133">
        <f t="shared" si="30"/>
        <v>3</v>
      </c>
      <c r="C133">
        <f t="shared" si="35"/>
        <v>7</v>
      </c>
      <c r="D133">
        <f t="shared" si="35"/>
        <v>9</v>
      </c>
      <c r="E133">
        <f t="shared" si="36"/>
        <v>0</v>
      </c>
      <c r="F133">
        <f t="shared" si="31"/>
        <v>0</v>
      </c>
      <c r="G133">
        <f t="shared" si="37"/>
        <v>0</v>
      </c>
      <c r="H133">
        <f t="shared" si="38"/>
        <v>0</v>
      </c>
      <c r="I133">
        <f t="shared" si="39"/>
        <v>0</v>
      </c>
      <c r="J133">
        <f t="shared" si="32"/>
        <v>0</v>
      </c>
      <c r="K133">
        <f t="shared" si="33"/>
        <v>0</v>
      </c>
      <c r="L133">
        <f t="shared" si="40"/>
        <v>7</v>
      </c>
      <c r="M133">
        <f t="shared" si="41"/>
        <v>9</v>
      </c>
      <c r="N133">
        <f t="shared" si="42"/>
        <v>1</v>
      </c>
      <c r="O133">
        <f t="shared" si="43"/>
        <v>3</v>
      </c>
      <c r="P133">
        <f t="shared" si="34"/>
        <v>2</v>
      </c>
      <c r="Q133">
        <f t="shared" si="44"/>
        <v>4</v>
      </c>
      <c r="R133">
        <f t="shared" si="44"/>
        <v>7</v>
      </c>
    </row>
    <row r="134" spans="1:18" x14ac:dyDescent="0.25">
      <c r="A134" s="1">
        <v>44784</v>
      </c>
      <c r="B134">
        <f t="shared" si="30"/>
        <v>4</v>
      </c>
      <c r="C134">
        <f t="shared" si="35"/>
        <v>4</v>
      </c>
      <c r="D134">
        <f t="shared" si="35"/>
        <v>7</v>
      </c>
      <c r="E134">
        <f t="shared" si="36"/>
        <v>0</v>
      </c>
      <c r="F134">
        <f t="shared" si="31"/>
        <v>0</v>
      </c>
      <c r="G134">
        <f t="shared" si="37"/>
        <v>1</v>
      </c>
      <c r="H134">
        <f t="shared" si="38"/>
        <v>50</v>
      </c>
      <c r="I134">
        <f t="shared" si="39"/>
        <v>25</v>
      </c>
      <c r="J134">
        <f t="shared" si="32"/>
        <v>0</v>
      </c>
      <c r="K134">
        <f t="shared" si="33"/>
        <v>0</v>
      </c>
      <c r="L134">
        <f t="shared" si="40"/>
        <v>54</v>
      </c>
      <c r="M134">
        <f t="shared" si="41"/>
        <v>32</v>
      </c>
      <c r="N134">
        <f t="shared" si="42"/>
        <v>1</v>
      </c>
      <c r="O134">
        <f t="shared" si="43"/>
        <v>17</v>
      </c>
      <c r="P134">
        <f t="shared" si="34"/>
        <v>7</v>
      </c>
      <c r="Q134">
        <f t="shared" si="44"/>
        <v>37</v>
      </c>
      <c r="R134">
        <f t="shared" si="44"/>
        <v>25</v>
      </c>
    </row>
    <row r="135" spans="1:18" x14ac:dyDescent="0.25">
      <c r="A135" s="1">
        <v>44785</v>
      </c>
      <c r="B135">
        <f t="shared" si="30"/>
        <v>5</v>
      </c>
      <c r="C135">
        <f t="shared" si="35"/>
        <v>37</v>
      </c>
      <c r="D135">
        <f t="shared" si="35"/>
        <v>25</v>
      </c>
      <c r="E135">
        <f t="shared" si="36"/>
        <v>0</v>
      </c>
      <c r="F135">
        <f t="shared" si="31"/>
        <v>0</v>
      </c>
      <c r="G135">
        <f t="shared" si="37"/>
        <v>0</v>
      </c>
      <c r="H135">
        <f t="shared" si="38"/>
        <v>0</v>
      </c>
      <c r="I135">
        <f t="shared" si="39"/>
        <v>0</v>
      </c>
      <c r="J135">
        <f t="shared" si="32"/>
        <v>0</v>
      </c>
      <c r="K135">
        <f t="shared" si="33"/>
        <v>0</v>
      </c>
      <c r="L135">
        <f t="shared" si="40"/>
        <v>37</v>
      </c>
      <c r="M135">
        <f t="shared" si="41"/>
        <v>25</v>
      </c>
      <c r="N135">
        <f t="shared" si="42"/>
        <v>1</v>
      </c>
      <c r="O135">
        <f t="shared" si="43"/>
        <v>12</v>
      </c>
      <c r="P135">
        <f t="shared" si="34"/>
        <v>5</v>
      </c>
      <c r="Q135">
        <f t="shared" si="44"/>
        <v>25</v>
      </c>
      <c r="R135">
        <f t="shared" si="44"/>
        <v>20</v>
      </c>
    </row>
    <row r="136" spans="1:18" x14ac:dyDescent="0.25">
      <c r="A136" s="1">
        <v>44786</v>
      </c>
      <c r="B136">
        <f t="shared" si="30"/>
        <v>6</v>
      </c>
      <c r="C136">
        <f t="shared" si="35"/>
        <v>25</v>
      </c>
      <c r="D136">
        <f t="shared" si="35"/>
        <v>20</v>
      </c>
      <c r="E136">
        <f t="shared" si="36"/>
        <v>0</v>
      </c>
      <c r="F136">
        <f t="shared" si="31"/>
        <v>0</v>
      </c>
      <c r="G136">
        <f t="shared" si="37"/>
        <v>0</v>
      </c>
      <c r="H136">
        <f t="shared" si="38"/>
        <v>0</v>
      </c>
      <c r="I136">
        <f t="shared" si="39"/>
        <v>0</v>
      </c>
      <c r="J136">
        <f t="shared" si="32"/>
        <v>0</v>
      </c>
      <c r="K136">
        <f t="shared" si="33"/>
        <v>0</v>
      </c>
      <c r="L136">
        <f t="shared" si="40"/>
        <v>25</v>
      </c>
      <c r="M136">
        <f t="shared" si="41"/>
        <v>20</v>
      </c>
      <c r="N136">
        <f t="shared" si="42"/>
        <v>1</v>
      </c>
      <c r="O136">
        <f t="shared" si="43"/>
        <v>8</v>
      </c>
      <c r="P136">
        <f t="shared" si="34"/>
        <v>4</v>
      </c>
      <c r="Q136">
        <f t="shared" si="44"/>
        <v>17</v>
      </c>
      <c r="R136">
        <f t="shared" si="44"/>
        <v>16</v>
      </c>
    </row>
    <row r="137" spans="1:18" x14ac:dyDescent="0.25">
      <c r="A137" s="1">
        <v>44787</v>
      </c>
      <c r="B137">
        <f t="shared" si="30"/>
        <v>7</v>
      </c>
      <c r="C137">
        <f t="shared" si="35"/>
        <v>17</v>
      </c>
      <c r="D137">
        <f t="shared" si="35"/>
        <v>16</v>
      </c>
      <c r="E137">
        <f t="shared" si="36"/>
        <v>0</v>
      </c>
      <c r="F137">
        <f t="shared" si="31"/>
        <v>0</v>
      </c>
      <c r="G137">
        <f t="shared" si="37"/>
        <v>0</v>
      </c>
      <c r="H137">
        <f t="shared" si="38"/>
        <v>0</v>
      </c>
      <c r="I137">
        <f t="shared" si="39"/>
        <v>0</v>
      </c>
      <c r="J137">
        <f t="shared" si="32"/>
        <v>0</v>
      </c>
      <c r="K137">
        <f t="shared" si="33"/>
        <v>0</v>
      </c>
      <c r="L137">
        <f t="shared" si="40"/>
        <v>17</v>
      </c>
      <c r="M137">
        <f t="shared" si="41"/>
        <v>16</v>
      </c>
      <c r="N137">
        <f t="shared" si="42"/>
        <v>0</v>
      </c>
      <c r="O137">
        <f t="shared" si="43"/>
        <v>0</v>
      </c>
      <c r="P137">
        <f t="shared" si="34"/>
        <v>0</v>
      </c>
      <c r="Q137">
        <f t="shared" si="44"/>
        <v>17</v>
      </c>
      <c r="R137">
        <f t="shared" si="44"/>
        <v>16</v>
      </c>
    </row>
    <row r="138" spans="1:18" x14ac:dyDescent="0.25">
      <c r="A138" s="1">
        <v>44788</v>
      </c>
      <c r="B138">
        <f t="shared" si="30"/>
        <v>1</v>
      </c>
      <c r="C138">
        <f t="shared" si="35"/>
        <v>17</v>
      </c>
      <c r="D138">
        <f t="shared" si="35"/>
        <v>16</v>
      </c>
      <c r="E138">
        <f t="shared" si="36"/>
        <v>1</v>
      </c>
      <c r="F138">
        <f t="shared" si="31"/>
        <v>1</v>
      </c>
      <c r="G138">
        <f t="shared" si="37"/>
        <v>0</v>
      </c>
      <c r="H138">
        <f t="shared" si="38"/>
        <v>0</v>
      </c>
      <c r="I138">
        <f t="shared" si="39"/>
        <v>0</v>
      </c>
      <c r="J138">
        <f t="shared" si="32"/>
        <v>0</v>
      </c>
      <c r="K138">
        <f t="shared" si="33"/>
        <v>0</v>
      </c>
      <c r="L138">
        <f t="shared" si="40"/>
        <v>16</v>
      </c>
      <c r="M138">
        <f t="shared" si="41"/>
        <v>16</v>
      </c>
      <c r="N138">
        <f t="shared" si="42"/>
        <v>1</v>
      </c>
      <c r="O138">
        <f t="shared" si="43"/>
        <v>5</v>
      </c>
      <c r="P138">
        <f t="shared" si="34"/>
        <v>4</v>
      </c>
      <c r="Q138">
        <f t="shared" si="44"/>
        <v>11</v>
      </c>
      <c r="R138">
        <f t="shared" si="44"/>
        <v>12</v>
      </c>
    </row>
    <row r="139" spans="1:18" x14ac:dyDescent="0.25">
      <c r="A139" s="1">
        <v>44789</v>
      </c>
      <c r="B139">
        <f t="shared" si="30"/>
        <v>2</v>
      </c>
      <c r="C139">
        <f t="shared" si="35"/>
        <v>11</v>
      </c>
      <c r="D139">
        <f t="shared" si="35"/>
        <v>12</v>
      </c>
      <c r="E139">
        <f t="shared" si="36"/>
        <v>0</v>
      </c>
      <c r="F139">
        <f t="shared" si="31"/>
        <v>0</v>
      </c>
      <c r="G139">
        <f t="shared" si="37"/>
        <v>0</v>
      </c>
      <c r="H139">
        <f t="shared" si="38"/>
        <v>0</v>
      </c>
      <c r="I139">
        <f t="shared" si="39"/>
        <v>0</v>
      </c>
      <c r="J139">
        <f t="shared" si="32"/>
        <v>0</v>
      </c>
      <c r="K139">
        <f t="shared" si="33"/>
        <v>0</v>
      </c>
      <c r="L139">
        <f t="shared" si="40"/>
        <v>11</v>
      </c>
      <c r="M139">
        <f t="shared" si="41"/>
        <v>12</v>
      </c>
      <c r="N139">
        <f t="shared" si="42"/>
        <v>1</v>
      </c>
      <c r="O139">
        <f t="shared" si="43"/>
        <v>4</v>
      </c>
      <c r="P139">
        <f t="shared" si="34"/>
        <v>3</v>
      </c>
      <c r="Q139">
        <f t="shared" si="44"/>
        <v>7</v>
      </c>
      <c r="R139">
        <f t="shared" si="44"/>
        <v>9</v>
      </c>
    </row>
    <row r="140" spans="1:18" x14ac:dyDescent="0.25">
      <c r="A140" s="1">
        <v>44790</v>
      </c>
      <c r="B140">
        <f t="shared" si="30"/>
        <v>3</v>
      </c>
      <c r="C140">
        <f t="shared" si="35"/>
        <v>7</v>
      </c>
      <c r="D140">
        <f t="shared" si="35"/>
        <v>9</v>
      </c>
      <c r="E140">
        <f t="shared" si="36"/>
        <v>0</v>
      </c>
      <c r="F140">
        <f t="shared" si="31"/>
        <v>0</v>
      </c>
      <c r="G140">
        <f t="shared" si="37"/>
        <v>0</v>
      </c>
      <c r="H140">
        <f t="shared" si="38"/>
        <v>0</v>
      </c>
      <c r="I140">
        <f t="shared" si="39"/>
        <v>0</v>
      </c>
      <c r="J140">
        <f t="shared" si="32"/>
        <v>0</v>
      </c>
      <c r="K140">
        <f t="shared" si="33"/>
        <v>0</v>
      </c>
      <c r="L140">
        <f t="shared" si="40"/>
        <v>7</v>
      </c>
      <c r="M140">
        <f t="shared" si="41"/>
        <v>9</v>
      </c>
      <c r="N140">
        <f t="shared" si="42"/>
        <v>1</v>
      </c>
      <c r="O140">
        <f t="shared" si="43"/>
        <v>3</v>
      </c>
      <c r="P140">
        <f t="shared" si="34"/>
        <v>2</v>
      </c>
      <c r="Q140">
        <f t="shared" si="44"/>
        <v>4</v>
      </c>
      <c r="R140">
        <f t="shared" si="44"/>
        <v>7</v>
      </c>
    </row>
    <row r="141" spans="1:18" x14ac:dyDescent="0.25">
      <c r="A141" s="1">
        <v>44791</v>
      </c>
      <c r="B141">
        <f t="shared" si="30"/>
        <v>4</v>
      </c>
      <c r="C141">
        <f t="shared" si="35"/>
        <v>4</v>
      </c>
      <c r="D141">
        <f t="shared" si="35"/>
        <v>7</v>
      </c>
      <c r="E141">
        <f t="shared" si="36"/>
        <v>0</v>
      </c>
      <c r="F141">
        <f t="shared" si="31"/>
        <v>0</v>
      </c>
      <c r="G141">
        <f t="shared" si="37"/>
        <v>1</v>
      </c>
      <c r="H141">
        <f t="shared" si="38"/>
        <v>50</v>
      </c>
      <c r="I141">
        <f t="shared" si="39"/>
        <v>25</v>
      </c>
      <c r="J141">
        <f t="shared" si="32"/>
        <v>0</v>
      </c>
      <c r="K141">
        <f t="shared" si="33"/>
        <v>0</v>
      </c>
      <c r="L141">
        <f t="shared" si="40"/>
        <v>54</v>
      </c>
      <c r="M141">
        <f t="shared" si="41"/>
        <v>32</v>
      </c>
      <c r="N141">
        <f t="shared" si="42"/>
        <v>1</v>
      </c>
      <c r="O141">
        <f t="shared" si="43"/>
        <v>17</v>
      </c>
      <c r="P141">
        <f t="shared" si="34"/>
        <v>7</v>
      </c>
      <c r="Q141">
        <f t="shared" si="44"/>
        <v>37</v>
      </c>
      <c r="R141">
        <f t="shared" si="44"/>
        <v>25</v>
      </c>
    </row>
    <row r="142" spans="1:18" x14ac:dyDescent="0.25">
      <c r="A142" s="1">
        <v>44792</v>
      </c>
      <c r="B142">
        <f t="shared" si="30"/>
        <v>5</v>
      </c>
      <c r="C142">
        <f t="shared" si="35"/>
        <v>37</v>
      </c>
      <c r="D142">
        <f t="shared" si="35"/>
        <v>25</v>
      </c>
      <c r="E142">
        <f t="shared" si="36"/>
        <v>0</v>
      </c>
      <c r="F142">
        <f t="shared" si="31"/>
        <v>0</v>
      </c>
      <c r="G142">
        <f t="shared" si="37"/>
        <v>0</v>
      </c>
      <c r="H142">
        <f t="shared" si="38"/>
        <v>0</v>
      </c>
      <c r="I142">
        <f t="shared" si="39"/>
        <v>0</v>
      </c>
      <c r="J142">
        <f t="shared" si="32"/>
        <v>0</v>
      </c>
      <c r="K142">
        <f t="shared" si="33"/>
        <v>0</v>
      </c>
      <c r="L142">
        <f t="shared" si="40"/>
        <v>37</v>
      </c>
      <c r="M142">
        <f t="shared" si="41"/>
        <v>25</v>
      </c>
      <c r="N142">
        <f t="shared" si="42"/>
        <v>1</v>
      </c>
      <c r="O142">
        <f t="shared" si="43"/>
        <v>12</v>
      </c>
      <c r="P142">
        <f t="shared" si="34"/>
        <v>5</v>
      </c>
      <c r="Q142">
        <f t="shared" si="44"/>
        <v>25</v>
      </c>
      <c r="R142">
        <f t="shared" si="44"/>
        <v>20</v>
      </c>
    </row>
    <row r="143" spans="1:18" x14ac:dyDescent="0.25">
      <c r="A143" s="1">
        <v>44793</v>
      </c>
      <c r="B143">
        <f t="shared" si="30"/>
        <v>6</v>
      </c>
      <c r="C143">
        <f t="shared" si="35"/>
        <v>25</v>
      </c>
      <c r="D143">
        <f t="shared" si="35"/>
        <v>20</v>
      </c>
      <c r="E143">
        <f t="shared" si="36"/>
        <v>0</v>
      </c>
      <c r="F143">
        <f t="shared" si="31"/>
        <v>0</v>
      </c>
      <c r="G143">
        <f t="shared" si="37"/>
        <v>0</v>
      </c>
      <c r="H143">
        <f t="shared" si="38"/>
        <v>0</v>
      </c>
      <c r="I143">
        <f t="shared" si="39"/>
        <v>0</v>
      </c>
      <c r="J143">
        <f t="shared" si="32"/>
        <v>0</v>
      </c>
      <c r="K143">
        <f t="shared" si="33"/>
        <v>0</v>
      </c>
      <c r="L143">
        <f t="shared" si="40"/>
        <v>25</v>
      </c>
      <c r="M143">
        <f t="shared" si="41"/>
        <v>20</v>
      </c>
      <c r="N143">
        <f t="shared" si="42"/>
        <v>1</v>
      </c>
      <c r="O143">
        <f t="shared" si="43"/>
        <v>8</v>
      </c>
      <c r="P143">
        <f t="shared" si="34"/>
        <v>4</v>
      </c>
      <c r="Q143">
        <f t="shared" si="44"/>
        <v>17</v>
      </c>
      <c r="R143">
        <f t="shared" si="44"/>
        <v>16</v>
      </c>
    </row>
    <row r="144" spans="1:18" x14ac:dyDescent="0.25">
      <c r="A144" s="1">
        <v>44794</v>
      </c>
      <c r="B144">
        <f t="shared" si="30"/>
        <v>7</v>
      </c>
      <c r="C144">
        <f t="shared" si="35"/>
        <v>17</v>
      </c>
      <c r="D144">
        <f t="shared" si="35"/>
        <v>16</v>
      </c>
      <c r="E144">
        <f t="shared" si="36"/>
        <v>0</v>
      </c>
      <c r="F144">
        <f t="shared" si="31"/>
        <v>0</v>
      </c>
      <c r="G144">
        <f t="shared" si="37"/>
        <v>0</v>
      </c>
      <c r="H144">
        <f t="shared" si="38"/>
        <v>0</v>
      </c>
      <c r="I144">
        <f t="shared" si="39"/>
        <v>0</v>
      </c>
      <c r="J144">
        <f t="shared" si="32"/>
        <v>0</v>
      </c>
      <c r="K144">
        <f t="shared" si="33"/>
        <v>0</v>
      </c>
      <c r="L144">
        <f t="shared" si="40"/>
        <v>17</v>
      </c>
      <c r="M144">
        <f t="shared" si="41"/>
        <v>16</v>
      </c>
      <c r="N144">
        <f t="shared" si="42"/>
        <v>0</v>
      </c>
      <c r="O144">
        <f t="shared" si="43"/>
        <v>0</v>
      </c>
      <c r="P144">
        <f t="shared" si="34"/>
        <v>0</v>
      </c>
      <c r="Q144">
        <f t="shared" si="44"/>
        <v>17</v>
      </c>
      <c r="R144">
        <f t="shared" si="44"/>
        <v>16</v>
      </c>
    </row>
    <row r="145" spans="1:18" x14ac:dyDescent="0.25">
      <c r="A145" s="1">
        <v>44795</v>
      </c>
      <c r="B145">
        <f t="shared" si="30"/>
        <v>1</v>
      </c>
      <c r="C145">
        <f t="shared" si="35"/>
        <v>17</v>
      </c>
      <c r="D145">
        <f t="shared" si="35"/>
        <v>16</v>
      </c>
      <c r="E145">
        <f t="shared" si="36"/>
        <v>1</v>
      </c>
      <c r="F145">
        <f t="shared" si="31"/>
        <v>1</v>
      </c>
      <c r="G145">
        <f t="shared" si="37"/>
        <v>0</v>
      </c>
      <c r="H145">
        <f t="shared" si="38"/>
        <v>0</v>
      </c>
      <c r="I145">
        <f t="shared" si="39"/>
        <v>0</v>
      </c>
      <c r="J145">
        <f t="shared" si="32"/>
        <v>0</v>
      </c>
      <c r="K145">
        <f t="shared" si="33"/>
        <v>0</v>
      </c>
      <c r="L145">
        <f t="shared" si="40"/>
        <v>16</v>
      </c>
      <c r="M145">
        <f t="shared" si="41"/>
        <v>16</v>
      </c>
      <c r="N145">
        <f t="shared" si="42"/>
        <v>1</v>
      </c>
      <c r="O145">
        <f t="shared" si="43"/>
        <v>5</v>
      </c>
      <c r="P145">
        <f t="shared" si="34"/>
        <v>4</v>
      </c>
      <c r="Q145">
        <f t="shared" si="44"/>
        <v>11</v>
      </c>
      <c r="R145">
        <f t="shared" si="44"/>
        <v>12</v>
      </c>
    </row>
    <row r="146" spans="1:18" x14ac:dyDescent="0.25">
      <c r="A146" s="1">
        <v>44796</v>
      </c>
      <c r="B146">
        <f t="shared" si="30"/>
        <v>2</v>
      </c>
      <c r="C146">
        <f t="shared" si="35"/>
        <v>11</v>
      </c>
      <c r="D146">
        <f t="shared" si="35"/>
        <v>12</v>
      </c>
      <c r="E146">
        <f t="shared" si="36"/>
        <v>0</v>
      </c>
      <c r="F146">
        <f t="shared" si="31"/>
        <v>0</v>
      </c>
      <c r="G146">
        <f t="shared" si="37"/>
        <v>0</v>
      </c>
      <c r="H146">
        <f t="shared" si="38"/>
        <v>0</v>
      </c>
      <c r="I146">
        <f t="shared" si="39"/>
        <v>0</v>
      </c>
      <c r="J146">
        <f t="shared" si="32"/>
        <v>0</v>
      </c>
      <c r="K146">
        <f t="shared" si="33"/>
        <v>0</v>
      </c>
      <c r="L146">
        <f t="shared" si="40"/>
        <v>11</v>
      </c>
      <c r="M146">
        <f t="shared" si="41"/>
        <v>12</v>
      </c>
      <c r="N146">
        <f t="shared" si="42"/>
        <v>1</v>
      </c>
      <c r="O146">
        <f t="shared" si="43"/>
        <v>4</v>
      </c>
      <c r="P146">
        <f t="shared" si="34"/>
        <v>3</v>
      </c>
      <c r="Q146">
        <f t="shared" si="44"/>
        <v>7</v>
      </c>
      <c r="R146">
        <f t="shared" si="44"/>
        <v>9</v>
      </c>
    </row>
    <row r="147" spans="1:18" x14ac:dyDescent="0.25">
      <c r="A147" s="1">
        <v>44797</v>
      </c>
      <c r="B147">
        <f t="shared" si="30"/>
        <v>3</v>
      </c>
      <c r="C147">
        <f t="shared" si="35"/>
        <v>7</v>
      </c>
      <c r="D147">
        <f t="shared" si="35"/>
        <v>9</v>
      </c>
      <c r="E147">
        <f t="shared" si="36"/>
        <v>0</v>
      </c>
      <c r="F147">
        <f t="shared" si="31"/>
        <v>0</v>
      </c>
      <c r="G147">
        <f t="shared" si="37"/>
        <v>0</v>
      </c>
      <c r="H147">
        <f t="shared" si="38"/>
        <v>0</v>
      </c>
      <c r="I147">
        <f t="shared" si="39"/>
        <v>0</v>
      </c>
      <c r="J147">
        <f t="shared" si="32"/>
        <v>0</v>
      </c>
      <c r="K147">
        <f t="shared" si="33"/>
        <v>0</v>
      </c>
      <c r="L147">
        <f t="shared" si="40"/>
        <v>7</v>
      </c>
      <c r="M147">
        <f t="shared" si="41"/>
        <v>9</v>
      </c>
      <c r="N147">
        <f t="shared" si="42"/>
        <v>1</v>
      </c>
      <c r="O147">
        <f t="shared" si="43"/>
        <v>3</v>
      </c>
      <c r="P147">
        <f t="shared" si="34"/>
        <v>2</v>
      </c>
      <c r="Q147">
        <f t="shared" si="44"/>
        <v>4</v>
      </c>
      <c r="R147">
        <f t="shared" si="44"/>
        <v>7</v>
      </c>
    </row>
    <row r="148" spans="1:18" x14ac:dyDescent="0.25">
      <c r="A148" s="1">
        <v>44798</v>
      </c>
      <c r="B148">
        <f t="shared" si="30"/>
        <v>4</v>
      </c>
      <c r="C148">
        <f t="shared" si="35"/>
        <v>4</v>
      </c>
      <c r="D148">
        <f t="shared" si="35"/>
        <v>7</v>
      </c>
      <c r="E148">
        <f t="shared" si="36"/>
        <v>0</v>
      </c>
      <c r="F148">
        <f t="shared" si="31"/>
        <v>0</v>
      </c>
      <c r="G148">
        <f t="shared" si="37"/>
        <v>1</v>
      </c>
      <c r="H148">
        <f t="shared" si="38"/>
        <v>50</v>
      </c>
      <c r="I148">
        <f t="shared" si="39"/>
        <v>25</v>
      </c>
      <c r="J148">
        <f t="shared" si="32"/>
        <v>0</v>
      </c>
      <c r="K148">
        <f t="shared" si="33"/>
        <v>0</v>
      </c>
      <c r="L148">
        <f t="shared" si="40"/>
        <v>54</v>
      </c>
      <c r="M148">
        <f t="shared" si="41"/>
        <v>32</v>
      </c>
      <c r="N148">
        <f t="shared" si="42"/>
        <v>1</v>
      </c>
      <c r="O148">
        <f t="shared" si="43"/>
        <v>17</v>
      </c>
      <c r="P148">
        <f t="shared" si="34"/>
        <v>7</v>
      </c>
      <c r="Q148">
        <f t="shared" si="44"/>
        <v>37</v>
      </c>
      <c r="R148">
        <f t="shared" si="44"/>
        <v>25</v>
      </c>
    </row>
    <row r="149" spans="1:18" x14ac:dyDescent="0.25">
      <c r="A149" s="1">
        <v>44799</v>
      </c>
      <c r="B149">
        <f t="shared" si="30"/>
        <v>5</v>
      </c>
      <c r="C149">
        <f t="shared" si="35"/>
        <v>37</v>
      </c>
      <c r="D149">
        <f t="shared" si="35"/>
        <v>25</v>
      </c>
      <c r="E149">
        <f t="shared" si="36"/>
        <v>0</v>
      </c>
      <c r="F149">
        <f t="shared" si="31"/>
        <v>0</v>
      </c>
      <c r="G149">
        <f t="shared" si="37"/>
        <v>0</v>
      </c>
      <c r="H149">
        <f t="shared" si="38"/>
        <v>0</v>
      </c>
      <c r="I149">
        <f t="shared" si="39"/>
        <v>0</v>
      </c>
      <c r="J149">
        <f t="shared" si="32"/>
        <v>0</v>
      </c>
      <c r="K149">
        <f t="shared" si="33"/>
        <v>0</v>
      </c>
      <c r="L149">
        <f t="shared" si="40"/>
        <v>37</v>
      </c>
      <c r="M149">
        <f t="shared" si="41"/>
        <v>25</v>
      </c>
      <c r="N149">
        <f t="shared" si="42"/>
        <v>1</v>
      </c>
      <c r="O149">
        <f t="shared" si="43"/>
        <v>12</v>
      </c>
      <c r="P149">
        <f t="shared" si="34"/>
        <v>5</v>
      </c>
      <c r="Q149">
        <f t="shared" si="44"/>
        <v>25</v>
      </c>
      <c r="R149">
        <f t="shared" si="44"/>
        <v>20</v>
      </c>
    </row>
    <row r="150" spans="1:18" x14ac:dyDescent="0.25">
      <c r="A150" s="1">
        <v>44800</v>
      </c>
      <c r="B150">
        <f t="shared" si="30"/>
        <v>6</v>
      </c>
      <c r="C150">
        <f t="shared" si="35"/>
        <v>25</v>
      </c>
      <c r="D150">
        <f t="shared" si="35"/>
        <v>20</v>
      </c>
      <c r="E150">
        <f t="shared" si="36"/>
        <v>0</v>
      </c>
      <c r="F150">
        <f t="shared" si="31"/>
        <v>0</v>
      </c>
      <c r="G150">
        <f t="shared" si="37"/>
        <v>0</v>
      </c>
      <c r="H150">
        <f t="shared" si="38"/>
        <v>0</v>
      </c>
      <c r="I150">
        <f t="shared" si="39"/>
        <v>0</v>
      </c>
      <c r="J150">
        <f t="shared" si="32"/>
        <v>0</v>
      </c>
      <c r="K150">
        <f t="shared" si="33"/>
        <v>0</v>
      </c>
      <c r="L150">
        <f t="shared" si="40"/>
        <v>25</v>
      </c>
      <c r="M150">
        <f t="shared" si="41"/>
        <v>20</v>
      </c>
      <c r="N150">
        <f t="shared" si="42"/>
        <v>1</v>
      </c>
      <c r="O150">
        <f t="shared" si="43"/>
        <v>8</v>
      </c>
      <c r="P150">
        <f t="shared" si="34"/>
        <v>4</v>
      </c>
      <c r="Q150">
        <f t="shared" si="44"/>
        <v>17</v>
      </c>
      <c r="R150">
        <f t="shared" si="44"/>
        <v>16</v>
      </c>
    </row>
    <row r="151" spans="1:18" x14ac:dyDescent="0.25">
      <c r="A151" s="1">
        <v>44801</v>
      </c>
      <c r="B151">
        <f t="shared" si="30"/>
        <v>7</v>
      </c>
      <c r="C151">
        <f t="shared" si="35"/>
        <v>17</v>
      </c>
      <c r="D151">
        <f t="shared" si="35"/>
        <v>16</v>
      </c>
      <c r="E151">
        <f t="shared" si="36"/>
        <v>0</v>
      </c>
      <c r="F151">
        <f t="shared" si="31"/>
        <v>0</v>
      </c>
      <c r="G151">
        <f t="shared" si="37"/>
        <v>0</v>
      </c>
      <c r="H151">
        <f t="shared" si="38"/>
        <v>0</v>
      </c>
      <c r="I151">
        <f t="shared" si="39"/>
        <v>0</v>
      </c>
      <c r="J151">
        <f t="shared" si="32"/>
        <v>0</v>
      </c>
      <c r="K151">
        <f t="shared" si="33"/>
        <v>0</v>
      </c>
      <c r="L151">
        <f t="shared" si="40"/>
        <v>17</v>
      </c>
      <c r="M151">
        <f t="shared" si="41"/>
        <v>16</v>
      </c>
      <c r="N151">
        <f t="shared" si="42"/>
        <v>0</v>
      </c>
      <c r="O151">
        <f t="shared" si="43"/>
        <v>0</v>
      </c>
      <c r="P151">
        <f t="shared" si="34"/>
        <v>0</v>
      </c>
      <c r="Q151">
        <f t="shared" si="44"/>
        <v>17</v>
      </c>
      <c r="R151">
        <f t="shared" si="44"/>
        <v>16</v>
      </c>
    </row>
    <row r="152" spans="1:18" x14ac:dyDescent="0.25">
      <c r="A152" s="1">
        <v>44802</v>
      </c>
      <c r="B152">
        <f t="shared" si="30"/>
        <v>1</v>
      </c>
      <c r="C152">
        <f t="shared" si="35"/>
        <v>17</v>
      </c>
      <c r="D152">
        <f t="shared" si="35"/>
        <v>16</v>
      </c>
      <c r="E152">
        <f t="shared" si="36"/>
        <v>1</v>
      </c>
      <c r="F152">
        <f t="shared" si="31"/>
        <v>1</v>
      </c>
      <c r="G152">
        <f t="shared" si="37"/>
        <v>0</v>
      </c>
      <c r="H152">
        <f t="shared" si="38"/>
        <v>0</v>
      </c>
      <c r="I152">
        <f t="shared" si="39"/>
        <v>0</v>
      </c>
      <c r="J152">
        <f t="shared" si="32"/>
        <v>0</v>
      </c>
      <c r="K152">
        <f t="shared" si="33"/>
        <v>0</v>
      </c>
      <c r="L152">
        <f t="shared" si="40"/>
        <v>16</v>
      </c>
      <c r="M152">
        <f t="shared" si="41"/>
        <v>16</v>
      </c>
      <c r="N152">
        <f t="shared" si="42"/>
        <v>1</v>
      </c>
      <c r="O152">
        <f t="shared" si="43"/>
        <v>5</v>
      </c>
      <c r="P152">
        <f t="shared" si="34"/>
        <v>4</v>
      </c>
      <c r="Q152">
        <f t="shared" si="44"/>
        <v>11</v>
      </c>
      <c r="R152">
        <f t="shared" si="44"/>
        <v>12</v>
      </c>
    </row>
    <row r="153" spans="1:18" x14ac:dyDescent="0.25">
      <c r="A153" s="1">
        <v>44803</v>
      </c>
      <c r="B153">
        <f t="shared" si="30"/>
        <v>2</v>
      </c>
      <c r="C153">
        <f t="shared" si="35"/>
        <v>11</v>
      </c>
      <c r="D153">
        <f t="shared" si="35"/>
        <v>12</v>
      </c>
      <c r="E153">
        <f t="shared" si="36"/>
        <v>0</v>
      </c>
      <c r="F153">
        <f t="shared" si="31"/>
        <v>0</v>
      </c>
      <c r="G153">
        <f t="shared" si="37"/>
        <v>0</v>
      </c>
      <c r="H153">
        <f t="shared" si="38"/>
        <v>0</v>
      </c>
      <c r="I153">
        <f t="shared" si="39"/>
        <v>0</v>
      </c>
      <c r="J153">
        <f t="shared" si="32"/>
        <v>0</v>
      </c>
      <c r="K153">
        <f t="shared" si="33"/>
        <v>0</v>
      </c>
      <c r="L153">
        <f t="shared" si="40"/>
        <v>11</v>
      </c>
      <c r="M153">
        <f t="shared" si="41"/>
        <v>12</v>
      </c>
      <c r="N153">
        <f t="shared" si="42"/>
        <v>1</v>
      </c>
      <c r="O153">
        <f t="shared" si="43"/>
        <v>4</v>
      </c>
      <c r="P153">
        <f t="shared" si="34"/>
        <v>3</v>
      </c>
      <c r="Q153">
        <f t="shared" si="44"/>
        <v>7</v>
      </c>
      <c r="R153">
        <f t="shared" si="44"/>
        <v>9</v>
      </c>
    </row>
    <row r="154" spans="1:18" x14ac:dyDescent="0.25">
      <c r="A154" s="1">
        <v>44804</v>
      </c>
      <c r="B154">
        <f t="shared" si="30"/>
        <v>3</v>
      </c>
      <c r="C154">
        <f t="shared" si="35"/>
        <v>7</v>
      </c>
      <c r="D154">
        <f t="shared" si="35"/>
        <v>9</v>
      </c>
      <c r="E154">
        <f t="shared" si="36"/>
        <v>0</v>
      </c>
      <c r="F154">
        <f t="shared" si="31"/>
        <v>0</v>
      </c>
      <c r="G154">
        <f t="shared" si="37"/>
        <v>0</v>
      </c>
      <c r="H154">
        <f t="shared" si="38"/>
        <v>0</v>
      </c>
      <c r="I154">
        <f t="shared" si="39"/>
        <v>0</v>
      </c>
      <c r="J154">
        <f t="shared" si="32"/>
        <v>0</v>
      </c>
      <c r="K154">
        <f t="shared" si="33"/>
        <v>0</v>
      </c>
      <c r="L154">
        <f t="shared" si="40"/>
        <v>7</v>
      </c>
      <c r="M154">
        <f t="shared" si="41"/>
        <v>9</v>
      </c>
      <c r="N154">
        <f t="shared" si="42"/>
        <v>1</v>
      </c>
      <c r="O154">
        <f t="shared" si="43"/>
        <v>3</v>
      </c>
      <c r="P154">
        <f t="shared" si="34"/>
        <v>2</v>
      </c>
      <c r="Q154">
        <f t="shared" si="44"/>
        <v>4</v>
      </c>
      <c r="R154">
        <f t="shared" si="44"/>
        <v>7</v>
      </c>
    </row>
    <row r="155" spans="1:18" x14ac:dyDescent="0.25">
      <c r="A155" s="1">
        <v>44805</v>
      </c>
      <c r="B155">
        <f t="shared" si="30"/>
        <v>4</v>
      </c>
      <c r="C155">
        <f t="shared" si="35"/>
        <v>4</v>
      </c>
      <c r="D155">
        <f t="shared" si="35"/>
        <v>7</v>
      </c>
      <c r="E155">
        <f t="shared" si="36"/>
        <v>0</v>
      </c>
      <c r="F155">
        <f t="shared" si="31"/>
        <v>0</v>
      </c>
      <c r="G155">
        <f t="shared" si="37"/>
        <v>1</v>
      </c>
      <c r="H155">
        <f t="shared" si="38"/>
        <v>50</v>
      </c>
      <c r="I155">
        <f t="shared" si="39"/>
        <v>25</v>
      </c>
      <c r="J155">
        <f t="shared" si="32"/>
        <v>0</v>
      </c>
      <c r="K155">
        <f t="shared" si="33"/>
        <v>0</v>
      </c>
      <c r="L155">
        <f t="shared" si="40"/>
        <v>54</v>
      </c>
      <c r="M155">
        <f t="shared" si="41"/>
        <v>32</v>
      </c>
      <c r="N155">
        <f t="shared" si="42"/>
        <v>1</v>
      </c>
      <c r="O155">
        <f t="shared" si="43"/>
        <v>17</v>
      </c>
      <c r="P155">
        <f t="shared" si="34"/>
        <v>7</v>
      </c>
      <c r="Q155">
        <f t="shared" si="44"/>
        <v>37</v>
      </c>
      <c r="R155">
        <f t="shared" si="44"/>
        <v>25</v>
      </c>
    </row>
    <row r="156" spans="1:18" x14ac:dyDescent="0.25">
      <c r="A156" s="1">
        <v>44806</v>
      </c>
      <c r="B156">
        <f t="shared" si="30"/>
        <v>5</v>
      </c>
      <c r="C156">
        <f t="shared" si="35"/>
        <v>37</v>
      </c>
      <c r="D156">
        <f t="shared" si="35"/>
        <v>25</v>
      </c>
      <c r="E156">
        <f t="shared" si="36"/>
        <v>0</v>
      </c>
      <c r="F156">
        <f t="shared" si="31"/>
        <v>0</v>
      </c>
      <c r="G156">
        <f t="shared" si="37"/>
        <v>0</v>
      </c>
      <c r="H156">
        <f t="shared" si="38"/>
        <v>0</v>
      </c>
      <c r="I156">
        <f t="shared" si="39"/>
        <v>0</v>
      </c>
      <c r="J156">
        <f t="shared" si="32"/>
        <v>0</v>
      </c>
      <c r="K156">
        <f t="shared" si="33"/>
        <v>0</v>
      </c>
      <c r="L156">
        <f t="shared" si="40"/>
        <v>37</v>
      </c>
      <c r="M156">
        <f t="shared" si="41"/>
        <v>25</v>
      </c>
      <c r="N156">
        <f t="shared" si="42"/>
        <v>1</v>
      </c>
      <c r="O156">
        <f t="shared" si="43"/>
        <v>12</v>
      </c>
      <c r="P156">
        <f t="shared" si="34"/>
        <v>5</v>
      </c>
      <c r="Q156">
        <f t="shared" si="44"/>
        <v>25</v>
      </c>
      <c r="R156">
        <f t="shared" si="44"/>
        <v>20</v>
      </c>
    </row>
    <row r="157" spans="1:18" x14ac:dyDescent="0.25">
      <c r="A157" s="1">
        <v>44807</v>
      </c>
      <c r="B157">
        <f t="shared" si="30"/>
        <v>6</v>
      </c>
      <c r="C157">
        <f t="shared" si="35"/>
        <v>25</v>
      </c>
      <c r="D157">
        <f t="shared" si="35"/>
        <v>20</v>
      </c>
      <c r="E157">
        <f t="shared" si="36"/>
        <v>0</v>
      </c>
      <c r="F157">
        <f t="shared" si="31"/>
        <v>0</v>
      </c>
      <c r="G157">
        <f t="shared" si="37"/>
        <v>0</v>
      </c>
      <c r="H157">
        <f t="shared" si="38"/>
        <v>0</v>
      </c>
      <c r="I157">
        <f t="shared" si="39"/>
        <v>0</v>
      </c>
      <c r="J157">
        <f t="shared" si="32"/>
        <v>0</v>
      </c>
      <c r="K157">
        <f t="shared" si="33"/>
        <v>0</v>
      </c>
      <c r="L157">
        <f t="shared" si="40"/>
        <v>25</v>
      </c>
      <c r="M157">
        <f t="shared" si="41"/>
        <v>20</v>
      </c>
      <c r="N157">
        <f t="shared" si="42"/>
        <v>1</v>
      </c>
      <c r="O157">
        <f t="shared" si="43"/>
        <v>8</v>
      </c>
      <c r="P157">
        <f t="shared" si="34"/>
        <v>4</v>
      </c>
      <c r="Q157">
        <f t="shared" si="44"/>
        <v>17</v>
      </c>
      <c r="R157">
        <f t="shared" si="44"/>
        <v>16</v>
      </c>
    </row>
    <row r="158" spans="1:18" x14ac:dyDescent="0.25">
      <c r="A158" s="1">
        <v>44808</v>
      </c>
      <c r="B158">
        <f t="shared" si="30"/>
        <v>7</v>
      </c>
      <c r="C158">
        <f t="shared" si="35"/>
        <v>17</v>
      </c>
      <c r="D158">
        <f t="shared" si="35"/>
        <v>16</v>
      </c>
      <c r="E158">
        <f t="shared" si="36"/>
        <v>0</v>
      </c>
      <c r="F158">
        <f t="shared" si="31"/>
        <v>0</v>
      </c>
      <c r="G158">
        <f t="shared" si="37"/>
        <v>0</v>
      </c>
      <c r="H158">
        <f t="shared" si="38"/>
        <v>0</v>
      </c>
      <c r="I158">
        <f t="shared" si="39"/>
        <v>0</v>
      </c>
      <c r="J158">
        <f t="shared" si="32"/>
        <v>0</v>
      </c>
      <c r="K158">
        <f t="shared" si="33"/>
        <v>0</v>
      </c>
      <c r="L158">
        <f t="shared" si="40"/>
        <v>17</v>
      </c>
      <c r="M158">
        <f t="shared" si="41"/>
        <v>16</v>
      </c>
      <c r="N158">
        <f t="shared" si="42"/>
        <v>0</v>
      </c>
      <c r="O158">
        <f t="shared" si="43"/>
        <v>0</v>
      </c>
      <c r="P158">
        <f t="shared" si="34"/>
        <v>0</v>
      </c>
      <c r="Q158">
        <f t="shared" si="44"/>
        <v>17</v>
      </c>
      <c r="R158">
        <f t="shared" si="44"/>
        <v>16</v>
      </c>
    </row>
    <row r="159" spans="1:18" x14ac:dyDescent="0.25">
      <c r="A159" s="1">
        <v>44809</v>
      </c>
      <c r="B159">
        <f t="shared" si="30"/>
        <v>1</v>
      </c>
      <c r="C159">
        <f t="shared" si="35"/>
        <v>17</v>
      </c>
      <c r="D159">
        <f t="shared" si="35"/>
        <v>16</v>
      </c>
      <c r="E159">
        <f t="shared" si="36"/>
        <v>1</v>
      </c>
      <c r="F159">
        <f t="shared" si="31"/>
        <v>1</v>
      </c>
      <c r="G159">
        <f t="shared" si="37"/>
        <v>0</v>
      </c>
      <c r="H159">
        <f t="shared" si="38"/>
        <v>0</v>
      </c>
      <c r="I159">
        <f t="shared" si="39"/>
        <v>0</v>
      </c>
      <c r="J159">
        <f t="shared" si="32"/>
        <v>0</v>
      </c>
      <c r="K159">
        <f t="shared" si="33"/>
        <v>0</v>
      </c>
      <c r="L159">
        <f t="shared" si="40"/>
        <v>16</v>
      </c>
      <c r="M159">
        <f t="shared" si="41"/>
        <v>16</v>
      </c>
      <c r="N159">
        <f t="shared" si="42"/>
        <v>1</v>
      </c>
      <c r="O159">
        <f t="shared" si="43"/>
        <v>5</v>
      </c>
      <c r="P159">
        <f t="shared" si="34"/>
        <v>4</v>
      </c>
      <c r="Q159">
        <f t="shared" si="44"/>
        <v>11</v>
      </c>
      <c r="R159">
        <f t="shared" si="44"/>
        <v>12</v>
      </c>
    </row>
    <row r="160" spans="1:18" x14ac:dyDescent="0.25">
      <c r="A160" s="1">
        <v>44810</v>
      </c>
      <c r="B160">
        <f t="shared" si="30"/>
        <v>2</v>
      </c>
      <c r="C160">
        <f t="shared" si="35"/>
        <v>11</v>
      </c>
      <c r="D160">
        <f t="shared" si="35"/>
        <v>12</v>
      </c>
      <c r="E160">
        <f t="shared" si="36"/>
        <v>0</v>
      </c>
      <c r="F160">
        <f t="shared" si="31"/>
        <v>0</v>
      </c>
      <c r="G160">
        <f t="shared" si="37"/>
        <v>0</v>
      </c>
      <c r="H160">
        <f t="shared" si="38"/>
        <v>0</v>
      </c>
      <c r="I160">
        <f t="shared" si="39"/>
        <v>0</v>
      </c>
      <c r="J160">
        <f t="shared" si="32"/>
        <v>0</v>
      </c>
      <c r="K160">
        <f t="shared" si="33"/>
        <v>0</v>
      </c>
      <c r="L160">
        <f t="shared" si="40"/>
        <v>11</v>
      </c>
      <c r="M160">
        <f t="shared" si="41"/>
        <v>12</v>
      </c>
      <c r="N160">
        <f t="shared" si="42"/>
        <v>1</v>
      </c>
      <c r="O160">
        <f t="shared" si="43"/>
        <v>4</v>
      </c>
      <c r="P160">
        <f t="shared" si="34"/>
        <v>3</v>
      </c>
      <c r="Q160">
        <f t="shared" si="44"/>
        <v>7</v>
      </c>
      <c r="R160">
        <f t="shared" si="44"/>
        <v>9</v>
      </c>
    </row>
    <row r="161" spans="1:18" x14ac:dyDescent="0.25">
      <c r="A161" s="1">
        <v>44811</v>
      </c>
      <c r="B161">
        <f t="shared" si="30"/>
        <v>3</v>
      </c>
      <c r="C161">
        <f t="shared" si="35"/>
        <v>7</v>
      </c>
      <c r="D161">
        <f t="shared" si="35"/>
        <v>9</v>
      </c>
      <c r="E161">
        <f t="shared" si="36"/>
        <v>0</v>
      </c>
      <c r="F161">
        <f t="shared" si="31"/>
        <v>0</v>
      </c>
      <c r="G161">
        <f t="shared" si="37"/>
        <v>0</v>
      </c>
      <c r="H161">
        <f t="shared" si="38"/>
        <v>0</v>
      </c>
      <c r="I161">
        <f t="shared" si="39"/>
        <v>0</v>
      </c>
      <c r="J161">
        <f t="shared" si="32"/>
        <v>0</v>
      </c>
      <c r="K161">
        <f t="shared" si="33"/>
        <v>0</v>
      </c>
      <c r="L161">
        <f t="shared" si="40"/>
        <v>7</v>
      </c>
      <c r="M161">
        <f t="shared" si="41"/>
        <v>9</v>
      </c>
      <c r="N161">
        <f t="shared" si="42"/>
        <v>1</v>
      </c>
      <c r="O161">
        <f t="shared" si="43"/>
        <v>3</v>
      </c>
      <c r="P161">
        <f t="shared" si="34"/>
        <v>2</v>
      </c>
      <c r="Q161">
        <f t="shared" si="44"/>
        <v>4</v>
      </c>
      <c r="R161">
        <f t="shared" si="44"/>
        <v>7</v>
      </c>
    </row>
    <row r="162" spans="1:18" x14ac:dyDescent="0.25">
      <c r="A162" s="1">
        <v>44812</v>
      </c>
      <c r="B162">
        <f t="shared" si="30"/>
        <v>4</v>
      </c>
      <c r="C162">
        <f t="shared" si="35"/>
        <v>4</v>
      </c>
      <c r="D162">
        <f t="shared" si="35"/>
        <v>7</v>
      </c>
      <c r="E162">
        <f t="shared" si="36"/>
        <v>0</v>
      </c>
      <c r="F162">
        <f t="shared" si="31"/>
        <v>0</v>
      </c>
      <c r="G162">
        <f t="shared" si="37"/>
        <v>1</v>
      </c>
      <c r="H162">
        <f t="shared" si="38"/>
        <v>50</v>
      </c>
      <c r="I162">
        <f t="shared" si="39"/>
        <v>25</v>
      </c>
      <c r="J162">
        <f t="shared" si="32"/>
        <v>0</v>
      </c>
      <c r="K162">
        <f t="shared" si="33"/>
        <v>0</v>
      </c>
      <c r="L162">
        <f t="shared" si="40"/>
        <v>54</v>
      </c>
      <c r="M162">
        <f t="shared" si="41"/>
        <v>32</v>
      </c>
      <c r="N162">
        <f t="shared" si="42"/>
        <v>1</v>
      </c>
      <c r="O162">
        <f t="shared" si="43"/>
        <v>17</v>
      </c>
      <c r="P162">
        <f t="shared" si="34"/>
        <v>7</v>
      </c>
      <c r="Q162">
        <f t="shared" si="44"/>
        <v>37</v>
      </c>
      <c r="R162">
        <f t="shared" si="44"/>
        <v>25</v>
      </c>
    </row>
    <row r="163" spans="1:18" x14ac:dyDescent="0.25">
      <c r="A163" s="1">
        <v>44813</v>
      </c>
      <c r="B163">
        <f t="shared" si="30"/>
        <v>5</v>
      </c>
      <c r="C163">
        <f t="shared" si="35"/>
        <v>37</v>
      </c>
      <c r="D163">
        <f t="shared" si="35"/>
        <v>25</v>
      </c>
      <c r="E163">
        <f t="shared" si="36"/>
        <v>0</v>
      </c>
      <c r="F163">
        <f t="shared" si="31"/>
        <v>0</v>
      </c>
      <c r="G163">
        <f t="shared" si="37"/>
        <v>0</v>
      </c>
      <c r="H163">
        <f t="shared" si="38"/>
        <v>0</v>
      </c>
      <c r="I163">
        <f t="shared" si="39"/>
        <v>0</v>
      </c>
      <c r="J163">
        <f t="shared" si="32"/>
        <v>0</v>
      </c>
      <c r="K163">
        <f t="shared" si="33"/>
        <v>0</v>
      </c>
      <c r="L163">
        <f t="shared" si="40"/>
        <v>37</v>
      </c>
      <c r="M163">
        <f t="shared" si="41"/>
        <v>25</v>
      </c>
      <c r="N163">
        <f t="shared" si="42"/>
        <v>1</v>
      </c>
      <c r="O163">
        <f t="shared" si="43"/>
        <v>12</v>
      </c>
      <c r="P163">
        <f t="shared" si="34"/>
        <v>5</v>
      </c>
      <c r="Q163">
        <f t="shared" si="44"/>
        <v>25</v>
      </c>
      <c r="R163">
        <f t="shared" si="44"/>
        <v>20</v>
      </c>
    </row>
    <row r="164" spans="1:18" x14ac:dyDescent="0.25">
      <c r="A164" s="1">
        <v>44814</v>
      </c>
      <c r="B164">
        <f t="shared" si="30"/>
        <v>6</v>
      </c>
      <c r="C164">
        <f t="shared" si="35"/>
        <v>25</v>
      </c>
      <c r="D164">
        <f t="shared" si="35"/>
        <v>20</v>
      </c>
      <c r="E164">
        <f t="shared" si="36"/>
        <v>0</v>
      </c>
      <c r="F164">
        <f t="shared" si="31"/>
        <v>0</v>
      </c>
      <c r="G164">
        <f t="shared" si="37"/>
        <v>0</v>
      </c>
      <c r="H164">
        <f t="shared" si="38"/>
        <v>0</v>
      </c>
      <c r="I164">
        <f t="shared" si="39"/>
        <v>0</v>
      </c>
      <c r="J164">
        <f t="shared" si="32"/>
        <v>0</v>
      </c>
      <c r="K164">
        <f t="shared" si="33"/>
        <v>0</v>
      </c>
      <c r="L164">
        <f t="shared" si="40"/>
        <v>25</v>
      </c>
      <c r="M164">
        <f t="shared" si="41"/>
        <v>20</v>
      </c>
      <c r="N164">
        <f t="shared" si="42"/>
        <v>1</v>
      </c>
      <c r="O164">
        <f t="shared" si="43"/>
        <v>8</v>
      </c>
      <c r="P164">
        <f t="shared" si="34"/>
        <v>4</v>
      </c>
      <c r="Q164">
        <f t="shared" si="44"/>
        <v>17</v>
      </c>
      <c r="R164">
        <f t="shared" si="44"/>
        <v>16</v>
      </c>
    </row>
    <row r="165" spans="1:18" x14ac:dyDescent="0.25">
      <c r="A165" s="1">
        <v>44815</v>
      </c>
      <c r="B165">
        <f t="shared" si="30"/>
        <v>7</v>
      </c>
      <c r="C165">
        <f t="shared" si="35"/>
        <v>17</v>
      </c>
      <c r="D165">
        <f t="shared" si="35"/>
        <v>16</v>
      </c>
      <c r="E165">
        <f t="shared" si="36"/>
        <v>0</v>
      </c>
      <c r="F165">
        <f t="shared" si="31"/>
        <v>0</v>
      </c>
      <c r="G165">
        <f t="shared" si="37"/>
        <v>0</v>
      </c>
      <c r="H165">
        <f t="shared" si="38"/>
        <v>0</v>
      </c>
      <c r="I165">
        <f t="shared" si="39"/>
        <v>0</v>
      </c>
      <c r="J165">
        <f t="shared" si="32"/>
        <v>0</v>
      </c>
      <c r="K165">
        <f t="shared" si="33"/>
        <v>0</v>
      </c>
      <c r="L165">
        <f t="shared" si="40"/>
        <v>17</v>
      </c>
      <c r="M165">
        <f t="shared" si="41"/>
        <v>16</v>
      </c>
      <c r="N165">
        <f t="shared" si="42"/>
        <v>0</v>
      </c>
      <c r="O165">
        <f t="shared" si="43"/>
        <v>0</v>
      </c>
      <c r="P165">
        <f t="shared" si="34"/>
        <v>0</v>
      </c>
      <c r="Q165">
        <f t="shared" si="44"/>
        <v>17</v>
      </c>
      <c r="R165">
        <f t="shared" si="44"/>
        <v>16</v>
      </c>
    </row>
    <row r="166" spans="1:18" x14ac:dyDescent="0.25">
      <c r="A166" s="1">
        <v>44816</v>
      </c>
      <c r="B166">
        <f t="shared" si="30"/>
        <v>1</v>
      </c>
      <c r="C166">
        <f t="shared" si="35"/>
        <v>17</v>
      </c>
      <c r="D166">
        <f t="shared" si="35"/>
        <v>16</v>
      </c>
      <c r="E166">
        <f t="shared" si="36"/>
        <v>1</v>
      </c>
      <c r="F166">
        <f t="shared" si="31"/>
        <v>1</v>
      </c>
      <c r="G166">
        <f t="shared" si="37"/>
        <v>0</v>
      </c>
      <c r="H166">
        <f t="shared" si="38"/>
        <v>0</v>
      </c>
      <c r="I166">
        <f t="shared" si="39"/>
        <v>0</v>
      </c>
      <c r="J166">
        <f t="shared" si="32"/>
        <v>0</v>
      </c>
      <c r="K166">
        <f t="shared" si="33"/>
        <v>0</v>
      </c>
      <c r="L166">
        <f t="shared" si="40"/>
        <v>16</v>
      </c>
      <c r="M166">
        <f t="shared" si="41"/>
        <v>16</v>
      </c>
      <c r="N166">
        <f t="shared" si="42"/>
        <v>1</v>
      </c>
      <c r="O166">
        <f t="shared" si="43"/>
        <v>5</v>
      </c>
      <c r="P166">
        <f t="shared" si="34"/>
        <v>4</v>
      </c>
      <c r="Q166">
        <f t="shared" si="44"/>
        <v>11</v>
      </c>
      <c r="R166">
        <f t="shared" si="44"/>
        <v>12</v>
      </c>
    </row>
    <row r="167" spans="1:18" x14ac:dyDescent="0.25">
      <c r="A167" s="1">
        <v>44817</v>
      </c>
      <c r="B167">
        <f t="shared" si="30"/>
        <v>2</v>
      </c>
      <c r="C167">
        <f t="shared" si="35"/>
        <v>11</v>
      </c>
      <c r="D167">
        <f t="shared" si="35"/>
        <v>12</v>
      </c>
      <c r="E167">
        <f t="shared" si="36"/>
        <v>0</v>
      </c>
      <c r="F167">
        <f t="shared" si="31"/>
        <v>0</v>
      </c>
      <c r="G167">
        <f t="shared" si="37"/>
        <v>0</v>
      </c>
      <c r="H167">
        <f t="shared" si="38"/>
        <v>0</v>
      </c>
      <c r="I167">
        <f t="shared" si="39"/>
        <v>0</v>
      </c>
      <c r="J167">
        <f t="shared" si="32"/>
        <v>0</v>
      </c>
      <c r="K167">
        <f t="shared" si="33"/>
        <v>0</v>
      </c>
      <c r="L167">
        <f t="shared" si="40"/>
        <v>11</v>
      </c>
      <c r="M167">
        <f t="shared" si="41"/>
        <v>12</v>
      </c>
      <c r="N167">
        <f t="shared" si="42"/>
        <v>1</v>
      </c>
      <c r="O167">
        <f t="shared" si="43"/>
        <v>4</v>
      </c>
      <c r="P167">
        <f t="shared" si="34"/>
        <v>3</v>
      </c>
      <c r="Q167">
        <f t="shared" si="44"/>
        <v>7</v>
      </c>
      <c r="R167">
        <f t="shared" si="44"/>
        <v>9</v>
      </c>
    </row>
    <row r="168" spans="1:18" x14ac:dyDescent="0.25">
      <c r="A168" s="1">
        <v>44818</v>
      </c>
      <c r="B168">
        <f t="shared" si="30"/>
        <v>3</v>
      </c>
      <c r="C168">
        <f t="shared" si="35"/>
        <v>7</v>
      </c>
      <c r="D168">
        <f t="shared" si="35"/>
        <v>9</v>
      </c>
      <c r="E168">
        <f t="shared" si="36"/>
        <v>0</v>
      </c>
      <c r="F168">
        <f t="shared" si="31"/>
        <v>0</v>
      </c>
      <c r="G168">
        <f t="shared" si="37"/>
        <v>0</v>
      </c>
      <c r="H168">
        <f t="shared" si="38"/>
        <v>0</v>
      </c>
      <c r="I168">
        <f t="shared" si="39"/>
        <v>0</v>
      </c>
      <c r="J168">
        <f t="shared" si="32"/>
        <v>0</v>
      </c>
      <c r="K168">
        <f t="shared" si="33"/>
        <v>0</v>
      </c>
      <c r="L168">
        <f t="shared" si="40"/>
        <v>7</v>
      </c>
      <c r="M168">
        <f t="shared" si="41"/>
        <v>9</v>
      </c>
      <c r="N168">
        <f t="shared" si="42"/>
        <v>1</v>
      </c>
      <c r="O168">
        <f t="shared" si="43"/>
        <v>3</v>
      </c>
      <c r="P168">
        <f t="shared" si="34"/>
        <v>2</v>
      </c>
      <c r="Q168">
        <f t="shared" si="44"/>
        <v>4</v>
      </c>
      <c r="R168">
        <f t="shared" si="44"/>
        <v>7</v>
      </c>
    </row>
    <row r="169" spans="1:18" x14ac:dyDescent="0.25">
      <c r="A169" s="1">
        <v>44819</v>
      </c>
      <c r="B169">
        <f t="shared" si="30"/>
        <v>4</v>
      </c>
      <c r="C169">
        <f t="shared" si="35"/>
        <v>4</v>
      </c>
      <c r="D169">
        <f t="shared" si="35"/>
        <v>7</v>
      </c>
      <c r="E169">
        <f t="shared" si="36"/>
        <v>0</v>
      </c>
      <c r="F169">
        <f t="shared" si="31"/>
        <v>0</v>
      </c>
      <c r="G169">
        <f t="shared" si="37"/>
        <v>1</v>
      </c>
      <c r="H169">
        <f t="shared" si="38"/>
        <v>50</v>
      </c>
      <c r="I169">
        <f t="shared" si="39"/>
        <v>25</v>
      </c>
      <c r="J169">
        <f t="shared" si="32"/>
        <v>0</v>
      </c>
      <c r="K169">
        <f t="shared" si="33"/>
        <v>0</v>
      </c>
      <c r="L169">
        <f t="shared" si="40"/>
        <v>54</v>
      </c>
      <c r="M169">
        <f t="shared" si="41"/>
        <v>32</v>
      </c>
      <c r="N169">
        <f t="shared" si="42"/>
        <v>1</v>
      </c>
      <c r="O169">
        <f t="shared" si="43"/>
        <v>17</v>
      </c>
      <c r="P169">
        <f t="shared" si="34"/>
        <v>7</v>
      </c>
      <c r="Q169">
        <f t="shared" si="44"/>
        <v>37</v>
      </c>
      <c r="R169">
        <f t="shared" si="44"/>
        <v>25</v>
      </c>
    </row>
    <row r="170" spans="1:18" x14ac:dyDescent="0.25">
      <c r="A170" s="1">
        <v>44820</v>
      </c>
      <c r="B170">
        <f t="shared" si="30"/>
        <v>5</v>
      </c>
      <c r="C170">
        <f t="shared" si="35"/>
        <v>37</v>
      </c>
      <c r="D170">
        <f t="shared" si="35"/>
        <v>25</v>
      </c>
      <c r="E170">
        <f t="shared" si="36"/>
        <v>0</v>
      </c>
      <c r="F170">
        <f t="shared" si="31"/>
        <v>0</v>
      </c>
      <c r="G170">
        <f t="shared" si="37"/>
        <v>0</v>
      </c>
      <c r="H170">
        <f t="shared" si="38"/>
        <v>0</v>
      </c>
      <c r="I170">
        <f t="shared" si="39"/>
        <v>0</v>
      </c>
      <c r="J170">
        <f t="shared" si="32"/>
        <v>0</v>
      </c>
      <c r="K170">
        <f t="shared" si="33"/>
        <v>0</v>
      </c>
      <c r="L170">
        <f t="shared" si="40"/>
        <v>37</v>
      </c>
      <c r="M170">
        <f t="shared" si="41"/>
        <v>25</v>
      </c>
      <c r="N170">
        <f t="shared" si="42"/>
        <v>1</v>
      </c>
      <c r="O170">
        <f t="shared" si="43"/>
        <v>12</v>
      </c>
      <c r="P170">
        <f t="shared" si="34"/>
        <v>5</v>
      </c>
      <c r="Q170">
        <f t="shared" si="44"/>
        <v>25</v>
      </c>
      <c r="R170">
        <f t="shared" si="44"/>
        <v>20</v>
      </c>
    </row>
    <row r="171" spans="1:18" x14ac:dyDescent="0.25">
      <c r="A171" s="1">
        <v>44821</v>
      </c>
      <c r="B171">
        <f t="shared" si="30"/>
        <v>6</v>
      </c>
      <c r="C171">
        <f t="shared" si="35"/>
        <v>25</v>
      </c>
      <c r="D171">
        <f t="shared" si="35"/>
        <v>20</v>
      </c>
      <c r="E171">
        <f t="shared" si="36"/>
        <v>0</v>
      </c>
      <c r="F171">
        <f t="shared" si="31"/>
        <v>0</v>
      </c>
      <c r="G171">
        <f t="shared" si="37"/>
        <v>0</v>
      </c>
      <c r="H171">
        <f t="shared" si="38"/>
        <v>0</v>
      </c>
      <c r="I171">
        <f t="shared" si="39"/>
        <v>0</v>
      </c>
      <c r="J171">
        <f t="shared" si="32"/>
        <v>0</v>
      </c>
      <c r="K171">
        <f t="shared" si="33"/>
        <v>0</v>
      </c>
      <c r="L171">
        <f t="shared" si="40"/>
        <v>25</v>
      </c>
      <c r="M171">
        <f t="shared" si="41"/>
        <v>20</v>
      </c>
      <c r="N171">
        <f t="shared" si="42"/>
        <v>1</v>
      </c>
      <c r="O171">
        <f t="shared" si="43"/>
        <v>8</v>
      </c>
      <c r="P171">
        <f t="shared" si="34"/>
        <v>4</v>
      </c>
      <c r="Q171">
        <f t="shared" si="44"/>
        <v>17</v>
      </c>
      <c r="R171">
        <f t="shared" si="44"/>
        <v>16</v>
      </c>
    </row>
    <row r="172" spans="1:18" x14ac:dyDescent="0.25">
      <c r="A172" s="1">
        <v>44822</v>
      </c>
      <c r="B172">
        <f t="shared" si="30"/>
        <v>7</v>
      </c>
      <c r="C172">
        <f t="shared" si="35"/>
        <v>17</v>
      </c>
      <c r="D172">
        <f t="shared" si="35"/>
        <v>16</v>
      </c>
      <c r="E172">
        <f t="shared" si="36"/>
        <v>0</v>
      </c>
      <c r="F172">
        <f t="shared" si="31"/>
        <v>0</v>
      </c>
      <c r="G172">
        <f t="shared" si="37"/>
        <v>0</v>
      </c>
      <c r="H172">
        <f t="shared" si="38"/>
        <v>0</v>
      </c>
      <c r="I172">
        <f t="shared" si="39"/>
        <v>0</v>
      </c>
      <c r="J172">
        <f t="shared" si="32"/>
        <v>0</v>
      </c>
      <c r="K172">
        <f t="shared" si="33"/>
        <v>0</v>
      </c>
      <c r="L172">
        <f t="shared" si="40"/>
        <v>17</v>
      </c>
      <c r="M172">
        <f t="shared" si="41"/>
        <v>16</v>
      </c>
      <c r="N172">
        <f t="shared" si="42"/>
        <v>0</v>
      </c>
      <c r="O172">
        <f t="shared" si="43"/>
        <v>0</v>
      </c>
      <c r="P172">
        <f t="shared" si="34"/>
        <v>0</v>
      </c>
      <c r="Q172">
        <f t="shared" si="44"/>
        <v>17</v>
      </c>
      <c r="R172">
        <f t="shared" si="44"/>
        <v>16</v>
      </c>
    </row>
    <row r="173" spans="1:18" x14ac:dyDescent="0.25">
      <c r="A173" s="1">
        <v>44823</v>
      </c>
      <c r="B173">
        <f t="shared" si="30"/>
        <v>1</v>
      </c>
      <c r="C173">
        <f t="shared" si="35"/>
        <v>17</v>
      </c>
      <c r="D173">
        <f t="shared" si="35"/>
        <v>16</v>
      </c>
      <c r="E173">
        <f t="shared" si="36"/>
        <v>1</v>
      </c>
      <c r="F173">
        <f t="shared" si="31"/>
        <v>1</v>
      </c>
      <c r="G173">
        <f t="shared" si="37"/>
        <v>0</v>
      </c>
      <c r="H173">
        <f t="shared" si="38"/>
        <v>0</v>
      </c>
      <c r="I173">
        <f t="shared" si="39"/>
        <v>0</v>
      </c>
      <c r="J173">
        <f t="shared" si="32"/>
        <v>0</v>
      </c>
      <c r="K173">
        <f t="shared" si="33"/>
        <v>0</v>
      </c>
      <c r="L173">
        <f t="shared" si="40"/>
        <v>16</v>
      </c>
      <c r="M173">
        <f t="shared" si="41"/>
        <v>16</v>
      </c>
      <c r="N173">
        <f t="shared" si="42"/>
        <v>1</v>
      </c>
      <c r="O173">
        <f t="shared" si="43"/>
        <v>5</v>
      </c>
      <c r="P173">
        <f t="shared" si="34"/>
        <v>4</v>
      </c>
      <c r="Q173">
        <f t="shared" si="44"/>
        <v>11</v>
      </c>
      <c r="R173">
        <f t="shared" si="44"/>
        <v>12</v>
      </c>
    </row>
    <row r="174" spans="1:18" x14ac:dyDescent="0.25">
      <c r="A174" s="1">
        <v>44824</v>
      </c>
      <c r="B174">
        <f t="shared" si="30"/>
        <v>2</v>
      </c>
      <c r="C174">
        <f t="shared" si="35"/>
        <v>11</v>
      </c>
      <c r="D174">
        <f t="shared" si="35"/>
        <v>12</v>
      </c>
      <c r="E174">
        <f t="shared" si="36"/>
        <v>0</v>
      </c>
      <c r="F174">
        <f t="shared" si="31"/>
        <v>0</v>
      </c>
      <c r="G174">
        <f t="shared" si="37"/>
        <v>0</v>
      </c>
      <c r="H174">
        <f t="shared" si="38"/>
        <v>0</v>
      </c>
      <c r="I174">
        <f t="shared" si="39"/>
        <v>0</v>
      </c>
      <c r="J174">
        <f t="shared" si="32"/>
        <v>0</v>
      </c>
      <c r="K174">
        <f t="shared" si="33"/>
        <v>0</v>
      </c>
      <c r="L174">
        <f t="shared" si="40"/>
        <v>11</v>
      </c>
      <c r="M174">
        <f t="shared" si="41"/>
        <v>12</v>
      </c>
      <c r="N174">
        <f t="shared" si="42"/>
        <v>1</v>
      </c>
      <c r="O174">
        <f t="shared" si="43"/>
        <v>4</v>
      </c>
      <c r="P174">
        <f t="shared" si="34"/>
        <v>3</v>
      </c>
      <c r="Q174">
        <f t="shared" si="44"/>
        <v>7</v>
      </c>
      <c r="R174">
        <f t="shared" si="44"/>
        <v>9</v>
      </c>
    </row>
    <row r="175" spans="1:18" x14ac:dyDescent="0.25">
      <c r="A175" s="1">
        <v>44825</v>
      </c>
      <c r="B175">
        <f t="shared" si="30"/>
        <v>3</v>
      </c>
      <c r="C175">
        <f t="shared" si="35"/>
        <v>7</v>
      </c>
      <c r="D175">
        <f t="shared" si="35"/>
        <v>9</v>
      </c>
      <c r="E175">
        <f t="shared" si="36"/>
        <v>0</v>
      </c>
      <c r="F175">
        <f t="shared" si="31"/>
        <v>0</v>
      </c>
      <c r="G175">
        <f t="shared" si="37"/>
        <v>0</v>
      </c>
      <c r="H175">
        <f t="shared" si="38"/>
        <v>0</v>
      </c>
      <c r="I175">
        <f t="shared" si="39"/>
        <v>0</v>
      </c>
      <c r="J175">
        <f t="shared" si="32"/>
        <v>0</v>
      </c>
      <c r="K175">
        <f t="shared" si="33"/>
        <v>0</v>
      </c>
      <c r="L175">
        <f t="shared" si="40"/>
        <v>7</v>
      </c>
      <c r="M175">
        <f t="shared" si="41"/>
        <v>9</v>
      </c>
      <c r="N175">
        <f t="shared" si="42"/>
        <v>1</v>
      </c>
      <c r="O175">
        <f t="shared" si="43"/>
        <v>3</v>
      </c>
      <c r="P175">
        <f t="shared" si="34"/>
        <v>2</v>
      </c>
      <c r="Q175">
        <f t="shared" si="44"/>
        <v>4</v>
      </c>
      <c r="R175">
        <f t="shared" si="44"/>
        <v>7</v>
      </c>
    </row>
    <row r="176" spans="1:18" x14ac:dyDescent="0.25">
      <c r="A176" s="1">
        <v>44826</v>
      </c>
      <c r="B176">
        <f t="shared" si="30"/>
        <v>4</v>
      </c>
      <c r="C176">
        <f t="shared" si="35"/>
        <v>4</v>
      </c>
      <c r="D176">
        <f t="shared" si="35"/>
        <v>7</v>
      </c>
      <c r="E176">
        <f t="shared" si="36"/>
        <v>0</v>
      </c>
      <c r="F176">
        <f t="shared" si="31"/>
        <v>0</v>
      </c>
      <c r="G176">
        <f t="shared" si="37"/>
        <v>1</v>
      </c>
      <c r="H176">
        <f t="shared" si="38"/>
        <v>50</v>
      </c>
      <c r="I176">
        <f t="shared" si="39"/>
        <v>25</v>
      </c>
      <c r="J176">
        <f t="shared" si="32"/>
        <v>0</v>
      </c>
      <c r="K176">
        <f t="shared" si="33"/>
        <v>0</v>
      </c>
      <c r="L176">
        <f t="shared" si="40"/>
        <v>54</v>
      </c>
      <c r="M176">
        <f t="shared" si="41"/>
        <v>32</v>
      </c>
      <c r="N176">
        <f t="shared" si="42"/>
        <v>1</v>
      </c>
      <c r="O176">
        <f t="shared" si="43"/>
        <v>17</v>
      </c>
      <c r="P176">
        <f t="shared" si="34"/>
        <v>7</v>
      </c>
      <c r="Q176">
        <f t="shared" si="44"/>
        <v>37</v>
      </c>
      <c r="R176">
        <f t="shared" si="44"/>
        <v>25</v>
      </c>
    </row>
    <row r="177" spans="1:18" x14ac:dyDescent="0.25">
      <c r="A177" s="1">
        <v>44827</v>
      </c>
      <c r="B177">
        <f t="shared" si="30"/>
        <v>5</v>
      </c>
      <c r="C177">
        <f t="shared" si="35"/>
        <v>37</v>
      </c>
      <c r="D177">
        <f t="shared" si="35"/>
        <v>25</v>
      </c>
      <c r="E177">
        <f t="shared" si="36"/>
        <v>0</v>
      </c>
      <c r="F177">
        <f t="shared" si="31"/>
        <v>0</v>
      </c>
      <c r="G177">
        <f t="shared" si="37"/>
        <v>0</v>
      </c>
      <c r="H177">
        <f t="shared" si="38"/>
        <v>0</v>
      </c>
      <c r="I177">
        <f t="shared" si="39"/>
        <v>0</v>
      </c>
      <c r="J177">
        <f t="shared" si="32"/>
        <v>0</v>
      </c>
      <c r="K177">
        <f t="shared" si="33"/>
        <v>0</v>
      </c>
      <c r="L177">
        <f t="shared" si="40"/>
        <v>37</v>
      </c>
      <c r="M177">
        <f t="shared" si="41"/>
        <v>25</v>
      </c>
      <c r="N177">
        <f t="shared" si="42"/>
        <v>1</v>
      </c>
      <c r="O177">
        <f t="shared" si="43"/>
        <v>12</v>
      </c>
      <c r="P177">
        <f t="shared" si="34"/>
        <v>5</v>
      </c>
      <c r="Q177">
        <f t="shared" si="44"/>
        <v>25</v>
      </c>
      <c r="R177">
        <f t="shared" si="44"/>
        <v>20</v>
      </c>
    </row>
    <row r="178" spans="1:18" x14ac:dyDescent="0.25">
      <c r="A178" s="1">
        <v>44828</v>
      </c>
      <c r="B178">
        <f t="shared" si="30"/>
        <v>6</v>
      </c>
      <c r="C178">
        <f t="shared" si="35"/>
        <v>25</v>
      </c>
      <c r="D178">
        <f t="shared" si="35"/>
        <v>20</v>
      </c>
      <c r="E178">
        <f t="shared" si="36"/>
        <v>0</v>
      </c>
      <c r="F178">
        <f t="shared" si="31"/>
        <v>0</v>
      </c>
      <c r="G178">
        <f t="shared" si="37"/>
        <v>0</v>
      </c>
      <c r="H178">
        <f t="shared" si="38"/>
        <v>0</v>
      </c>
      <c r="I178">
        <f t="shared" si="39"/>
        <v>0</v>
      </c>
      <c r="J178">
        <f t="shared" si="32"/>
        <v>0</v>
      </c>
      <c r="K178">
        <f t="shared" si="33"/>
        <v>0</v>
      </c>
      <c r="L178">
        <f t="shared" si="40"/>
        <v>25</v>
      </c>
      <c r="M178">
        <f t="shared" si="41"/>
        <v>20</v>
      </c>
      <c r="N178">
        <f t="shared" si="42"/>
        <v>1</v>
      </c>
      <c r="O178">
        <f t="shared" si="43"/>
        <v>8</v>
      </c>
      <c r="P178">
        <f t="shared" si="34"/>
        <v>4</v>
      </c>
      <c r="Q178">
        <f t="shared" si="44"/>
        <v>17</v>
      </c>
      <c r="R178">
        <f t="shared" si="44"/>
        <v>16</v>
      </c>
    </row>
    <row r="179" spans="1:18" x14ac:dyDescent="0.25">
      <c r="A179" s="1">
        <v>44829</v>
      </c>
      <c r="B179">
        <f t="shared" si="30"/>
        <v>7</v>
      </c>
      <c r="C179">
        <f t="shared" si="35"/>
        <v>17</v>
      </c>
      <c r="D179">
        <f t="shared" si="35"/>
        <v>16</v>
      </c>
      <c r="E179">
        <f t="shared" si="36"/>
        <v>0</v>
      </c>
      <c r="F179">
        <f t="shared" si="31"/>
        <v>0</v>
      </c>
      <c r="G179">
        <f t="shared" si="37"/>
        <v>0</v>
      </c>
      <c r="H179">
        <f t="shared" si="38"/>
        <v>0</v>
      </c>
      <c r="I179">
        <f t="shared" si="39"/>
        <v>0</v>
      </c>
      <c r="J179">
        <f t="shared" si="32"/>
        <v>0</v>
      </c>
      <c r="K179">
        <f t="shared" si="33"/>
        <v>0</v>
      </c>
      <c r="L179">
        <f t="shared" si="40"/>
        <v>17</v>
      </c>
      <c r="M179">
        <f t="shared" si="41"/>
        <v>16</v>
      </c>
      <c r="N179">
        <f t="shared" si="42"/>
        <v>0</v>
      </c>
      <c r="O179">
        <f t="shared" si="43"/>
        <v>0</v>
      </c>
      <c r="P179">
        <f t="shared" si="34"/>
        <v>0</v>
      </c>
      <c r="Q179">
        <f t="shared" si="44"/>
        <v>17</v>
      </c>
      <c r="R179">
        <f t="shared" si="44"/>
        <v>16</v>
      </c>
    </row>
    <row r="180" spans="1:18" x14ac:dyDescent="0.25">
      <c r="A180" s="1">
        <v>44830</v>
      </c>
      <c r="B180">
        <f t="shared" si="30"/>
        <v>1</v>
      </c>
      <c r="C180">
        <f t="shared" si="35"/>
        <v>17</v>
      </c>
      <c r="D180">
        <f t="shared" si="35"/>
        <v>16</v>
      </c>
      <c r="E180">
        <f t="shared" si="36"/>
        <v>1</v>
      </c>
      <c r="F180">
        <f t="shared" si="31"/>
        <v>1</v>
      </c>
      <c r="G180">
        <f t="shared" si="37"/>
        <v>0</v>
      </c>
      <c r="H180">
        <f t="shared" si="38"/>
        <v>0</v>
      </c>
      <c r="I180">
        <f t="shared" si="39"/>
        <v>0</v>
      </c>
      <c r="J180">
        <f t="shared" si="32"/>
        <v>0</v>
      </c>
      <c r="K180">
        <f t="shared" si="33"/>
        <v>0</v>
      </c>
      <c r="L180">
        <f t="shared" si="40"/>
        <v>16</v>
      </c>
      <c r="M180">
        <f t="shared" si="41"/>
        <v>16</v>
      </c>
      <c r="N180">
        <f t="shared" si="42"/>
        <v>1</v>
      </c>
      <c r="O180">
        <f t="shared" si="43"/>
        <v>5</v>
      </c>
      <c r="P180">
        <f t="shared" si="34"/>
        <v>4</v>
      </c>
      <c r="Q180">
        <f t="shared" si="44"/>
        <v>11</v>
      </c>
      <c r="R180">
        <f t="shared" si="44"/>
        <v>12</v>
      </c>
    </row>
    <row r="181" spans="1:18" x14ac:dyDescent="0.25">
      <c r="A181" s="1">
        <v>44831</v>
      </c>
      <c r="B181">
        <f t="shared" si="30"/>
        <v>2</v>
      </c>
      <c r="C181">
        <f t="shared" si="35"/>
        <v>11</v>
      </c>
      <c r="D181">
        <f t="shared" si="35"/>
        <v>12</v>
      </c>
      <c r="E181">
        <f t="shared" si="36"/>
        <v>0</v>
      </c>
      <c r="F181">
        <f t="shared" si="31"/>
        <v>0</v>
      </c>
      <c r="G181">
        <f t="shared" si="37"/>
        <v>0</v>
      </c>
      <c r="H181">
        <f t="shared" si="38"/>
        <v>0</v>
      </c>
      <c r="I181">
        <f t="shared" si="39"/>
        <v>0</v>
      </c>
      <c r="J181">
        <f t="shared" si="32"/>
        <v>0</v>
      </c>
      <c r="K181">
        <f t="shared" si="33"/>
        <v>0</v>
      </c>
      <c r="L181">
        <f t="shared" si="40"/>
        <v>11</v>
      </c>
      <c r="M181">
        <f t="shared" si="41"/>
        <v>12</v>
      </c>
      <c r="N181">
        <f t="shared" si="42"/>
        <v>1</v>
      </c>
      <c r="O181">
        <f t="shared" si="43"/>
        <v>4</v>
      </c>
      <c r="P181">
        <f t="shared" si="34"/>
        <v>3</v>
      </c>
      <c r="Q181">
        <f t="shared" si="44"/>
        <v>7</v>
      </c>
      <c r="R181">
        <f t="shared" si="44"/>
        <v>9</v>
      </c>
    </row>
    <row r="182" spans="1:18" x14ac:dyDescent="0.25">
      <c r="A182" s="1">
        <v>44832</v>
      </c>
      <c r="B182">
        <f t="shared" si="30"/>
        <v>3</v>
      </c>
      <c r="C182">
        <f t="shared" si="35"/>
        <v>7</v>
      </c>
      <c r="D182">
        <f t="shared" si="35"/>
        <v>9</v>
      </c>
      <c r="E182">
        <f t="shared" si="36"/>
        <v>0</v>
      </c>
      <c r="F182">
        <f t="shared" si="31"/>
        <v>0</v>
      </c>
      <c r="G182">
        <f t="shared" si="37"/>
        <v>0</v>
      </c>
      <c r="H182">
        <f t="shared" si="38"/>
        <v>0</v>
      </c>
      <c r="I182">
        <f t="shared" si="39"/>
        <v>0</v>
      </c>
      <c r="J182">
        <f t="shared" si="32"/>
        <v>0</v>
      </c>
      <c r="K182">
        <f t="shared" si="33"/>
        <v>0</v>
      </c>
      <c r="L182">
        <f t="shared" si="40"/>
        <v>7</v>
      </c>
      <c r="M182">
        <f t="shared" si="41"/>
        <v>9</v>
      </c>
      <c r="N182">
        <f t="shared" si="42"/>
        <v>1</v>
      </c>
      <c r="O182">
        <f t="shared" si="43"/>
        <v>3</v>
      </c>
      <c r="P182">
        <f t="shared" si="34"/>
        <v>2</v>
      </c>
      <c r="Q182">
        <f t="shared" si="44"/>
        <v>4</v>
      </c>
      <c r="R182">
        <f t="shared" si="44"/>
        <v>7</v>
      </c>
    </row>
    <row r="183" spans="1:18" x14ac:dyDescent="0.25">
      <c r="A183" s="1">
        <v>44833</v>
      </c>
      <c r="B183">
        <f t="shared" si="30"/>
        <v>4</v>
      </c>
      <c r="C183">
        <f t="shared" si="35"/>
        <v>4</v>
      </c>
      <c r="D183">
        <f t="shared" si="35"/>
        <v>7</v>
      </c>
      <c r="E183">
        <f t="shared" si="36"/>
        <v>0</v>
      </c>
      <c r="F183">
        <f t="shared" si="31"/>
        <v>0</v>
      </c>
      <c r="G183">
        <f t="shared" si="37"/>
        <v>1</v>
      </c>
      <c r="H183">
        <f t="shared" si="38"/>
        <v>50</v>
      </c>
      <c r="I183">
        <f t="shared" si="39"/>
        <v>25</v>
      </c>
      <c r="J183">
        <f t="shared" si="32"/>
        <v>0</v>
      </c>
      <c r="K183">
        <f t="shared" si="33"/>
        <v>0</v>
      </c>
      <c r="L183">
        <f t="shared" si="40"/>
        <v>54</v>
      </c>
      <c r="M183">
        <f t="shared" si="41"/>
        <v>32</v>
      </c>
      <c r="N183">
        <f t="shared" si="42"/>
        <v>1</v>
      </c>
      <c r="O183">
        <f t="shared" si="43"/>
        <v>17</v>
      </c>
      <c r="P183">
        <f t="shared" si="34"/>
        <v>7</v>
      </c>
      <c r="Q183">
        <f t="shared" si="44"/>
        <v>37</v>
      </c>
      <c r="R183">
        <f t="shared" si="44"/>
        <v>25</v>
      </c>
    </row>
    <row r="184" spans="1:18" x14ac:dyDescent="0.25">
      <c r="A184" s="1">
        <v>44834</v>
      </c>
      <c r="B184">
        <f t="shared" si="30"/>
        <v>5</v>
      </c>
      <c r="C184">
        <f t="shared" si="35"/>
        <v>37</v>
      </c>
      <c r="D184">
        <f t="shared" si="35"/>
        <v>25</v>
      </c>
      <c r="E184">
        <f t="shared" si="36"/>
        <v>0</v>
      </c>
      <c r="F184">
        <f t="shared" si="31"/>
        <v>0</v>
      </c>
      <c r="G184">
        <f t="shared" si="37"/>
        <v>0</v>
      </c>
      <c r="H184">
        <f t="shared" si="38"/>
        <v>0</v>
      </c>
      <c r="I184">
        <f t="shared" si="39"/>
        <v>0</v>
      </c>
      <c r="J184">
        <f t="shared" si="32"/>
        <v>0</v>
      </c>
      <c r="K184">
        <f t="shared" si="33"/>
        <v>0</v>
      </c>
      <c r="L184">
        <f t="shared" si="40"/>
        <v>37</v>
      </c>
      <c r="M184">
        <f t="shared" si="41"/>
        <v>25</v>
      </c>
      <c r="N184">
        <f t="shared" si="42"/>
        <v>1</v>
      </c>
      <c r="O184">
        <f t="shared" si="43"/>
        <v>12</v>
      </c>
      <c r="P184">
        <f t="shared" si="34"/>
        <v>5</v>
      </c>
      <c r="Q184">
        <f t="shared" si="44"/>
        <v>25</v>
      </c>
      <c r="R184">
        <f t="shared" si="44"/>
        <v>20</v>
      </c>
    </row>
    <row r="185" spans="1:18" x14ac:dyDescent="0.25">
      <c r="A185" s="1">
        <v>44835</v>
      </c>
      <c r="B185">
        <f t="shared" si="30"/>
        <v>6</v>
      </c>
      <c r="C185">
        <f t="shared" si="35"/>
        <v>25</v>
      </c>
      <c r="D185">
        <f t="shared" si="35"/>
        <v>20</v>
      </c>
      <c r="E185">
        <f t="shared" si="36"/>
        <v>0</v>
      </c>
      <c r="F185">
        <f t="shared" si="31"/>
        <v>0</v>
      </c>
      <c r="G185">
        <f t="shared" si="37"/>
        <v>0</v>
      </c>
      <c r="H185">
        <f t="shared" si="38"/>
        <v>0</v>
      </c>
      <c r="I185">
        <f t="shared" si="39"/>
        <v>0</v>
      </c>
      <c r="J185">
        <f t="shared" si="32"/>
        <v>0</v>
      </c>
      <c r="K185">
        <f t="shared" si="33"/>
        <v>0</v>
      </c>
      <c r="L185">
        <f t="shared" si="40"/>
        <v>25</v>
      </c>
      <c r="M185">
        <f t="shared" si="41"/>
        <v>20</v>
      </c>
      <c r="N185">
        <f t="shared" si="42"/>
        <v>1</v>
      </c>
      <c r="O185">
        <f t="shared" si="43"/>
        <v>8</v>
      </c>
      <c r="P185">
        <f t="shared" si="34"/>
        <v>4</v>
      </c>
      <c r="Q185">
        <f t="shared" si="44"/>
        <v>17</v>
      </c>
      <c r="R185">
        <f t="shared" si="44"/>
        <v>16</v>
      </c>
    </row>
    <row r="186" spans="1:18" x14ac:dyDescent="0.25">
      <c r="A186" s="1">
        <v>44836</v>
      </c>
      <c r="B186">
        <f t="shared" si="30"/>
        <v>7</v>
      </c>
      <c r="C186">
        <f t="shared" si="35"/>
        <v>17</v>
      </c>
      <c r="D186">
        <f t="shared" si="35"/>
        <v>16</v>
      </c>
      <c r="E186">
        <f t="shared" si="36"/>
        <v>0</v>
      </c>
      <c r="F186">
        <f t="shared" si="31"/>
        <v>0</v>
      </c>
      <c r="G186">
        <f t="shared" si="37"/>
        <v>0</v>
      </c>
      <c r="H186">
        <f t="shared" si="38"/>
        <v>0</v>
      </c>
      <c r="I186">
        <f t="shared" si="39"/>
        <v>0</v>
      </c>
      <c r="J186">
        <f t="shared" si="32"/>
        <v>0</v>
      </c>
      <c r="K186">
        <f t="shared" si="33"/>
        <v>0</v>
      </c>
      <c r="L186">
        <f t="shared" si="40"/>
        <v>17</v>
      </c>
      <c r="M186">
        <f t="shared" si="41"/>
        <v>16</v>
      </c>
      <c r="N186">
        <f t="shared" si="42"/>
        <v>0</v>
      </c>
      <c r="O186">
        <f t="shared" si="43"/>
        <v>0</v>
      </c>
      <c r="P186">
        <f t="shared" si="34"/>
        <v>0</v>
      </c>
      <c r="Q186">
        <f t="shared" si="44"/>
        <v>17</v>
      </c>
      <c r="R186">
        <f t="shared" si="44"/>
        <v>16</v>
      </c>
    </row>
    <row r="187" spans="1:18" x14ac:dyDescent="0.25">
      <c r="A187" s="1">
        <v>44837</v>
      </c>
      <c r="B187">
        <f t="shared" si="30"/>
        <v>1</v>
      </c>
      <c r="C187">
        <f t="shared" si="35"/>
        <v>17</v>
      </c>
      <c r="D187">
        <f t="shared" si="35"/>
        <v>16</v>
      </c>
      <c r="E187">
        <f t="shared" si="36"/>
        <v>1</v>
      </c>
      <c r="F187">
        <f t="shared" si="31"/>
        <v>1</v>
      </c>
      <c r="G187">
        <f t="shared" si="37"/>
        <v>0</v>
      </c>
      <c r="H187">
        <f t="shared" si="38"/>
        <v>0</v>
      </c>
      <c r="I187">
        <f t="shared" si="39"/>
        <v>0</v>
      </c>
      <c r="J187">
        <f t="shared" si="32"/>
        <v>0</v>
      </c>
      <c r="K187">
        <f t="shared" si="33"/>
        <v>0</v>
      </c>
      <c r="L187">
        <f t="shared" si="40"/>
        <v>16</v>
      </c>
      <c r="M187">
        <f t="shared" si="41"/>
        <v>16</v>
      </c>
      <c r="N187">
        <f t="shared" si="42"/>
        <v>1</v>
      </c>
      <c r="O187">
        <f t="shared" si="43"/>
        <v>5</v>
      </c>
      <c r="P187">
        <f t="shared" si="34"/>
        <v>4</v>
      </c>
      <c r="Q187">
        <f t="shared" si="44"/>
        <v>11</v>
      </c>
      <c r="R187">
        <f t="shared" si="44"/>
        <v>12</v>
      </c>
    </row>
    <row r="188" spans="1:18" x14ac:dyDescent="0.25">
      <c r="A188" s="1">
        <v>44838</v>
      </c>
      <c r="B188">
        <f t="shared" si="30"/>
        <v>2</v>
      </c>
      <c r="C188">
        <f t="shared" si="35"/>
        <v>11</v>
      </c>
      <c r="D188">
        <f t="shared" si="35"/>
        <v>12</v>
      </c>
      <c r="E188">
        <f t="shared" si="36"/>
        <v>0</v>
      </c>
      <c r="F188">
        <f t="shared" si="31"/>
        <v>0</v>
      </c>
      <c r="G188">
        <f t="shared" si="37"/>
        <v>0</v>
      </c>
      <c r="H188">
        <f t="shared" si="38"/>
        <v>0</v>
      </c>
      <c r="I188">
        <f t="shared" si="39"/>
        <v>0</v>
      </c>
      <c r="J188">
        <f t="shared" si="32"/>
        <v>0</v>
      </c>
      <c r="K188">
        <f t="shared" si="33"/>
        <v>0</v>
      </c>
      <c r="L188">
        <f t="shared" si="40"/>
        <v>11</v>
      </c>
      <c r="M188">
        <f t="shared" si="41"/>
        <v>12</v>
      </c>
      <c r="N188">
        <f t="shared" si="42"/>
        <v>1</v>
      </c>
      <c r="O188">
        <f t="shared" si="43"/>
        <v>4</v>
      </c>
      <c r="P188">
        <f t="shared" si="34"/>
        <v>3</v>
      </c>
      <c r="Q188">
        <f t="shared" si="44"/>
        <v>7</v>
      </c>
      <c r="R188">
        <f t="shared" si="44"/>
        <v>9</v>
      </c>
    </row>
    <row r="189" spans="1:18" x14ac:dyDescent="0.25">
      <c r="A189" s="1">
        <v>44839</v>
      </c>
      <c r="B189">
        <f t="shared" si="30"/>
        <v>3</v>
      </c>
      <c r="C189">
        <f t="shared" si="35"/>
        <v>7</v>
      </c>
      <c r="D189">
        <f t="shared" si="35"/>
        <v>9</v>
      </c>
      <c r="E189">
        <f t="shared" si="36"/>
        <v>0</v>
      </c>
      <c r="F189">
        <f t="shared" si="31"/>
        <v>0</v>
      </c>
      <c r="G189">
        <f t="shared" si="37"/>
        <v>0</v>
      </c>
      <c r="H189">
        <f t="shared" si="38"/>
        <v>0</v>
      </c>
      <c r="I189">
        <f t="shared" si="39"/>
        <v>0</v>
      </c>
      <c r="J189">
        <f t="shared" si="32"/>
        <v>0</v>
      </c>
      <c r="K189">
        <f t="shared" si="33"/>
        <v>0</v>
      </c>
      <c r="L189">
        <f t="shared" si="40"/>
        <v>7</v>
      </c>
      <c r="M189">
        <f t="shared" si="41"/>
        <v>9</v>
      </c>
      <c r="N189">
        <f t="shared" si="42"/>
        <v>1</v>
      </c>
      <c r="O189">
        <f t="shared" si="43"/>
        <v>3</v>
      </c>
      <c r="P189">
        <f t="shared" si="34"/>
        <v>2</v>
      </c>
      <c r="Q189">
        <f t="shared" si="44"/>
        <v>4</v>
      </c>
      <c r="R189">
        <f t="shared" si="44"/>
        <v>7</v>
      </c>
    </row>
    <row r="190" spans="1:18" x14ac:dyDescent="0.25">
      <c r="A190" s="1">
        <v>44840</v>
      </c>
      <c r="B190">
        <f t="shared" si="30"/>
        <v>4</v>
      </c>
      <c r="C190">
        <f t="shared" si="35"/>
        <v>4</v>
      </c>
      <c r="D190">
        <f t="shared" si="35"/>
        <v>7</v>
      </c>
      <c r="E190">
        <f t="shared" si="36"/>
        <v>0</v>
      </c>
      <c r="F190">
        <f t="shared" si="31"/>
        <v>0</v>
      </c>
      <c r="G190">
        <f t="shared" si="37"/>
        <v>1</v>
      </c>
      <c r="H190">
        <f t="shared" si="38"/>
        <v>50</v>
      </c>
      <c r="I190">
        <f t="shared" si="39"/>
        <v>25</v>
      </c>
      <c r="J190">
        <f t="shared" si="32"/>
        <v>0</v>
      </c>
      <c r="K190">
        <f t="shared" si="33"/>
        <v>0</v>
      </c>
      <c r="L190">
        <f t="shared" si="40"/>
        <v>54</v>
      </c>
      <c r="M190">
        <f t="shared" si="41"/>
        <v>32</v>
      </c>
      <c r="N190">
        <f t="shared" si="42"/>
        <v>1</v>
      </c>
      <c r="O190">
        <f t="shared" si="43"/>
        <v>17</v>
      </c>
      <c r="P190">
        <f t="shared" si="34"/>
        <v>7</v>
      </c>
      <c r="Q190">
        <f t="shared" si="44"/>
        <v>37</v>
      </c>
      <c r="R190">
        <f t="shared" si="44"/>
        <v>25</v>
      </c>
    </row>
    <row r="191" spans="1:18" x14ac:dyDescent="0.25">
      <c r="A191" s="1">
        <v>44841</v>
      </c>
      <c r="B191">
        <f t="shared" si="30"/>
        <v>5</v>
      </c>
      <c r="C191">
        <f t="shared" si="35"/>
        <v>37</v>
      </c>
      <c r="D191">
        <f t="shared" si="35"/>
        <v>25</v>
      </c>
      <c r="E191">
        <f t="shared" si="36"/>
        <v>0</v>
      </c>
      <c r="F191">
        <f t="shared" si="31"/>
        <v>0</v>
      </c>
      <c r="G191">
        <f t="shared" si="37"/>
        <v>0</v>
      </c>
      <c r="H191">
        <f t="shared" si="38"/>
        <v>0</v>
      </c>
      <c r="I191">
        <f t="shared" si="39"/>
        <v>0</v>
      </c>
      <c r="J191">
        <f t="shared" si="32"/>
        <v>0</v>
      </c>
      <c r="K191">
        <f t="shared" si="33"/>
        <v>0</v>
      </c>
      <c r="L191">
        <f t="shared" si="40"/>
        <v>37</v>
      </c>
      <c r="M191">
        <f t="shared" si="41"/>
        <v>25</v>
      </c>
      <c r="N191">
        <f t="shared" si="42"/>
        <v>1</v>
      </c>
      <c r="O191">
        <f t="shared" si="43"/>
        <v>12</v>
      </c>
      <c r="P191">
        <f t="shared" si="34"/>
        <v>5</v>
      </c>
      <c r="Q191">
        <f t="shared" si="44"/>
        <v>25</v>
      </c>
      <c r="R191">
        <f t="shared" si="44"/>
        <v>20</v>
      </c>
    </row>
    <row r="192" spans="1:18" x14ac:dyDescent="0.25">
      <c r="A192" s="1">
        <v>44842</v>
      </c>
      <c r="B192">
        <f t="shared" si="30"/>
        <v>6</v>
      </c>
      <c r="C192">
        <f t="shared" si="35"/>
        <v>25</v>
      </c>
      <c r="D192">
        <f t="shared" si="35"/>
        <v>20</v>
      </c>
      <c r="E192">
        <f t="shared" si="36"/>
        <v>0</v>
      </c>
      <c r="F192">
        <f t="shared" si="31"/>
        <v>0</v>
      </c>
      <c r="G192">
        <f t="shared" si="37"/>
        <v>0</v>
      </c>
      <c r="H192">
        <f t="shared" si="38"/>
        <v>0</v>
      </c>
      <c r="I192">
        <f t="shared" si="39"/>
        <v>0</v>
      </c>
      <c r="J192">
        <f t="shared" si="32"/>
        <v>0</v>
      </c>
      <c r="K192">
        <f t="shared" si="33"/>
        <v>0</v>
      </c>
      <c r="L192">
        <f t="shared" si="40"/>
        <v>25</v>
      </c>
      <c r="M192">
        <f t="shared" si="41"/>
        <v>20</v>
      </c>
      <c r="N192">
        <f t="shared" si="42"/>
        <v>1</v>
      </c>
      <c r="O192">
        <f t="shared" si="43"/>
        <v>8</v>
      </c>
      <c r="P192">
        <f t="shared" si="34"/>
        <v>4</v>
      </c>
      <c r="Q192">
        <f t="shared" si="44"/>
        <v>17</v>
      </c>
      <c r="R192">
        <f t="shared" si="44"/>
        <v>16</v>
      </c>
    </row>
    <row r="193" spans="1:18" x14ac:dyDescent="0.25">
      <c r="A193" s="1">
        <v>44843</v>
      </c>
      <c r="B193">
        <f t="shared" si="30"/>
        <v>7</v>
      </c>
      <c r="C193">
        <f t="shared" si="35"/>
        <v>17</v>
      </c>
      <c r="D193">
        <f t="shared" si="35"/>
        <v>16</v>
      </c>
      <c r="E193">
        <f t="shared" si="36"/>
        <v>0</v>
      </c>
      <c r="F193">
        <f t="shared" si="31"/>
        <v>0</v>
      </c>
      <c r="G193">
        <f t="shared" si="37"/>
        <v>0</v>
      </c>
      <c r="H193">
        <f t="shared" si="38"/>
        <v>0</v>
      </c>
      <c r="I193">
        <f t="shared" si="39"/>
        <v>0</v>
      </c>
      <c r="J193">
        <f t="shared" si="32"/>
        <v>0</v>
      </c>
      <c r="K193">
        <f t="shared" si="33"/>
        <v>0</v>
      </c>
      <c r="L193">
        <f t="shared" si="40"/>
        <v>17</v>
      </c>
      <c r="M193">
        <f t="shared" si="41"/>
        <v>16</v>
      </c>
      <c r="N193">
        <f t="shared" si="42"/>
        <v>0</v>
      </c>
      <c r="O193">
        <f t="shared" si="43"/>
        <v>0</v>
      </c>
      <c r="P193">
        <f t="shared" si="34"/>
        <v>0</v>
      </c>
      <c r="Q193">
        <f t="shared" si="44"/>
        <v>17</v>
      </c>
      <c r="R193">
        <f t="shared" si="44"/>
        <v>16</v>
      </c>
    </row>
    <row r="194" spans="1:18" x14ac:dyDescent="0.25">
      <c r="A194" s="1">
        <v>44844</v>
      </c>
      <c r="B194">
        <f t="shared" si="30"/>
        <v>1</v>
      </c>
      <c r="C194">
        <f t="shared" si="35"/>
        <v>17</v>
      </c>
      <c r="D194">
        <f t="shared" si="35"/>
        <v>16</v>
      </c>
      <c r="E194">
        <f t="shared" si="36"/>
        <v>1</v>
      </c>
      <c r="F194">
        <f t="shared" si="31"/>
        <v>1</v>
      </c>
      <c r="G194">
        <f t="shared" si="37"/>
        <v>0</v>
      </c>
      <c r="H194">
        <f t="shared" si="38"/>
        <v>0</v>
      </c>
      <c r="I194">
        <f t="shared" si="39"/>
        <v>0</v>
      </c>
      <c r="J194">
        <f t="shared" si="32"/>
        <v>0</v>
      </c>
      <c r="K194">
        <f t="shared" si="33"/>
        <v>0</v>
      </c>
      <c r="L194">
        <f t="shared" si="40"/>
        <v>16</v>
      </c>
      <c r="M194">
        <f t="shared" si="41"/>
        <v>16</v>
      </c>
      <c r="N194">
        <f t="shared" si="42"/>
        <v>1</v>
      </c>
      <c r="O194">
        <f t="shared" si="43"/>
        <v>5</v>
      </c>
      <c r="P194">
        <f t="shared" si="34"/>
        <v>4</v>
      </c>
      <c r="Q194">
        <f t="shared" si="44"/>
        <v>11</v>
      </c>
      <c r="R194">
        <f t="shared" si="44"/>
        <v>12</v>
      </c>
    </row>
    <row r="195" spans="1:18" x14ac:dyDescent="0.25">
      <c r="A195" s="1">
        <v>44845</v>
      </c>
      <c r="B195">
        <f t="shared" ref="B195:B215" si="45">WEEKDAY(A195, 2)</f>
        <v>2</v>
      </c>
      <c r="C195">
        <f t="shared" si="35"/>
        <v>11</v>
      </c>
      <c r="D195">
        <f t="shared" si="35"/>
        <v>12</v>
      </c>
      <c r="E195">
        <f t="shared" si="36"/>
        <v>0</v>
      </c>
      <c r="F195">
        <f t="shared" ref="F195:F215" si="46">IF(E195=1,ROUNDUP(5% * C195,0),0)</f>
        <v>0</v>
      </c>
      <c r="G195">
        <f t="shared" si="37"/>
        <v>0</v>
      </c>
      <c r="H195">
        <f t="shared" si="38"/>
        <v>0</v>
      </c>
      <c r="I195">
        <f t="shared" si="39"/>
        <v>0</v>
      </c>
      <c r="J195">
        <f t="shared" ref="J195:J215" si="47">IF(AND(B195=1,SUM(O192:O193)&gt;25),1,0)</f>
        <v>0</v>
      </c>
      <c r="K195">
        <f t="shared" ref="K195:K215" si="48">IF(J195=1,15,0)</f>
        <v>0</v>
      </c>
      <c r="L195">
        <f t="shared" si="40"/>
        <v>11</v>
      </c>
      <c r="M195">
        <f t="shared" si="41"/>
        <v>12</v>
      </c>
      <c r="N195">
        <f t="shared" si="42"/>
        <v>1</v>
      </c>
      <c r="O195">
        <f t="shared" si="43"/>
        <v>4</v>
      </c>
      <c r="P195">
        <f t="shared" ref="P195:P215" si="49">IF(N195=1,ROUNDUP(20% * M195,0),0)</f>
        <v>3</v>
      </c>
      <c r="Q195">
        <f t="shared" si="44"/>
        <v>7</v>
      </c>
      <c r="R195">
        <f t="shared" si="44"/>
        <v>9</v>
      </c>
    </row>
    <row r="196" spans="1:18" x14ac:dyDescent="0.25">
      <c r="A196" s="1">
        <v>44846</v>
      </c>
      <c r="B196">
        <f t="shared" si="45"/>
        <v>3</v>
      </c>
      <c r="C196">
        <f t="shared" ref="C196:D215" si="50">Q195</f>
        <v>7</v>
      </c>
      <c r="D196">
        <f t="shared" si="50"/>
        <v>9</v>
      </c>
      <c r="E196">
        <f t="shared" ref="E196:E215" si="51">IF(B196=1,1,0)</f>
        <v>0</v>
      </c>
      <c r="F196">
        <f t="shared" si="46"/>
        <v>0</v>
      </c>
      <c r="G196">
        <f t="shared" ref="G196:G215" si="52">IF(B196=4,1,0)</f>
        <v>0</v>
      </c>
      <c r="H196">
        <f t="shared" ref="H196:H215" si="53">IF(G196=1,50,0)</f>
        <v>0</v>
      </c>
      <c r="I196">
        <f t="shared" ref="I196:I215" si="54">IF(G196=1,25,0)</f>
        <v>0</v>
      </c>
      <c r="J196">
        <f t="shared" si="47"/>
        <v>0</v>
      </c>
      <c r="K196">
        <f t="shared" si="48"/>
        <v>0</v>
      </c>
      <c r="L196">
        <f t="shared" ref="L196:L215" si="55">K196+H196+C196-F196</f>
        <v>7</v>
      </c>
      <c r="M196">
        <f t="shared" ref="M196:M215" si="56">I196+D196</f>
        <v>9</v>
      </c>
      <c r="N196">
        <f t="shared" ref="N196:N215" si="57">IF(B196&lt;&gt;7,1,0)</f>
        <v>1</v>
      </c>
      <c r="O196">
        <f t="shared" ref="O196:O215" si="58">IF(N196=1,ROUNDUP(30% * L196,0),0)</f>
        <v>3</v>
      </c>
      <c r="P196">
        <f t="shared" si="49"/>
        <v>2</v>
      </c>
      <c r="Q196">
        <f t="shared" ref="Q196:R215" si="59">L196-O196</f>
        <v>4</v>
      </c>
      <c r="R196">
        <f t="shared" si="59"/>
        <v>7</v>
      </c>
    </row>
    <row r="197" spans="1:18" x14ac:dyDescent="0.25">
      <c r="A197" s="1">
        <v>44847</v>
      </c>
      <c r="B197">
        <f t="shared" si="45"/>
        <v>4</v>
      </c>
      <c r="C197">
        <f t="shared" si="50"/>
        <v>4</v>
      </c>
      <c r="D197">
        <f t="shared" si="50"/>
        <v>7</v>
      </c>
      <c r="E197">
        <f t="shared" si="51"/>
        <v>0</v>
      </c>
      <c r="F197">
        <f t="shared" si="46"/>
        <v>0</v>
      </c>
      <c r="G197">
        <f t="shared" si="52"/>
        <v>1</v>
      </c>
      <c r="H197">
        <f t="shared" si="53"/>
        <v>50</v>
      </c>
      <c r="I197">
        <f t="shared" si="54"/>
        <v>25</v>
      </c>
      <c r="J197">
        <f t="shared" si="47"/>
        <v>0</v>
      </c>
      <c r="K197">
        <f t="shared" si="48"/>
        <v>0</v>
      </c>
      <c r="L197">
        <f t="shared" si="55"/>
        <v>54</v>
      </c>
      <c r="M197">
        <f t="shared" si="56"/>
        <v>32</v>
      </c>
      <c r="N197">
        <f t="shared" si="57"/>
        <v>1</v>
      </c>
      <c r="O197">
        <f t="shared" si="58"/>
        <v>17</v>
      </c>
      <c r="P197">
        <f t="shared" si="49"/>
        <v>7</v>
      </c>
      <c r="Q197">
        <f t="shared" si="59"/>
        <v>37</v>
      </c>
      <c r="R197">
        <f t="shared" si="59"/>
        <v>25</v>
      </c>
    </row>
    <row r="198" spans="1:18" x14ac:dyDescent="0.25">
      <c r="A198" s="1">
        <v>44848</v>
      </c>
      <c r="B198">
        <f t="shared" si="45"/>
        <v>5</v>
      </c>
      <c r="C198">
        <f t="shared" si="50"/>
        <v>37</v>
      </c>
      <c r="D198">
        <f t="shared" si="50"/>
        <v>25</v>
      </c>
      <c r="E198">
        <f t="shared" si="51"/>
        <v>0</v>
      </c>
      <c r="F198">
        <f t="shared" si="46"/>
        <v>0</v>
      </c>
      <c r="G198">
        <f t="shared" si="52"/>
        <v>0</v>
      </c>
      <c r="H198">
        <f t="shared" si="53"/>
        <v>0</v>
      </c>
      <c r="I198">
        <f t="shared" si="54"/>
        <v>0</v>
      </c>
      <c r="J198">
        <f t="shared" si="47"/>
        <v>0</v>
      </c>
      <c r="K198">
        <f t="shared" si="48"/>
        <v>0</v>
      </c>
      <c r="L198">
        <f t="shared" si="55"/>
        <v>37</v>
      </c>
      <c r="M198">
        <f t="shared" si="56"/>
        <v>25</v>
      </c>
      <c r="N198">
        <f t="shared" si="57"/>
        <v>1</v>
      </c>
      <c r="O198">
        <f t="shared" si="58"/>
        <v>12</v>
      </c>
      <c r="P198">
        <f t="shared" si="49"/>
        <v>5</v>
      </c>
      <c r="Q198">
        <f t="shared" si="59"/>
        <v>25</v>
      </c>
      <c r="R198">
        <f t="shared" si="59"/>
        <v>20</v>
      </c>
    </row>
    <row r="199" spans="1:18" x14ac:dyDescent="0.25">
      <c r="A199" s="1">
        <v>44849</v>
      </c>
      <c r="B199">
        <f t="shared" si="45"/>
        <v>6</v>
      </c>
      <c r="C199">
        <f t="shared" si="50"/>
        <v>25</v>
      </c>
      <c r="D199">
        <f t="shared" si="50"/>
        <v>20</v>
      </c>
      <c r="E199">
        <f t="shared" si="51"/>
        <v>0</v>
      </c>
      <c r="F199">
        <f t="shared" si="46"/>
        <v>0</v>
      </c>
      <c r="G199">
        <f t="shared" si="52"/>
        <v>0</v>
      </c>
      <c r="H199">
        <f t="shared" si="53"/>
        <v>0</v>
      </c>
      <c r="I199">
        <f t="shared" si="54"/>
        <v>0</v>
      </c>
      <c r="J199">
        <f t="shared" si="47"/>
        <v>0</v>
      </c>
      <c r="K199">
        <f t="shared" si="48"/>
        <v>0</v>
      </c>
      <c r="L199">
        <f t="shared" si="55"/>
        <v>25</v>
      </c>
      <c r="M199">
        <f t="shared" si="56"/>
        <v>20</v>
      </c>
      <c r="N199">
        <f t="shared" si="57"/>
        <v>1</v>
      </c>
      <c r="O199">
        <f t="shared" si="58"/>
        <v>8</v>
      </c>
      <c r="P199">
        <f t="shared" si="49"/>
        <v>4</v>
      </c>
      <c r="Q199">
        <f t="shared" si="59"/>
        <v>17</v>
      </c>
      <c r="R199">
        <f t="shared" si="59"/>
        <v>16</v>
      </c>
    </row>
    <row r="200" spans="1:18" x14ac:dyDescent="0.25">
      <c r="A200" s="1">
        <v>44850</v>
      </c>
      <c r="B200">
        <f t="shared" si="45"/>
        <v>7</v>
      </c>
      <c r="C200">
        <f t="shared" si="50"/>
        <v>17</v>
      </c>
      <c r="D200">
        <f t="shared" si="50"/>
        <v>16</v>
      </c>
      <c r="E200">
        <f t="shared" si="51"/>
        <v>0</v>
      </c>
      <c r="F200">
        <f t="shared" si="46"/>
        <v>0</v>
      </c>
      <c r="G200">
        <f t="shared" si="52"/>
        <v>0</v>
      </c>
      <c r="H200">
        <f t="shared" si="53"/>
        <v>0</v>
      </c>
      <c r="I200">
        <f t="shared" si="54"/>
        <v>0</v>
      </c>
      <c r="J200">
        <f t="shared" si="47"/>
        <v>0</v>
      </c>
      <c r="K200">
        <f t="shared" si="48"/>
        <v>0</v>
      </c>
      <c r="L200">
        <f t="shared" si="55"/>
        <v>17</v>
      </c>
      <c r="M200">
        <f t="shared" si="56"/>
        <v>16</v>
      </c>
      <c r="N200">
        <f t="shared" si="57"/>
        <v>0</v>
      </c>
      <c r="O200">
        <f t="shared" si="58"/>
        <v>0</v>
      </c>
      <c r="P200">
        <f t="shared" si="49"/>
        <v>0</v>
      </c>
      <c r="Q200">
        <f t="shared" si="59"/>
        <v>17</v>
      </c>
      <c r="R200">
        <f t="shared" si="59"/>
        <v>16</v>
      </c>
    </row>
    <row r="201" spans="1:18" x14ac:dyDescent="0.25">
      <c r="A201" s="1">
        <v>44851</v>
      </c>
      <c r="B201">
        <f t="shared" si="45"/>
        <v>1</v>
      </c>
      <c r="C201">
        <f t="shared" si="50"/>
        <v>17</v>
      </c>
      <c r="D201">
        <f t="shared" si="50"/>
        <v>16</v>
      </c>
      <c r="E201">
        <f t="shared" si="51"/>
        <v>1</v>
      </c>
      <c r="F201">
        <f t="shared" si="46"/>
        <v>1</v>
      </c>
      <c r="G201">
        <f t="shared" si="52"/>
        <v>0</v>
      </c>
      <c r="H201">
        <f t="shared" si="53"/>
        <v>0</v>
      </c>
      <c r="I201">
        <f t="shared" si="54"/>
        <v>0</v>
      </c>
      <c r="J201">
        <f t="shared" si="47"/>
        <v>0</v>
      </c>
      <c r="K201">
        <f t="shared" si="48"/>
        <v>0</v>
      </c>
      <c r="L201">
        <f t="shared" si="55"/>
        <v>16</v>
      </c>
      <c r="M201">
        <f t="shared" si="56"/>
        <v>16</v>
      </c>
      <c r="N201">
        <f t="shared" si="57"/>
        <v>1</v>
      </c>
      <c r="O201">
        <f t="shared" si="58"/>
        <v>5</v>
      </c>
      <c r="P201">
        <f t="shared" si="49"/>
        <v>4</v>
      </c>
      <c r="Q201">
        <f t="shared" si="59"/>
        <v>11</v>
      </c>
      <c r="R201">
        <f t="shared" si="59"/>
        <v>12</v>
      </c>
    </row>
    <row r="202" spans="1:18" x14ac:dyDescent="0.25">
      <c r="A202" s="1">
        <v>44852</v>
      </c>
      <c r="B202">
        <f t="shared" si="45"/>
        <v>2</v>
      </c>
      <c r="C202">
        <f t="shared" si="50"/>
        <v>11</v>
      </c>
      <c r="D202">
        <f t="shared" si="50"/>
        <v>12</v>
      </c>
      <c r="E202">
        <f t="shared" si="51"/>
        <v>0</v>
      </c>
      <c r="F202">
        <f t="shared" si="46"/>
        <v>0</v>
      </c>
      <c r="G202">
        <f t="shared" si="52"/>
        <v>0</v>
      </c>
      <c r="H202">
        <f t="shared" si="53"/>
        <v>0</v>
      </c>
      <c r="I202">
        <f t="shared" si="54"/>
        <v>0</v>
      </c>
      <c r="J202">
        <f t="shared" si="47"/>
        <v>0</v>
      </c>
      <c r="K202">
        <f t="shared" si="48"/>
        <v>0</v>
      </c>
      <c r="L202">
        <f t="shared" si="55"/>
        <v>11</v>
      </c>
      <c r="M202">
        <f t="shared" si="56"/>
        <v>12</v>
      </c>
      <c r="N202">
        <f t="shared" si="57"/>
        <v>1</v>
      </c>
      <c r="O202">
        <f t="shared" si="58"/>
        <v>4</v>
      </c>
      <c r="P202">
        <f t="shared" si="49"/>
        <v>3</v>
      </c>
      <c r="Q202">
        <f t="shared" si="59"/>
        <v>7</v>
      </c>
      <c r="R202">
        <f t="shared" si="59"/>
        <v>9</v>
      </c>
    </row>
    <row r="203" spans="1:18" x14ac:dyDescent="0.25">
      <c r="A203" s="1">
        <v>44853</v>
      </c>
      <c r="B203">
        <f t="shared" si="45"/>
        <v>3</v>
      </c>
      <c r="C203">
        <f t="shared" si="50"/>
        <v>7</v>
      </c>
      <c r="D203">
        <f t="shared" si="50"/>
        <v>9</v>
      </c>
      <c r="E203">
        <f t="shared" si="51"/>
        <v>0</v>
      </c>
      <c r="F203">
        <f t="shared" si="46"/>
        <v>0</v>
      </c>
      <c r="G203">
        <f t="shared" si="52"/>
        <v>0</v>
      </c>
      <c r="H203">
        <f t="shared" si="53"/>
        <v>0</v>
      </c>
      <c r="I203">
        <f t="shared" si="54"/>
        <v>0</v>
      </c>
      <c r="J203">
        <f t="shared" si="47"/>
        <v>0</v>
      </c>
      <c r="K203">
        <f t="shared" si="48"/>
        <v>0</v>
      </c>
      <c r="L203">
        <f t="shared" si="55"/>
        <v>7</v>
      </c>
      <c r="M203">
        <f t="shared" si="56"/>
        <v>9</v>
      </c>
      <c r="N203">
        <f t="shared" si="57"/>
        <v>1</v>
      </c>
      <c r="O203">
        <f t="shared" si="58"/>
        <v>3</v>
      </c>
      <c r="P203">
        <f t="shared" si="49"/>
        <v>2</v>
      </c>
      <c r="Q203">
        <f t="shared" si="59"/>
        <v>4</v>
      </c>
      <c r="R203">
        <f t="shared" si="59"/>
        <v>7</v>
      </c>
    </row>
    <row r="204" spans="1:18" x14ac:dyDescent="0.25">
      <c r="A204" s="1">
        <v>44854</v>
      </c>
      <c r="B204">
        <f t="shared" si="45"/>
        <v>4</v>
      </c>
      <c r="C204">
        <f t="shared" si="50"/>
        <v>4</v>
      </c>
      <c r="D204">
        <f t="shared" si="50"/>
        <v>7</v>
      </c>
      <c r="E204">
        <f t="shared" si="51"/>
        <v>0</v>
      </c>
      <c r="F204">
        <f t="shared" si="46"/>
        <v>0</v>
      </c>
      <c r="G204">
        <f t="shared" si="52"/>
        <v>1</v>
      </c>
      <c r="H204">
        <f t="shared" si="53"/>
        <v>50</v>
      </c>
      <c r="I204">
        <f t="shared" si="54"/>
        <v>25</v>
      </c>
      <c r="J204">
        <f t="shared" si="47"/>
        <v>0</v>
      </c>
      <c r="K204">
        <f t="shared" si="48"/>
        <v>0</v>
      </c>
      <c r="L204">
        <f t="shared" si="55"/>
        <v>54</v>
      </c>
      <c r="M204">
        <f t="shared" si="56"/>
        <v>32</v>
      </c>
      <c r="N204">
        <f t="shared" si="57"/>
        <v>1</v>
      </c>
      <c r="O204">
        <f t="shared" si="58"/>
        <v>17</v>
      </c>
      <c r="P204">
        <f t="shared" si="49"/>
        <v>7</v>
      </c>
      <c r="Q204">
        <f t="shared" si="59"/>
        <v>37</v>
      </c>
      <c r="R204">
        <f t="shared" si="59"/>
        <v>25</v>
      </c>
    </row>
    <row r="205" spans="1:18" x14ac:dyDescent="0.25">
      <c r="A205" s="1">
        <v>44855</v>
      </c>
      <c r="B205">
        <f t="shared" si="45"/>
        <v>5</v>
      </c>
      <c r="C205">
        <f t="shared" si="50"/>
        <v>37</v>
      </c>
      <c r="D205">
        <f t="shared" si="50"/>
        <v>25</v>
      </c>
      <c r="E205">
        <f t="shared" si="51"/>
        <v>0</v>
      </c>
      <c r="F205">
        <f t="shared" si="46"/>
        <v>0</v>
      </c>
      <c r="G205">
        <f t="shared" si="52"/>
        <v>0</v>
      </c>
      <c r="H205">
        <f t="shared" si="53"/>
        <v>0</v>
      </c>
      <c r="I205">
        <f t="shared" si="54"/>
        <v>0</v>
      </c>
      <c r="J205">
        <f t="shared" si="47"/>
        <v>0</v>
      </c>
      <c r="K205">
        <f t="shared" si="48"/>
        <v>0</v>
      </c>
      <c r="L205">
        <f t="shared" si="55"/>
        <v>37</v>
      </c>
      <c r="M205">
        <f t="shared" si="56"/>
        <v>25</v>
      </c>
      <c r="N205">
        <f t="shared" si="57"/>
        <v>1</v>
      </c>
      <c r="O205">
        <f t="shared" si="58"/>
        <v>12</v>
      </c>
      <c r="P205">
        <f t="shared" si="49"/>
        <v>5</v>
      </c>
      <c r="Q205">
        <f t="shared" si="59"/>
        <v>25</v>
      </c>
      <c r="R205">
        <f t="shared" si="59"/>
        <v>20</v>
      </c>
    </row>
    <row r="206" spans="1:18" x14ac:dyDescent="0.25">
      <c r="A206" s="1">
        <v>44856</v>
      </c>
      <c r="B206">
        <f t="shared" si="45"/>
        <v>6</v>
      </c>
      <c r="C206">
        <f t="shared" si="50"/>
        <v>25</v>
      </c>
      <c r="D206">
        <f t="shared" si="50"/>
        <v>20</v>
      </c>
      <c r="E206">
        <f t="shared" si="51"/>
        <v>0</v>
      </c>
      <c r="F206">
        <f t="shared" si="46"/>
        <v>0</v>
      </c>
      <c r="G206">
        <f t="shared" si="52"/>
        <v>0</v>
      </c>
      <c r="H206">
        <f t="shared" si="53"/>
        <v>0</v>
      </c>
      <c r="I206">
        <f t="shared" si="54"/>
        <v>0</v>
      </c>
      <c r="J206">
        <f t="shared" si="47"/>
        <v>0</v>
      </c>
      <c r="K206">
        <f t="shared" si="48"/>
        <v>0</v>
      </c>
      <c r="L206">
        <f t="shared" si="55"/>
        <v>25</v>
      </c>
      <c r="M206">
        <f t="shared" si="56"/>
        <v>20</v>
      </c>
      <c r="N206">
        <f t="shared" si="57"/>
        <v>1</v>
      </c>
      <c r="O206">
        <f t="shared" si="58"/>
        <v>8</v>
      </c>
      <c r="P206">
        <f t="shared" si="49"/>
        <v>4</v>
      </c>
      <c r="Q206">
        <f t="shared" si="59"/>
        <v>17</v>
      </c>
      <c r="R206">
        <f t="shared" si="59"/>
        <v>16</v>
      </c>
    </row>
    <row r="207" spans="1:18" x14ac:dyDescent="0.25">
      <c r="A207" s="1">
        <v>44857</v>
      </c>
      <c r="B207">
        <f t="shared" si="45"/>
        <v>7</v>
      </c>
      <c r="C207">
        <f t="shared" si="50"/>
        <v>17</v>
      </c>
      <c r="D207">
        <f t="shared" si="50"/>
        <v>16</v>
      </c>
      <c r="E207">
        <f t="shared" si="51"/>
        <v>0</v>
      </c>
      <c r="F207">
        <f t="shared" si="46"/>
        <v>0</v>
      </c>
      <c r="G207">
        <f t="shared" si="52"/>
        <v>0</v>
      </c>
      <c r="H207">
        <f t="shared" si="53"/>
        <v>0</v>
      </c>
      <c r="I207">
        <f t="shared" si="54"/>
        <v>0</v>
      </c>
      <c r="J207">
        <f t="shared" si="47"/>
        <v>0</v>
      </c>
      <c r="K207">
        <f t="shared" si="48"/>
        <v>0</v>
      </c>
      <c r="L207">
        <f t="shared" si="55"/>
        <v>17</v>
      </c>
      <c r="M207">
        <f t="shared" si="56"/>
        <v>16</v>
      </c>
      <c r="N207">
        <f t="shared" si="57"/>
        <v>0</v>
      </c>
      <c r="O207">
        <f t="shared" si="58"/>
        <v>0</v>
      </c>
      <c r="P207">
        <f t="shared" si="49"/>
        <v>0</v>
      </c>
      <c r="Q207">
        <f t="shared" si="59"/>
        <v>17</v>
      </c>
      <c r="R207">
        <f t="shared" si="59"/>
        <v>16</v>
      </c>
    </row>
    <row r="208" spans="1:18" x14ac:dyDescent="0.25">
      <c r="A208" s="1">
        <v>44858</v>
      </c>
      <c r="B208">
        <f t="shared" si="45"/>
        <v>1</v>
      </c>
      <c r="C208">
        <f t="shared" si="50"/>
        <v>17</v>
      </c>
      <c r="D208">
        <f t="shared" si="50"/>
        <v>16</v>
      </c>
      <c r="E208">
        <f t="shared" si="51"/>
        <v>1</v>
      </c>
      <c r="F208">
        <f t="shared" si="46"/>
        <v>1</v>
      </c>
      <c r="G208">
        <f t="shared" si="52"/>
        <v>0</v>
      </c>
      <c r="H208">
        <f t="shared" si="53"/>
        <v>0</v>
      </c>
      <c r="I208">
        <f t="shared" si="54"/>
        <v>0</v>
      </c>
      <c r="J208">
        <f t="shared" si="47"/>
        <v>0</v>
      </c>
      <c r="K208">
        <f t="shared" si="48"/>
        <v>0</v>
      </c>
      <c r="L208">
        <f t="shared" si="55"/>
        <v>16</v>
      </c>
      <c r="M208">
        <f t="shared" si="56"/>
        <v>16</v>
      </c>
      <c r="N208">
        <f t="shared" si="57"/>
        <v>1</v>
      </c>
      <c r="O208">
        <f t="shared" si="58"/>
        <v>5</v>
      </c>
      <c r="P208">
        <f t="shared" si="49"/>
        <v>4</v>
      </c>
      <c r="Q208">
        <f t="shared" si="59"/>
        <v>11</v>
      </c>
      <c r="R208">
        <f t="shared" si="59"/>
        <v>12</v>
      </c>
    </row>
    <row r="209" spans="1:18" x14ac:dyDescent="0.25">
      <c r="A209" s="1">
        <v>44859</v>
      </c>
      <c r="B209">
        <f t="shared" si="45"/>
        <v>2</v>
      </c>
      <c r="C209">
        <f t="shared" si="50"/>
        <v>11</v>
      </c>
      <c r="D209">
        <f t="shared" si="50"/>
        <v>12</v>
      </c>
      <c r="E209">
        <f t="shared" si="51"/>
        <v>0</v>
      </c>
      <c r="F209">
        <f t="shared" si="46"/>
        <v>0</v>
      </c>
      <c r="G209">
        <f t="shared" si="52"/>
        <v>0</v>
      </c>
      <c r="H209">
        <f t="shared" si="53"/>
        <v>0</v>
      </c>
      <c r="I209">
        <f t="shared" si="54"/>
        <v>0</v>
      </c>
      <c r="J209">
        <f t="shared" si="47"/>
        <v>0</v>
      </c>
      <c r="K209">
        <f t="shared" si="48"/>
        <v>0</v>
      </c>
      <c r="L209">
        <f t="shared" si="55"/>
        <v>11</v>
      </c>
      <c r="M209">
        <f t="shared" si="56"/>
        <v>12</v>
      </c>
      <c r="N209">
        <f t="shared" si="57"/>
        <v>1</v>
      </c>
      <c r="O209">
        <f t="shared" si="58"/>
        <v>4</v>
      </c>
      <c r="P209">
        <f t="shared" si="49"/>
        <v>3</v>
      </c>
      <c r="Q209">
        <f t="shared" si="59"/>
        <v>7</v>
      </c>
      <c r="R209">
        <f t="shared" si="59"/>
        <v>9</v>
      </c>
    </row>
    <row r="210" spans="1:18" x14ac:dyDescent="0.25">
      <c r="A210" s="1">
        <v>44860</v>
      </c>
      <c r="B210">
        <f t="shared" si="45"/>
        <v>3</v>
      </c>
      <c r="C210">
        <f t="shared" si="50"/>
        <v>7</v>
      </c>
      <c r="D210">
        <f t="shared" si="50"/>
        <v>9</v>
      </c>
      <c r="E210">
        <f t="shared" si="51"/>
        <v>0</v>
      </c>
      <c r="F210">
        <f t="shared" si="46"/>
        <v>0</v>
      </c>
      <c r="G210">
        <f t="shared" si="52"/>
        <v>0</v>
      </c>
      <c r="H210">
        <f t="shared" si="53"/>
        <v>0</v>
      </c>
      <c r="I210">
        <f t="shared" si="54"/>
        <v>0</v>
      </c>
      <c r="J210">
        <f t="shared" si="47"/>
        <v>0</v>
      </c>
      <c r="K210">
        <f t="shared" si="48"/>
        <v>0</v>
      </c>
      <c r="L210">
        <f t="shared" si="55"/>
        <v>7</v>
      </c>
      <c r="M210">
        <f t="shared" si="56"/>
        <v>9</v>
      </c>
      <c r="N210">
        <f t="shared" si="57"/>
        <v>1</v>
      </c>
      <c r="O210">
        <f t="shared" si="58"/>
        <v>3</v>
      </c>
      <c r="P210">
        <f t="shared" si="49"/>
        <v>2</v>
      </c>
      <c r="Q210">
        <f t="shared" si="59"/>
        <v>4</v>
      </c>
      <c r="R210">
        <f t="shared" si="59"/>
        <v>7</v>
      </c>
    </row>
    <row r="211" spans="1:18" x14ac:dyDescent="0.25">
      <c r="A211" s="1">
        <v>44861</v>
      </c>
      <c r="B211">
        <f t="shared" si="45"/>
        <v>4</v>
      </c>
      <c r="C211">
        <f t="shared" si="50"/>
        <v>4</v>
      </c>
      <c r="D211">
        <f t="shared" si="50"/>
        <v>7</v>
      </c>
      <c r="E211">
        <f t="shared" si="51"/>
        <v>0</v>
      </c>
      <c r="F211">
        <f t="shared" si="46"/>
        <v>0</v>
      </c>
      <c r="G211">
        <f t="shared" si="52"/>
        <v>1</v>
      </c>
      <c r="H211">
        <f t="shared" si="53"/>
        <v>50</v>
      </c>
      <c r="I211">
        <f t="shared" si="54"/>
        <v>25</v>
      </c>
      <c r="J211">
        <f t="shared" si="47"/>
        <v>0</v>
      </c>
      <c r="K211">
        <f t="shared" si="48"/>
        <v>0</v>
      </c>
      <c r="L211">
        <f t="shared" si="55"/>
        <v>54</v>
      </c>
      <c r="M211">
        <f t="shared" si="56"/>
        <v>32</v>
      </c>
      <c r="N211">
        <f t="shared" si="57"/>
        <v>1</v>
      </c>
      <c r="O211">
        <f t="shared" si="58"/>
        <v>17</v>
      </c>
      <c r="P211">
        <f t="shared" si="49"/>
        <v>7</v>
      </c>
      <c r="Q211">
        <f t="shared" si="59"/>
        <v>37</v>
      </c>
      <c r="R211">
        <f t="shared" si="59"/>
        <v>25</v>
      </c>
    </row>
    <row r="212" spans="1:18" x14ac:dyDescent="0.25">
      <c r="A212" s="1">
        <v>44862</v>
      </c>
      <c r="B212">
        <f t="shared" si="45"/>
        <v>5</v>
      </c>
      <c r="C212">
        <f t="shared" si="50"/>
        <v>37</v>
      </c>
      <c r="D212">
        <f t="shared" si="50"/>
        <v>25</v>
      </c>
      <c r="E212">
        <f t="shared" si="51"/>
        <v>0</v>
      </c>
      <c r="F212">
        <f t="shared" si="46"/>
        <v>0</v>
      </c>
      <c r="G212">
        <f t="shared" si="52"/>
        <v>0</v>
      </c>
      <c r="H212">
        <f t="shared" si="53"/>
        <v>0</v>
      </c>
      <c r="I212">
        <f t="shared" si="54"/>
        <v>0</v>
      </c>
      <c r="J212">
        <f t="shared" si="47"/>
        <v>0</v>
      </c>
      <c r="K212">
        <f t="shared" si="48"/>
        <v>0</v>
      </c>
      <c r="L212">
        <f t="shared" si="55"/>
        <v>37</v>
      </c>
      <c r="M212">
        <f t="shared" si="56"/>
        <v>25</v>
      </c>
      <c r="N212">
        <f t="shared" si="57"/>
        <v>1</v>
      </c>
      <c r="O212">
        <f t="shared" si="58"/>
        <v>12</v>
      </c>
      <c r="P212">
        <f t="shared" si="49"/>
        <v>5</v>
      </c>
      <c r="Q212">
        <f t="shared" si="59"/>
        <v>25</v>
      </c>
      <c r="R212">
        <f t="shared" si="59"/>
        <v>20</v>
      </c>
    </row>
    <row r="213" spans="1:18" x14ac:dyDescent="0.25">
      <c r="A213" s="1">
        <v>44863</v>
      </c>
      <c r="B213">
        <f t="shared" si="45"/>
        <v>6</v>
      </c>
      <c r="C213">
        <f t="shared" si="50"/>
        <v>25</v>
      </c>
      <c r="D213">
        <f t="shared" si="50"/>
        <v>20</v>
      </c>
      <c r="E213">
        <f t="shared" si="51"/>
        <v>0</v>
      </c>
      <c r="F213">
        <f t="shared" si="46"/>
        <v>0</v>
      </c>
      <c r="G213">
        <f t="shared" si="52"/>
        <v>0</v>
      </c>
      <c r="H213">
        <f t="shared" si="53"/>
        <v>0</v>
      </c>
      <c r="I213">
        <f t="shared" si="54"/>
        <v>0</v>
      </c>
      <c r="J213">
        <f t="shared" si="47"/>
        <v>0</v>
      </c>
      <c r="K213">
        <f t="shared" si="48"/>
        <v>0</v>
      </c>
      <c r="L213">
        <f t="shared" si="55"/>
        <v>25</v>
      </c>
      <c r="M213">
        <f t="shared" si="56"/>
        <v>20</v>
      </c>
      <c r="N213">
        <f t="shared" si="57"/>
        <v>1</v>
      </c>
      <c r="O213">
        <f t="shared" si="58"/>
        <v>8</v>
      </c>
      <c r="P213">
        <f t="shared" si="49"/>
        <v>4</v>
      </c>
      <c r="Q213">
        <f t="shared" si="59"/>
        <v>17</v>
      </c>
      <c r="R213">
        <f t="shared" si="59"/>
        <v>16</v>
      </c>
    </row>
    <row r="214" spans="1:18" x14ac:dyDescent="0.25">
      <c r="A214" s="1">
        <v>44864</v>
      </c>
      <c r="B214">
        <f t="shared" si="45"/>
        <v>7</v>
      </c>
      <c r="C214">
        <f t="shared" si="50"/>
        <v>17</v>
      </c>
      <c r="D214">
        <f t="shared" si="50"/>
        <v>16</v>
      </c>
      <c r="E214">
        <f t="shared" si="51"/>
        <v>0</v>
      </c>
      <c r="F214">
        <f t="shared" si="46"/>
        <v>0</v>
      </c>
      <c r="G214">
        <f t="shared" si="52"/>
        <v>0</v>
      </c>
      <c r="H214">
        <f t="shared" si="53"/>
        <v>0</v>
      </c>
      <c r="I214">
        <f t="shared" si="54"/>
        <v>0</v>
      </c>
      <c r="J214">
        <f t="shared" si="47"/>
        <v>0</v>
      </c>
      <c r="K214">
        <f t="shared" si="48"/>
        <v>0</v>
      </c>
      <c r="L214">
        <f t="shared" si="55"/>
        <v>17</v>
      </c>
      <c r="M214">
        <f t="shared" si="56"/>
        <v>16</v>
      </c>
      <c r="N214">
        <f t="shared" si="57"/>
        <v>0</v>
      </c>
      <c r="O214">
        <f t="shared" si="58"/>
        <v>0</v>
      </c>
      <c r="P214">
        <f t="shared" si="49"/>
        <v>0</v>
      </c>
      <c r="Q214">
        <f t="shared" si="59"/>
        <v>17</v>
      </c>
      <c r="R214">
        <f t="shared" si="59"/>
        <v>16</v>
      </c>
    </row>
    <row r="215" spans="1:18" x14ac:dyDescent="0.25">
      <c r="A215" s="1">
        <v>44865</v>
      </c>
      <c r="B215">
        <f t="shared" si="45"/>
        <v>1</v>
      </c>
      <c r="C215">
        <f t="shared" si="50"/>
        <v>17</v>
      </c>
      <c r="D215">
        <f t="shared" si="50"/>
        <v>16</v>
      </c>
      <c r="E215">
        <f t="shared" si="51"/>
        <v>1</v>
      </c>
      <c r="F215">
        <f t="shared" si="46"/>
        <v>1</v>
      </c>
      <c r="G215">
        <f t="shared" si="52"/>
        <v>0</v>
      </c>
      <c r="H215">
        <f t="shared" si="53"/>
        <v>0</v>
      </c>
      <c r="I215">
        <f t="shared" si="54"/>
        <v>0</v>
      </c>
      <c r="J215">
        <f t="shared" si="47"/>
        <v>0</v>
      </c>
      <c r="K215">
        <f t="shared" si="48"/>
        <v>0</v>
      </c>
      <c r="L215">
        <f t="shared" si="55"/>
        <v>16</v>
      </c>
      <c r="M215">
        <f t="shared" si="56"/>
        <v>16</v>
      </c>
      <c r="N215">
        <f t="shared" si="57"/>
        <v>1</v>
      </c>
      <c r="O215">
        <f t="shared" si="58"/>
        <v>5</v>
      </c>
      <c r="P215">
        <f t="shared" si="49"/>
        <v>4</v>
      </c>
      <c r="Q215">
        <f t="shared" si="59"/>
        <v>11</v>
      </c>
      <c r="R215">
        <f t="shared" si="59"/>
        <v>12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EA433-1FF4-4A43-AF2B-193B136A807D}">
  <dimension ref="A2:R216"/>
  <sheetViews>
    <sheetView workbookViewId="0">
      <selection activeCell="A29" sqref="A29"/>
    </sheetView>
  </sheetViews>
  <sheetFormatPr defaultRowHeight="15" x14ac:dyDescent="0.25"/>
  <cols>
    <col min="1" max="1" width="10.140625" bestFit="1" customWidth="1"/>
    <col min="2" max="2" width="14.140625" bestFit="1" customWidth="1"/>
    <col min="3" max="3" width="11.28515625" bestFit="1" customWidth="1"/>
    <col min="4" max="4" width="9.85546875" bestFit="1" customWidth="1"/>
    <col min="5" max="5" width="11.7109375" bestFit="1" customWidth="1"/>
    <col min="6" max="6" width="11.7109375" customWidth="1"/>
    <col min="7" max="7" width="11.5703125" bestFit="1" customWidth="1"/>
    <col min="9" max="9" width="8.42578125" bestFit="1" customWidth="1"/>
    <col min="10" max="10" width="14.28515625" bestFit="1" customWidth="1"/>
    <col min="11" max="11" width="19.85546875" bestFit="1" customWidth="1"/>
    <col min="12" max="12" width="11.7109375" bestFit="1" customWidth="1"/>
    <col min="13" max="13" width="9.85546875" bestFit="1" customWidth="1"/>
    <col min="14" max="14" width="11.85546875" bestFit="1" customWidth="1"/>
    <col min="15" max="15" width="20" bestFit="1" customWidth="1"/>
    <col min="16" max="16" width="19.28515625" bestFit="1" customWidth="1"/>
    <col min="17" max="17" width="10.5703125" bestFit="1" customWidth="1"/>
    <col min="18" max="18" width="9.85546875" bestFit="1" customWidth="1"/>
  </cols>
  <sheetData>
    <row r="2" spans="1:18" x14ac:dyDescent="0.25">
      <c r="A2" t="s">
        <v>0</v>
      </c>
      <c r="B2" t="s">
        <v>1</v>
      </c>
      <c r="C2" t="s">
        <v>2</v>
      </c>
      <c r="D2" t="s">
        <v>3</v>
      </c>
      <c r="E2" t="s">
        <v>14</v>
      </c>
      <c r="F2" t="s">
        <v>15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3</v>
      </c>
      <c r="N2" t="s">
        <v>10</v>
      </c>
      <c r="O2" t="s">
        <v>11</v>
      </c>
      <c r="P2" t="s">
        <v>12</v>
      </c>
      <c r="Q2" t="s">
        <v>13</v>
      </c>
      <c r="R2" t="s">
        <v>3</v>
      </c>
    </row>
    <row r="3" spans="1:18" x14ac:dyDescent="0.25">
      <c r="A3" s="1">
        <v>44652</v>
      </c>
      <c r="B3">
        <f>WEEKDAY(A3, 2)</f>
        <v>5</v>
      </c>
      <c r="C3">
        <v>100</v>
      </c>
      <c r="D3">
        <v>75</v>
      </c>
      <c r="E3">
        <f>IF(B3=1,1,0)</f>
        <v>0</v>
      </c>
      <c r="F3">
        <f>IF(E3=1,ROUNDUP(5% * C3,0),0)</f>
        <v>0</v>
      </c>
      <c r="G3">
        <f>IF(B3=4,1,0)</f>
        <v>0</v>
      </c>
      <c r="H3">
        <f>IF(G3=1,50,0)</f>
        <v>0</v>
      </c>
      <c r="I3">
        <f>IF(G3=1,25,0)</f>
        <v>0</v>
      </c>
      <c r="J3">
        <v>0</v>
      </c>
      <c r="K3">
        <f>IF(J3=1,15,0)</f>
        <v>0</v>
      </c>
      <c r="L3">
        <f>K3+H3+C3-F3</f>
        <v>100</v>
      </c>
      <c r="M3">
        <f>I3+D3</f>
        <v>75</v>
      </c>
      <c r="N3">
        <f>IF(B3&lt;&gt;7,1,0)</f>
        <v>1</v>
      </c>
      <c r="O3">
        <f>IF(N3=1,ROUNDUP(30% * L3,0),0)</f>
        <v>30</v>
      </c>
      <c r="P3">
        <f>IF(N3=1,ROUNDUP(20% * M3,0),0)</f>
        <v>15</v>
      </c>
      <c r="Q3">
        <f>L3-O3</f>
        <v>70</v>
      </c>
      <c r="R3">
        <f>M3-P3</f>
        <v>60</v>
      </c>
    </row>
    <row r="4" spans="1:18" x14ac:dyDescent="0.25">
      <c r="A4" s="1">
        <v>44653</v>
      </c>
      <c r="B4">
        <f t="shared" ref="B4:B67" si="0">WEEKDAY(A4, 2)</f>
        <v>6</v>
      </c>
      <c r="C4">
        <f>Q3</f>
        <v>70</v>
      </c>
      <c r="D4">
        <f>R3</f>
        <v>60</v>
      </c>
      <c r="E4">
        <f>IF(B4=1,1,0)</f>
        <v>0</v>
      </c>
      <c r="F4">
        <f t="shared" ref="F4:F67" si="1">IF(E4=1,ROUNDUP(5% * C4,0),0)</f>
        <v>0</v>
      </c>
      <c r="G4">
        <f>IF(B4=4,1,0)</f>
        <v>0</v>
      </c>
      <c r="H4">
        <f>IF(G4=1,50,0)</f>
        <v>0</v>
      </c>
      <c r="I4">
        <f>IF(G4=1,25,0)</f>
        <v>0</v>
      </c>
      <c r="J4">
        <f t="shared" ref="J4:J67" si="2">IF(AND(B4=1,SUM(O1:O2)&gt;25),1,0)</f>
        <v>0</v>
      </c>
      <c r="K4">
        <f t="shared" ref="K4:K67" si="3">IF(J4=1,15,0)</f>
        <v>0</v>
      </c>
      <c r="L4">
        <f>K4+H4+C4-F4</f>
        <v>70</v>
      </c>
      <c r="M4">
        <f>I4+D4</f>
        <v>60</v>
      </c>
      <c r="N4">
        <f>IF(B4&lt;&gt;7,1,0)</f>
        <v>1</v>
      </c>
      <c r="O4">
        <f>IF(N4=1,ROUNDUP(30% * L4,0),0)</f>
        <v>21</v>
      </c>
      <c r="P4">
        <f t="shared" ref="P4:P67" si="4">IF(N4=1,ROUNDUP(20% * M4,0),0)</f>
        <v>12</v>
      </c>
      <c r="Q4">
        <f>L4-O4</f>
        <v>49</v>
      </c>
      <c r="R4">
        <f>M4-P4</f>
        <v>48</v>
      </c>
    </row>
    <row r="5" spans="1:18" x14ac:dyDescent="0.25">
      <c r="A5" s="1">
        <v>44654</v>
      </c>
      <c r="B5">
        <f t="shared" si="0"/>
        <v>7</v>
      </c>
      <c r="C5">
        <f t="shared" ref="C5:D68" si="5">Q4</f>
        <v>49</v>
      </c>
      <c r="D5">
        <f t="shared" si="5"/>
        <v>48</v>
      </c>
      <c r="E5">
        <f t="shared" ref="E5:E68" si="6">IF(B5=1,1,0)</f>
        <v>0</v>
      </c>
      <c r="F5">
        <f t="shared" si="1"/>
        <v>0</v>
      </c>
      <c r="G5">
        <f t="shared" ref="G5:G68" si="7">IF(B5=4,1,0)</f>
        <v>0</v>
      </c>
      <c r="H5">
        <f t="shared" ref="H5:H68" si="8">IF(G5=1,50,0)</f>
        <v>0</v>
      </c>
      <c r="I5">
        <f t="shared" ref="I5:I68" si="9">IF(G5=1,25,0)</f>
        <v>0</v>
      </c>
      <c r="J5">
        <f t="shared" si="2"/>
        <v>0</v>
      </c>
      <c r="K5">
        <f t="shared" si="3"/>
        <v>0</v>
      </c>
      <c r="L5">
        <f t="shared" ref="L5:L68" si="10">K5+H5+C5-F5</f>
        <v>49</v>
      </c>
      <c r="M5">
        <f t="shared" ref="M5:M68" si="11">I5+D5</f>
        <v>48</v>
      </c>
      <c r="N5">
        <f t="shared" ref="N5:N68" si="12">IF(B5&lt;&gt;7,1,0)</f>
        <v>0</v>
      </c>
      <c r="O5">
        <f t="shared" ref="O5:O68" si="13">IF(N5=1,ROUNDUP(30% * L5,0),0)</f>
        <v>0</v>
      </c>
      <c r="P5">
        <f t="shared" si="4"/>
        <v>0</v>
      </c>
      <c r="Q5">
        <f t="shared" ref="Q5:R68" si="14">L5-O5</f>
        <v>49</v>
      </c>
      <c r="R5">
        <f t="shared" si="14"/>
        <v>48</v>
      </c>
    </row>
    <row r="6" spans="1:18" x14ac:dyDescent="0.25">
      <c r="A6" s="1">
        <v>44655</v>
      </c>
      <c r="B6">
        <f t="shared" si="0"/>
        <v>1</v>
      </c>
      <c r="C6">
        <f t="shared" si="5"/>
        <v>49</v>
      </c>
      <c r="D6">
        <f t="shared" si="5"/>
        <v>48</v>
      </c>
      <c r="E6">
        <f t="shared" si="6"/>
        <v>1</v>
      </c>
      <c r="F6">
        <f t="shared" si="1"/>
        <v>3</v>
      </c>
      <c r="G6">
        <f t="shared" si="7"/>
        <v>0</v>
      </c>
      <c r="H6">
        <f t="shared" si="8"/>
        <v>0</v>
      </c>
      <c r="I6">
        <f t="shared" si="9"/>
        <v>0</v>
      </c>
      <c r="J6">
        <f t="shared" si="2"/>
        <v>1</v>
      </c>
      <c r="K6">
        <f t="shared" si="3"/>
        <v>15</v>
      </c>
      <c r="L6">
        <f t="shared" si="10"/>
        <v>61</v>
      </c>
      <c r="M6">
        <f t="shared" si="11"/>
        <v>48</v>
      </c>
      <c r="N6">
        <f t="shared" si="12"/>
        <v>1</v>
      </c>
      <c r="O6">
        <f t="shared" si="13"/>
        <v>19</v>
      </c>
      <c r="P6">
        <f t="shared" si="4"/>
        <v>10</v>
      </c>
      <c r="Q6">
        <f t="shared" si="14"/>
        <v>42</v>
      </c>
      <c r="R6">
        <f t="shared" si="14"/>
        <v>38</v>
      </c>
    </row>
    <row r="7" spans="1:18" x14ac:dyDescent="0.25">
      <c r="A7" s="1">
        <v>44656</v>
      </c>
      <c r="B7">
        <f t="shared" si="0"/>
        <v>2</v>
      </c>
      <c r="C7">
        <f t="shared" si="5"/>
        <v>42</v>
      </c>
      <c r="D7">
        <f t="shared" si="5"/>
        <v>38</v>
      </c>
      <c r="E7">
        <f t="shared" si="6"/>
        <v>0</v>
      </c>
      <c r="F7">
        <f t="shared" si="1"/>
        <v>0</v>
      </c>
      <c r="G7">
        <f t="shared" si="7"/>
        <v>0</v>
      </c>
      <c r="H7">
        <f t="shared" si="8"/>
        <v>0</v>
      </c>
      <c r="I7">
        <f t="shared" si="9"/>
        <v>0</v>
      </c>
      <c r="J7">
        <f t="shared" si="2"/>
        <v>0</v>
      </c>
      <c r="K7">
        <f t="shared" si="3"/>
        <v>0</v>
      </c>
      <c r="L7">
        <f t="shared" si="10"/>
        <v>42</v>
      </c>
      <c r="M7">
        <f t="shared" si="11"/>
        <v>38</v>
      </c>
      <c r="N7">
        <f t="shared" si="12"/>
        <v>1</v>
      </c>
      <c r="O7">
        <f t="shared" si="13"/>
        <v>13</v>
      </c>
      <c r="P7">
        <f t="shared" si="4"/>
        <v>8</v>
      </c>
      <c r="Q7">
        <f t="shared" si="14"/>
        <v>29</v>
      </c>
      <c r="R7">
        <f t="shared" si="14"/>
        <v>30</v>
      </c>
    </row>
    <row r="8" spans="1:18" x14ac:dyDescent="0.25">
      <c r="A8" s="1">
        <v>44657</v>
      </c>
      <c r="B8">
        <f t="shared" si="0"/>
        <v>3</v>
      </c>
      <c r="C8">
        <f t="shared" si="5"/>
        <v>29</v>
      </c>
      <c r="D8">
        <f t="shared" si="5"/>
        <v>30</v>
      </c>
      <c r="E8">
        <f t="shared" si="6"/>
        <v>0</v>
      </c>
      <c r="F8">
        <f t="shared" si="1"/>
        <v>0</v>
      </c>
      <c r="G8">
        <f t="shared" si="7"/>
        <v>0</v>
      </c>
      <c r="H8">
        <f t="shared" si="8"/>
        <v>0</v>
      </c>
      <c r="I8">
        <f t="shared" si="9"/>
        <v>0</v>
      </c>
      <c r="J8">
        <f t="shared" si="2"/>
        <v>0</v>
      </c>
      <c r="K8">
        <f t="shared" si="3"/>
        <v>0</v>
      </c>
      <c r="L8">
        <f t="shared" si="10"/>
        <v>29</v>
      </c>
      <c r="M8">
        <f t="shared" si="11"/>
        <v>30</v>
      </c>
      <c r="N8">
        <f t="shared" si="12"/>
        <v>1</v>
      </c>
      <c r="O8">
        <f t="shared" si="13"/>
        <v>9</v>
      </c>
      <c r="P8">
        <f t="shared" si="4"/>
        <v>6</v>
      </c>
      <c r="Q8">
        <f t="shared" si="14"/>
        <v>20</v>
      </c>
      <c r="R8">
        <f t="shared" si="14"/>
        <v>24</v>
      </c>
    </row>
    <row r="9" spans="1:18" x14ac:dyDescent="0.25">
      <c r="A9" s="1">
        <v>44658</v>
      </c>
      <c r="B9">
        <f t="shared" si="0"/>
        <v>4</v>
      </c>
      <c r="C9">
        <f t="shared" si="5"/>
        <v>20</v>
      </c>
      <c r="D9">
        <f t="shared" si="5"/>
        <v>24</v>
      </c>
      <c r="E9">
        <f t="shared" si="6"/>
        <v>0</v>
      </c>
      <c r="F9">
        <f t="shared" si="1"/>
        <v>0</v>
      </c>
      <c r="G9">
        <f t="shared" si="7"/>
        <v>1</v>
      </c>
      <c r="H9">
        <f t="shared" si="8"/>
        <v>50</v>
      </c>
      <c r="I9">
        <f t="shared" si="9"/>
        <v>25</v>
      </c>
      <c r="J9">
        <f t="shared" si="2"/>
        <v>0</v>
      </c>
      <c r="K9">
        <f t="shared" si="3"/>
        <v>0</v>
      </c>
      <c r="L9">
        <f t="shared" si="10"/>
        <v>70</v>
      </c>
      <c r="M9">
        <f t="shared" si="11"/>
        <v>49</v>
      </c>
      <c r="N9">
        <f t="shared" si="12"/>
        <v>1</v>
      </c>
      <c r="O9">
        <f t="shared" si="13"/>
        <v>21</v>
      </c>
      <c r="P9">
        <f t="shared" si="4"/>
        <v>10</v>
      </c>
      <c r="Q9">
        <f t="shared" si="14"/>
        <v>49</v>
      </c>
      <c r="R9">
        <f t="shared" si="14"/>
        <v>39</v>
      </c>
    </row>
    <row r="10" spans="1:18" x14ac:dyDescent="0.25">
      <c r="A10" s="1">
        <v>44659</v>
      </c>
      <c r="B10">
        <f t="shared" si="0"/>
        <v>5</v>
      </c>
      <c r="C10">
        <f t="shared" si="5"/>
        <v>49</v>
      </c>
      <c r="D10">
        <f t="shared" si="5"/>
        <v>39</v>
      </c>
      <c r="E10">
        <f t="shared" si="6"/>
        <v>0</v>
      </c>
      <c r="F10">
        <f t="shared" si="1"/>
        <v>0</v>
      </c>
      <c r="G10">
        <f t="shared" si="7"/>
        <v>0</v>
      </c>
      <c r="H10">
        <f t="shared" si="8"/>
        <v>0</v>
      </c>
      <c r="I10">
        <f t="shared" si="9"/>
        <v>0</v>
      </c>
      <c r="J10">
        <f t="shared" si="2"/>
        <v>0</v>
      </c>
      <c r="K10">
        <f t="shared" si="3"/>
        <v>0</v>
      </c>
      <c r="L10">
        <f t="shared" si="10"/>
        <v>49</v>
      </c>
      <c r="M10">
        <f t="shared" si="11"/>
        <v>39</v>
      </c>
      <c r="N10">
        <f t="shared" si="12"/>
        <v>1</v>
      </c>
      <c r="O10">
        <f t="shared" si="13"/>
        <v>15</v>
      </c>
      <c r="P10">
        <f t="shared" si="4"/>
        <v>8</v>
      </c>
      <c r="Q10">
        <f t="shared" si="14"/>
        <v>34</v>
      </c>
      <c r="R10">
        <f t="shared" si="14"/>
        <v>31</v>
      </c>
    </row>
    <row r="11" spans="1:18" x14ac:dyDescent="0.25">
      <c r="A11" s="1">
        <v>44660</v>
      </c>
      <c r="B11">
        <f t="shared" si="0"/>
        <v>6</v>
      </c>
      <c r="C11">
        <f t="shared" si="5"/>
        <v>34</v>
      </c>
      <c r="D11">
        <f t="shared" si="5"/>
        <v>31</v>
      </c>
      <c r="E11">
        <f t="shared" si="6"/>
        <v>0</v>
      </c>
      <c r="F11">
        <f t="shared" si="1"/>
        <v>0</v>
      </c>
      <c r="G11">
        <f t="shared" si="7"/>
        <v>0</v>
      </c>
      <c r="H11">
        <f t="shared" si="8"/>
        <v>0</v>
      </c>
      <c r="I11">
        <f t="shared" si="9"/>
        <v>0</v>
      </c>
      <c r="J11">
        <f t="shared" si="2"/>
        <v>0</v>
      </c>
      <c r="K11">
        <f t="shared" si="3"/>
        <v>0</v>
      </c>
      <c r="L11">
        <f t="shared" si="10"/>
        <v>34</v>
      </c>
      <c r="M11">
        <f t="shared" si="11"/>
        <v>31</v>
      </c>
      <c r="N11">
        <f t="shared" si="12"/>
        <v>1</v>
      </c>
      <c r="O11">
        <f t="shared" si="13"/>
        <v>11</v>
      </c>
      <c r="P11">
        <f t="shared" si="4"/>
        <v>7</v>
      </c>
      <c r="Q11">
        <f t="shared" si="14"/>
        <v>23</v>
      </c>
      <c r="R11">
        <f t="shared" si="14"/>
        <v>24</v>
      </c>
    </row>
    <row r="12" spans="1:18" x14ac:dyDescent="0.25">
      <c r="A12" s="1">
        <v>44661</v>
      </c>
      <c r="B12">
        <f t="shared" si="0"/>
        <v>7</v>
      </c>
      <c r="C12">
        <f t="shared" si="5"/>
        <v>23</v>
      </c>
      <c r="D12">
        <f t="shared" si="5"/>
        <v>24</v>
      </c>
      <c r="E12">
        <f t="shared" si="6"/>
        <v>0</v>
      </c>
      <c r="F12">
        <f t="shared" si="1"/>
        <v>0</v>
      </c>
      <c r="G12">
        <f t="shared" si="7"/>
        <v>0</v>
      </c>
      <c r="H12">
        <f t="shared" si="8"/>
        <v>0</v>
      </c>
      <c r="I12">
        <f t="shared" si="9"/>
        <v>0</v>
      </c>
      <c r="J12">
        <f t="shared" si="2"/>
        <v>0</v>
      </c>
      <c r="K12">
        <f t="shared" si="3"/>
        <v>0</v>
      </c>
      <c r="L12">
        <f t="shared" si="10"/>
        <v>23</v>
      </c>
      <c r="M12">
        <f t="shared" si="11"/>
        <v>24</v>
      </c>
      <c r="N12">
        <f t="shared" si="12"/>
        <v>0</v>
      </c>
      <c r="O12">
        <f t="shared" si="13"/>
        <v>0</v>
      </c>
      <c r="P12">
        <f t="shared" si="4"/>
        <v>0</v>
      </c>
      <c r="Q12">
        <f t="shared" si="14"/>
        <v>23</v>
      </c>
      <c r="R12">
        <f t="shared" si="14"/>
        <v>24</v>
      </c>
    </row>
    <row r="13" spans="1:18" x14ac:dyDescent="0.25">
      <c r="A13" s="1">
        <v>44662</v>
      </c>
      <c r="B13">
        <f t="shared" si="0"/>
        <v>1</v>
      </c>
      <c r="C13">
        <f t="shared" si="5"/>
        <v>23</v>
      </c>
      <c r="D13">
        <f t="shared" si="5"/>
        <v>24</v>
      </c>
      <c r="E13">
        <f t="shared" si="6"/>
        <v>1</v>
      </c>
      <c r="F13">
        <f t="shared" si="1"/>
        <v>2</v>
      </c>
      <c r="G13">
        <f t="shared" si="7"/>
        <v>0</v>
      </c>
      <c r="H13">
        <f t="shared" si="8"/>
        <v>0</v>
      </c>
      <c r="I13">
        <f t="shared" si="9"/>
        <v>0</v>
      </c>
      <c r="J13">
        <f t="shared" si="2"/>
        <v>1</v>
      </c>
      <c r="K13">
        <f t="shared" si="3"/>
        <v>15</v>
      </c>
      <c r="L13">
        <f t="shared" si="10"/>
        <v>36</v>
      </c>
      <c r="M13">
        <f t="shared" si="11"/>
        <v>24</v>
      </c>
      <c r="N13">
        <f t="shared" si="12"/>
        <v>1</v>
      </c>
      <c r="O13">
        <f t="shared" si="13"/>
        <v>11</v>
      </c>
      <c r="P13">
        <f t="shared" si="4"/>
        <v>5</v>
      </c>
      <c r="Q13">
        <f t="shared" si="14"/>
        <v>25</v>
      </c>
      <c r="R13">
        <f t="shared" si="14"/>
        <v>19</v>
      </c>
    </row>
    <row r="14" spans="1:18" x14ac:dyDescent="0.25">
      <c r="A14" s="1">
        <v>44663</v>
      </c>
      <c r="B14">
        <f t="shared" si="0"/>
        <v>2</v>
      </c>
      <c r="C14">
        <f t="shared" si="5"/>
        <v>25</v>
      </c>
      <c r="D14">
        <f t="shared" si="5"/>
        <v>19</v>
      </c>
      <c r="E14">
        <f t="shared" si="6"/>
        <v>0</v>
      </c>
      <c r="F14">
        <f t="shared" si="1"/>
        <v>0</v>
      </c>
      <c r="G14">
        <f t="shared" si="7"/>
        <v>0</v>
      </c>
      <c r="H14">
        <f t="shared" si="8"/>
        <v>0</v>
      </c>
      <c r="I14">
        <f t="shared" si="9"/>
        <v>0</v>
      </c>
      <c r="J14">
        <f t="shared" si="2"/>
        <v>0</v>
      </c>
      <c r="K14">
        <f t="shared" si="3"/>
        <v>0</v>
      </c>
      <c r="L14">
        <f t="shared" si="10"/>
        <v>25</v>
      </c>
      <c r="M14">
        <f t="shared" si="11"/>
        <v>19</v>
      </c>
      <c r="N14">
        <f t="shared" si="12"/>
        <v>1</v>
      </c>
      <c r="O14">
        <f t="shared" si="13"/>
        <v>8</v>
      </c>
      <c r="P14">
        <f t="shared" si="4"/>
        <v>4</v>
      </c>
      <c r="Q14">
        <f t="shared" si="14"/>
        <v>17</v>
      </c>
      <c r="R14">
        <f t="shared" si="14"/>
        <v>15</v>
      </c>
    </row>
    <row r="15" spans="1:18" x14ac:dyDescent="0.25">
      <c r="A15" s="1">
        <v>44664</v>
      </c>
      <c r="B15">
        <f t="shared" si="0"/>
        <v>3</v>
      </c>
      <c r="C15">
        <f t="shared" si="5"/>
        <v>17</v>
      </c>
      <c r="D15">
        <f t="shared" si="5"/>
        <v>15</v>
      </c>
      <c r="E15">
        <f t="shared" si="6"/>
        <v>0</v>
      </c>
      <c r="F15">
        <f t="shared" si="1"/>
        <v>0</v>
      </c>
      <c r="G15">
        <f t="shared" si="7"/>
        <v>0</v>
      </c>
      <c r="H15">
        <f t="shared" si="8"/>
        <v>0</v>
      </c>
      <c r="I15">
        <f t="shared" si="9"/>
        <v>0</v>
      </c>
      <c r="J15">
        <f t="shared" si="2"/>
        <v>0</v>
      </c>
      <c r="K15">
        <f t="shared" si="3"/>
        <v>0</v>
      </c>
      <c r="L15">
        <f t="shared" si="10"/>
        <v>17</v>
      </c>
      <c r="M15">
        <f t="shared" si="11"/>
        <v>15</v>
      </c>
      <c r="N15">
        <f t="shared" si="12"/>
        <v>1</v>
      </c>
      <c r="O15">
        <f t="shared" si="13"/>
        <v>6</v>
      </c>
      <c r="P15">
        <f t="shared" si="4"/>
        <v>3</v>
      </c>
      <c r="Q15">
        <f t="shared" si="14"/>
        <v>11</v>
      </c>
      <c r="R15">
        <f t="shared" si="14"/>
        <v>12</v>
      </c>
    </row>
    <row r="16" spans="1:18" x14ac:dyDescent="0.25">
      <c r="A16" s="1">
        <v>44665</v>
      </c>
      <c r="B16">
        <f t="shared" si="0"/>
        <v>4</v>
      </c>
      <c r="C16">
        <f t="shared" si="5"/>
        <v>11</v>
      </c>
      <c r="D16">
        <f t="shared" si="5"/>
        <v>12</v>
      </c>
      <c r="E16">
        <f t="shared" si="6"/>
        <v>0</v>
      </c>
      <c r="F16">
        <f t="shared" si="1"/>
        <v>0</v>
      </c>
      <c r="G16">
        <f t="shared" si="7"/>
        <v>1</v>
      </c>
      <c r="H16">
        <f t="shared" si="8"/>
        <v>50</v>
      </c>
      <c r="I16">
        <f t="shared" si="9"/>
        <v>25</v>
      </c>
      <c r="J16">
        <f t="shared" si="2"/>
        <v>0</v>
      </c>
      <c r="K16">
        <f t="shared" si="3"/>
        <v>0</v>
      </c>
      <c r="L16">
        <f t="shared" si="10"/>
        <v>61</v>
      </c>
      <c r="M16">
        <f t="shared" si="11"/>
        <v>37</v>
      </c>
      <c r="N16">
        <f t="shared" si="12"/>
        <v>1</v>
      </c>
      <c r="O16">
        <f t="shared" si="13"/>
        <v>19</v>
      </c>
      <c r="P16">
        <f t="shared" si="4"/>
        <v>8</v>
      </c>
      <c r="Q16">
        <f t="shared" si="14"/>
        <v>42</v>
      </c>
      <c r="R16">
        <f t="shared" si="14"/>
        <v>29</v>
      </c>
    </row>
    <row r="17" spans="1:18" x14ac:dyDescent="0.25">
      <c r="A17" s="1">
        <v>44666</v>
      </c>
      <c r="B17">
        <f t="shared" si="0"/>
        <v>5</v>
      </c>
      <c r="C17">
        <f t="shared" si="5"/>
        <v>42</v>
      </c>
      <c r="D17">
        <f t="shared" si="5"/>
        <v>29</v>
      </c>
      <c r="E17">
        <f t="shared" si="6"/>
        <v>0</v>
      </c>
      <c r="F17">
        <f t="shared" si="1"/>
        <v>0</v>
      </c>
      <c r="G17">
        <f t="shared" si="7"/>
        <v>0</v>
      </c>
      <c r="H17">
        <f t="shared" si="8"/>
        <v>0</v>
      </c>
      <c r="I17">
        <f t="shared" si="9"/>
        <v>0</v>
      </c>
      <c r="J17">
        <f t="shared" si="2"/>
        <v>0</v>
      </c>
      <c r="K17">
        <f t="shared" si="3"/>
        <v>0</v>
      </c>
      <c r="L17">
        <f t="shared" si="10"/>
        <v>42</v>
      </c>
      <c r="M17">
        <f t="shared" si="11"/>
        <v>29</v>
      </c>
      <c r="N17">
        <f t="shared" si="12"/>
        <v>1</v>
      </c>
      <c r="O17">
        <f t="shared" si="13"/>
        <v>13</v>
      </c>
      <c r="P17">
        <f t="shared" si="4"/>
        <v>6</v>
      </c>
      <c r="Q17">
        <f t="shared" si="14"/>
        <v>29</v>
      </c>
      <c r="R17">
        <f t="shared" si="14"/>
        <v>23</v>
      </c>
    </row>
    <row r="18" spans="1:18" x14ac:dyDescent="0.25">
      <c r="A18" s="1">
        <v>44667</v>
      </c>
      <c r="B18">
        <f t="shared" si="0"/>
        <v>6</v>
      </c>
      <c r="C18">
        <f t="shared" si="5"/>
        <v>29</v>
      </c>
      <c r="D18">
        <f t="shared" si="5"/>
        <v>23</v>
      </c>
      <c r="E18">
        <f t="shared" si="6"/>
        <v>0</v>
      </c>
      <c r="F18">
        <f t="shared" si="1"/>
        <v>0</v>
      </c>
      <c r="G18">
        <f t="shared" si="7"/>
        <v>0</v>
      </c>
      <c r="H18">
        <f t="shared" si="8"/>
        <v>0</v>
      </c>
      <c r="I18">
        <f t="shared" si="9"/>
        <v>0</v>
      </c>
      <c r="J18">
        <f t="shared" si="2"/>
        <v>0</v>
      </c>
      <c r="K18">
        <f t="shared" si="3"/>
        <v>0</v>
      </c>
      <c r="L18">
        <f t="shared" si="10"/>
        <v>29</v>
      </c>
      <c r="M18">
        <f t="shared" si="11"/>
        <v>23</v>
      </c>
      <c r="N18">
        <f t="shared" si="12"/>
        <v>1</v>
      </c>
      <c r="O18">
        <f t="shared" si="13"/>
        <v>9</v>
      </c>
      <c r="P18">
        <f t="shared" si="4"/>
        <v>5</v>
      </c>
      <c r="Q18">
        <f t="shared" si="14"/>
        <v>20</v>
      </c>
      <c r="R18">
        <f t="shared" si="14"/>
        <v>18</v>
      </c>
    </row>
    <row r="19" spans="1:18" x14ac:dyDescent="0.25">
      <c r="A19" s="1">
        <v>44668</v>
      </c>
      <c r="B19">
        <f t="shared" si="0"/>
        <v>7</v>
      </c>
      <c r="C19">
        <f t="shared" si="5"/>
        <v>20</v>
      </c>
      <c r="D19">
        <f t="shared" si="5"/>
        <v>18</v>
      </c>
      <c r="E19">
        <f t="shared" si="6"/>
        <v>0</v>
      </c>
      <c r="F19">
        <f t="shared" si="1"/>
        <v>0</v>
      </c>
      <c r="G19">
        <f t="shared" si="7"/>
        <v>0</v>
      </c>
      <c r="H19">
        <f t="shared" si="8"/>
        <v>0</v>
      </c>
      <c r="I19">
        <f t="shared" si="9"/>
        <v>0</v>
      </c>
      <c r="J19">
        <f t="shared" si="2"/>
        <v>0</v>
      </c>
      <c r="K19">
        <f t="shared" si="3"/>
        <v>0</v>
      </c>
      <c r="L19">
        <f t="shared" si="10"/>
        <v>20</v>
      </c>
      <c r="M19">
        <f t="shared" si="11"/>
        <v>18</v>
      </c>
      <c r="N19">
        <f t="shared" si="12"/>
        <v>0</v>
      </c>
      <c r="O19">
        <f t="shared" si="13"/>
        <v>0</v>
      </c>
      <c r="P19">
        <f t="shared" si="4"/>
        <v>0</v>
      </c>
      <c r="Q19">
        <f t="shared" si="14"/>
        <v>20</v>
      </c>
      <c r="R19">
        <f t="shared" si="14"/>
        <v>18</v>
      </c>
    </row>
    <row r="20" spans="1:18" x14ac:dyDescent="0.25">
      <c r="A20" s="1">
        <v>44669</v>
      </c>
      <c r="B20">
        <f t="shared" si="0"/>
        <v>1</v>
      </c>
      <c r="C20">
        <f t="shared" si="5"/>
        <v>20</v>
      </c>
      <c r="D20">
        <f t="shared" si="5"/>
        <v>18</v>
      </c>
      <c r="E20">
        <f t="shared" si="6"/>
        <v>1</v>
      </c>
      <c r="F20">
        <f t="shared" si="1"/>
        <v>1</v>
      </c>
      <c r="G20">
        <f t="shared" si="7"/>
        <v>0</v>
      </c>
      <c r="H20">
        <f t="shared" si="8"/>
        <v>0</v>
      </c>
      <c r="I20">
        <f t="shared" si="9"/>
        <v>0</v>
      </c>
      <c r="J20">
        <f t="shared" si="2"/>
        <v>0</v>
      </c>
      <c r="K20">
        <f t="shared" si="3"/>
        <v>0</v>
      </c>
      <c r="L20">
        <f t="shared" si="10"/>
        <v>19</v>
      </c>
      <c r="M20">
        <f t="shared" si="11"/>
        <v>18</v>
      </c>
      <c r="N20">
        <f t="shared" si="12"/>
        <v>1</v>
      </c>
      <c r="O20">
        <f t="shared" si="13"/>
        <v>6</v>
      </c>
      <c r="P20">
        <f t="shared" si="4"/>
        <v>4</v>
      </c>
      <c r="Q20">
        <f t="shared" si="14"/>
        <v>13</v>
      </c>
      <c r="R20">
        <f t="shared" si="14"/>
        <v>14</v>
      </c>
    </row>
    <row r="21" spans="1:18" x14ac:dyDescent="0.25">
      <c r="A21" s="1">
        <v>44670</v>
      </c>
      <c r="B21">
        <f t="shared" si="0"/>
        <v>2</v>
      </c>
      <c r="C21">
        <f t="shared" si="5"/>
        <v>13</v>
      </c>
      <c r="D21">
        <f t="shared" si="5"/>
        <v>14</v>
      </c>
      <c r="E21">
        <f t="shared" si="6"/>
        <v>0</v>
      </c>
      <c r="F21">
        <f t="shared" si="1"/>
        <v>0</v>
      </c>
      <c r="G21">
        <f t="shared" si="7"/>
        <v>0</v>
      </c>
      <c r="H21">
        <f t="shared" si="8"/>
        <v>0</v>
      </c>
      <c r="I21">
        <f t="shared" si="9"/>
        <v>0</v>
      </c>
      <c r="J21">
        <f t="shared" si="2"/>
        <v>0</v>
      </c>
      <c r="K21">
        <f t="shared" si="3"/>
        <v>0</v>
      </c>
      <c r="L21">
        <f t="shared" si="10"/>
        <v>13</v>
      </c>
      <c r="M21">
        <f t="shared" si="11"/>
        <v>14</v>
      </c>
      <c r="N21">
        <f t="shared" si="12"/>
        <v>1</v>
      </c>
      <c r="O21">
        <f t="shared" si="13"/>
        <v>4</v>
      </c>
      <c r="P21">
        <f t="shared" si="4"/>
        <v>3</v>
      </c>
      <c r="Q21">
        <f t="shared" si="14"/>
        <v>9</v>
      </c>
      <c r="R21">
        <f t="shared" si="14"/>
        <v>11</v>
      </c>
    </row>
    <row r="22" spans="1:18" x14ac:dyDescent="0.25">
      <c r="A22" s="1">
        <v>44671</v>
      </c>
      <c r="B22">
        <f t="shared" si="0"/>
        <v>3</v>
      </c>
      <c r="C22">
        <f t="shared" si="5"/>
        <v>9</v>
      </c>
      <c r="D22">
        <f t="shared" si="5"/>
        <v>11</v>
      </c>
      <c r="E22">
        <f t="shared" si="6"/>
        <v>0</v>
      </c>
      <c r="F22">
        <f t="shared" si="1"/>
        <v>0</v>
      </c>
      <c r="G22">
        <f t="shared" si="7"/>
        <v>0</v>
      </c>
      <c r="H22">
        <f t="shared" si="8"/>
        <v>0</v>
      </c>
      <c r="I22">
        <f t="shared" si="9"/>
        <v>0</v>
      </c>
      <c r="J22">
        <f t="shared" si="2"/>
        <v>0</v>
      </c>
      <c r="K22">
        <f t="shared" si="3"/>
        <v>0</v>
      </c>
      <c r="L22">
        <f t="shared" si="10"/>
        <v>9</v>
      </c>
      <c r="M22">
        <f t="shared" si="11"/>
        <v>11</v>
      </c>
      <c r="N22">
        <f t="shared" si="12"/>
        <v>1</v>
      </c>
      <c r="O22">
        <f t="shared" si="13"/>
        <v>3</v>
      </c>
      <c r="P22">
        <f t="shared" si="4"/>
        <v>3</v>
      </c>
      <c r="Q22">
        <f t="shared" si="14"/>
        <v>6</v>
      </c>
      <c r="R22">
        <f t="shared" si="14"/>
        <v>8</v>
      </c>
    </row>
    <row r="23" spans="1:18" x14ac:dyDescent="0.25">
      <c r="A23" s="1">
        <v>44672</v>
      </c>
      <c r="B23">
        <f t="shared" si="0"/>
        <v>4</v>
      </c>
      <c r="C23">
        <f t="shared" si="5"/>
        <v>6</v>
      </c>
      <c r="D23">
        <f t="shared" si="5"/>
        <v>8</v>
      </c>
      <c r="E23">
        <f t="shared" si="6"/>
        <v>0</v>
      </c>
      <c r="F23">
        <f t="shared" si="1"/>
        <v>0</v>
      </c>
      <c r="G23">
        <f t="shared" si="7"/>
        <v>1</v>
      </c>
      <c r="H23">
        <f t="shared" si="8"/>
        <v>50</v>
      </c>
      <c r="I23">
        <f t="shared" si="9"/>
        <v>25</v>
      </c>
      <c r="J23">
        <f t="shared" si="2"/>
        <v>0</v>
      </c>
      <c r="K23">
        <f t="shared" si="3"/>
        <v>0</v>
      </c>
      <c r="L23">
        <f t="shared" si="10"/>
        <v>56</v>
      </c>
      <c r="M23">
        <f t="shared" si="11"/>
        <v>33</v>
      </c>
      <c r="N23">
        <f t="shared" si="12"/>
        <v>1</v>
      </c>
      <c r="O23">
        <f t="shared" si="13"/>
        <v>17</v>
      </c>
      <c r="P23">
        <f t="shared" si="4"/>
        <v>7</v>
      </c>
      <c r="Q23">
        <f t="shared" si="14"/>
        <v>39</v>
      </c>
      <c r="R23">
        <f t="shared" si="14"/>
        <v>26</v>
      </c>
    </row>
    <row r="24" spans="1:18" x14ac:dyDescent="0.25">
      <c r="A24" s="1">
        <v>44673</v>
      </c>
      <c r="B24">
        <f t="shared" si="0"/>
        <v>5</v>
      </c>
      <c r="C24">
        <f t="shared" si="5"/>
        <v>39</v>
      </c>
      <c r="D24">
        <f t="shared" si="5"/>
        <v>26</v>
      </c>
      <c r="E24">
        <f t="shared" si="6"/>
        <v>0</v>
      </c>
      <c r="F24">
        <f t="shared" si="1"/>
        <v>0</v>
      </c>
      <c r="G24">
        <f t="shared" si="7"/>
        <v>0</v>
      </c>
      <c r="H24">
        <f t="shared" si="8"/>
        <v>0</v>
      </c>
      <c r="I24">
        <f t="shared" si="9"/>
        <v>0</v>
      </c>
      <c r="J24">
        <f t="shared" si="2"/>
        <v>0</v>
      </c>
      <c r="K24">
        <f t="shared" si="3"/>
        <v>0</v>
      </c>
      <c r="L24">
        <f t="shared" si="10"/>
        <v>39</v>
      </c>
      <c r="M24">
        <f t="shared" si="11"/>
        <v>26</v>
      </c>
      <c r="N24">
        <f t="shared" si="12"/>
        <v>1</v>
      </c>
      <c r="O24">
        <f t="shared" si="13"/>
        <v>12</v>
      </c>
      <c r="P24">
        <f t="shared" si="4"/>
        <v>6</v>
      </c>
      <c r="Q24">
        <f t="shared" si="14"/>
        <v>27</v>
      </c>
      <c r="R24">
        <f t="shared" si="14"/>
        <v>20</v>
      </c>
    </row>
    <row r="25" spans="1:18" x14ac:dyDescent="0.25">
      <c r="A25" s="1">
        <v>44674</v>
      </c>
      <c r="B25">
        <f t="shared" si="0"/>
        <v>6</v>
      </c>
      <c r="C25">
        <f t="shared" si="5"/>
        <v>27</v>
      </c>
      <c r="D25">
        <f t="shared" si="5"/>
        <v>20</v>
      </c>
      <c r="E25">
        <f t="shared" si="6"/>
        <v>0</v>
      </c>
      <c r="F25">
        <f t="shared" si="1"/>
        <v>0</v>
      </c>
      <c r="G25">
        <f t="shared" si="7"/>
        <v>0</v>
      </c>
      <c r="H25">
        <f t="shared" si="8"/>
        <v>0</v>
      </c>
      <c r="I25">
        <f t="shared" si="9"/>
        <v>0</v>
      </c>
      <c r="J25">
        <f t="shared" si="2"/>
        <v>0</v>
      </c>
      <c r="K25">
        <f t="shared" si="3"/>
        <v>0</v>
      </c>
      <c r="L25">
        <f t="shared" si="10"/>
        <v>27</v>
      </c>
      <c r="M25">
        <f t="shared" si="11"/>
        <v>20</v>
      </c>
      <c r="N25">
        <f t="shared" si="12"/>
        <v>1</v>
      </c>
      <c r="O25">
        <f t="shared" si="13"/>
        <v>9</v>
      </c>
      <c r="P25">
        <f t="shared" si="4"/>
        <v>4</v>
      </c>
      <c r="Q25">
        <f t="shared" si="14"/>
        <v>18</v>
      </c>
      <c r="R25">
        <f t="shared" si="14"/>
        <v>16</v>
      </c>
    </row>
    <row r="26" spans="1:18" x14ac:dyDescent="0.25">
      <c r="A26" s="1">
        <v>44675</v>
      </c>
      <c r="B26">
        <f t="shared" si="0"/>
        <v>7</v>
      </c>
      <c r="C26">
        <f t="shared" si="5"/>
        <v>18</v>
      </c>
      <c r="D26">
        <f t="shared" si="5"/>
        <v>16</v>
      </c>
      <c r="E26">
        <f t="shared" si="6"/>
        <v>0</v>
      </c>
      <c r="F26">
        <f t="shared" si="1"/>
        <v>0</v>
      </c>
      <c r="G26">
        <f t="shared" si="7"/>
        <v>0</v>
      </c>
      <c r="H26">
        <f t="shared" si="8"/>
        <v>0</v>
      </c>
      <c r="I26">
        <f t="shared" si="9"/>
        <v>0</v>
      </c>
      <c r="J26">
        <f t="shared" si="2"/>
        <v>0</v>
      </c>
      <c r="K26">
        <f t="shared" si="3"/>
        <v>0</v>
      </c>
      <c r="L26">
        <f t="shared" si="10"/>
        <v>18</v>
      </c>
      <c r="M26">
        <f t="shared" si="11"/>
        <v>16</v>
      </c>
      <c r="N26">
        <f t="shared" si="12"/>
        <v>0</v>
      </c>
      <c r="O26">
        <f t="shared" si="13"/>
        <v>0</v>
      </c>
      <c r="P26">
        <f t="shared" si="4"/>
        <v>0</v>
      </c>
      <c r="Q26">
        <f t="shared" si="14"/>
        <v>18</v>
      </c>
      <c r="R26">
        <f t="shared" si="14"/>
        <v>16</v>
      </c>
    </row>
    <row r="27" spans="1:18" x14ac:dyDescent="0.25">
      <c r="A27" s="1">
        <v>44676</v>
      </c>
      <c r="B27">
        <f t="shared" si="0"/>
        <v>1</v>
      </c>
      <c r="C27">
        <f t="shared" si="5"/>
        <v>18</v>
      </c>
      <c r="D27">
        <f t="shared" si="5"/>
        <v>16</v>
      </c>
      <c r="E27">
        <f t="shared" si="6"/>
        <v>1</v>
      </c>
      <c r="F27">
        <f t="shared" si="1"/>
        <v>1</v>
      </c>
      <c r="G27">
        <f t="shared" si="7"/>
        <v>0</v>
      </c>
      <c r="H27">
        <f t="shared" si="8"/>
        <v>0</v>
      </c>
      <c r="I27">
        <f t="shared" si="9"/>
        <v>0</v>
      </c>
      <c r="J27">
        <f t="shared" si="2"/>
        <v>0</v>
      </c>
      <c r="K27">
        <f t="shared" si="3"/>
        <v>0</v>
      </c>
      <c r="L27">
        <f t="shared" si="10"/>
        <v>17</v>
      </c>
      <c r="M27">
        <f t="shared" si="11"/>
        <v>16</v>
      </c>
      <c r="N27">
        <f t="shared" si="12"/>
        <v>1</v>
      </c>
      <c r="O27">
        <f t="shared" si="13"/>
        <v>6</v>
      </c>
      <c r="P27">
        <f t="shared" si="4"/>
        <v>4</v>
      </c>
      <c r="Q27">
        <f t="shared" si="14"/>
        <v>11</v>
      </c>
      <c r="R27">
        <f t="shared" si="14"/>
        <v>12</v>
      </c>
    </row>
    <row r="28" spans="1:18" x14ac:dyDescent="0.25">
      <c r="A28" s="1">
        <v>44677</v>
      </c>
      <c r="B28">
        <f t="shared" si="0"/>
        <v>2</v>
      </c>
      <c r="C28">
        <f t="shared" si="5"/>
        <v>11</v>
      </c>
      <c r="D28">
        <f t="shared" si="5"/>
        <v>12</v>
      </c>
      <c r="E28">
        <f t="shared" si="6"/>
        <v>0</v>
      </c>
      <c r="F28">
        <f t="shared" si="1"/>
        <v>0</v>
      </c>
      <c r="G28">
        <f t="shared" si="7"/>
        <v>0</v>
      </c>
      <c r="H28">
        <f t="shared" si="8"/>
        <v>0</v>
      </c>
      <c r="I28">
        <f t="shared" si="9"/>
        <v>0</v>
      </c>
      <c r="J28">
        <f t="shared" si="2"/>
        <v>0</v>
      </c>
      <c r="K28">
        <f t="shared" si="3"/>
        <v>0</v>
      </c>
      <c r="L28">
        <f t="shared" si="10"/>
        <v>11</v>
      </c>
      <c r="M28">
        <f t="shared" si="11"/>
        <v>12</v>
      </c>
      <c r="N28">
        <f t="shared" si="12"/>
        <v>1</v>
      </c>
      <c r="O28">
        <f t="shared" si="13"/>
        <v>4</v>
      </c>
      <c r="P28">
        <f t="shared" si="4"/>
        <v>3</v>
      </c>
      <c r="Q28">
        <f t="shared" si="14"/>
        <v>7</v>
      </c>
      <c r="R28">
        <f t="shared" si="14"/>
        <v>9</v>
      </c>
    </row>
    <row r="29" spans="1:18" x14ac:dyDescent="0.25">
      <c r="A29" s="1">
        <v>44678</v>
      </c>
      <c r="B29">
        <f t="shared" si="0"/>
        <v>3</v>
      </c>
      <c r="C29">
        <f t="shared" si="5"/>
        <v>7</v>
      </c>
      <c r="D29">
        <f t="shared" si="5"/>
        <v>9</v>
      </c>
      <c r="E29">
        <f t="shared" si="6"/>
        <v>0</v>
      </c>
      <c r="F29">
        <f t="shared" si="1"/>
        <v>0</v>
      </c>
      <c r="G29">
        <f t="shared" si="7"/>
        <v>0</v>
      </c>
      <c r="H29">
        <f t="shared" si="8"/>
        <v>0</v>
      </c>
      <c r="I29">
        <f t="shared" si="9"/>
        <v>0</v>
      </c>
      <c r="J29">
        <f t="shared" si="2"/>
        <v>0</v>
      </c>
      <c r="K29">
        <f t="shared" si="3"/>
        <v>0</v>
      </c>
      <c r="L29">
        <f t="shared" si="10"/>
        <v>7</v>
      </c>
      <c r="M29">
        <f t="shared" si="11"/>
        <v>9</v>
      </c>
      <c r="N29">
        <f t="shared" si="12"/>
        <v>1</v>
      </c>
      <c r="O29">
        <f t="shared" si="13"/>
        <v>3</v>
      </c>
      <c r="P29" s="2">
        <f t="shared" si="4"/>
        <v>2</v>
      </c>
      <c r="Q29">
        <f t="shared" si="14"/>
        <v>4</v>
      </c>
      <c r="R29">
        <f t="shared" si="14"/>
        <v>7</v>
      </c>
    </row>
    <row r="30" spans="1:18" x14ac:dyDescent="0.25">
      <c r="A30" s="1">
        <v>44679</v>
      </c>
      <c r="B30">
        <f t="shared" si="0"/>
        <v>4</v>
      </c>
      <c r="C30">
        <f t="shared" si="5"/>
        <v>4</v>
      </c>
      <c r="D30">
        <f t="shared" si="5"/>
        <v>7</v>
      </c>
      <c r="E30">
        <f t="shared" si="6"/>
        <v>0</v>
      </c>
      <c r="F30">
        <f t="shared" si="1"/>
        <v>0</v>
      </c>
      <c r="G30">
        <f t="shared" si="7"/>
        <v>1</v>
      </c>
      <c r="H30">
        <f t="shared" si="8"/>
        <v>50</v>
      </c>
      <c r="I30">
        <f t="shared" si="9"/>
        <v>25</v>
      </c>
      <c r="J30">
        <f t="shared" si="2"/>
        <v>0</v>
      </c>
      <c r="K30">
        <f t="shared" si="3"/>
        <v>0</v>
      </c>
      <c r="L30">
        <f t="shared" si="10"/>
        <v>54</v>
      </c>
      <c r="M30">
        <f t="shared" si="11"/>
        <v>32</v>
      </c>
      <c r="N30">
        <f t="shared" si="12"/>
        <v>1</v>
      </c>
      <c r="O30">
        <f t="shared" si="13"/>
        <v>17</v>
      </c>
      <c r="P30">
        <f t="shared" si="4"/>
        <v>7</v>
      </c>
      <c r="Q30">
        <f t="shared" si="14"/>
        <v>37</v>
      </c>
      <c r="R30">
        <f t="shared" si="14"/>
        <v>25</v>
      </c>
    </row>
    <row r="31" spans="1:18" x14ac:dyDescent="0.25">
      <c r="A31" s="1">
        <v>44680</v>
      </c>
      <c r="B31">
        <f t="shared" si="0"/>
        <v>5</v>
      </c>
      <c r="C31">
        <f t="shared" si="5"/>
        <v>37</v>
      </c>
      <c r="D31">
        <f t="shared" si="5"/>
        <v>25</v>
      </c>
      <c r="E31">
        <f t="shared" si="6"/>
        <v>0</v>
      </c>
      <c r="F31">
        <f t="shared" si="1"/>
        <v>0</v>
      </c>
      <c r="G31">
        <f t="shared" si="7"/>
        <v>0</v>
      </c>
      <c r="H31">
        <f t="shared" si="8"/>
        <v>0</v>
      </c>
      <c r="I31">
        <f t="shared" si="9"/>
        <v>0</v>
      </c>
      <c r="J31">
        <f t="shared" si="2"/>
        <v>0</v>
      </c>
      <c r="K31">
        <f t="shared" si="3"/>
        <v>0</v>
      </c>
      <c r="L31">
        <f t="shared" si="10"/>
        <v>37</v>
      </c>
      <c r="M31">
        <f t="shared" si="11"/>
        <v>25</v>
      </c>
      <c r="N31">
        <f t="shared" si="12"/>
        <v>1</v>
      </c>
      <c r="O31">
        <f t="shared" si="13"/>
        <v>12</v>
      </c>
      <c r="P31">
        <f t="shared" si="4"/>
        <v>5</v>
      </c>
      <c r="Q31">
        <f t="shared" si="14"/>
        <v>25</v>
      </c>
      <c r="R31">
        <f t="shared" si="14"/>
        <v>20</v>
      </c>
    </row>
    <row r="32" spans="1:18" x14ac:dyDescent="0.25">
      <c r="A32" s="1">
        <v>44681</v>
      </c>
      <c r="B32">
        <f t="shared" si="0"/>
        <v>6</v>
      </c>
      <c r="C32">
        <f t="shared" si="5"/>
        <v>25</v>
      </c>
      <c r="D32">
        <f t="shared" si="5"/>
        <v>20</v>
      </c>
      <c r="E32">
        <f t="shared" si="6"/>
        <v>0</v>
      </c>
      <c r="F32">
        <f t="shared" si="1"/>
        <v>0</v>
      </c>
      <c r="G32">
        <f t="shared" si="7"/>
        <v>0</v>
      </c>
      <c r="H32">
        <f t="shared" si="8"/>
        <v>0</v>
      </c>
      <c r="I32">
        <f t="shared" si="9"/>
        <v>0</v>
      </c>
      <c r="J32">
        <f t="shared" si="2"/>
        <v>0</v>
      </c>
      <c r="K32">
        <f t="shared" si="3"/>
        <v>0</v>
      </c>
      <c r="L32">
        <f t="shared" si="10"/>
        <v>25</v>
      </c>
      <c r="M32">
        <f t="shared" si="11"/>
        <v>20</v>
      </c>
      <c r="N32">
        <f t="shared" si="12"/>
        <v>1</v>
      </c>
      <c r="O32">
        <f t="shared" si="13"/>
        <v>8</v>
      </c>
      <c r="P32">
        <f t="shared" si="4"/>
        <v>4</v>
      </c>
      <c r="Q32">
        <f t="shared" si="14"/>
        <v>17</v>
      </c>
      <c r="R32">
        <f t="shared" si="14"/>
        <v>16</v>
      </c>
    </row>
    <row r="33" spans="1:18" x14ac:dyDescent="0.25">
      <c r="A33" s="1">
        <v>44682</v>
      </c>
      <c r="B33">
        <f t="shared" si="0"/>
        <v>7</v>
      </c>
      <c r="C33">
        <f t="shared" si="5"/>
        <v>17</v>
      </c>
      <c r="D33">
        <f t="shared" si="5"/>
        <v>16</v>
      </c>
      <c r="E33">
        <f t="shared" si="6"/>
        <v>0</v>
      </c>
      <c r="F33">
        <f t="shared" si="1"/>
        <v>0</v>
      </c>
      <c r="G33">
        <f t="shared" si="7"/>
        <v>0</v>
      </c>
      <c r="H33">
        <f t="shared" si="8"/>
        <v>0</v>
      </c>
      <c r="I33">
        <f t="shared" si="9"/>
        <v>0</v>
      </c>
      <c r="J33">
        <f t="shared" si="2"/>
        <v>0</v>
      </c>
      <c r="K33">
        <f t="shared" si="3"/>
        <v>0</v>
      </c>
      <c r="L33">
        <f t="shared" si="10"/>
        <v>17</v>
      </c>
      <c r="M33">
        <f t="shared" si="11"/>
        <v>16</v>
      </c>
      <c r="N33">
        <f t="shared" si="12"/>
        <v>0</v>
      </c>
      <c r="O33">
        <f t="shared" si="13"/>
        <v>0</v>
      </c>
      <c r="P33">
        <f t="shared" si="4"/>
        <v>0</v>
      </c>
      <c r="Q33">
        <f t="shared" si="14"/>
        <v>17</v>
      </c>
      <c r="R33">
        <f t="shared" si="14"/>
        <v>16</v>
      </c>
    </row>
    <row r="34" spans="1:18" x14ac:dyDescent="0.25">
      <c r="A34" s="1">
        <v>44683</v>
      </c>
      <c r="B34">
        <f t="shared" si="0"/>
        <v>1</v>
      </c>
      <c r="C34">
        <f t="shared" si="5"/>
        <v>17</v>
      </c>
      <c r="D34">
        <f t="shared" si="5"/>
        <v>16</v>
      </c>
      <c r="E34">
        <f t="shared" si="6"/>
        <v>1</v>
      </c>
      <c r="F34">
        <f t="shared" si="1"/>
        <v>1</v>
      </c>
      <c r="G34">
        <f t="shared" si="7"/>
        <v>0</v>
      </c>
      <c r="H34">
        <f t="shared" si="8"/>
        <v>0</v>
      </c>
      <c r="I34">
        <f t="shared" si="9"/>
        <v>0</v>
      </c>
      <c r="J34">
        <f t="shared" si="2"/>
        <v>0</v>
      </c>
      <c r="K34">
        <f t="shared" si="3"/>
        <v>0</v>
      </c>
      <c r="L34">
        <f t="shared" si="10"/>
        <v>16</v>
      </c>
      <c r="M34">
        <f t="shared" si="11"/>
        <v>16</v>
      </c>
      <c r="N34">
        <f t="shared" si="12"/>
        <v>1</v>
      </c>
      <c r="O34">
        <f t="shared" si="13"/>
        <v>5</v>
      </c>
      <c r="P34">
        <f t="shared" si="4"/>
        <v>4</v>
      </c>
      <c r="Q34">
        <f t="shared" si="14"/>
        <v>11</v>
      </c>
      <c r="R34">
        <f t="shared" si="14"/>
        <v>12</v>
      </c>
    </row>
    <row r="35" spans="1:18" x14ac:dyDescent="0.25">
      <c r="A35" s="1">
        <v>44684</v>
      </c>
      <c r="B35">
        <f t="shared" si="0"/>
        <v>2</v>
      </c>
      <c r="C35">
        <f t="shared" si="5"/>
        <v>11</v>
      </c>
      <c r="D35">
        <f t="shared" si="5"/>
        <v>12</v>
      </c>
      <c r="E35">
        <f t="shared" si="6"/>
        <v>0</v>
      </c>
      <c r="F35">
        <f t="shared" si="1"/>
        <v>0</v>
      </c>
      <c r="G35">
        <f t="shared" si="7"/>
        <v>0</v>
      </c>
      <c r="H35">
        <f t="shared" si="8"/>
        <v>0</v>
      </c>
      <c r="I35">
        <f t="shared" si="9"/>
        <v>0</v>
      </c>
      <c r="J35">
        <f t="shared" si="2"/>
        <v>0</v>
      </c>
      <c r="K35">
        <f t="shared" si="3"/>
        <v>0</v>
      </c>
      <c r="L35">
        <f t="shared" si="10"/>
        <v>11</v>
      </c>
      <c r="M35">
        <f t="shared" si="11"/>
        <v>12</v>
      </c>
      <c r="N35">
        <f t="shared" si="12"/>
        <v>1</v>
      </c>
      <c r="O35">
        <f t="shared" si="13"/>
        <v>4</v>
      </c>
      <c r="P35">
        <f t="shared" si="4"/>
        <v>3</v>
      </c>
      <c r="Q35">
        <f t="shared" si="14"/>
        <v>7</v>
      </c>
      <c r="R35">
        <f t="shared" si="14"/>
        <v>9</v>
      </c>
    </row>
    <row r="36" spans="1:18" x14ac:dyDescent="0.25">
      <c r="A36" s="1">
        <v>44685</v>
      </c>
      <c r="B36">
        <f t="shared" si="0"/>
        <v>3</v>
      </c>
      <c r="C36">
        <f t="shared" si="5"/>
        <v>7</v>
      </c>
      <c r="D36">
        <f t="shared" si="5"/>
        <v>9</v>
      </c>
      <c r="E36">
        <f t="shared" si="6"/>
        <v>0</v>
      </c>
      <c r="F36">
        <f t="shared" si="1"/>
        <v>0</v>
      </c>
      <c r="G36">
        <f t="shared" si="7"/>
        <v>0</v>
      </c>
      <c r="H36">
        <f t="shared" si="8"/>
        <v>0</v>
      </c>
      <c r="I36">
        <f t="shared" si="9"/>
        <v>0</v>
      </c>
      <c r="J36">
        <f t="shared" si="2"/>
        <v>0</v>
      </c>
      <c r="K36">
        <f t="shared" si="3"/>
        <v>0</v>
      </c>
      <c r="L36">
        <f t="shared" si="10"/>
        <v>7</v>
      </c>
      <c r="M36">
        <f t="shared" si="11"/>
        <v>9</v>
      </c>
      <c r="N36">
        <f t="shared" si="12"/>
        <v>1</v>
      </c>
      <c r="O36">
        <f t="shared" si="13"/>
        <v>3</v>
      </c>
      <c r="P36">
        <f t="shared" si="4"/>
        <v>2</v>
      </c>
      <c r="Q36">
        <f t="shared" si="14"/>
        <v>4</v>
      </c>
      <c r="R36">
        <f t="shared" si="14"/>
        <v>7</v>
      </c>
    </row>
    <row r="37" spans="1:18" x14ac:dyDescent="0.25">
      <c r="A37" s="1">
        <v>44686</v>
      </c>
      <c r="B37">
        <f t="shared" si="0"/>
        <v>4</v>
      </c>
      <c r="C37">
        <f t="shared" si="5"/>
        <v>4</v>
      </c>
      <c r="D37">
        <f t="shared" si="5"/>
        <v>7</v>
      </c>
      <c r="E37">
        <f t="shared" si="6"/>
        <v>0</v>
      </c>
      <c r="F37">
        <f t="shared" si="1"/>
        <v>0</v>
      </c>
      <c r="G37">
        <f t="shared" si="7"/>
        <v>1</v>
      </c>
      <c r="H37">
        <f t="shared" si="8"/>
        <v>50</v>
      </c>
      <c r="I37">
        <f t="shared" si="9"/>
        <v>25</v>
      </c>
      <c r="J37">
        <f t="shared" si="2"/>
        <v>0</v>
      </c>
      <c r="K37">
        <f t="shared" si="3"/>
        <v>0</v>
      </c>
      <c r="L37">
        <f t="shared" si="10"/>
        <v>54</v>
      </c>
      <c r="M37">
        <f t="shared" si="11"/>
        <v>32</v>
      </c>
      <c r="N37">
        <f t="shared" si="12"/>
        <v>1</v>
      </c>
      <c r="O37">
        <f t="shared" si="13"/>
        <v>17</v>
      </c>
      <c r="P37">
        <f t="shared" si="4"/>
        <v>7</v>
      </c>
      <c r="Q37">
        <f t="shared" si="14"/>
        <v>37</v>
      </c>
      <c r="R37">
        <f t="shared" si="14"/>
        <v>25</v>
      </c>
    </row>
    <row r="38" spans="1:18" x14ac:dyDescent="0.25">
      <c r="A38" s="1">
        <v>44687</v>
      </c>
      <c r="B38">
        <f t="shared" si="0"/>
        <v>5</v>
      </c>
      <c r="C38">
        <f t="shared" si="5"/>
        <v>37</v>
      </c>
      <c r="D38">
        <f t="shared" si="5"/>
        <v>25</v>
      </c>
      <c r="E38">
        <f t="shared" si="6"/>
        <v>0</v>
      </c>
      <c r="F38">
        <f t="shared" si="1"/>
        <v>0</v>
      </c>
      <c r="G38">
        <f t="shared" si="7"/>
        <v>0</v>
      </c>
      <c r="H38">
        <f t="shared" si="8"/>
        <v>0</v>
      </c>
      <c r="I38">
        <f t="shared" si="9"/>
        <v>0</v>
      </c>
      <c r="J38">
        <f t="shared" si="2"/>
        <v>0</v>
      </c>
      <c r="K38">
        <f t="shared" si="3"/>
        <v>0</v>
      </c>
      <c r="L38">
        <f t="shared" si="10"/>
        <v>37</v>
      </c>
      <c r="M38">
        <f t="shared" si="11"/>
        <v>25</v>
      </c>
      <c r="N38">
        <f t="shared" si="12"/>
        <v>1</v>
      </c>
      <c r="O38">
        <f t="shared" si="13"/>
        <v>12</v>
      </c>
      <c r="P38">
        <f t="shared" si="4"/>
        <v>5</v>
      </c>
      <c r="Q38">
        <f t="shared" si="14"/>
        <v>25</v>
      </c>
      <c r="R38">
        <f t="shared" si="14"/>
        <v>20</v>
      </c>
    </row>
    <row r="39" spans="1:18" x14ac:dyDescent="0.25">
      <c r="A39" s="1">
        <v>44688</v>
      </c>
      <c r="B39">
        <f t="shared" si="0"/>
        <v>6</v>
      </c>
      <c r="C39">
        <f t="shared" si="5"/>
        <v>25</v>
      </c>
      <c r="D39">
        <f t="shared" si="5"/>
        <v>20</v>
      </c>
      <c r="E39">
        <f t="shared" si="6"/>
        <v>0</v>
      </c>
      <c r="F39">
        <f t="shared" si="1"/>
        <v>0</v>
      </c>
      <c r="G39">
        <f t="shared" si="7"/>
        <v>0</v>
      </c>
      <c r="H39">
        <f t="shared" si="8"/>
        <v>0</v>
      </c>
      <c r="I39">
        <f t="shared" si="9"/>
        <v>0</v>
      </c>
      <c r="J39">
        <f t="shared" si="2"/>
        <v>0</v>
      </c>
      <c r="K39">
        <f t="shared" si="3"/>
        <v>0</v>
      </c>
      <c r="L39">
        <f t="shared" si="10"/>
        <v>25</v>
      </c>
      <c r="M39">
        <f t="shared" si="11"/>
        <v>20</v>
      </c>
      <c r="N39">
        <f t="shared" si="12"/>
        <v>1</v>
      </c>
      <c r="O39">
        <f t="shared" si="13"/>
        <v>8</v>
      </c>
      <c r="P39">
        <f t="shared" si="4"/>
        <v>4</v>
      </c>
      <c r="Q39">
        <f t="shared" si="14"/>
        <v>17</v>
      </c>
      <c r="R39">
        <f t="shared" si="14"/>
        <v>16</v>
      </c>
    </row>
    <row r="40" spans="1:18" x14ac:dyDescent="0.25">
      <c r="A40" s="1">
        <v>44689</v>
      </c>
      <c r="B40">
        <f t="shared" si="0"/>
        <v>7</v>
      </c>
      <c r="C40">
        <f t="shared" si="5"/>
        <v>17</v>
      </c>
      <c r="D40">
        <f t="shared" si="5"/>
        <v>16</v>
      </c>
      <c r="E40">
        <f t="shared" si="6"/>
        <v>0</v>
      </c>
      <c r="F40">
        <f t="shared" si="1"/>
        <v>0</v>
      </c>
      <c r="G40">
        <f t="shared" si="7"/>
        <v>0</v>
      </c>
      <c r="H40">
        <f t="shared" si="8"/>
        <v>0</v>
      </c>
      <c r="I40">
        <f t="shared" si="9"/>
        <v>0</v>
      </c>
      <c r="J40">
        <f t="shared" si="2"/>
        <v>0</v>
      </c>
      <c r="K40">
        <f t="shared" si="3"/>
        <v>0</v>
      </c>
      <c r="L40">
        <f t="shared" si="10"/>
        <v>17</v>
      </c>
      <c r="M40">
        <f t="shared" si="11"/>
        <v>16</v>
      </c>
      <c r="N40">
        <f t="shared" si="12"/>
        <v>0</v>
      </c>
      <c r="O40">
        <f t="shared" si="13"/>
        <v>0</v>
      </c>
      <c r="P40">
        <f t="shared" si="4"/>
        <v>0</v>
      </c>
      <c r="Q40">
        <f t="shared" si="14"/>
        <v>17</v>
      </c>
      <c r="R40">
        <f t="shared" si="14"/>
        <v>16</v>
      </c>
    </row>
    <row r="41" spans="1:18" x14ac:dyDescent="0.25">
      <c r="A41" s="1">
        <v>44690</v>
      </c>
      <c r="B41">
        <f t="shared" si="0"/>
        <v>1</v>
      </c>
      <c r="C41">
        <f t="shared" si="5"/>
        <v>17</v>
      </c>
      <c r="D41">
        <f t="shared" si="5"/>
        <v>16</v>
      </c>
      <c r="E41">
        <f t="shared" si="6"/>
        <v>1</v>
      </c>
      <c r="F41">
        <f t="shared" si="1"/>
        <v>1</v>
      </c>
      <c r="G41">
        <f t="shared" si="7"/>
        <v>0</v>
      </c>
      <c r="H41">
        <f t="shared" si="8"/>
        <v>0</v>
      </c>
      <c r="I41">
        <f t="shared" si="9"/>
        <v>0</v>
      </c>
      <c r="J41">
        <f t="shared" si="2"/>
        <v>0</v>
      </c>
      <c r="K41">
        <f t="shared" si="3"/>
        <v>0</v>
      </c>
      <c r="L41">
        <f t="shared" si="10"/>
        <v>16</v>
      </c>
      <c r="M41">
        <f t="shared" si="11"/>
        <v>16</v>
      </c>
      <c r="N41">
        <f t="shared" si="12"/>
        <v>1</v>
      </c>
      <c r="O41">
        <f t="shared" si="13"/>
        <v>5</v>
      </c>
      <c r="P41">
        <f t="shared" si="4"/>
        <v>4</v>
      </c>
      <c r="Q41">
        <f t="shared" si="14"/>
        <v>11</v>
      </c>
      <c r="R41">
        <f t="shared" si="14"/>
        <v>12</v>
      </c>
    </row>
    <row r="42" spans="1:18" x14ac:dyDescent="0.25">
      <c r="A42" s="1">
        <v>44691</v>
      </c>
      <c r="B42">
        <f t="shared" si="0"/>
        <v>2</v>
      </c>
      <c r="C42">
        <f t="shared" si="5"/>
        <v>11</v>
      </c>
      <c r="D42">
        <f t="shared" si="5"/>
        <v>12</v>
      </c>
      <c r="E42">
        <f t="shared" si="6"/>
        <v>0</v>
      </c>
      <c r="F42">
        <f t="shared" si="1"/>
        <v>0</v>
      </c>
      <c r="G42">
        <f t="shared" si="7"/>
        <v>0</v>
      </c>
      <c r="H42">
        <f t="shared" si="8"/>
        <v>0</v>
      </c>
      <c r="I42">
        <f t="shared" si="9"/>
        <v>0</v>
      </c>
      <c r="J42">
        <f t="shared" si="2"/>
        <v>0</v>
      </c>
      <c r="K42">
        <f t="shared" si="3"/>
        <v>0</v>
      </c>
      <c r="L42">
        <f t="shared" si="10"/>
        <v>11</v>
      </c>
      <c r="M42">
        <f t="shared" si="11"/>
        <v>12</v>
      </c>
      <c r="N42">
        <f t="shared" si="12"/>
        <v>1</v>
      </c>
      <c r="O42">
        <f t="shared" si="13"/>
        <v>4</v>
      </c>
      <c r="P42">
        <f t="shared" si="4"/>
        <v>3</v>
      </c>
      <c r="Q42">
        <f t="shared" si="14"/>
        <v>7</v>
      </c>
      <c r="R42">
        <f t="shared" si="14"/>
        <v>9</v>
      </c>
    </row>
    <row r="43" spans="1:18" x14ac:dyDescent="0.25">
      <c r="A43" s="1">
        <v>44692</v>
      </c>
      <c r="B43">
        <f t="shared" si="0"/>
        <v>3</v>
      </c>
      <c r="C43">
        <f t="shared" si="5"/>
        <v>7</v>
      </c>
      <c r="D43">
        <f t="shared" si="5"/>
        <v>9</v>
      </c>
      <c r="E43">
        <f t="shared" si="6"/>
        <v>0</v>
      </c>
      <c r="F43">
        <f t="shared" si="1"/>
        <v>0</v>
      </c>
      <c r="G43">
        <f t="shared" si="7"/>
        <v>0</v>
      </c>
      <c r="H43">
        <f t="shared" si="8"/>
        <v>0</v>
      </c>
      <c r="I43">
        <f t="shared" si="9"/>
        <v>0</v>
      </c>
      <c r="J43">
        <f t="shared" si="2"/>
        <v>0</v>
      </c>
      <c r="K43">
        <f t="shared" si="3"/>
        <v>0</v>
      </c>
      <c r="L43">
        <f t="shared" si="10"/>
        <v>7</v>
      </c>
      <c r="M43">
        <f t="shared" si="11"/>
        <v>9</v>
      </c>
      <c r="N43">
        <f t="shared" si="12"/>
        <v>1</v>
      </c>
      <c r="O43">
        <f t="shared" si="13"/>
        <v>3</v>
      </c>
      <c r="P43">
        <f t="shared" si="4"/>
        <v>2</v>
      </c>
      <c r="Q43">
        <f t="shared" si="14"/>
        <v>4</v>
      </c>
      <c r="R43">
        <f t="shared" si="14"/>
        <v>7</v>
      </c>
    </row>
    <row r="44" spans="1:18" x14ac:dyDescent="0.25">
      <c r="A44" s="1">
        <v>44693</v>
      </c>
      <c r="B44">
        <f t="shared" si="0"/>
        <v>4</v>
      </c>
      <c r="C44">
        <f t="shared" si="5"/>
        <v>4</v>
      </c>
      <c r="D44">
        <f t="shared" si="5"/>
        <v>7</v>
      </c>
      <c r="E44">
        <f t="shared" si="6"/>
        <v>0</v>
      </c>
      <c r="F44">
        <f t="shared" si="1"/>
        <v>0</v>
      </c>
      <c r="G44">
        <f t="shared" si="7"/>
        <v>1</v>
      </c>
      <c r="H44">
        <f t="shared" si="8"/>
        <v>50</v>
      </c>
      <c r="I44">
        <f t="shared" si="9"/>
        <v>25</v>
      </c>
      <c r="J44">
        <f t="shared" si="2"/>
        <v>0</v>
      </c>
      <c r="K44">
        <f t="shared" si="3"/>
        <v>0</v>
      </c>
      <c r="L44">
        <f t="shared" si="10"/>
        <v>54</v>
      </c>
      <c r="M44">
        <f t="shared" si="11"/>
        <v>32</v>
      </c>
      <c r="N44">
        <f t="shared" si="12"/>
        <v>1</v>
      </c>
      <c r="O44">
        <f t="shared" si="13"/>
        <v>17</v>
      </c>
      <c r="P44">
        <f t="shared" si="4"/>
        <v>7</v>
      </c>
      <c r="Q44">
        <f t="shared" si="14"/>
        <v>37</v>
      </c>
      <c r="R44">
        <f t="shared" si="14"/>
        <v>25</v>
      </c>
    </row>
    <row r="45" spans="1:18" x14ac:dyDescent="0.25">
      <c r="A45" s="1">
        <v>44694</v>
      </c>
      <c r="B45">
        <f t="shared" si="0"/>
        <v>5</v>
      </c>
      <c r="C45">
        <f t="shared" si="5"/>
        <v>37</v>
      </c>
      <c r="D45">
        <f t="shared" si="5"/>
        <v>25</v>
      </c>
      <c r="E45">
        <f t="shared" si="6"/>
        <v>0</v>
      </c>
      <c r="F45">
        <f t="shared" si="1"/>
        <v>0</v>
      </c>
      <c r="G45">
        <f t="shared" si="7"/>
        <v>0</v>
      </c>
      <c r="H45">
        <f t="shared" si="8"/>
        <v>0</v>
      </c>
      <c r="I45">
        <f t="shared" si="9"/>
        <v>0</v>
      </c>
      <c r="J45">
        <f t="shared" si="2"/>
        <v>0</v>
      </c>
      <c r="K45">
        <f t="shared" si="3"/>
        <v>0</v>
      </c>
      <c r="L45">
        <f t="shared" si="10"/>
        <v>37</v>
      </c>
      <c r="M45">
        <f t="shared" si="11"/>
        <v>25</v>
      </c>
      <c r="N45">
        <f t="shared" si="12"/>
        <v>1</v>
      </c>
      <c r="O45">
        <f t="shared" si="13"/>
        <v>12</v>
      </c>
      <c r="P45">
        <f t="shared" si="4"/>
        <v>5</v>
      </c>
      <c r="Q45">
        <f t="shared" si="14"/>
        <v>25</v>
      </c>
      <c r="R45">
        <f t="shared" si="14"/>
        <v>20</v>
      </c>
    </row>
    <row r="46" spans="1:18" x14ac:dyDescent="0.25">
      <c r="A46" s="1">
        <v>44695</v>
      </c>
      <c r="B46">
        <f t="shared" si="0"/>
        <v>6</v>
      </c>
      <c r="C46">
        <f t="shared" si="5"/>
        <v>25</v>
      </c>
      <c r="D46">
        <f t="shared" si="5"/>
        <v>20</v>
      </c>
      <c r="E46">
        <f t="shared" si="6"/>
        <v>0</v>
      </c>
      <c r="F46">
        <f t="shared" si="1"/>
        <v>0</v>
      </c>
      <c r="G46">
        <f t="shared" si="7"/>
        <v>0</v>
      </c>
      <c r="H46">
        <f t="shared" si="8"/>
        <v>0</v>
      </c>
      <c r="I46">
        <f t="shared" si="9"/>
        <v>0</v>
      </c>
      <c r="J46">
        <f t="shared" si="2"/>
        <v>0</v>
      </c>
      <c r="K46">
        <f t="shared" si="3"/>
        <v>0</v>
      </c>
      <c r="L46">
        <f t="shared" si="10"/>
        <v>25</v>
      </c>
      <c r="M46">
        <f t="shared" si="11"/>
        <v>20</v>
      </c>
      <c r="N46">
        <f t="shared" si="12"/>
        <v>1</v>
      </c>
      <c r="O46">
        <f t="shared" si="13"/>
        <v>8</v>
      </c>
      <c r="P46">
        <f t="shared" si="4"/>
        <v>4</v>
      </c>
      <c r="Q46">
        <f t="shared" si="14"/>
        <v>17</v>
      </c>
      <c r="R46">
        <f t="shared" si="14"/>
        <v>16</v>
      </c>
    </row>
    <row r="47" spans="1:18" x14ac:dyDescent="0.25">
      <c r="A47" s="1">
        <v>44696</v>
      </c>
      <c r="B47">
        <f t="shared" si="0"/>
        <v>7</v>
      </c>
      <c r="C47">
        <f t="shared" si="5"/>
        <v>17</v>
      </c>
      <c r="D47">
        <f t="shared" si="5"/>
        <v>16</v>
      </c>
      <c r="E47">
        <f t="shared" si="6"/>
        <v>0</v>
      </c>
      <c r="F47">
        <f t="shared" si="1"/>
        <v>0</v>
      </c>
      <c r="G47">
        <f t="shared" si="7"/>
        <v>0</v>
      </c>
      <c r="H47">
        <f t="shared" si="8"/>
        <v>0</v>
      </c>
      <c r="I47">
        <f t="shared" si="9"/>
        <v>0</v>
      </c>
      <c r="J47">
        <f t="shared" si="2"/>
        <v>0</v>
      </c>
      <c r="K47">
        <f t="shared" si="3"/>
        <v>0</v>
      </c>
      <c r="L47">
        <f t="shared" si="10"/>
        <v>17</v>
      </c>
      <c r="M47">
        <f t="shared" si="11"/>
        <v>16</v>
      </c>
      <c r="N47">
        <f t="shared" si="12"/>
        <v>0</v>
      </c>
      <c r="O47">
        <f t="shared" si="13"/>
        <v>0</v>
      </c>
      <c r="P47">
        <f t="shared" si="4"/>
        <v>0</v>
      </c>
      <c r="Q47">
        <f t="shared" si="14"/>
        <v>17</v>
      </c>
      <c r="R47">
        <f t="shared" si="14"/>
        <v>16</v>
      </c>
    </row>
    <row r="48" spans="1:18" x14ac:dyDescent="0.25">
      <c r="A48" s="1">
        <v>44697</v>
      </c>
      <c r="B48">
        <f t="shared" si="0"/>
        <v>1</v>
      </c>
      <c r="C48">
        <f t="shared" si="5"/>
        <v>17</v>
      </c>
      <c r="D48">
        <f t="shared" si="5"/>
        <v>16</v>
      </c>
      <c r="E48">
        <f t="shared" si="6"/>
        <v>1</v>
      </c>
      <c r="F48">
        <f t="shared" si="1"/>
        <v>1</v>
      </c>
      <c r="G48">
        <f t="shared" si="7"/>
        <v>0</v>
      </c>
      <c r="H48">
        <f t="shared" si="8"/>
        <v>0</v>
      </c>
      <c r="I48">
        <f t="shared" si="9"/>
        <v>0</v>
      </c>
      <c r="J48">
        <f t="shared" si="2"/>
        <v>0</v>
      </c>
      <c r="K48">
        <f t="shared" si="3"/>
        <v>0</v>
      </c>
      <c r="L48">
        <f t="shared" si="10"/>
        <v>16</v>
      </c>
      <c r="M48">
        <f t="shared" si="11"/>
        <v>16</v>
      </c>
      <c r="N48">
        <f t="shared" si="12"/>
        <v>1</v>
      </c>
      <c r="O48">
        <f t="shared" si="13"/>
        <v>5</v>
      </c>
      <c r="P48">
        <f t="shared" si="4"/>
        <v>4</v>
      </c>
      <c r="Q48">
        <f t="shared" si="14"/>
        <v>11</v>
      </c>
      <c r="R48">
        <f t="shared" si="14"/>
        <v>12</v>
      </c>
    </row>
    <row r="49" spans="1:18" x14ac:dyDescent="0.25">
      <c r="A49" s="1">
        <v>44698</v>
      </c>
      <c r="B49">
        <f t="shared" si="0"/>
        <v>2</v>
      </c>
      <c r="C49">
        <f t="shared" si="5"/>
        <v>11</v>
      </c>
      <c r="D49">
        <f t="shared" si="5"/>
        <v>12</v>
      </c>
      <c r="E49">
        <f t="shared" si="6"/>
        <v>0</v>
      </c>
      <c r="F49">
        <f t="shared" si="1"/>
        <v>0</v>
      </c>
      <c r="G49">
        <f t="shared" si="7"/>
        <v>0</v>
      </c>
      <c r="H49">
        <f t="shared" si="8"/>
        <v>0</v>
      </c>
      <c r="I49">
        <f t="shared" si="9"/>
        <v>0</v>
      </c>
      <c r="J49">
        <f t="shared" si="2"/>
        <v>0</v>
      </c>
      <c r="K49">
        <f t="shared" si="3"/>
        <v>0</v>
      </c>
      <c r="L49">
        <f t="shared" si="10"/>
        <v>11</v>
      </c>
      <c r="M49">
        <f t="shared" si="11"/>
        <v>12</v>
      </c>
      <c r="N49">
        <f t="shared" si="12"/>
        <v>1</v>
      </c>
      <c r="O49">
        <f t="shared" si="13"/>
        <v>4</v>
      </c>
      <c r="P49">
        <f t="shared" si="4"/>
        <v>3</v>
      </c>
      <c r="Q49">
        <f t="shared" si="14"/>
        <v>7</v>
      </c>
      <c r="R49">
        <f t="shared" si="14"/>
        <v>9</v>
      </c>
    </row>
    <row r="50" spans="1:18" x14ac:dyDescent="0.25">
      <c r="A50" s="1">
        <v>44699</v>
      </c>
      <c r="B50">
        <f t="shared" si="0"/>
        <v>3</v>
      </c>
      <c r="C50">
        <f t="shared" si="5"/>
        <v>7</v>
      </c>
      <c r="D50">
        <f t="shared" si="5"/>
        <v>9</v>
      </c>
      <c r="E50">
        <f t="shared" si="6"/>
        <v>0</v>
      </c>
      <c r="F50">
        <f t="shared" si="1"/>
        <v>0</v>
      </c>
      <c r="G50">
        <f t="shared" si="7"/>
        <v>0</v>
      </c>
      <c r="H50">
        <f t="shared" si="8"/>
        <v>0</v>
      </c>
      <c r="I50">
        <f t="shared" si="9"/>
        <v>0</v>
      </c>
      <c r="J50">
        <f t="shared" si="2"/>
        <v>0</v>
      </c>
      <c r="K50">
        <f t="shared" si="3"/>
        <v>0</v>
      </c>
      <c r="L50">
        <f t="shared" si="10"/>
        <v>7</v>
      </c>
      <c r="M50">
        <f t="shared" si="11"/>
        <v>9</v>
      </c>
      <c r="N50">
        <f t="shared" si="12"/>
        <v>1</v>
      </c>
      <c r="O50">
        <f t="shared" si="13"/>
        <v>3</v>
      </c>
      <c r="P50">
        <f t="shared" si="4"/>
        <v>2</v>
      </c>
      <c r="Q50">
        <f t="shared" si="14"/>
        <v>4</v>
      </c>
      <c r="R50">
        <f t="shared" si="14"/>
        <v>7</v>
      </c>
    </row>
    <row r="51" spans="1:18" x14ac:dyDescent="0.25">
      <c r="A51" s="1">
        <v>44700</v>
      </c>
      <c r="B51">
        <f t="shared" si="0"/>
        <v>4</v>
      </c>
      <c r="C51">
        <f t="shared" si="5"/>
        <v>4</v>
      </c>
      <c r="D51">
        <f t="shared" si="5"/>
        <v>7</v>
      </c>
      <c r="E51">
        <f t="shared" si="6"/>
        <v>0</v>
      </c>
      <c r="F51">
        <f t="shared" si="1"/>
        <v>0</v>
      </c>
      <c r="G51">
        <f t="shared" si="7"/>
        <v>1</v>
      </c>
      <c r="H51">
        <f t="shared" si="8"/>
        <v>50</v>
      </c>
      <c r="I51">
        <f t="shared" si="9"/>
        <v>25</v>
      </c>
      <c r="J51">
        <f t="shared" si="2"/>
        <v>0</v>
      </c>
      <c r="K51">
        <f t="shared" si="3"/>
        <v>0</v>
      </c>
      <c r="L51">
        <f t="shared" si="10"/>
        <v>54</v>
      </c>
      <c r="M51">
        <f t="shared" si="11"/>
        <v>32</v>
      </c>
      <c r="N51">
        <f t="shared" si="12"/>
        <v>1</v>
      </c>
      <c r="O51">
        <f t="shared" si="13"/>
        <v>17</v>
      </c>
      <c r="P51">
        <f t="shared" si="4"/>
        <v>7</v>
      </c>
      <c r="Q51">
        <f t="shared" si="14"/>
        <v>37</v>
      </c>
      <c r="R51">
        <f t="shared" si="14"/>
        <v>25</v>
      </c>
    </row>
    <row r="52" spans="1:18" x14ac:dyDescent="0.25">
      <c r="A52" s="1">
        <v>44701</v>
      </c>
      <c r="B52">
        <f t="shared" si="0"/>
        <v>5</v>
      </c>
      <c r="C52">
        <f t="shared" si="5"/>
        <v>37</v>
      </c>
      <c r="D52">
        <f t="shared" si="5"/>
        <v>25</v>
      </c>
      <c r="E52">
        <f t="shared" si="6"/>
        <v>0</v>
      </c>
      <c r="F52">
        <f t="shared" si="1"/>
        <v>0</v>
      </c>
      <c r="G52">
        <f t="shared" si="7"/>
        <v>0</v>
      </c>
      <c r="H52">
        <f t="shared" si="8"/>
        <v>0</v>
      </c>
      <c r="I52">
        <f t="shared" si="9"/>
        <v>0</v>
      </c>
      <c r="J52">
        <f t="shared" si="2"/>
        <v>0</v>
      </c>
      <c r="K52">
        <f t="shared" si="3"/>
        <v>0</v>
      </c>
      <c r="L52">
        <f t="shared" si="10"/>
        <v>37</v>
      </c>
      <c r="M52">
        <f t="shared" si="11"/>
        <v>25</v>
      </c>
      <c r="N52">
        <f t="shared" si="12"/>
        <v>1</v>
      </c>
      <c r="O52">
        <f t="shared" si="13"/>
        <v>12</v>
      </c>
      <c r="P52">
        <f t="shared" si="4"/>
        <v>5</v>
      </c>
      <c r="Q52">
        <f t="shared" si="14"/>
        <v>25</v>
      </c>
      <c r="R52">
        <f t="shared" si="14"/>
        <v>20</v>
      </c>
    </row>
    <row r="53" spans="1:18" x14ac:dyDescent="0.25">
      <c r="A53" s="1">
        <v>44702</v>
      </c>
      <c r="B53">
        <f t="shared" si="0"/>
        <v>6</v>
      </c>
      <c r="C53">
        <f t="shared" si="5"/>
        <v>25</v>
      </c>
      <c r="D53">
        <f t="shared" si="5"/>
        <v>20</v>
      </c>
      <c r="E53">
        <f t="shared" si="6"/>
        <v>0</v>
      </c>
      <c r="F53">
        <f t="shared" si="1"/>
        <v>0</v>
      </c>
      <c r="G53">
        <f t="shared" si="7"/>
        <v>0</v>
      </c>
      <c r="H53">
        <f t="shared" si="8"/>
        <v>0</v>
      </c>
      <c r="I53">
        <f t="shared" si="9"/>
        <v>0</v>
      </c>
      <c r="J53">
        <f t="shared" si="2"/>
        <v>0</v>
      </c>
      <c r="K53">
        <f t="shared" si="3"/>
        <v>0</v>
      </c>
      <c r="L53">
        <f t="shared" si="10"/>
        <v>25</v>
      </c>
      <c r="M53">
        <f t="shared" si="11"/>
        <v>20</v>
      </c>
      <c r="N53">
        <f t="shared" si="12"/>
        <v>1</v>
      </c>
      <c r="O53">
        <f t="shared" si="13"/>
        <v>8</v>
      </c>
      <c r="P53">
        <f t="shared" si="4"/>
        <v>4</v>
      </c>
      <c r="Q53">
        <f t="shared" si="14"/>
        <v>17</v>
      </c>
      <c r="R53">
        <f t="shared" si="14"/>
        <v>16</v>
      </c>
    </row>
    <row r="54" spans="1:18" x14ac:dyDescent="0.25">
      <c r="A54" s="1">
        <v>44703</v>
      </c>
      <c r="B54">
        <f t="shared" si="0"/>
        <v>7</v>
      </c>
      <c r="C54">
        <f t="shared" si="5"/>
        <v>17</v>
      </c>
      <c r="D54">
        <f t="shared" si="5"/>
        <v>16</v>
      </c>
      <c r="E54">
        <f t="shared" si="6"/>
        <v>0</v>
      </c>
      <c r="F54">
        <f t="shared" si="1"/>
        <v>0</v>
      </c>
      <c r="G54">
        <f t="shared" si="7"/>
        <v>0</v>
      </c>
      <c r="H54">
        <f t="shared" si="8"/>
        <v>0</v>
      </c>
      <c r="I54">
        <f t="shared" si="9"/>
        <v>0</v>
      </c>
      <c r="J54">
        <f t="shared" si="2"/>
        <v>0</v>
      </c>
      <c r="K54">
        <f t="shared" si="3"/>
        <v>0</v>
      </c>
      <c r="L54">
        <f t="shared" si="10"/>
        <v>17</v>
      </c>
      <c r="M54">
        <f t="shared" si="11"/>
        <v>16</v>
      </c>
      <c r="N54">
        <f t="shared" si="12"/>
        <v>0</v>
      </c>
      <c r="O54">
        <f t="shared" si="13"/>
        <v>0</v>
      </c>
      <c r="P54">
        <f t="shared" si="4"/>
        <v>0</v>
      </c>
      <c r="Q54">
        <f t="shared" si="14"/>
        <v>17</v>
      </c>
      <c r="R54">
        <f t="shared" si="14"/>
        <v>16</v>
      </c>
    </row>
    <row r="55" spans="1:18" x14ac:dyDescent="0.25">
      <c r="A55" s="1">
        <v>44704</v>
      </c>
      <c r="B55">
        <f t="shared" si="0"/>
        <v>1</v>
      </c>
      <c r="C55">
        <f t="shared" si="5"/>
        <v>17</v>
      </c>
      <c r="D55">
        <f t="shared" si="5"/>
        <v>16</v>
      </c>
      <c r="E55">
        <f t="shared" si="6"/>
        <v>1</v>
      </c>
      <c r="F55">
        <f t="shared" si="1"/>
        <v>1</v>
      </c>
      <c r="G55">
        <f t="shared" si="7"/>
        <v>0</v>
      </c>
      <c r="H55">
        <f t="shared" si="8"/>
        <v>0</v>
      </c>
      <c r="I55">
        <f t="shared" si="9"/>
        <v>0</v>
      </c>
      <c r="J55">
        <f t="shared" si="2"/>
        <v>0</v>
      </c>
      <c r="K55">
        <f t="shared" si="3"/>
        <v>0</v>
      </c>
      <c r="L55">
        <f t="shared" si="10"/>
        <v>16</v>
      </c>
      <c r="M55">
        <f t="shared" si="11"/>
        <v>16</v>
      </c>
      <c r="N55">
        <f t="shared" si="12"/>
        <v>1</v>
      </c>
      <c r="O55">
        <f t="shared" si="13"/>
        <v>5</v>
      </c>
      <c r="P55">
        <f t="shared" si="4"/>
        <v>4</v>
      </c>
      <c r="Q55">
        <f t="shared" si="14"/>
        <v>11</v>
      </c>
      <c r="R55">
        <f t="shared" si="14"/>
        <v>12</v>
      </c>
    </row>
    <row r="56" spans="1:18" x14ac:dyDescent="0.25">
      <c r="A56" s="1">
        <v>44705</v>
      </c>
      <c r="B56">
        <f t="shared" si="0"/>
        <v>2</v>
      </c>
      <c r="C56">
        <f t="shared" si="5"/>
        <v>11</v>
      </c>
      <c r="D56">
        <f t="shared" si="5"/>
        <v>12</v>
      </c>
      <c r="E56">
        <f t="shared" si="6"/>
        <v>0</v>
      </c>
      <c r="F56">
        <f t="shared" si="1"/>
        <v>0</v>
      </c>
      <c r="G56">
        <f t="shared" si="7"/>
        <v>0</v>
      </c>
      <c r="H56">
        <f t="shared" si="8"/>
        <v>0</v>
      </c>
      <c r="I56">
        <f t="shared" si="9"/>
        <v>0</v>
      </c>
      <c r="J56">
        <f t="shared" si="2"/>
        <v>0</v>
      </c>
      <c r="K56">
        <f t="shared" si="3"/>
        <v>0</v>
      </c>
      <c r="L56">
        <f t="shared" si="10"/>
        <v>11</v>
      </c>
      <c r="M56">
        <f t="shared" si="11"/>
        <v>12</v>
      </c>
      <c r="N56">
        <f t="shared" si="12"/>
        <v>1</v>
      </c>
      <c r="O56">
        <f t="shared" si="13"/>
        <v>4</v>
      </c>
      <c r="P56">
        <f t="shared" si="4"/>
        <v>3</v>
      </c>
      <c r="Q56">
        <f t="shared" si="14"/>
        <v>7</v>
      </c>
      <c r="R56">
        <f t="shared" si="14"/>
        <v>9</v>
      </c>
    </row>
    <row r="57" spans="1:18" x14ac:dyDescent="0.25">
      <c r="A57" s="1">
        <v>44706</v>
      </c>
      <c r="B57">
        <f t="shared" si="0"/>
        <v>3</v>
      </c>
      <c r="C57">
        <f t="shared" si="5"/>
        <v>7</v>
      </c>
      <c r="D57">
        <f t="shared" si="5"/>
        <v>9</v>
      </c>
      <c r="E57">
        <f t="shared" si="6"/>
        <v>0</v>
      </c>
      <c r="F57">
        <f t="shared" si="1"/>
        <v>0</v>
      </c>
      <c r="G57">
        <f t="shared" si="7"/>
        <v>0</v>
      </c>
      <c r="H57">
        <f t="shared" si="8"/>
        <v>0</v>
      </c>
      <c r="I57">
        <f t="shared" si="9"/>
        <v>0</v>
      </c>
      <c r="J57">
        <f t="shared" si="2"/>
        <v>0</v>
      </c>
      <c r="K57">
        <f t="shared" si="3"/>
        <v>0</v>
      </c>
      <c r="L57">
        <f t="shared" si="10"/>
        <v>7</v>
      </c>
      <c r="M57">
        <f t="shared" si="11"/>
        <v>9</v>
      </c>
      <c r="N57">
        <f t="shared" si="12"/>
        <v>1</v>
      </c>
      <c r="O57">
        <f t="shared" si="13"/>
        <v>3</v>
      </c>
      <c r="P57">
        <f t="shared" si="4"/>
        <v>2</v>
      </c>
      <c r="Q57">
        <f t="shared" si="14"/>
        <v>4</v>
      </c>
      <c r="R57">
        <f t="shared" si="14"/>
        <v>7</v>
      </c>
    </row>
    <row r="58" spans="1:18" x14ac:dyDescent="0.25">
      <c r="A58" s="1">
        <v>44707</v>
      </c>
      <c r="B58">
        <f t="shared" si="0"/>
        <v>4</v>
      </c>
      <c r="C58">
        <f t="shared" si="5"/>
        <v>4</v>
      </c>
      <c r="D58">
        <f t="shared" si="5"/>
        <v>7</v>
      </c>
      <c r="E58">
        <f t="shared" si="6"/>
        <v>0</v>
      </c>
      <c r="F58">
        <f t="shared" si="1"/>
        <v>0</v>
      </c>
      <c r="G58">
        <f t="shared" si="7"/>
        <v>1</v>
      </c>
      <c r="H58">
        <f t="shared" si="8"/>
        <v>50</v>
      </c>
      <c r="I58">
        <f t="shared" si="9"/>
        <v>25</v>
      </c>
      <c r="J58">
        <f t="shared" si="2"/>
        <v>0</v>
      </c>
      <c r="K58">
        <f t="shared" si="3"/>
        <v>0</v>
      </c>
      <c r="L58">
        <f t="shared" si="10"/>
        <v>54</v>
      </c>
      <c r="M58">
        <f t="shared" si="11"/>
        <v>32</v>
      </c>
      <c r="N58">
        <f t="shared" si="12"/>
        <v>1</v>
      </c>
      <c r="O58">
        <f t="shared" si="13"/>
        <v>17</v>
      </c>
      <c r="P58">
        <f t="shared" si="4"/>
        <v>7</v>
      </c>
      <c r="Q58">
        <f t="shared" si="14"/>
        <v>37</v>
      </c>
      <c r="R58">
        <f t="shared" si="14"/>
        <v>25</v>
      </c>
    </row>
    <row r="59" spans="1:18" x14ac:dyDescent="0.25">
      <c r="A59" s="1">
        <v>44708</v>
      </c>
      <c r="B59">
        <f t="shared" si="0"/>
        <v>5</v>
      </c>
      <c r="C59">
        <f t="shared" si="5"/>
        <v>37</v>
      </c>
      <c r="D59">
        <f t="shared" si="5"/>
        <v>25</v>
      </c>
      <c r="E59">
        <f t="shared" si="6"/>
        <v>0</v>
      </c>
      <c r="F59">
        <f t="shared" si="1"/>
        <v>0</v>
      </c>
      <c r="G59">
        <f t="shared" si="7"/>
        <v>0</v>
      </c>
      <c r="H59">
        <f t="shared" si="8"/>
        <v>0</v>
      </c>
      <c r="I59">
        <f t="shared" si="9"/>
        <v>0</v>
      </c>
      <c r="J59">
        <f t="shared" si="2"/>
        <v>0</v>
      </c>
      <c r="K59">
        <f t="shared" si="3"/>
        <v>0</v>
      </c>
      <c r="L59">
        <f t="shared" si="10"/>
        <v>37</v>
      </c>
      <c r="M59">
        <f t="shared" si="11"/>
        <v>25</v>
      </c>
      <c r="N59">
        <f t="shared" si="12"/>
        <v>1</v>
      </c>
      <c r="O59">
        <f t="shared" si="13"/>
        <v>12</v>
      </c>
      <c r="P59">
        <f t="shared" si="4"/>
        <v>5</v>
      </c>
      <c r="Q59">
        <f t="shared" si="14"/>
        <v>25</v>
      </c>
      <c r="R59">
        <f t="shared" si="14"/>
        <v>20</v>
      </c>
    </row>
    <row r="60" spans="1:18" x14ac:dyDescent="0.25">
      <c r="A60" s="1">
        <v>44709</v>
      </c>
      <c r="B60">
        <f t="shared" si="0"/>
        <v>6</v>
      </c>
      <c r="C60">
        <f t="shared" si="5"/>
        <v>25</v>
      </c>
      <c r="D60">
        <f t="shared" si="5"/>
        <v>20</v>
      </c>
      <c r="E60">
        <f t="shared" si="6"/>
        <v>0</v>
      </c>
      <c r="F60">
        <f t="shared" si="1"/>
        <v>0</v>
      </c>
      <c r="G60">
        <f t="shared" si="7"/>
        <v>0</v>
      </c>
      <c r="H60">
        <f t="shared" si="8"/>
        <v>0</v>
      </c>
      <c r="I60">
        <f t="shared" si="9"/>
        <v>0</v>
      </c>
      <c r="J60">
        <f t="shared" si="2"/>
        <v>0</v>
      </c>
      <c r="K60">
        <f t="shared" si="3"/>
        <v>0</v>
      </c>
      <c r="L60">
        <f t="shared" si="10"/>
        <v>25</v>
      </c>
      <c r="M60">
        <f t="shared" si="11"/>
        <v>20</v>
      </c>
      <c r="N60">
        <f t="shared" si="12"/>
        <v>1</v>
      </c>
      <c r="O60">
        <f t="shared" si="13"/>
        <v>8</v>
      </c>
      <c r="P60">
        <f t="shared" si="4"/>
        <v>4</v>
      </c>
      <c r="Q60">
        <f t="shared" si="14"/>
        <v>17</v>
      </c>
      <c r="R60">
        <f t="shared" si="14"/>
        <v>16</v>
      </c>
    </row>
    <row r="61" spans="1:18" x14ac:dyDescent="0.25">
      <c r="A61" s="1">
        <v>44710</v>
      </c>
      <c r="B61">
        <f t="shared" si="0"/>
        <v>7</v>
      </c>
      <c r="C61">
        <f t="shared" si="5"/>
        <v>17</v>
      </c>
      <c r="D61">
        <f t="shared" si="5"/>
        <v>16</v>
      </c>
      <c r="E61">
        <f t="shared" si="6"/>
        <v>0</v>
      </c>
      <c r="F61">
        <f t="shared" si="1"/>
        <v>0</v>
      </c>
      <c r="G61">
        <f t="shared" si="7"/>
        <v>0</v>
      </c>
      <c r="H61">
        <f t="shared" si="8"/>
        <v>0</v>
      </c>
      <c r="I61">
        <f t="shared" si="9"/>
        <v>0</v>
      </c>
      <c r="J61">
        <f t="shared" si="2"/>
        <v>0</v>
      </c>
      <c r="K61">
        <f t="shared" si="3"/>
        <v>0</v>
      </c>
      <c r="L61">
        <f t="shared" si="10"/>
        <v>17</v>
      </c>
      <c r="M61">
        <f t="shared" si="11"/>
        <v>16</v>
      </c>
      <c r="N61">
        <f t="shared" si="12"/>
        <v>0</v>
      </c>
      <c r="O61">
        <f t="shared" si="13"/>
        <v>0</v>
      </c>
      <c r="P61">
        <f t="shared" si="4"/>
        <v>0</v>
      </c>
      <c r="Q61">
        <f t="shared" si="14"/>
        <v>17</v>
      </c>
      <c r="R61">
        <f t="shared" si="14"/>
        <v>16</v>
      </c>
    </row>
    <row r="62" spans="1:18" x14ac:dyDescent="0.25">
      <c r="A62" s="1">
        <v>44711</v>
      </c>
      <c r="B62">
        <f t="shared" si="0"/>
        <v>1</v>
      </c>
      <c r="C62">
        <f t="shared" si="5"/>
        <v>17</v>
      </c>
      <c r="D62">
        <f t="shared" si="5"/>
        <v>16</v>
      </c>
      <c r="E62">
        <f t="shared" si="6"/>
        <v>1</v>
      </c>
      <c r="F62">
        <f t="shared" si="1"/>
        <v>1</v>
      </c>
      <c r="G62">
        <f t="shared" si="7"/>
        <v>0</v>
      </c>
      <c r="H62">
        <f t="shared" si="8"/>
        <v>0</v>
      </c>
      <c r="I62">
        <f t="shared" si="9"/>
        <v>0</v>
      </c>
      <c r="J62">
        <f t="shared" si="2"/>
        <v>0</v>
      </c>
      <c r="K62">
        <f t="shared" si="3"/>
        <v>0</v>
      </c>
      <c r="L62">
        <f t="shared" si="10"/>
        <v>16</v>
      </c>
      <c r="M62">
        <f t="shared" si="11"/>
        <v>16</v>
      </c>
      <c r="N62">
        <f t="shared" si="12"/>
        <v>1</v>
      </c>
      <c r="O62">
        <f t="shared" si="13"/>
        <v>5</v>
      </c>
      <c r="P62">
        <f t="shared" si="4"/>
        <v>4</v>
      </c>
      <c r="Q62">
        <f t="shared" si="14"/>
        <v>11</v>
      </c>
      <c r="R62">
        <f t="shared" si="14"/>
        <v>12</v>
      </c>
    </row>
    <row r="63" spans="1:18" x14ac:dyDescent="0.25">
      <c r="A63" s="1">
        <v>44712</v>
      </c>
      <c r="B63">
        <f t="shared" si="0"/>
        <v>2</v>
      </c>
      <c r="C63">
        <f t="shared" si="5"/>
        <v>11</v>
      </c>
      <c r="D63">
        <f t="shared" si="5"/>
        <v>12</v>
      </c>
      <c r="E63">
        <f t="shared" si="6"/>
        <v>0</v>
      </c>
      <c r="F63">
        <f t="shared" si="1"/>
        <v>0</v>
      </c>
      <c r="G63">
        <f t="shared" si="7"/>
        <v>0</v>
      </c>
      <c r="H63">
        <f t="shared" si="8"/>
        <v>0</v>
      </c>
      <c r="I63">
        <f t="shared" si="9"/>
        <v>0</v>
      </c>
      <c r="J63">
        <f t="shared" si="2"/>
        <v>0</v>
      </c>
      <c r="K63">
        <f t="shared" si="3"/>
        <v>0</v>
      </c>
      <c r="L63">
        <f t="shared" si="10"/>
        <v>11</v>
      </c>
      <c r="M63">
        <f t="shared" si="11"/>
        <v>12</v>
      </c>
      <c r="N63">
        <f t="shared" si="12"/>
        <v>1</v>
      </c>
      <c r="O63">
        <f t="shared" si="13"/>
        <v>4</v>
      </c>
      <c r="P63">
        <f t="shared" si="4"/>
        <v>3</v>
      </c>
      <c r="Q63">
        <f t="shared" si="14"/>
        <v>7</v>
      </c>
      <c r="R63">
        <f t="shared" si="14"/>
        <v>9</v>
      </c>
    </row>
    <row r="64" spans="1:18" x14ac:dyDescent="0.25">
      <c r="A64" s="1">
        <v>44713</v>
      </c>
      <c r="B64">
        <f t="shared" si="0"/>
        <v>3</v>
      </c>
      <c r="C64">
        <f t="shared" si="5"/>
        <v>7</v>
      </c>
      <c r="D64">
        <f t="shared" si="5"/>
        <v>9</v>
      </c>
      <c r="E64">
        <f t="shared" si="6"/>
        <v>0</v>
      </c>
      <c r="F64">
        <f t="shared" si="1"/>
        <v>0</v>
      </c>
      <c r="G64">
        <f t="shared" si="7"/>
        <v>0</v>
      </c>
      <c r="H64">
        <f t="shared" si="8"/>
        <v>0</v>
      </c>
      <c r="I64">
        <f t="shared" si="9"/>
        <v>0</v>
      </c>
      <c r="J64">
        <f t="shared" si="2"/>
        <v>0</v>
      </c>
      <c r="K64">
        <f t="shared" si="3"/>
        <v>0</v>
      </c>
      <c r="L64">
        <f t="shared" si="10"/>
        <v>7</v>
      </c>
      <c r="M64">
        <f t="shared" si="11"/>
        <v>9</v>
      </c>
      <c r="N64">
        <f t="shared" si="12"/>
        <v>1</v>
      </c>
      <c r="O64">
        <f t="shared" si="13"/>
        <v>3</v>
      </c>
      <c r="P64">
        <f t="shared" si="4"/>
        <v>2</v>
      </c>
      <c r="Q64">
        <f t="shared" si="14"/>
        <v>4</v>
      </c>
      <c r="R64">
        <f t="shared" si="14"/>
        <v>7</v>
      </c>
    </row>
    <row r="65" spans="1:18" x14ac:dyDescent="0.25">
      <c r="A65" s="1">
        <v>44714</v>
      </c>
      <c r="B65">
        <f t="shared" si="0"/>
        <v>4</v>
      </c>
      <c r="C65">
        <f t="shared" si="5"/>
        <v>4</v>
      </c>
      <c r="D65">
        <f t="shared" si="5"/>
        <v>7</v>
      </c>
      <c r="E65">
        <f t="shared" si="6"/>
        <v>0</v>
      </c>
      <c r="F65">
        <f t="shared" si="1"/>
        <v>0</v>
      </c>
      <c r="G65">
        <f t="shared" si="7"/>
        <v>1</v>
      </c>
      <c r="H65">
        <f t="shared" si="8"/>
        <v>50</v>
      </c>
      <c r="I65">
        <f t="shared" si="9"/>
        <v>25</v>
      </c>
      <c r="J65">
        <f t="shared" si="2"/>
        <v>0</v>
      </c>
      <c r="K65">
        <f t="shared" si="3"/>
        <v>0</v>
      </c>
      <c r="L65">
        <f t="shared" si="10"/>
        <v>54</v>
      </c>
      <c r="M65">
        <f t="shared" si="11"/>
        <v>32</v>
      </c>
      <c r="N65">
        <f t="shared" si="12"/>
        <v>1</v>
      </c>
      <c r="O65">
        <f t="shared" si="13"/>
        <v>17</v>
      </c>
      <c r="P65">
        <f t="shared" si="4"/>
        <v>7</v>
      </c>
      <c r="Q65">
        <f t="shared" si="14"/>
        <v>37</v>
      </c>
      <c r="R65">
        <f t="shared" si="14"/>
        <v>25</v>
      </c>
    </row>
    <row r="66" spans="1:18" x14ac:dyDescent="0.25">
      <c r="A66" s="1">
        <v>44715</v>
      </c>
      <c r="B66">
        <f t="shared" si="0"/>
        <v>5</v>
      </c>
      <c r="C66">
        <f t="shared" si="5"/>
        <v>37</v>
      </c>
      <c r="D66">
        <f t="shared" si="5"/>
        <v>25</v>
      </c>
      <c r="E66">
        <f t="shared" si="6"/>
        <v>0</v>
      </c>
      <c r="F66">
        <f t="shared" si="1"/>
        <v>0</v>
      </c>
      <c r="G66">
        <f t="shared" si="7"/>
        <v>0</v>
      </c>
      <c r="H66">
        <f t="shared" si="8"/>
        <v>0</v>
      </c>
      <c r="I66">
        <f t="shared" si="9"/>
        <v>0</v>
      </c>
      <c r="J66">
        <f t="shared" si="2"/>
        <v>0</v>
      </c>
      <c r="K66">
        <f t="shared" si="3"/>
        <v>0</v>
      </c>
      <c r="L66">
        <f t="shared" si="10"/>
        <v>37</v>
      </c>
      <c r="M66">
        <f t="shared" si="11"/>
        <v>25</v>
      </c>
      <c r="N66">
        <f t="shared" si="12"/>
        <v>1</v>
      </c>
      <c r="O66">
        <f t="shared" si="13"/>
        <v>12</v>
      </c>
      <c r="P66">
        <f t="shared" si="4"/>
        <v>5</v>
      </c>
      <c r="Q66">
        <f t="shared" si="14"/>
        <v>25</v>
      </c>
      <c r="R66">
        <f t="shared" si="14"/>
        <v>20</v>
      </c>
    </row>
    <row r="67" spans="1:18" x14ac:dyDescent="0.25">
      <c r="A67" s="1">
        <v>44716</v>
      </c>
      <c r="B67">
        <f t="shared" si="0"/>
        <v>6</v>
      </c>
      <c r="C67">
        <f t="shared" si="5"/>
        <v>25</v>
      </c>
      <c r="D67">
        <f t="shared" si="5"/>
        <v>20</v>
      </c>
      <c r="E67">
        <f t="shared" si="6"/>
        <v>0</v>
      </c>
      <c r="F67">
        <f t="shared" si="1"/>
        <v>0</v>
      </c>
      <c r="G67">
        <f t="shared" si="7"/>
        <v>0</v>
      </c>
      <c r="H67">
        <f t="shared" si="8"/>
        <v>0</v>
      </c>
      <c r="I67">
        <f t="shared" si="9"/>
        <v>0</v>
      </c>
      <c r="J67">
        <f t="shared" si="2"/>
        <v>0</v>
      </c>
      <c r="K67">
        <f t="shared" si="3"/>
        <v>0</v>
      </c>
      <c r="L67">
        <f t="shared" si="10"/>
        <v>25</v>
      </c>
      <c r="M67">
        <f t="shared" si="11"/>
        <v>20</v>
      </c>
      <c r="N67">
        <f t="shared" si="12"/>
        <v>1</v>
      </c>
      <c r="O67">
        <f t="shared" si="13"/>
        <v>8</v>
      </c>
      <c r="P67">
        <f t="shared" si="4"/>
        <v>4</v>
      </c>
      <c r="Q67">
        <f t="shared" si="14"/>
        <v>17</v>
      </c>
      <c r="R67">
        <f t="shared" si="14"/>
        <v>16</v>
      </c>
    </row>
    <row r="68" spans="1:18" x14ac:dyDescent="0.25">
      <c r="A68" s="1">
        <v>44717</v>
      </c>
      <c r="B68">
        <f t="shared" ref="B68:B131" si="15">WEEKDAY(A68, 2)</f>
        <v>7</v>
      </c>
      <c r="C68">
        <f t="shared" si="5"/>
        <v>17</v>
      </c>
      <c r="D68">
        <f t="shared" si="5"/>
        <v>16</v>
      </c>
      <c r="E68">
        <f t="shared" si="6"/>
        <v>0</v>
      </c>
      <c r="F68">
        <f t="shared" ref="F68:F131" si="16">IF(E68=1,ROUNDUP(5% * C68,0),0)</f>
        <v>0</v>
      </c>
      <c r="G68">
        <f t="shared" si="7"/>
        <v>0</v>
      </c>
      <c r="H68">
        <f t="shared" si="8"/>
        <v>0</v>
      </c>
      <c r="I68">
        <f t="shared" si="9"/>
        <v>0</v>
      </c>
      <c r="J68">
        <f t="shared" ref="J68:J131" si="17">IF(AND(B68=1,SUM(O65:O66)&gt;25),1,0)</f>
        <v>0</v>
      </c>
      <c r="K68">
        <f t="shared" ref="K68:K131" si="18">IF(J68=1,15,0)</f>
        <v>0</v>
      </c>
      <c r="L68">
        <f t="shared" si="10"/>
        <v>17</v>
      </c>
      <c r="M68">
        <f t="shared" si="11"/>
        <v>16</v>
      </c>
      <c r="N68">
        <f t="shared" si="12"/>
        <v>0</v>
      </c>
      <c r="O68">
        <f t="shared" si="13"/>
        <v>0</v>
      </c>
      <c r="P68">
        <f t="shared" ref="P68:P131" si="19">IF(N68=1,ROUNDUP(20% * M68,0),0)</f>
        <v>0</v>
      </c>
      <c r="Q68">
        <f t="shared" si="14"/>
        <v>17</v>
      </c>
      <c r="R68">
        <f t="shared" si="14"/>
        <v>16</v>
      </c>
    </row>
    <row r="69" spans="1:18" x14ac:dyDescent="0.25">
      <c r="A69" s="1">
        <v>44718</v>
      </c>
      <c r="B69">
        <f t="shared" si="15"/>
        <v>1</v>
      </c>
      <c r="C69">
        <f t="shared" ref="C69:D132" si="20">Q68</f>
        <v>17</v>
      </c>
      <c r="D69">
        <f t="shared" si="20"/>
        <v>16</v>
      </c>
      <c r="E69">
        <f t="shared" ref="E69:E132" si="21">IF(B69=1,1,0)</f>
        <v>1</v>
      </c>
      <c r="F69">
        <f t="shared" si="16"/>
        <v>1</v>
      </c>
      <c r="G69">
        <f t="shared" ref="G69:G132" si="22">IF(B69=4,1,0)</f>
        <v>0</v>
      </c>
      <c r="H69">
        <f t="shared" ref="H69:H132" si="23">IF(G69=1,50,0)</f>
        <v>0</v>
      </c>
      <c r="I69">
        <f t="shared" ref="I69:I132" si="24">IF(G69=1,25,0)</f>
        <v>0</v>
      </c>
      <c r="J69">
        <f t="shared" si="17"/>
        <v>0</v>
      </c>
      <c r="K69">
        <f t="shared" si="18"/>
        <v>0</v>
      </c>
      <c r="L69">
        <f t="shared" ref="L69:L132" si="25">K69+H69+C69-F69</f>
        <v>16</v>
      </c>
      <c r="M69">
        <f t="shared" ref="M69:M132" si="26">I69+D69</f>
        <v>16</v>
      </c>
      <c r="N69">
        <f t="shared" ref="N69:N132" si="27">IF(B69&lt;&gt;7,1,0)</f>
        <v>1</v>
      </c>
      <c r="O69">
        <f t="shared" ref="O69:O132" si="28">IF(N69=1,ROUNDUP(30% * L69,0),0)</f>
        <v>5</v>
      </c>
      <c r="P69">
        <f t="shared" si="19"/>
        <v>4</v>
      </c>
      <c r="Q69">
        <f t="shared" ref="Q69:R132" si="29">L69-O69</f>
        <v>11</v>
      </c>
      <c r="R69">
        <f t="shared" si="29"/>
        <v>12</v>
      </c>
    </row>
    <row r="70" spans="1:18" x14ac:dyDescent="0.25">
      <c r="A70" s="1">
        <v>44719</v>
      </c>
      <c r="B70">
        <f t="shared" si="15"/>
        <v>2</v>
      </c>
      <c r="C70">
        <f t="shared" si="20"/>
        <v>11</v>
      </c>
      <c r="D70">
        <f t="shared" si="20"/>
        <v>12</v>
      </c>
      <c r="E70">
        <f t="shared" si="21"/>
        <v>0</v>
      </c>
      <c r="F70">
        <f t="shared" si="16"/>
        <v>0</v>
      </c>
      <c r="G70">
        <f t="shared" si="22"/>
        <v>0</v>
      </c>
      <c r="H70">
        <f t="shared" si="23"/>
        <v>0</v>
      </c>
      <c r="I70">
        <f t="shared" si="24"/>
        <v>0</v>
      </c>
      <c r="J70">
        <f t="shared" si="17"/>
        <v>0</v>
      </c>
      <c r="K70">
        <f t="shared" si="18"/>
        <v>0</v>
      </c>
      <c r="L70">
        <f t="shared" si="25"/>
        <v>11</v>
      </c>
      <c r="M70">
        <f t="shared" si="26"/>
        <v>12</v>
      </c>
      <c r="N70">
        <f t="shared" si="27"/>
        <v>1</v>
      </c>
      <c r="O70">
        <f t="shared" si="28"/>
        <v>4</v>
      </c>
      <c r="P70">
        <f t="shared" si="19"/>
        <v>3</v>
      </c>
      <c r="Q70">
        <f t="shared" si="29"/>
        <v>7</v>
      </c>
      <c r="R70">
        <f t="shared" si="29"/>
        <v>9</v>
      </c>
    </row>
    <row r="71" spans="1:18" x14ac:dyDescent="0.25">
      <c r="A71" s="1">
        <v>44720</v>
      </c>
      <c r="B71">
        <f t="shared" si="15"/>
        <v>3</v>
      </c>
      <c r="C71">
        <f t="shared" si="20"/>
        <v>7</v>
      </c>
      <c r="D71">
        <f t="shared" si="20"/>
        <v>9</v>
      </c>
      <c r="E71">
        <f t="shared" si="21"/>
        <v>0</v>
      </c>
      <c r="F71">
        <f t="shared" si="16"/>
        <v>0</v>
      </c>
      <c r="G71">
        <f t="shared" si="22"/>
        <v>0</v>
      </c>
      <c r="H71">
        <f t="shared" si="23"/>
        <v>0</v>
      </c>
      <c r="I71">
        <f t="shared" si="24"/>
        <v>0</v>
      </c>
      <c r="J71">
        <f t="shared" si="17"/>
        <v>0</v>
      </c>
      <c r="K71">
        <f t="shared" si="18"/>
        <v>0</v>
      </c>
      <c r="L71">
        <f t="shared" si="25"/>
        <v>7</v>
      </c>
      <c r="M71">
        <f t="shared" si="26"/>
        <v>9</v>
      </c>
      <c r="N71">
        <f t="shared" si="27"/>
        <v>1</v>
      </c>
      <c r="O71">
        <f t="shared" si="28"/>
        <v>3</v>
      </c>
      <c r="P71">
        <f t="shared" si="19"/>
        <v>2</v>
      </c>
      <c r="Q71">
        <f t="shared" si="29"/>
        <v>4</v>
      </c>
      <c r="R71">
        <f t="shared" si="29"/>
        <v>7</v>
      </c>
    </row>
    <row r="72" spans="1:18" x14ac:dyDescent="0.25">
      <c r="A72" s="1">
        <v>44721</v>
      </c>
      <c r="B72">
        <f t="shared" si="15"/>
        <v>4</v>
      </c>
      <c r="C72">
        <f t="shared" si="20"/>
        <v>4</v>
      </c>
      <c r="D72">
        <f t="shared" si="20"/>
        <v>7</v>
      </c>
      <c r="E72">
        <f t="shared" si="21"/>
        <v>0</v>
      </c>
      <c r="F72">
        <f t="shared" si="16"/>
        <v>0</v>
      </c>
      <c r="G72">
        <f t="shared" si="22"/>
        <v>1</v>
      </c>
      <c r="H72">
        <f t="shared" si="23"/>
        <v>50</v>
      </c>
      <c r="I72">
        <f t="shared" si="24"/>
        <v>25</v>
      </c>
      <c r="J72">
        <f t="shared" si="17"/>
        <v>0</v>
      </c>
      <c r="K72">
        <f t="shared" si="18"/>
        <v>0</v>
      </c>
      <c r="L72">
        <f t="shared" si="25"/>
        <v>54</v>
      </c>
      <c r="M72">
        <f t="shared" si="26"/>
        <v>32</v>
      </c>
      <c r="N72">
        <f t="shared" si="27"/>
        <v>1</v>
      </c>
      <c r="O72">
        <f t="shared" si="28"/>
        <v>17</v>
      </c>
      <c r="P72">
        <f t="shared" si="19"/>
        <v>7</v>
      </c>
      <c r="Q72">
        <f t="shared" si="29"/>
        <v>37</v>
      </c>
      <c r="R72">
        <f t="shared" si="29"/>
        <v>25</v>
      </c>
    </row>
    <row r="73" spans="1:18" x14ac:dyDescent="0.25">
      <c r="A73" s="1">
        <v>44722</v>
      </c>
      <c r="B73">
        <f t="shared" si="15"/>
        <v>5</v>
      </c>
      <c r="C73">
        <f t="shared" si="20"/>
        <v>37</v>
      </c>
      <c r="D73">
        <f t="shared" si="20"/>
        <v>25</v>
      </c>
      <c r="E73">
        <f t="shared" si="21"/>
        <v>0</v>
      </c>
      <c r="F73">
        <f t="shared" si="16"/>
        <v>0</v>
      </c>
      <c r="G73">
        <f t="shared" si="22"/>
        <v>0</v>
      </c>
      <c r="H73">
        <f t="shared" si="23"/>
        <v>0</v>
      </c>
      <c r="I73">
        <f t="shared" si="24"/>
        <v>0</v>
      </c>
      <c r="J73">
        <f t="shared" si="17"/>
        <v>0</v>
      </c>
      <c r="K73">
        <f t="shared" si="18"/>
        <v>0</v>
      </c>
      <c r="L73">
        <f t="shared" si="25"/>
        <v>37</v>
      </c>
      <c r="M73">
        <f t="shared" si="26"/>
        <v>25</v>
      </c>
      <c r="N73">
        <f t="shared" si="27"/>
        <v>1</v>
      </c>
      <c r="O73">
        <f t="shared" si="28"/>
        <v>12</v>
      </c>
      <c r="P73">
        <f t="shared" si="19"/>
        <v>5</v>
      </c>
      <c r="Q73">
        <f t="shared" si="29"/>
        <v>25</v>
      </c>
      <c r="R73">
        <f t="shared" si="29"/>
        <v>20</v>
      </c>
    </row>
    <row r="74" spans="1:18" x14ac:dyDescent="0.25">
      <c r="A74" s="1">
        <v>44723</v>
      </c>
      <c r="B74">
        <f t="shared" si="15"/>
        <v>6</v>
      </c>
      <c r="C74">
        <f t="shared" si="20"/>
        <v>25</v>
      </c>
      <c r="D74">
        <f t="shared" si="20"/>
        <v>20</v>
      </c>
      <c r="E74">
        <f t="shared" si="21"/>
        <v>0</v>
      </c>
      <c r="F74">
        <f t="shared" si="16"/>
        <v>0</v>
      </c>
      <c r="G74">
        <f t="shared" si="22"/>
        <v>0</v>
      </c>
      <c r="H74">
        <f t="shared" si="23"/>
        <v>0</v>
      </c>
      <c r="I74">
        <f t="shared" si="24"/>
        <v>0</v>
      </c>
      <c r="J74">
        <f t="shared" si="17"/>
        <v>0</v>
      </c>
      <c r="K74">
        <f t="shared" si="18"/>
        <v>0</v>
      </c>
      <c r="L74">
        <f t="shared" si="25"/>
        <v>25</v>
      </c>
      <c r="M74">
        <f t="shared" si="26"/>
        <v>20</v>
      </c>
      <c r="N74">
        <f t="shared" si="27"/>
        <v>1</v>
      </c>
      <c r="O74">
        <f t="shared" si="28"/>
        <v>8</v>
      </c>
      <c r="P74">
        <f t="shared" si="19"/>
        <v>4</v>
      </c>
      <c r="Q74">
        <f t="shared" si="29"/>
        <v>17</v>
      </c>
      <c r="R74">
        <f t="shared" si="29"/>
        <v>16</v>
      </c>
    </row>
    <row r="75" spans="1:18" x14ac:dyDescent="0.25">
      <c r="A75" s="1">
        <v>44724</v>
      </c>
      <c r="B75">
        <f t="shared" si="15"/>
        <v>7</v>
      </c>
      <c r="C75">
        <f t="shared" si="20"/>
        <v>17</v>
      </c>
      <c r="D75">
        <f t="shared" si="20"/>
        <v>16</v>
      </c>
      <c r="E75">
        <f t="shared" si="21"/>
        <v>0</v>
      </c>
      <c r="F75">
        <f t="shared" si="16"/>
        <v>0</v>
      </c>
      <c r="G75">
        <f t="shared" si="22"/>
        <v>0</v>
      </c>
      <c r="H75">
        <f t="shared" si="23"/>
        <v>0</v>
      </c>
      <c r="I75">
        <f t="shared" si="24"/>
        <v>0</v>
      </c>
      <c r="J75">
        <f t="shared" si="17"/>
        <v>0</v>
      </c>
      <c r="K75">
        <f t="shared" si="18"/>
        <v>0</v>
      </c>
      <c r="L75">
        <f t="shared" si="25"/>
        <v>17</v>
      </c>
      <c r="M75">
        <f t="shared" si="26"/>
        <v>16</v>
      </c>
      <c r="N75">
        <f t="shared" si="27"/>
        <v>0</v>
      </c>
      <c r="O75">
        <f t="shared" si="28"/>
        <v>0</v>
      </c>
      <c r="P75">
        <f t="shared" si="19"/>
        <v>0</v>
      </c>
      <c r="Q75">
        <f t="shared" si="29"/>
        <v>17</v>
      </c>
      <c r="R75">
        <f t="shared" si="29"/>
        <v>16</v>
      </c>
    </row>
    <row r="76" spans="1:18" x14ac:dyDescent="0.25">
      <c r="A76" s="1">
        <v>44725</v>
      </c>
      <c r="B76">
        <f t="shared" si="15"/>
        <v>1</v>
      </c>
      <c r="C76">
        <f t="shared" si="20"/>
        <v>17</v>
      </c>
      <c r="D76">
        <f t="shared" si="20"/>
        <v>16</v>
      </c>
      <c r="E76">
        <f t="shared" si="21"/>
        <v>1</v>
      </c>
      <c r="F76">
        <f t="shared" si="16"/>
        <v>1</v>
      </c>
      <c r="G76">
        <f t="shared" si="22"/>
        <v>0</v>
      </c>
      <c r="H76">
        <f t="shared" si="23"/>
        <v>0</v>
      </c>
      <c r="I76">
        <f t="shared" si="24"/>
        <v>0</v>
      </c>
      <c r="J76">
        <f t="shared" si="17"/>
        <v>0</v>
      </c>
      <c r="K76">
        <f t="shared" si="18"/>
        <v>0</v>
      </c>
      <c r="L76">
        <f t="shared" si="25"/>
        <v>16</v>
      </c>
      <c r="M76">
        <f t="shared" si="26"/>
        <v>16</v>
      </c>
      <c r="N76">
        <f t="shared" si="27"/>
        <v>1</v>
      </c>
      <c r="O76">
        <f t="shared" si="28"/>
        <v>5</v>
      </c>
      <c r="P76">
        <f t="shared" si="19"/>
        <v>4</v>
      </c>
      <c r="Q76">
        <f t="shared" si="29"/>
        <v>11</v>
      </c>
      <c r="R76">
        <f t="shared" si="29"/>
        <v>12</v>
      </c>
    </row>
    <row r="77" spans="1:18" x14ac:dyDescent="0.25">
      <c r="A77" s="1">
        <v>44726</v>
      </c>
      <c r="B77">
        <f t="shared" si="15"/>
        <v>2</v>
      </c>
      <c r="C77">
        <f t="shared" si="20"/>
        <v>11</v>
      </c>
      <c r="D77">
        <f t="shared" si="20"/>
        <v>12</v>
      </c>
      <c r="E77">
        <f t="shared" si="21"/>
        <v>0</v>
      </c>
      <c r="F77">
        <f t="shared" si="16"/>
        <v>0</v>
      </c>
      <c r="G77">
        <f t="shared" si="22"/>
        <v>0</v>
      </c>
      <c r="H77">
        <f t="shared" si="23"/>
        <v>0</v>
      </c>
      <c r="I77">
        <f t="shared" si="24"/>
        <v>0</v>
      </c>
      <c r="J77">
        <f t="shared" si="17"/>
        <v>0</v>
      </c>
      <c r="K77">
        <f t="shared" si="18"/>
        <v>0</v>
      </c>
      <c r="L77">
        <f t="shared" si="25"/>
        <v>11</v>
      </c>
      <c r="M77">
        <f t="shared" si="26"/>
        <v>12</v>
      </c>
      <c r="N77">
        <f t="shared" si="27"/>
        <v>1</v>
      </c>
      <c r="O77">
        <f t="shared" si="28"/>
        <v>4</v>
      </c>
      <c r="P77">
        <f t="shared" si="19"/>
        <v>3</v>
      </c>
      <c r="Q77">
        <f t="shared" si="29"/>
        <v>7</v>
      </c>
      <c r="R77">
        <f t="shared" si="29"/>
        <v>9</v>
      </c>
    </row>
    <row r="78" spans="1:18" x14ac:dyDescent="0.25">
      <c r="A78" s="1">
        <v>44727</v>
      </c>
      <c r="B78">
        <f t="shared" si="15"/>
        <v>3</v>
      </c>
      <c r="C78">
        <f t="shared" si="20"/>
        <v>7</v>
      </c>
      <c r="D78">
        <f t="shared" si="20"/>
        <v>9</v>
      </c>
      <c r="E78">
        <f t="shared" si="21"/>
        <v>0</v>
      </c>
      <c r="F78">
        <f t="shared" si="16"/>
        <v>0</v>
      </c>
      <c r="G78">
        <f t="shared" si="22"/>
        <v>0</v>
      </c>
      <c r="H78">
        <f t="shared" si="23"/>
        <v>0</v>
      </c>
      <c r="I78">
        <f t="shared" si="24"/>
        <v>0</v>
      </c>
      <c r="J78">
        <f t="shared" si="17"/>
        <v>0</v>
      </c>
      <c r="K78">
        <f t="shared" si="18"/>
        <v>0</v>
      </c>
      <c r="L78">
        <f t="shared" si="25"/>
        <v>7</v>
      </c>
      <c r="M78">
        <f t="shared" si="26"/>
        <v>9</v>
      </c>
      <c r="N78">
        <f t="shared" si="27"/>
        <v>1</v>
      </c>
      <c r="O78">
        <f t="shared" si="28"/>
        <v>3</v>
      </c>
      <c r="P78">
        <f t="shared" si="19"/>
        <v>2</v>
      </c>
      <c r="Q78">
        <f t="shared" si="29"/>
        <v>4</v>
      </c>
      <c r="R78">
        <f t="shared" si="29"/>
        <v>7</v>
      </c>
    </row>
    <row r="79" spans="1:18" x14ac:dyDescent="0.25">
      <c r="A79" s="1">
        <v>44728</v>
      </c>
      <c r="B79">
        <f t="shared" si="15"/>
        <v>4</v>
      </c>
      <c r="C79">
        <f t="shared" si="20"/>
        <v>4</v>
      </c>
      <c r="D79">
        <f t="shared" si="20"/>
        <v>7</v>
      </c>
      <c r="E79">
        <f t="shared" si="21"/>
        <v>0</v>
      </c>
      <c r="F79">
        <f t="shared" si="16"/>
        <v>0</v>
      </c>
      <c r="G79">
        <f t="shared" si="22"/>
        <v>1</v>
      </c>
      <c r="H79">
        <f t="shared" si="23"/>
        <v>50</v>
      </c>
      <c r="I79">
        <f t="shared" si="24"/>
        <v>25</v>
      </c>
      <c r="J79">
        <f t="shared" si="17"/>
        <v>0</v>
      </c>
      <c r="K79">
        <f t="shared" si="18"/>
        <v>0</v>
      </c>
      <c r="L79">
        <f t="shared" si="25"/>
        <v>54</v>
      </c>
      <c r="M79">
        <f t="shared" si="26"/>
        <v>32</v>
      </c>
      <c r="N79">
        <f t="shared" si="27"/>
        <v>1</v>
      </c>
      <c r="O79">
        <f t="shared" si="28"/>
        <v>17</v>
      </c>
      <c r="P79">
        <f t="shared" si="19"/>
        <v>7</v>
      </c>
      <c r="Q79">
        <f t="shared" si="29"/>
        <v>37</v>
      </c>
      <c r="R79">
        <f t="shared" si="29"/>
        <v>25</v>
      </c>
    </row>
    <row r="80" spans="1:18" x14ac:dyDescent="0.25">
      <c r="A80" s="1">
        <v>44729</v>
      </c>
      <c r="B80">
        <f t="shared" si="15"/>
        <v>5</v>
      </c>
      <c r="C80">
        <f t="shared" si="20"/>
        <v>37</v>
      </c>
      <c r="D80">
        <f t="shared" si="20"/>
        <v>25</v>
      </c>
      <c r="E80">
        <f t="shared" si="21"/>
        <v>0</v>
      </c>
      <c r="F80">
        <f t="shared" si="16"/>
        <v>0</v>
      </c>
      <c r="G80">
        <f t="shared" si="22"/>
        <v>0</v>
      </c>
      <c r="H80">
        <f t="shared" si="23"/>
        <v>0</v>
      </c>
      <c r="I80">
        <f t="shared" si="24"/>
        <v>0</v>
      </c>
      <c r="J80">
        <f t="shared" si="17"/>
        <v>0</v>
      </c>
      <c r="K80">
        <f t="shared" si="18"/>
        <v>0</v>
      </c>
      <c r="L80">
        <f t="shared" si="25"/>
        <v>37</v>
      </c>
      <c r="M80">
        <f t="shared" si="26"/>
        <v>25</v>
      </c>
      <c r="N80">
        <f t="shared" si="27"/>
        <v>1</v>
      </c>
      <c r="O80">
        <f t="shared" si="28"/>
        <v>12</v>
      </c>
      <c r="P80">
        <f t="shared" si="19"/>
        <v>5</v>
      </c>
      <c r="Q80">
        <f t="shared" si="29"/>
        <v>25</v>
      </c>
      <c r="R80">
        <f t="shared" si="29"/>
        <v>20</v>
      </c>
    </row>
    <row r="81" spans="1:18" x14ac:dyDescent="0.25">
      <c r="A81" s="1">
        <v>44730</v>
      </c>
      <c r="B81">
        <f t="shared" si="15"/>
        <v>6</v>
      </c>
      <c r="C81">
        <f t="shared" si="20"/>
        <v>25</v>
      </c>
      <c r="D81">
        <f t="shared" si="20"/>
        <v>20</v>
      </c>
      <c r="E81">
        <f t="shared" si="21"/>
        <v>0</v>
      </c>
      <c r="F81">
        <f t="shared" si="16"/>
        <v>0</v>
      </c>
      <c r="G81">
        <f t="shared" si="22"/>
        <v>0</v>
      </c>
      <c r="H81">
        <f t="shared" si="23"/>
        <v>0</v>
      </c>
      <c r="I81">
        <f t="shared" si="24"/>
        <v>0</v>
      </c>
      <c r="J81">
        <f t="shared" si="17"/>
        <v>0</v>
      </c>
      <c r="K81">
        <f t="shared" si="18"/>
        <v>0</v>
      </c>
      <c r="L81">
        <f t="shared" si="25"/>
        <v>25</v>
      </c>
      <c r="M81">
        <f t="shared" si="26"/>
        <v>20</v>
      </c>
      <c r="N81">
        <f t="shared" si="27"/>
        <v>1</v>
      </c>
      <c r="O81">
        <f t="shared" si="28"/>
        <v>8</v>
      </c>
      <c r="P81">
        <f t="shared" si="19"/>
        <v>4</v>
      </c>
      <c r="Q81">
        <f t="shared" si="29"/>
        <v>17</v>
      </c>
      <c r="R81">
        <f t="shared" si="29"/>
        <v>16</v>
      </c>
    </row>
    <row r="82" spans="1:18" x14ac:dyDescent="0.25">
      <c r="A82" s="1">
        <v>44731</v>
      </c>
      <c r="B82">
        <f t="shared" si="15"/>
        <v>7</v>
      </c>
      <c r="C82">
        <f t="shared" si="20"/>
        <v>17</v>
      </c>
      <c r="D82">
        <f t="shared" si="20"/>
        <v>16</v>
      </c>
      <c r="E82">
        <f t="shared" si="21"/>
        <v>0</v>
      </c>
      <c r="F82">
        <f t="shared" si="16"/>
        <v>0</v>
      </c>
      <c r="G82">
        <f t="shared" si="22"/>
        <v>0</v>
      </c>
      <c r="H82">
        <f t="shared" si="23"/>
        <v>0</v>
      </c>
      <c r="I82">
        <f t="shared" si="24"/>
        <v>0</v>
      </c>
      <c r="J82">
        <f t="shared" si="17"/>
        <v>0</v>
      </c>
      <c r="K82">
        <f t="shared" si="18"/>
        <v>0</v>
      </c>
      <c r="L82">
        <f t="shared" si="25"/>
        <v>17</v>
      </c>
      <c r="M82">
        <f t="shared" si="26"/>
        <v>16</v>
      </c>
      <c r="N82">
        <f t="shared" si="27"/>
        <v>0</v>
      </c>
      <c r="O82">
        <f t="shared" si="28"/>
        <v>0</v>
      </c>
      <c r="P82">
        <f t="shared" si="19"/>
        <v>0</v>
      </c>
      <c r="Q82">
        <f t="shared" si="29"/>
        <v>17</v>
      </c>
      <c r="R82">
        <f t="shared" si="29"/>
        <v>16</v>
      </c>
    </row>
    <row r="83" spans="1:18" x14ac:dyDescent="0.25">
      <c r="A83" s="1">
        <v>44732</v>
      </c>
      <c r="B83">
        <f t="shared" si="15"/>
        <v>1</v>
      </c>
      <c r="C83">
        <f t="shared" si="20"/>
        <v>17</v>
      </c>
      <c r="D83">
        <f t="shared" si="20"/>
        <v>16</v>
      </c>
      <c r="E83">
        <f t="shared" si="21"/>
        <v>1</v>
      </c>
      <c r="F83">
        <f t="shared" si="16"/>
        <v>1</v>
      </c>
      <c r="G83">
        <f t="shared" si="22"/>
        <v>0</v>
      </c>
      <c r="H83">
        <f t="shared" si="23"/>
        <v>0</v>
      </c>
      <c r="I83">
        <f t="shared" si="24"/>
        <v>0</v>
      </c>
      <c r="J83">
        <f t="shared" si="17"/>
        <v>0</v>
      </c>
      <c r="K83">
        <f t="shared" si="18"/>
        <v>0</v>
      </c>
      <c r="L83">
        <f t="shared" si="25"/>
        <v>16</v>
      </c>
      <c r="M83">
        <f t="shared" si="26"/>
        <v>16</v>
      </c>
      <c r="N83">
        <f t="shared" si="27"/>
        <v>1</v>
      </c>
      <c r="O83">
        <f t="shared" si="28"/>
        <v>5</v>
      </c>
      <c r="P83">
        <f t="shared" si="19"/>
        <v>4</v>
      </c>
      <c r="Q83">
        <f t="shared" si="29"/>
        <v>11</v>
      </c>
      <c r="R83">
        <f t="shared" si="29"/>
        <v>12</v>
      </c>
    </row>
    <row r="84" spans="1:18" x14ac:dyDescent="0.25">
      <c r="A84" s="1">
        <v>44733</v>
      </c>
      <c r="B84">
        <f t="shared" si="15"/>
        <v>2</v>
      </c>
      <c r="C84">
        <f t="shared" si="20"/>
        <v>11</v>
      </c>
      <c r="D84">
        <f t="shared" si="20"/>
        <v>12</v>
      </c>
      <c r="E84">
        <f t="shared" si="21"/>
        <v>0</v>
      </c>
      <c r="F84">
        <f t="shared" si="16"/>
        <v>0</v>
      </c>
      <c r="G84">
        <f t="shared" si="22"/>
        <v>0</v>
      </c>
      <c r="H84">
        <f t="shared" si="23"/>
        <v>0</v>
      </c>
      <c r="I84">
        <f t="shared" si="24"/>
        <v>0</v>
      </c>
      <c r="J84">
        <f t="shared" si="17"/>
        <v>0</v>
      </c>
      <c r="K84">
        <f t="shared" si="18"/>
        <v>0</v>
      </c>
      <c r="L84">
        <f t="shared" si="25"/>
        <v>11</v>
      </c>
      <c r="M84">
        <f t="shared" si="26"/>
        <v>12</v>
      </c>
      <c r="N84">
        <f t="shared" si="27"/>
        <v>1</v>
      </c>
      <c r="O84">
        <f t="shared" si="28"/>
        <v>4</v>
      </c>
      <c r="P84">
        <f t="shared" si="19"/>
        <v>3</v>
      </c>
      <c r="Q84">
        <f t="shared" si="29"/>
        <v>7</v>
      </c>
      <c r="R84">
        <f t="shared" si="29"/>
        <v>9</v>
      </c>
    </row>
    <row r="85" spans="1:18" x14ac:dyDescent="0.25">
      <c r="A85" s="1">
        <v>44734</v>
      </c>
      <c r="B85">
        <f t="shared" si="15"/>
        <v>3</v>
      </c>
      <c r="C85">
        <f t="shared" si="20"/>
        <v>7</v>
      </c>
      <c r="D85">
        <f t="shared" si="20"/>
        <v>9</v>
      </c>
      <c r="E85">
        <f t="shared" si="21"/>
        <v>0</v>
      </c>
      <c r="F85">
        <f t="shared" si="16"/>
        <v>0</v>
      </c>
      <c r="G85">
        <f t="shared" si="22"/>
        <v>0</v>
      </c>
      <c r="H85">
        <f t="shared" si="23"/>
        <v>0</v>
      </c>
      <c r="I85">
        <f t="shared" si="24"/>
        <v>0</v>
      </c>
      <c r="J85">
        <f t="shared" si="17"/>
        <v>0</v>
      </c>
      <c r="K85">
        <f t="shared" si="18"/>
        <v>0</v>
      </c>
      <c r="L85">
        <f t="shared" si="25"/>
        <v>7</v>
      </c>
      <c r="M85">
        <f t="shared" si="26"/>
        <v>9</v>
      </c>
      <c r="N85">
        <f t="shared" si="27"/>
        <v>1</v>
      </c>
      <c r="O85">
        <f t="shared" si="28"/>
        <v>3</v>
      </c>
      <c r="P85">
        <f t="shared" si="19"/>
        <v>2</v>
      </c>
      <c r="Q85">
        <f t="shared" si="29"/>
        <v>4</v>
      </c>
      <c r="R85">
        <f t="shared" si="29"/>
        <v>7</v>
      </c>
    </row>
    <row r="86" spans="1:18" x14ac:dyDescent="0.25">
      <c r="A86" s="1">
        <v>44735</v>
      </c>
      <c r="B86">
        <f t="shared" si="15"/>
        <v>4</v>
      </c>
      <c r="C86">
        <f t="shared" si="20"/>
        <v>4</v>
      </c>
      <c r="D86">
        <f t="shared" si="20"/>
        <v>7</v>
      </c>
      <c r="E86">
        <f t="shared" si="21"/>
        <v>0</v>
      </c>
      <c r="F86">
        <f t="shared" si="16"/>
        <v>0</v>
      </c>
      <c r="G86">
        <f t="shared" si="22"/>
        <v>1</v>
      </c>
      <c r="H86">
        <f t="shared" si="23"/>
        <v>50</v>
      </c>
      <c r="I86">
        <f t="shared" si="24"/>
        <v>25</v>
      </c>
      <c r="J86">
        <f t="shared" si="17"/>
        <v>0</v>
      </c>
      <c r="K86">
        <f t="shared" si="18"/>
        <v>0</v>
      </c>
      <c r="L86">
        <f t="shared" si="25"/>
        <v>54</v>
      </c>
      <c r="M86">
        <f t="shared" si="26"/>
        <v>32</v>
      </c>
      <c r="N86">
        <f t="shared" si="27"/>
        <v>1</v>
      </c>
      <c r="O86">
        <f t="shared" si="28"/>
        <v>17</v>
      </c>
      <c r="P86">
        <f t="shared" si="19"/>
        <v>7</v>
      </c>
      <c r="Q86">
        <f t="shared" si="29"/>
        <v>37</v>
      </c>
      <c r="R86">
        <f t="shared" si="29"/>
        <v>25</v>
      </c>
    </row>
    <row r="87" spans="1:18" x14ac:dyDescent="0.25">
      <c r="A87" s="1">
        <v>44736</v>
      </c>
      <c r="B87">
        <f t="shared" si="15"/>
        <v>5</v>
      </c>
      <c r="C87">
        <f t="shared" si="20"/>
        <v>37</v>
      </c>
      <c r="D87">
        <f t="shared" si="20"/>
        <v>25</v>
      </c>
      <c r="E87">
        <f t="shared" si="21"/>
        <v>0</v>
      </c>
      <c r="F87">
        <f t="shared" si="16"/>
        <v>0</v>
      </c>
      <c r="G87">
        <f t="shared" si="22"/>
        <v>0</v>
      </c>
      <c r="H87">
        <f t="shared" si="23"/>
        <v>0</v>
      </c>
      <c r="I87">
        <f t="shared" si="24"/>
        <v>0</v>
      </c>
      <c r="J87">
        <f t="shared" si="17"/>
        <v>0</v>
      </c>
      <c r="K87">
        <f t="shared" si="18"/>
        <v>0</v>
      </c>
      <c r="L87">
        <f t="shared" si="25"/>
        <v>37</v>
      </c>
      <c r="M87">
        <f t="shared" si="26"/>
        <v>25</v>
      </c>
      <c r="N87">
        <f t="shared" si="27"/>
        <v>1</v>
      </c>
      <c r="O87">
        <f t="shared" si="28"/>
        <v>12</v>
      </c>
      <c r="P87">
        <f t="shared" si="19"/>
        <v>5</v>
      </c>
      <c r="Q87">
        <f t="shared" si="29"/>
        <v>25</v>
      </c>
      <c r="R87">
        <f t="shared" si="29"/>
        <v>20</v>
      </c>
    </row>
    <row r="88" spans="1:18" x14ac:dyDescent="0.25">
      <c r="A88" s="1">
        <v>44737</v>
      </c>
      <c r="B88">
        <f t="shared" si="15"/>
        <v>6</v>
      </c>
      <c r="C88">
        <f t="shared" si="20"/>
        <v>25</v>
      </c>
      <c r="D88">
        <f t="shared" si="20"/>
        <v>20</v>
      </c>
      <c r="E88">
        <f t="shared" si="21"/>
        <v>0</v>
      </c>
      <c r="F88">
        <f t="shared" si="16"/>
        <v>0</v>
      </c>
      <c r="G88">
        <f t="shared" si="22"/>
        <v>0</v>
      </c>
      <c r="H88">
        <f t="shared" si="23"/>
        <v>0</v>
      </c>
      <c r="I88">
        <f t="shared" si="24"/>
        <v>0</v>
      </c>
      <c r="J88">
        <f t="shared" si="17"/>
        <v>0</v>
      </c>
      <c r="K88">
        <f t="shared" si="18"/>
        <v>0</v>
      </c>
      <c r="L88">
        <f t="shared" si="25"/>
        <v>25</v>
      </c>
      <c r="M88">
        <f t="shared" si="26"/>
        <v>20</v>
      </c>
      <c r="N88">
        <f t="shared" si="27"/>
        <v>1</v>
      </c>
      <c r="O88">
        <f t="shared" si="28"/>
        <v>8</v>
      </c>
      <c r="P88">
        <f t="shared" si="19"/>
        <v>4</v>
      </c>
      <c r="Q88">
        <f t="shared" si="29"/>
        <v>17</v>
      </c>
      <c r="R88">
        <f t="shared" si="29"/>
        <v>16</v>
      </c>
    </row>
    <row r="89" spans="1:18" x14ac:dyDescent="0.25">
      <c r="A89" s="1">
        <v>44738</v>
      </c>
      <c r="B89">
        <f t="shared" si="15"/>
        <v>7</v>
      </c>
      <c r="C89">
        <f t="shared" si="20"/>
        <v>17</v>
      </c>
      <c r="D89">
        <f t="shared" si="20"/>
        <v>16</v>
      </c>
      <c r="E89">
        <f t="shared" si="21"/>
        <v>0</v>
      </c>
      <c r="F89">
        <f t="shared" si="16"/>
        <v>0</v>
      </c>
      <c r="G89">
        <f t="shared" si="22"/>
        <v>0</v>
      </c>
      <c r="H89">
        <f t="shared" si="23"/>
        <v>0</v>
      </c>
      <c r="I89">
        <f t="shared" si="24"/>
        <v>0</v>
      </c>
      <c r="J89">
        <f t="shared" si="17"/>
        <v>0</v>
      </c>
      <c r="K89">
        <f t="shared" si="18"/>
        <v>0</v>
      </c>
      <c r="L89">
        <f t="shared" si="25"/>
        <v>17</v>
      </c>
      <c r="M89">
        <f t="shared" si="26"/>
        <v>16</v>
      </c>
      <c r="N89">
        <f t="shared" si="27"/>
        <v>0</v>
      </c>
      <c r="O89">
        <f t="shared" si="28"/>
        <v>0</v>
      </c>
      <c r="P89">
        <f t="shared" si="19"/>
        <v>0</v>
      </c>
      <c r="Q89">
        <f t="shared" si="29"/>
        <v>17</v>
      </c>
      <c r="R89">
        <f t="shared" si="29"/>
        <v>16</v>
      </c>
    </row>
    <row r="90" spans="1:18" x14ac:dyDescent="0.25">
      <c r="A90" s="1">
        <v>44739</v>
      </c>
      <c r="B90">
        <f t="shared" si="15"/>
        <v>1</v>
      </c>
      <c r="C90">
        <f t="shared" si="20"/>
        <v>17</v>
      </c>
      <c r="D90">
        <f t="shared" si="20"/>
        <v>16</v>
      </c>
      <c r="E90">
        <f t="shared" si="21"/>
        <v>1</v>
      </c>
      <c r="F90">
        <f t="shared" si="16"/>
        <v>1</v>
      </c>
      <c r="G90">
        <f t="shared" si="22"/>
        <v>0</v>
      </c>
      <c r="H90">
        <f t="shared" si="23"/>
        <v>0</v>
      </c>
      <c r="I90">
        <f t="shared" si="24"/>
        <v>0</v>
      </c>
      <c r="J90">
        <f t="shared" si="17"/>
        <v>0</v>
      </c>
      <c r="K90">
        <f t="shared" si="18"/>
        <v>0</v>
      </c>
      <c r="L90">
        <f t="shared" si="25"/>
        <v>16</v>
      </c>
      <c r="M90">
        <f t="shared" si="26"/>
        <v>16</v>
      </c>
      <c r="N90">
        <f t="shared" si="27"/>
        <v>1</v>
      </c>
      <c r="O90">
        <f t="shared" si="28"/>
        <v>5</v>
      </c>
      <c r="P90">
        <f t="shared" si="19"/>
        <v>4</v>
      </c>
      <c r="Q90">
        <f t="shared" si="29"/>
        <v>11</v>
      </c>
      <c r="R90">
        <f t="shared" si="29"/>
        <v>12</v>
      </c>
    </row>
    <row r="91" spans="1:18" x14ac:dyDescent="0.25">
      <c r="A91" s="1">
        <v>44740</v>
      </c>
      <c r="B91">
        <f t="shared" si="15"/>
        <v>2</v>
      </c>
      <c r="C91">
        <f t="shared" si="20"/>
        <v>11</v>
      </c>
      <c r="D91">
        <f t="shared" si="20"/>
        <v>12</v>
      </c>
      <c r="E91">
        <f t="shared" si="21"/>
        <v>0</v>
      </c>
      <c r="F91">
        <f t="shared" si="16"/>
        <v>0</v>
      </c>
      <c r="G91">
        <f t="shared" si="22"/>
        <v>0</v>
      </c>
      <c r="H91">
        <f t="shared" si="23"/>
        <v>0</v>
      </c>
      <c r="I91">
        <f t="shared" si="24"/>
        <v>0</v>
      </c>
      <c r="J91">
        <f t="shared" si="17"/>
        <v>0</v>
      </c>
      <c r="K91">
        <f t="shared" si="18"/>
        <v>0</v>
      </c>
      <c r="L91">
        <f t="shared" si="25"/>
        <v>11</v>
      </c>
      <c r="M91">
        <f t="shared" si="26"/>
        <v>12</v>
      </c>
      <c r="N91">
        <f t="shared" si="27"/>
        <v>1</v>
      </c>
      <c r="O91">
        <f t="shared" si="28"/>
        <v>4</v>
      </c>
      <c r="P91">
        <f t="shared" si="19"/>
        <v>3</v>
      </c>
      <c r="Q91">
        <f t="shared" si="29"/>
        <v>7</v>
      </c>
      <c r="R91">
        <f t="shared" si="29"/>
        <v>9</v>
      </c>
    </row>
    <row r="92" spans="1:18" x14ac:dyDescent="0.25">
      <c r="A92" s="1">
        <v>44741</v>
      </c>
      <c r="B92">
        <f t="shared" si="15"/>
        <v>3</v>
      </c>
      <c r="C92">
        <f t="shared" si="20"/>
        <v>7</v>
      </c>
      <c r="D92">
        <f t="shared" si="20"/>
        <v>9</v>
      </c>
      <c r="E92">
        <f t="shared" si="21"/>
        <v>0</v>
      </c>
      <c r="F92">
        <f t="shared" si="16"/>
        <v>0</v>
      </c>
      <c r="G92">
        <f t="shared" si="22"/>
        <v>0</v>
      </c>
      <c r="H92">
        <f t="shared" si="23"/>
        <v>0</v>
      </c>
      <c r="I92">
        <f t="shared" si="24"/>
        <v>0</v>
      </c>
      <c r="J92">
        <f t="shared" si="17"/>
        <v>0</v>
      </c>
      <c r="K92">
        <f t="shared" si="18"/>
        <v>0</v>
      </c>
      <c r="L92">
        <f t="shared" si="25"/>
        <v>7</v>
      </c>
      <c r="M92">
        <f t="shared" si="26"/>
        <v>9</v>
      </c>
      <c r="N92">
        <f t="shared" si="27"/>
        <v>1</v>
      </c>
      <c r="O92">
        <f t="shared" si="28"/>
        <v>3</v>
      </c>
      <c r="P92">
        <f t="shared" si="19"/>
        <v>2</v>
      </c>
      <c r="Q92">
        <f t="shared" si="29"/>
        <v>4</v>
      </c>
      <c r="R92">
        <f t="shared" si="29"/>
        <v>7</v>
      </c>
    </row>
    <row r="93" spans="1:18" x14ac:dyDescent="0.25">
      <c r="A93" s="1">
        <v>44742</v>
      </c>
      <c r="B93">
        <f t="shared" si="15"/>
        <v>4</v>
      </c>
      <c r="C93">
        <f t="shared" si="20"/>
        <v>4</v>
      </c>
      <c r="D93">
        <f t="shared" si="20"/>
        <v>7</v>
      </c>
      <c r="E93">
        <f t="shared" si="21"/>
        <v>0</v>
      </c>
      <c r="F93">
        <f t="shared" si="16"/>
        <v>0</v>
      </c>
      <c r="G93">
        <f t="shared" si="22"/>
        <v>1</v>
      </c>
      <c r="H93">
        <f t="shared" si="23"/>
        <v>50</v>
      </c>
      <c r="I93">
        <f t="shared" si="24"/>
        <v>25</v>
      </c>
      <c r="J93">
        <f t="shared" si="17"/>
        <v>0</v>
      </c>
      <c r="K93">
        <f t="shared" si="18"/>
        <v>0</v>
      </c>
      <c r="L93">
        <f t="shared" si="25"/>
        <v>54</v>
      </c>
      <c r="M93">
        <f t="shared" si="26"/>
        <v>32</v>
      </c>
      <c r="N93">
        <f t="shared" si="27"/>
        <v>1</v>
      </c>
      <c r="O93">
        <f t="shared" si="28"/>
        <v>17</v>
      </c>
      <c r="P93">
        <f t="shared" si="19"/>
        <v>7</v>
      </c>
      <c r="Q93">
        <f t="shared" si="29"/>
        <v>37</v>
      </c>
      <c r="R93">
        <f t="shared" si="29"/>
        <v>25</v>
      </c>
    </row>
    <row r="94" spans="1:18" x14ac:dyDescent="0.25">
      <c r="A94" s="1">
        <v>44743</v>
      </c>
      <c r="B94">
        <f t="shared" si="15"/>
        <v>5</v>
      </c>
      <c r="C94">
        <f t="shared" si="20"/>
        <v>37</v>
      </c>
      <c r="D94">
        <f t="shared" si="20"/>
        <v>25</v>
      </c>
      <c r="E94">
        <f t="shared" si="21"/>
        <v>0</v>
      </c>
      <c r="F94">
        <f t="shared" si="16"/>
        <v>0</v>
      </c>
      <c r="G94">
        <f t="shared" si="22"/>
        <v>0</v>
      </c>
      <c r="H94">
        <f t="shared" si="23"/>
        <v>0</v>
      </c>
      <c r="I94">
        <f t="shared" si="24"/>
        <v>0</v>
      </c>
      <c r="J94">
        <f t="shared" si="17"/>
        <v>0</v>
      </c>
      <c r="K94">
        <f t="shared" si="18"/>
        <v>0</v>
      </c>
      <c r="L94">
        <f t="shared" si="25"/>
        <v>37</v>
      </c>
      <c r="M94">
        <f t="shared" si="26"/>
        <v>25</v>
      </c>
      <c r="N94">
        <f t="shared" si="27"/>
        <v>1</v>
      </c>
      <c r="O94">
        <f t="shared" si="28"/>
        <v>12</v>
      </c>
      <c r="P94">
        <f t="shared" si="19"/>
        <v>5</v>
      </c>
      <c r="Q94">
        <f t="shared" si="29"/>
        <v>25</v>
      </c>
      <c r="R94">
        <f t="shared" si="29"/>
        <v>20</v>
      </c>
    </row>
    <row r="95" spans="1:18" x14ac:dyDescent="0.25">
      <c r="A95" s="1">
        <v>44744</v>
      </c>
      <c r="B95">
        <f t="shared" si="15"/>
        <v>6</v>
      </c>
      <c r="C95">
        <f t="shared" si="20"/>
        <v>25</v>
      </c>
      <c r="D95">
        <f t="shared" si="20"/>
        <v>20</v>
      </c>
      <c r="E95">
        <f t="shared" si="21"/>
        <v>0</v>
      </c>
      <c r="F95">
        <f t="shared" si="16"/>
        <v>0</v>
      </c>
      <c r="G95">
        <f t="shared" si="22"/>
        <v>0</v>
      </c>
      <c r="H95">
        <f t="shared" si="23"/>
        <v>0</v>
      </c>
      <c r="I95">
        <f t="shared" si="24"/>
        <v>0</v>
      </c>
      <c r="J95">
        <f t="shared" si="17"/>
        <v>0</v>
      </c>
      <c r="K95">
        <f t="shared" si="18"/>
        <v>0</v>
      </c>
      <c r="L95">
        <f t="shared" si="25"/>
        <v>25</v>
      </c>
      <c r="M95">
        <f t="shared" si="26"/>
        <v>20</v>
      </c>
      <c r="N95">
        <f t="shared" si="27"/>
        <v>1</v>
      </c>
      <c r="O95">
        <f t="shared" si="28"/>
        <v>8</v>
      </c>
      <c r="P95">
        <f t="shared" si="19"/>
        <v>4</v>
      </c>
      <c r="Q95">
        <f t="shared" si="29"/>
        <v>17</v>
      </c>
      <c r="R95">
        <f t="shared" si="29"/>
        <v>16</v>
      </c>
    </row>
    <row r="96" spans="1:18" x14ac:dyDescent="0.25">
      <c r="A96" s="1">
        <v>44745</v>
      </c>
      <c r="B96">
        <f t="shared" si="15"/>
        <v>7</v>
      </c>
      <c r="C96">
        <f t="shared" si="20"/>
        <v>17</v>
      </c>
      <c r="D96">
        <f t="shared" si="20"/>
        <v>16</v>
      </c>
      <c r="E96">
        <f t="shared" si="21"/>
        <v>0</v>
      </c>
      <c r="F96">
        <f t="shared" si="16"/>
        <v>0</v>
      </c>
      <c r="G96">
        <f t="shared" si="22"/>
        <v>0</v>
      </c>
      <c r="H96">
        <f t="shared" si="23"/>
        <v>0</v>
      </c>
      <c r="I96">
        <f t="shared" si="24"/>
        <v>0</v>
      </c>
      <c r="J96">
        <f t="shared" si="17"/>
        <v>0</v>
      </c>
      <c r="K96">
        <f t="shared" si="18"/>
        <v>0</v>
      </c>
      <c r="L96">
        <f t="shared" si="25"/>
        <v>17</v>
      </c>
      <c r="M96">
        <f t="shared" si="26"/>
        <v>16</v>
      </c>
      <c r="N96">
        <f t="shared" si="27"/>
        <v>0</v>
      </c>
      <c r="O96">
        <f t="shared" si="28"/>
        <v>0</v>
      </c>
      <c r="P96">
        <f t="shared" si="19"/>
        <v>0</v>
      </c>
      <c r="Q96">
        <f t="shared" si="29"/>
        <v>17</v>
      </c>
      <c r="R96">
        <f t="shared" si="29"/>
        <v>16</v>
      </c>
    </row>
    <row r="97" spans="1:18" x14ac:dyDescent="0.25">
      <c r="A97" s="1">
        <v>44746</v>
      </c>
      <c r="B97">
        <f t="shared" si="15"/>
        <v>1</v>
      </c>
      <c r="C97">
        <f t="shared" si="20"/>
        <v>17</v>
      </c>
      <c r="D97">
        <f t="shared" si="20"/>
        <v>16</v>
      </c>
      <c r="E97">
        <f t="shared" si="21"/>
        <v>1</v>
      </c>
      <c r="F97">
        <f t="shared" si="16"/>
        <v>1</v>
      </c>
      <c r="G97">
        <f t="shared" si="22"/>
        <v>0</v>
      </c>
      <c r="H97">
        <f t="shared" si="23"/>
        <v>0</v>
      </c>
      <c r="I97">
        <f t="shared" si="24"/>
        <v>0</v>
      </c>
      <c r="J97">
        <f t="shared" si="17"/>
        <v>0</v>
      </c>
      <c r="K97">
        <f t="shared" si="18"/>
        <v>0</v>
      </c>
      <c r="L97">
        <f t="shared" si="25"/>
        <v>16</v>
      </c>
      <c r="M97">
        <f t="shared" si="26"/>
        <v>16</v>
      </c>
      <c r="N97">
        <f t="shared" si="27"/>
        <v>1</v>
      </c>
      <c r="O97">
        <f t="shared" si="28"/>
        <v>5</v>
      </c>
      <c r="P97">
        <f t="shared" si="19"/>
        <v>4</v>
      </c>
      <c r="Q97">
        <f t="shared" si="29"/>
        <v>11</v>
      </c>
      <c r="R97">
        <f t="shared" si="29"/>
        <v>12</v>
      </c>
    </row>
    <row r="98" spans="1:18" x14ac:dyDescent="0.25">
      <c r="A98" s="1">
        <v>44747</v>
      </c>
      <c r="B98">
        <f t="shared" si="15"/>
        <v>2</v>
      </c>
      <c r="C98">
        <f t="shared" si="20"/>
        <v>11</v>
      </c>
      <c r="D98">
        <f t="shared" si="20"/>
        <v>12</v>
      </c>
      <c r="E98">
        <f t="shared" si="21"/>
        <v>0</v>
      </c>
      <c r="F98">
        <f t="shared" si="16"/>
        <v>0</v>
      </c>
      <c r="G98">
        <f t="shared" si="22"/>
        <v>0</v>
      </c>
      <c r="H98">
        <f t="shared" si="23"/>
        <v>0</v>
      </c>
      <c r="I98">
        <f t="shared" si="24"/>
        <v>0</v>
      </c>
      <c r="J98">
        <f t="shared" si="17"/>
        <v>0</v>
      </c>
      <c r="K98">
        <f t="shared" si="18"/>
        <v>0</v>
      </c>
      <c r="L98">
        <f t="shared" si="25"/>
        <v>11</v>
      </c>
      <c r="M98">
        <f t="shared" si="26"/>
        <v>12</v>
      </c>
      <c r="N98">
        <f t="shared" si="27"/>
        <v>1</v>
      </c>
      <c r="O98">
        <f t="shared" si="28"/>
        <v>4</v>
      </c>
      <c r="P98">
        <f t="shared" si="19"/>
        <v>3</v>
      </c>
      <c r="Q98">
        <f t="shared" si="29"/>
        <v>7</v>
      </c>
      <c r="R98">
        <f t="shared" si="29"/>
        <v>9</v>
      </c>
    </row>
    <row r="99" spans="1:18" x14ac:dyDescent="0.25">
      <c r="A99" s="1">
        <v>44748</v>
      </c>
      <c r="B99">
        <f t="shared" si="15"/>
        <v>3</v>
      </c>
      <c r="C99">
        <f t="shared" si="20"/>
        <v>7</v>
      </c>
      <c r="D99">
        <f t="shared" si="20"/>
        <v>9</v>
      </c>
      <c r="E99">
        <f t="shared" si="21"/>
        <v>0</v>
      </c>
      <c r="F99">
        <f t="shared" si="16"/>
        <v>0</v>
      </c>
      <c r="G99">
        <f t="shared" si="22"/>
        <v>0</v>
      </c>
      <c r="H99">
        <f t="shared" si="23"/>
        <v>0</v>
      </c>
      <c r="I99">
        <f t="shared" si="24"/>
        <v>0</v>
      </c>
      <c r="J99">
        <f t="shared" si="17"/>
        <v>0</v>
      </c>
      <c r="K99">
        <f t="shared" si="18"/>
        <v>0</v>
      </c>
      <c r="L99">
        <f t="shared" si="25"/>
        <v>7</v>
      </c>
      <c r="M99">
        <f t="shared" si="26"/>
        <v>9</v>
      </c>
      <c r="N99">
        <f t="shared" si="27"/>
        <v>1</v>
      </c>
      <c r="O99">
        <f t="shared" si="28"/>
        <v>3</v>
      </c>
      <c r="P99">
        <f t="shared" si="19"/>
        <v>2</v>
      </c>
      <c r="Q99">
        <f t="shared" si="29"/>
        <v>4</v>
      </c>
      <c r="R99">
        <f t="shared" si="29"/>
        <v>7</v>
      </c>
    </row>
    <row r="100" spans="1:18" x14ac:dyDescent="0.25">
      <c r="A100" s="1">
        <v>44749</v>
      </c>
      <c r="B100">
        <f t="shared" si="15"/>
        <v>4</v>
      </c>
      <c r="C100">
        <f t="shared" si="20"/>
        <v>4</v>
      </c>
      <c r="D100">
        <f t="shared" si="20"/>
        <v>7</v>
      </c>
      <c r="E100">
        <f t="shared" si="21"/>
        <v>0</v>
      </c>
      <c r="F100">
        <f t="shared" si="16"/>
        <v>0</v>
      </c>
      <c r="G100">
        <f t="shared" si="22"/>
        <v>1</v>
      </c>
      <c r="H100">
        <f t="shared" si="23"/>
        <v>50</v>
      </c>
      <c r="I100">
        <f t="shared" si="24"/>
        <v>25</v>
      </c>
      <c r="J100">
        <f t="shared" si="17"/>
        <v>0</v>
      </c>
      <c r="K100">
        <f t="shared" si="18"/>
        <v>0</v>
      </c>
      <c r="L100">
        <f t="shared" si="25"/>
        <v>54</v>
      </c>
      <c r="M100">
        <f t="shared" si="26"/>
        <v>32</v>
      </c>
      <c r="N100">
        <f t="shared" si="27"/>
        <v>1</v>
      </c>
      <c r="O100">
        <f t="shared" si="28"/>
        <v>17</v>
      </c>
      <c r="P100">
        <f t="shared" si="19"/>
        <v>7</v>
      </c>
      <c r="Q100">
        <f t="shared" si="29"/>
        <v>37</v>
      </c>
      <c r="R100">
        <f t="shared" si="29"/>
        <v>25</v>
      </c>
    </row>
    <row r="101" spans="1:18" x14ac:dyDescent="0.25">
      <c r="A101" s="1">
        <v>44750</v>
      </c>
      <c r="B101">
        <f t="shared" si="15"/>
        <v>5</v>
      </c>
      <c r="C101">
        <f t="shared" si="20"/>
        <v>37</v>
      </c>
      <c r="D101">
        <f t="shared" si="20"/>
        <v>25</v>
      </c>
      <c r="E101">
        <f t="shared" si="21"/>
        <v>0</v>
      </c>
      <c r="F101">
        <f t="shared" si="16"/>
        <v>0</v>
      </c>
      <c r="G101">
        <f t="shared" si="22"/>
        <v>0</v>
      </c>
      <c r="H101">
        <f t="shared" si="23"/>
        <v>0</v>
      </c>
      <c r="I101">
        <f t="shared" si="24"/>
        <v>0</v>
      </c>
      <c r="J101">
        <f t="shared" si="17"/>
        <v>0</v>
      </c>
      <c r="K101">
        <f t="shared" si="18"/>
        <v>0</v>
      </c>
      <c r="L101">
        <f t="shared" si="25"/>
        <v>37</v>
      </c>
      <c r="M101">
        <f t="shared" si="26"/>
        <v>25</v>
      </c>
      <c r="N101">
        <f t="shared" si="27"/>
        <v>1</v>
      </c>
      <c r="O101">
        <f t="shared" si="28"/>
        <v>12</v>
      </c>
      <c r="P101">
        <f t="shared" si="19"/>
        <v>5</v>
      </c>
      <c r="Q101">
        <f t="shared" si="29"/>
        <v>25</v>
      </c>
      <c r="R101">
        <f t="shared" si="29"/>
        <v>20</v>
      </c>
    </row>
    <row r="102" spans="1:18" x14ac:dyDescent="0.25">
      <c r="A102" s="1">
        <v>44751</v>
      </c>
      <c r="B102">
        <f t="shared" si="15"/>
        <v>6</v>
      </c>
      <c r="C102">
        <f t="shared" si="20"/>
        <v>25</v>
      </c>
      <c r="D102">
        <f t="shared" si="20"/>
        <v>20</v>
      </c>
      <c r="E102">
        <f t="shared" si="21"/>
        <v>0</v>
      </c>
      <c r="F102">
        <f t="shared" si="16"/>
        <v>0</v>
      </c>
      <c r="G102">
        <f t="shared" si="22"/>
        <v>0</v>
      </c>
      <c r="H102">
        <f t="shared" si="23"/>
        <v>0</v>
      </c>
      <c r="I102">
        <f t="shared" si="24"/>
        <v>0</v>
      </c>
      <c r="J102">
        <f t="shared" si="17"/>
        <v>0</v>
      </c>
      <c r="K102">
        <f t="shared" si="18"/>
        <v>0</v>
      </c>
      <c r="L102">
        <f t="shared" si="25"/>
        <v>25</v>
      </c>
      <c r="M102">
        <f t="shared" si="26"/>
        <v>20</v>
      </c>
      <c r="N102">
        <f t="shared" si="27"/>
        <v>1</v>
      </c>
      <c r="O102">
        <f t="shared" si="28"/>
        <v>8</v>
      </c>
      <c r="P102">
        <f t="shared" si="19"/>
        <v>4</v>
      </c>
      <c r="Q102">
        <f t="shared" si="29"/>
        <v>17</v>
      </c>
      <c r="R102">
        <f t="shared" si="29"/>
        <v>16</v>
      </c>
    </row>
    <row r="103" spans="1:18" x14ac:dyDescent="0.25">
      <c r="A103" s="1">
        <v>44752</v>
      </c>
      <c r="B103">
        <f t="shared" si="15"/>
        <v>7</v>
      </c>
      <c r="C103">
        <f t="shared" si="20"/>
        <v>17</v>
      </c>
      <c r="D103">
        <f t="shared" si="20"/>
        <v>16</v>
      </c>
      <c r="E103">
        <f t="shared" si="21"/>
        <v>0</v>
      </c>
      <c r="F103">
        <f t="shared" si="16"/>
        <v>0</v>
      </c>
      <c r="G103">
        <f t="shared" si="22"/>
        <v>0</v>
      </c>
      <c r="H103">
        <f t="shared" si="23"/>
        <v>0</v>
      </c>
      <c r="I103">
        <f t="shared" si="24"/>
        <v>0</v>
      </c>
      <c r="J103">
        <f t="shared" si="17"/>
        <v>0</v>
      </c>
      <c r="K103">
        <f t="shared" si="18"/>
        <v>0</v>
      </c>
      <c r="L103">
        <f t="shared" si="25"/>
        <v>17</v>
      </c>
      <c r="M103">
        <f t="shared" si="26"/>
        <v>16</v>
      </c>
      <c r="N103">
        <f t="shared" si="27"/>
        <v>0</v>
      </c>
      <c r="O103">
        <f t="shared" si="28"/>
        <v>0</v>
      </c>
      <c r="P103">
        <f t="shared" si="19"/>
        <v>0</v>
      </c>
      <c r="Q103">
        <f t="shared" si="29"/>
        <v>17</v>
      </c>
      <c r="R103">
        <f t="shared" si="29"/>
        <v>16</v>
      </c>
    </row>
    <row r="104" spans="1:18" x14ac:dyDescent="0.25">
      <c r="A104" s="1">
        <v>44753</v>
      </c>
      <c r="B104">
        <f t="shared" si="15"/>
        <v>1</v>
      </c>
      <c r="C104">
        <f t="shared" si="20"/>
        <v>17</v>
      </c>
      <c r="D104">
        <f t="shared" si="20"/>
        <v>16</v>
      </c>
      <c r="E104">
        <f t="shared" si="21"/>
        <v>1</v>
      </c>
      <c r="F104">
        <f t="shared" si="16"/>
        <v>1</v>
      </c>
      <c r="G104">
        <f t="shared" si="22"/>
        <v>0</v>
      </c>
      <c r="H104">
        <f t="shared" si="23"/>
        <v>0</v>
      </c>
      <c r="I104">
        <f t="shared" si="24"/>
        <v>0</v>
      </c>
      <c r="J104">
        <f t="shared" si="17"/>
        <v>0</v>
      </c>
      <c r="K104">
        <f t="shared" si="18"/>
        <v>0</v>
      </c>
      <c r="L104">
        <f t="shared" si="25"/>
        <v>16</v>
      </c>
      <c r="M104">
        <f t="shared" si="26"/>
        <v>16</v>
      </c>
      <c r="N104">
        <f t="shared" si="27"/>
        <v>1</v>
      </c>
      <c r="O104">
        <f t="shared" si="28"/>
        <v>5</v>
      </c>
      <c r="P104">
        <f t="shared" si="19"/>
        <v>4</v>
      </c>
      <c r="Q104">
        <f t="shared" si="29"/>
        <v>11</v>
      </c>
      <c r="R104">
        <f t="shared" si="29"/>
        <v>12</v>
      </c>
    </row>
    <row r="105" spans="1:18" x14ac:dyDescent="0.25">
      <c r="A105" s="1">
        <v>44754</v>
      </c>
      <c r="B105">
        <f t="shared" si="15"/>
        <v>2</v>
      </c>
      <c r="C105">
        <f t="shared" si="20"/>
        <v>11</v>
      </c>
      <c r="D105">
        <f t="shared" si="20"/>
        <v>12</v>
      </c>
      <c r="E105">
        <f t="shared" si="21"/>
        <v>0</v>
      </c>
      <c r="F105">
        <f t="shared" si="16"/>
        <v>0</v>
      </c>
      <c r="G105">
        <f t="shared" si="22"/>
        <v>0</v>
      </c>
      <c r="H105">
        <f t="shared" si="23"/>
        <v>0</v>
      </c>
      <c r="I105">
        <f t="shared" si="24"/>
        <v>0</v>
      </c>
      <c r="J105">
        <f t="shared" si="17"/>
        <v>0</v>
      </c>
      <c r="K105">
        <f t="shared" si="18"/>
        <v>0</v>
      </c>
      <c r="L105">
        <f t="shared" si="25"/>
        <v>11</v>
      </c>
      <c r="M105">
        <f t="shared" si="26"/>
        <v>12</v>
      </c>
      <c r="N105">
        <f t="shared" si="27"/>
        <v>1</v>
      </c>
      <c r="O105">
        <f t="shared" si="28"/>
        <v>4</v>
      </c>
      <c r="P105">
        <f t="shared" si="19"/>
        <v>3</v>
      </c>
      <c r="Q105">
        <f t="shared" si="29"/>
        <v>7</v>
      </c>
      <c r="R105">
        <f t="shared" si="29"/>
        <v>9</v>
      </c>
    </row>
    <row r="106" spans="1:18" x14ac:dyDescent="0.25">
      <c r="A106" s="1">
        <v>44755</v>
      </c>
      <c r="B106">
        <f t="shared" si="15"/>
        <v>3</v>
      </c>
      <c r="C106">
        <f t="shared" si="20"/>
        <v>7</v>
      </c>
      <c r="D106">
        <f t="shared" si="20"/>
        <v>9</v>
      </c>
      <c r="E106">
        <f t="shared" si="21"/>
        <v>0</v>
      </c>
      <c r="F106">
        <f t="shared" si="16"/>
        <v>0</v>
      </c>
      <c r="G106">
        <f t="shared" si="22"/>
        <v>0</v>
      </c>
      <c r="H106">
        <f t="shared" si="23"/>
        <v>0</v>
      </c>
      <c r="I106">
        <f t="shared" si="24"/>
        <v>0</v>
      </c>
      <c r="J106">
        <f t="shared" si="17"/>
        <v>0</v>
      </c>
      <c r="K106">
        <f t="shared" si="18"/>
        <v>0</v>
      </c>
      <c r="L106">
        <f t="shared" si="25"/>
        <v>7</v>
      </c>
      <c r="M106">
        <f t="shared" si="26"/>
        <v>9</v>
      </c>
      <c r="N106">
        <f t="shared" si="27"/>
        <v>1</v>
      </c>
      <c r="O106">
        <f t="shared" si="28"/>
        <v>3</v>
      </c>
      <c r="P106">
        <f t="shared" si="19"/>
        <v>2</v>
      </c>
      <c r="Q106">
        <f t="shared" si="29"/>
        <v>4</v>
      </c>
      <c r="R106">
        <f t="shared" si="29"/>
        <v>7</v>
      </c>
    </row>
    <row r="107" spans="1:18" x14ac:dyDescent="0.25">
      <c r="A107" s="1">
        <v>44756</v>
      </c>
      <c r="B107">
        <f t="shared" si="15"/>
        <v>4</v>
      </c>
      <c r="C107">
        <f t="shared" si="20"/>
        <v>4</v>
      </c>
      <c r="D107">
        <f t="shared" si="20"/>
        <v>7</v>
      </c>
      <c r="E107">
        <f t="shared" si="21"/>
        <v>0</v>
      </c>
      <c r="F107">
        <f t="shared" si="16"/>
        <v>0</v>
      </c>
      <c r="G107">
        <f t="shared" si="22"/>
        <v>1</v>
      </c>
      <c r="H107">
        <f t="shared" si="23"/>
        <v>50</v>
      </c>
      <c r="I107">
        <f t="shared" si="24"/>
        <v>25</v>
      </c>
      <c r="J107">
        <f t="shared" si="17"/>
        <v>0</v>
      </c>
      <c r="K107">
        <f t="shared" si="18"/>
        <v>0</v>
      </c>
      <c r="L107">
        <f t="shared" si="25"/>
        <v>54</v>
      </c>
      <c r="M107">
        <f t="shared" si="26"/>
        <v>32</v>
      </c>
      <c r="N107">
        <f t="shared" si="27"/>
        <v>1</v>
      </c>
      <c r="O107">
        <f t="shared" si="28"/>
        <v>17</v>
      </c>
      <c r="P107">
        <f t="shared" si="19"/>
        <v>7</v>
      </c>
      <c r="Q107">
        <f t="shared" si="29"/>
        <v>37</v>
      </c>
      <c r="R107">
        <f t="shared" si="29"/>
        <v>25</v>
      </c>
    </row>
    <row r="108" spans="1:18" x14ac:dyDescent="0.25">
      <c r="A108" s="1">
        <v>44757</v>
      </c>
      <c r="B108">
        <f t="shared" si="15"/>
        <v>5</v>
      </c>
      <c r="C108">
        <f t="shared" si="20"/>
        <v>37</v>
      </c>
      <c r="D108">
        <f t="shared" si="20"/>
        <v>25</v>
      </c>
      <c r="E108">
        <f t="shared" si="21"/>
        <v>0</v>
      </c>
      <c r="F108">
        <f t="shared" si="16"/>
        <v>0</v>
      </c>
      <c r="G108">
        <f t="shared" si="22"/>
        <v>0</v>
      </c>
      <c r="H108">
        <f t="shared" si="23"/>
        <v>0</v>
      </c>
      <c r="I108">
        <f t="shared" si="24"/>
        <v>0</v>
      </c>
      <c r="J108">
        <f t="shared" si="17"/>
        <v>0</v>
      </c>
      <c r="K108">
        <f t="shared" si="18"/>
        <v>0</v>
      </c>
      <c r="L108">
        <f t="shared" si="25"/>
        <v>37</v>
      </c>
      <c r="M108">
        <f t="shared" si="26"/>
        <v>25</v>
      </c>
      <c r="N108">
        <f t="shared" si="27"/>
        <v>1</v>
      </c>
      <c r="O108">
        <f t="shared" si="28"/>
        <v>12</v>
      </c>
      <c r="P108">
        <f t="shared" si="19"/>
        <v>5</v>
      </c>
      <c r="Q108">
        <f t="shared" si="29"/>
        <v>25</v>
      </c>
      <c r="R108">
        <f t="shared" si="29"/>
        <v>20</v>
      </c>
    </row>
    <row r="109" spans="1:18" x14ac:dyDescent="0.25">
      <c r="A109" s="1">
        <v>44758</v>
      </c>
      <c r="B109">
        <f t="shared" si="15"/>
        <v>6</v>
      </c>
      <c r="C109">
        <f t="shared" si="20"/>
        <v>25</v>
      </c>
      <c r="D109">
        <f t="shared" si="20"/>
        <v>20</v>
      </c>
      <c r="E109">
        <f t="shared" si="21"/>
        <v>0</v>
      </c>
      <c r="F109">
        <f t="shared" si="16"/>
        <v>0</v>
      </c>
      <c r="G109">
        <f t="shared" si="22"/>
        <v>0</v>
      </c>
      <c r="H109">
        <f t="shared" si="23"/>
        <v>0</v>
      </c>
      <c r="I109">
        <f t="shared" si="24"/>
        <v>0</v>
      </c>
      <c r="J109">
        <f t="shared" si="17"/>
        <v>0</v>
      </c>
      <c r="K109">
        <f t="shared" si="18"/>
        <v>0</v>
      </c>
      <c r="L109">
        <f t="shared" si="25"/>
        <v>25</v>
      </c>
      <c r="M109">
        <f t="shared" si="26"/>
        <v>20</v>
      </c>
      <c r="N109">
        <f t="shared" si="27"/>
        <v>1</v>
      </c>
      <c r="O109">
        <f t="shared" si="28"/>
        <v>8</v>
      </c>
      <c r="P109">
        <f t="shared" si="19"/>
        <v>4</v>
      </c>
      <c r="Q109">
        <f t="shared" si="29"/>
        <v>17</v>
      </c>
      <c r="R109">
        <f t="shared" si="29"/>
        <v>16</v>
      </c>
    </row>
    <row r="110" spans="1:18" x14ac:dyDescent="0.25">
      <c r="A110" s="1">
        <v>44759</v>
      </c>
      <c r="B110">
        <f t="shared" si="15"/>
        <v>7</v>
      </c>
      <c r="C110">
        <f t="shared" si="20"/>
        <v>17</v>
      </c>
      <c r="D110">
        <f t="shared" si="20"/>
        <v>16</v>
      </c>
      <c r="E110">
        <f t="shared" si="21"/>
        <v>0</v>
      </c>
      <c r="F110">
        <f t="shared" si="16"/>
        <v>0</v>
      </c>
      <c r="G110">
        <f t="shared" si="22"/>
        <v>0</v>
      </c>
      <c r="H110">
        <f t="shared" si="23"/>
        <v>0</v>
      </c>
      <c r="I110">
        <f t="shared" si="24"/>
        <v>0</v>
      </c>
      <c r="J110">
        <f t="shared" si="17"/>
        <v>0</v>
      </c>
      <c r="K110">
        <f t="shared" si="18"/>
        <v>0</v>
      </c>
      <c r="L110">
        <f t="shared" si="25"/>
        <v>17</v>
      </c>
      <c r="M110">
        <f t="shared" si="26"/>
        <v>16</v>
      </c>
      <c r="N110">
        <f t="shared" si="27"/>
        <v>0</v>
      </c>
      <c r="O110">
        <f t="shared" si="28"/>
        <v>0</v>
      </c>
      <c r="P110">
        <f t="shared" si="19"/>
        <v>0</v>
      </c>
      <c r="Q110">
        <f t="shared" si="29"/>
        <v>17</v>
      </c>
      <c r="R110">
        <f t="shared" si="29"/>
        <v>16</v>
      </c>
    </row>
    <row r="111" spans="1:18" x14ac:dyDescent="0.25">
      <c r="A111" s="1">
        <v>44760</v>
      </c>
      <c r="B111">
        <f t="shared" si="15"/>
        <v>1</v>
      </c>
      <c r="C111">
        <f t="shared" si="20"/>
        <v>17</v>
      </c>
      <c r="D111">
        <f t="shared" si="20"/>
        <v>16</v>
      </c>
      <c r="E111">
        <f t="shared" si="21"/>
        <v>1</v>
      </c>
      <c r="F111">
        <f t="shared" si="16"/>
        <v>1</v>
      </c>
      <c r="G111">
        <f t="shared" si="22"/>
        <v>0</v>
      </c>
      <c r="H111">
        <f t="shared" si="23"/>
        <v>0</v>
      </c>
      <c r="I111">
        <f t="shared" si="24"/>
        <v>0</v>
      </c>
      <c r="J111">
        <f t="shared" si="17"/>
        <v>0</v>
      </c>
      <c r="K111">
        <f t="shared" si="18"/>
        <v>0</v>
      </c>
      <c r="L111">
        <f t="shared" si="25"/>
        <v>16</v>
      </c>
      <c r="M111">
        <f t="shared" si="26"/>
        <v>16</v>
      </c>
      <c r="N111">
        <f t="shared" si="27"/>
        <v>1</v>
      </c>
      <c r="O111">
        <f t="shared" si="28"/>
        <v>5</v>
      </c>
      <c r="P111">
        <f t="shared" si="19"/>
        <v>4</v>
      </c>
      <c r="Q111">
        <f t="shared" si="29"/>
        <v>11</v>
      </c>
      <c r="R111">
        <f t="shared" si="29"/>
        <v>12</v>
      </c>
    </row>
    <row r="112" spans="1:18" x14ac:dyDescent="0.25">
      <c r="A112" s="1">
        <v>44761</v>
      </c>
      <c r="B112">
        <f t="shared" si="15"/>
        <v>2</v>
      </c>
      <c r="C112">
        <f t="shared" si="20"/>
        <v>11</v>
      </c>
      <c r="D112">
        <f t="shared" si="20"/>
        <v>12</v>
      </c>
      <c r="E112">
        <f t="shared" si="21"/>
        <v>0</v>
      </c>
      <c r="F112">
        <f t="shared" si="16"/>
        <v>0</v>
      </c>
      <c r="G112">
        <f t="shared" si="22"/>
        <v>0</v>
      </c>
      <c r="H112">
        <f t="shared" si="23"/>
        <v>0</v>
      </c>
      <c r="I112">
        <f t="shared" si="24"/>
        <v>0</v>
      </c>
      <c r="J112">
        <f t="shared" si="17"/>
        <v>0</v>
      </c>
      <c r="K112">
        <f t="shared" si="18"/>
        <v>0</v>
      </c>
      <c r="L112">
        <f t="shared" si="25"/>
        <v>11</v>
      </c>
      <c r="M112">
        <f t="shared" si="26"/>
        <v>12</v>
      </c>
      <c r="N112">
        <f t="shared" si="27"/>
        <v>1</v>
      </c>
      <c r="O112">
        <f t="shared" si="28"/>
        <v>4</v>
      </c>
      <c r="P112">
        <f t="shared" si="19"/>
        <v>3</v>
      </c>
      <c r="Q112">
        <f t="shared" si="29"/>
        <v>7</v>
      </c>
      <c r="R112">
        <f t="shared" si="29"/>
        <v>9</v>
      </c>
    </row>
    <row r="113" spans="1:18" x14ac:dyDescent="0.25">
      <c r="A113" s="1">
        <v>44762</v>
      </c>
      <c r="B113">
        <f t="shared" si="15"/>
        <v>3</v>
      </c>
      <c r="C113">
        <f t="shared" si="20"/>
        <v>7</v>
      </c>
      <c r="D113">
        <f t="shared" si="20"/>
        <v>9</v>
      </c>
      <c r="E113">
        <f t="shared" si="21"/>
        <v>0</v>
      </c>
      <c r="F113">
        <f t="shared" si="16"/>
        <v>0</v>
      </c>
      <c r="G113">
        <f t="shared" si="22"/>
        <v>0</v>
      </c>
      <c r="H113">
        <f t="shared" si="23"/>
        <v>0</v>
      </c>
      <c r="I113">
        <f t="shared" si="24"/>
        <v>0</v>
      </c>
      <c r="J113">
        <f t="shared" si="17"/>
        <v>0</v>
      </c>
      <c r="K113">
        <f t="shared" si="18"/>
        <v>0</v>
      </c>
      <c r="L113">
        <f t="shared" si="25"/>
        <v>7</v>
      </c>
      <c r="M113">
        <f t="shared" si="26"/>
        <v>9</v>
      </c>
      <c r="N113">
        <f t="shared" si="27"/>
        <v>1</v>
      </c>
      <c r="O113">
        <f t="shared" si="28"/>
        <v>3</v>
      </c>
      <c r="P113">
        <f t="shared" si="19"/>
        <v>2</v>
      </c>
      <c r="Q113">
        <f t="shared" si="29"/>
        <v>4</v>
      </c>
      <c r="R113">
        <f t="shared" si="29"/>
        <v>7</v>
      </c>
    </row>
    <row r="114" spans="1:18" x14ac:dyDescent="0.25">
      <c r="A114" s="1">
        <v>44763</v>
      </c>
      <c r="B114">
        <f t="shared" si="15"/>
        <v>4</v>
      </c>
      <c r="C114">
        <f t="shared" si="20"/>
        <v>4</v>
      </c>
      <c r="D114">
        <f t="shared" si="20"/>
        <v>7</v>
      </c>
      <c r="E114">
        <f t="shared" si="21"/>
        <v>0</v>
      </c>
      <c r="F114">
        <f t="shared" si="16"/>
        <v>0</v>
      </c>
      <c r="G114">
        <f t="shared" si="22"/>
        <v>1</v>
      </c>
      <c r="H114">
        <f t="shared" si="23"/>
        <v>50</v>
      </c>
      <c r="I114">
        <f t="shared" si="24"/>
        <v>25</v>
      </c>
      <c r="J114">
        <f t="shared" si="17"/>
        <v>0</v>
      </c>
      <c r="K114">
        <f t="shared" si="18"/>
        <v>0</v>
      </c>
      <c r="L114">
        <f t="shared" si="25"/>
        <v>54</v>
      </c>
      <c r="M114">
        <f t="shared" si="26"/>
        <v>32</v>
      </c>
      <c r="N114">
        <f t="shared" si="27"/>
        <v>1</v>
      </c>
      <c r="O114">
        <f t="shared" si="28"/>
        <v>17</v>
      </c>
      <c r="P114">
        <f t="shared" si="19"/>
        <v>7</v>
      </c>
      <c r="Q114">
        <f t="shared" si="29"/>
        <v>37</v>
      </c>
      <c r="R114">
        <f t="shared" si="29"/>
        <v>25</v>
      </c>
    </row>
    <row r="115" spans="1:18" x14ac:dyDescent="0.25">
      <c r="A115" s="1">
        <v>44764</v>
      </c>
      <c r="B115">
        <f t="shared" si="15"/>
        <v>5</v>
      </c>
      <c r="C115">
        <f t="shared" si="20"/>
        <v>37</v>
      </c>
      <c r="D115">
        <f t="shared" si="20"/>
        <v>25</v>
      </c>
      <c r="E115">
        <f t="shared" si="21"/>
        <v>0</v>
      </c>
      <c r="F115">
        <f t="shared" si="16"/>
        <v>0</v>
      </c>
      <c r="G115">
        <f t="shared" si="22"/>
        <v>0</v>
      </c>
      <c r="H115">
        <f t="shared" si="23"/>
        <v>0</v>
      </c>
      <c r="I115">
        <f t="shared" si="24"/>
        <v>0</v>
      </c>
      <c r="J115">
        <f t="shared" si="17"/>
        <v>0</v>
      </c>
      <c r="K115">
        <f t="shared" si="18"/>
        <v>0</v>
      </c>
      <c r="L115">
        <f t="shared" si="25"/>
        <v>37</v>
      </c>
      <c r="M115">
        <f t="shared" si="26"/>
        <v>25</v>
      </c>
      <c r="N115">
        <f t="shared" si="27"/>
        <v>1</v>
      </c>
      <c r="O115">
        <f t="shared" si="28"/>
        <v>12</v>
      </c>
      <c r="P115">
        <f t="shared" si="19"/>
        <v>5</v>
      </c>
      <c r="Q115">
        <f t="shared" si="29"/>
        <v>25</v>
      </c>
      <c r="R115">
        <f t="shared" si="29"/>
        <v>20</v>
      </c>
    </row>
    <row r="116" spans="1:18" x14ac:dyDescent="0.25">
      <c r="A116" s="1">
        <v>44765</v>
      </c>
      <c r="B116">
        <f t="shared" si="15"/>
        <v>6</v>
      </c>
      <c r="C116">
        <f t="shared" si="20"/>
        <v>25</v>
      </c>
      <c r="D116">
        <f t="shared" si="20"/>
        <v>20</v>
      </c>
      <c r="E116">
        <f t="shared" si="21"/>
        <v>0</v>
      </c>
      <c r="F116">
        <f t="shared" si="16"/>
        <v>0</v>
      </c>
      <c r="G116">
        <f t="shared" si="22"/>
        <v>0</v>
      </c>
      <c r="H116">
        <f t="shared" si="23"/>
        <v>0</v>
      </c>
      <c r="I116">
        <f t="shared" si="24"/>
        <v>0</v>
      </c>
      <c r="J116">
        <f t="shared" si="17"/>
        <v>0</v>
      </c>
      <c r="K116">
        <f t="shared" si="18"/>
        <v>0</v>
      </c>
      <c r="L116">
        <f t="shared" si="25"/>
        <v>25</v>
      </c>
      <c r="M116">
        <f t="shared" si="26"/>
        <v>20</v>
      </c>
      <c r="N116">
        <f t="shared" si="27"/>
        <v>1</v>
      </c>
      <c r="O116">
        <f t="shared" si="28"/>
        <v>8</v>
      </c>
      <c r="P116">
        <f t="shared" si="19"/>
        <v>4</v>
      </c>
      <c r="Q116">
        <f t="shared" si="29"/>
        <v>17</v>
      </c>
      <c r="R116">
        <f t="shared" si="29"/>
        <v>16</v>
      </c>
    </row>
    <row r="117" spans="1:18" x14ac:dyDescent="0.25">
      <c r="A117" s="1">
        <v>44766</v>
      </c>
      <c r="B117">
        <f t="shared" si="15"/>
        <v>7</v>
      </c>
      <c r="C117">
        <f t="shared" si="20"/>
        <v>17</v>
      </c>
      <c r="D117">
        <f t="shared" si="20"/>
        <v>16</v>
      </c>
      <c r="E117">
        <f t="shared" si="21"/>
        <v>0</v>
      </c>
      <c r="F117">
        <f t="shared" si="16"/>
        <v>0</v>
      </c>
      <c r="G117">
        <f t="shared" si="22"/>
        <v>0</v>
      </c>
      <c r="H117">
        <f t="shared" si="23"/>
        <v>0</v>
      </c>
      <c r="I117">
        <f t="shared" si="24"/>
        <v>0</v>
      </c>
      <c r="J117">
        <f t="shared" si="17"/>
        <v>0</v>
      </c>
      <c r="K117">
        <f t="shared" si="18"/>
        <v>0</v>
      </c>
      <c r="L117">
        <f t="shared" si="25"/>
        <v>17</v>
      </c>
      <c r="M117">
        <f t="shared" si="26"/>
        <v>16</v>
      </c>
      <c r="N117">
        <f t="shared" si="27"/>
        <v>0</v>
      </c>
      <c r="O117">
        <f t="shared" si="28"/>
        <v>0</v>
      </c>
      <c r="P117">
        <f t="shared" si="19"/>
        <v>0</v>
      </c>
      <c r="Q117">
        <f t="shared" si="29"/>
        <v>17</v>
      </c>
      <c r="R117">
        <f t="shared" si="29"/>
        <v>16</v>
      </c>
    </row>
    <row r="118" spans="1:18" x14ac:dyDescent="0.25">
      <c r="A118" s="1">
        <v>44767</v>
      </c>
      <c r="B118">
        <f t="shared" si="15"/>
        <v>1</v>
      </c>
      <c r="C118">
        <f t="shared" si="20"/>
        <v>17</v>
      </c>
      <c r="D118">
        <f t="shared" si="20"/>
        <v>16</v>
      </c>
      <c r="E118">
        <f t="shared" si="21"/>
        <v>1</v>
      </c>
      <c r="F118">
        <f t="shared" si="16"/>
        <v>1</v>
      </c>
      <c r="G118">
        <f t="shared" si="22"/>
        <v>0</v>
      </c>
      <c r="H118">
        <f t="shared" si="23"/>
        <v>0</v>
      </c>
      <c r="I118">
        <f t="shared" si="24"/>
        <v>0</v>
      </c>
      <c r="J118">
        <f t="shared" si="17"/>
        <v>0</v>
      </c>
      <c r="K118">
        <f t="shared" si="18"/>
        <v>0</v>
      </c>
      <c r="L118">
        <f t="shared" si="25"/>
        <v>16</v>
      </c>
      <c r="M118">
        <f t="shared" si="26"/>
        <v>16</v>
      </c>
      <c r="N118">
        <f t="shared" si="27"/>
        <v>1</v>
      </c>
      <c r="O118">
        <f t="shared" si="28"/>
        <v>5</v>
      </c>
      <c r="P118">
        <f t="shared" si="19"/>
        <v>4</v>
      </c>
      <c r="Q118">
        <f t="shared" si="29"/>
        <v>11</v>
      </c>
      <c r="R118">
        <f t="shared" si="29"/>
        <v>12</v>
      </c>
    </row>
    <row r="119" spans="1:18" x14ac:dyDescent="0.25">
      <c r="A119" s="1">
        <v>44768</v>
      </c>
      <c r="B119">
        <f t="shared" si="15"/>
        <v>2</v>
      </c>
      <c r="C119">
        <f t="shared" si="20"/>
        <v>11</v>
      </c>
      <c r="D119">
        <f t="shared" si="20"/>
        <v>12</v>
      </c>
      <c r="E119">
        <f t="shared" si="21"/>
        <v>0</v>
      </c>
      <c r="F119">
        <f t="shared" si="16"/>
        <v>0</v>
      </c>
      <c r="G119">
        <f t="shared" si="22"/>
        <v>0</v>
      </c>
      <c r="H119">
        <f t="shared" si="23"/>
        <v>0</v>
      </c>
      <c r="I119">
        <f t="shared" si="24"/>
        <v>0</v>
      </c>
      <c r="J119">
        <f t="shared" si="17"/>
        <v>0</v>
      </c>
      <c r="K119">
        <f t="shared" si="18"/>
        <v>0</v>
      </c>
      <c r="L119">
        <f t="shared" si="25"/>
        <v>11</v>
      </c>
      <c r="M119">
        <f t="shared" si="26"/>
        <v>12</v>
      </c>
      <c r="N119">
        <f t="shared" si="27"/>
        <v>1</v>
      </c>
      <c r="O119">
        <f t="shared" si="28"/>
        <v>4</v>
      </c>
      <c r="P119">
        <f t="shared" si="19"/>
        <v>3</v>
      </c>
      <c r="Q119">
        <f t="shared" si="29"/>
        <v>7</v>
      </c>
      <c r="R119">
        <f t="shared" si="29"/>
        <v>9</v>
      </c>
    </row>
    <row r="120" spans="1:18" x14ac:dyDescent="0.25">
      <c r="A120" s="1">
        <v>44769</v>
      </c>
      <c r="B120">
        <f t="shared" si="15"/>
        <v>3</v>
      </c>
      <c r="C120">
        <f t="shared" si="20"/>
        <v>7</v>
      </c>
      <c r="D120">
        <f t="shared" si="20"/>
        <v>9</v>
      </c>
      <c r="E120">
        <f t="shared" si="21"/>
        <v>0</v>
      </c>
      <c r="F120">
        <f t="shared" si="16"/>
        <v>0</v>
      </c>
      <c r="G120">
        <f t="shared" si="22"/>
        <v>0</v>
      </c>
      <c r="H120">
        <f t="shared" si="23"/>
        <v>0</v>
      </c>
      <c r="I120">
        <f t="shared" si="24"/>
        <v>0</v>
      </c>
      <c r="J120">
        <f t="shared" si="17"/>
        <v>0</v>
      </c>
      <c r="K120">
        <f t="shared" si="18"/>
        <v>0</v>
      </c>
      <c r="L120">
        <f t="shared" si="25"/>
        <v>7</v>
      </c>
      <c r="M120">
        <f t="shared" si="26"/>
        <v>9</v>
      </c>
      <c r="N120">
        <f t="shared" si="27"/>
        <v>1</v>
      </c>
      <c r="O120">
        <f t="shared" si="28"/>
        <v>3</v>
      </c>
      <c r="P120">
        <f t="shared" si="19"/>
        <v>2</v>
      </c>
      <c r="Q120">
        <f t="shared" si="29"/>
        <v>4</v>
      </c>
      <c r="R120">
        <f t="shared" si="29"/>
        <v>7</v>
      </c>
    </row>
    <row r="121" spans="1:18" x14ac:dyDescent="0.25">
      <c r="A121" s="1">
        <v>44770</v>
      </c>
      <c r="B121">
        <f t="shared" si="15"/>
        <v>4</v>
      </c>
      <c r="C121">
        <f t="shared" si="20"/>
        <v>4</v>
      </c>
      <c r="D121">
        <f t="shared" si="20"/>
        <v>7</v>
      </c>
      <c r="E121">
        <f t="shared" si="21"/>
        <v>0</v>
      </c>
      <c r="F121">
        <f t="shared" si="16"/>
        <v>0</v>
      </c>
      <c r="G121">
        <f t="shared" si="22"/>
        <v>1</v>
      </c>
      <c r="H121">
        <f t="shared" si="23"/>
        <v>50</v>
      </c>
      <c r="I121">
        <f t="shared" si="24"/>
        <v>25</v>
      </c>
      <c r="J121">
        <f t="shared" si="17"/>
        <v>0</v>
      </c>
      <c r="K121">
        <f t="shared" si="18"/>
        <v>0</v>
      </c>
      <c r="L121">
        <f t="shared" si="25"/>
        <v>54</v>
      </c>
      <c r="M121">
        <f t="shared" si="26"/>
        <v>32</v>
      </c>
      <c r="N121">
        <f t="shared" si="27"/>
        <v>1</v>
      </c>
      <c r="O121">
        <f t="shared" si="28"/>
        <v>17</v>
      </c>
      <c r="P121">
        <f t="shared" si="19"/>
        <v>7</v>
      </c>
      <c r="Q121">
        <f t="shared" si="29"/>
        <v>37</v>
      </c>
      <c r="R121">
        <f t="shared" si="29"/>
        <v>25</v>
      </c>
    </row>
    <row r="122" spans="1:18" x14ac:dyDescent="0.25">
      <c r="A122" s="1">
        <v>44771</v>
      </c>
      <c r="B122">
        <f t="shared" si="15"/>
        <v>5</v>
      </c>
      <c r="C122">
        <f t="shared" si="20"/>
        <v>37</v>
      </c>
      <c r="D122">
        <f t="shared" si="20"/>
        <v>25</v>
      </c>
      <c r="E122">
        <f t="shared" si="21"/>
        <v>0</v>
      </c>
      <c r="F122">
        <f t="shared" si="16"/>
        <v>0</v>
      </c>
      <c r="G122">
        <f t="shared" si="22"/>
        <v>0</v>
      </c>
      <c r="H122">
        <f t="shared" si="23"/>
        <v>0</v>
      </c>
      <c r="I122">
        <f t="shared" si="24"/>
        <v>0</v>
      </c>
      <c r="J122">
        <f t="shared" si="17"/>
        <v>0</v>
      </c>
      <c r="K122">
        <f t="shared" si="18"/>
        <v>0</v>
      </c>
      <c r="L122">
        <f t="shared" si="25"/>
        <v>37</v>
      </c>
      <c r="M122">
        <f t="shared" si="26"/>
        <v>25</v>
      </c>
      <c r="N122">
        <f t="shared" si="27"/>
        <v>1</v>
      </c>
      <c r="O122">
        <f t="shared" si="28"/>
        <v>12</v>
      </c>
      <c r="P122">
        <f t="shared" si="19"/>
        <v>5</v>
      </c>
      <c r="Q122">
        <f t="shared" si="29"/>
        <v>25</v>
      </c>
      <c r="R122">
        <f t="shared" si="29"/>
        <v>20</v>
      </c>
    </row>
    <row r="123" spans="1:18" x14ac:dyDescent="0.25">
      <c r="A123" s="1">
        <v>44772</v>
      </c>
      <c r="B123">
        <f t="shared" si="15"/>
        <v>6</v>
      </c>
      <c r="C123">
        <f t="shared" si="20"/>
        <v>25</v>
      </c>
      <c r="D123">
        <f t="shared" si="20"/>
        <v>20</v>
      </c>
      <c r="E123">
        <f t="shared" si="21"/>
        <v>0</v>
      </c>
      <c r="F123">
        <f t="shared" si="16"/>
        <v>0</v>
      </c>
      <c r="G123">
        <f t="shared" si="22"/>
        <v>0</v>
      </c>
      <c r="H123">
        <f t="shared" si="23"/>
        <v>0</v>
      </c>
      <c r="I123">
        <f t="shared" si="24"/>
        <v>0</v>
      </c>
      <c r="J123">
        <f t="shared" si="17"/>
        <v>0</v>
      </c>
      <c r="K123">
        <f t="shared" si="18"/>
        <v>0</v>
      </c>
      <c r="L123">
        <f t="shared" si="25"/>
        <v>25</v>
      </c>
      <c r="M123">
        <f t="shared" si="26"/>
        <v>20</v>
      </c>
      <c r="N123">
        <f t="shared" si="27"/>
        <v>1</v>
      </c>
      <c r="O123">
        <f t="shared" si="28"/>
        <v>8</v>
      </c>
      <c r="P123">
        <f t="shared" si="19"/>
        <v>4</v>
      </c>
      <c r="Q123">
        <f t="shared" si="29"/>
        <v>17</v>
      </c>
      <c r="R123">
        <f t="shared" si="29"/>
        <v>16</v>
      </c>
    </row>
    <row r="124" spans="1:18" x14ac:dyDescent="0.25">
      <c r="A124" s="1">
        <v>44773</v>
      </c>
      <c r="B124">
        <f t="shared" si="15"/>
        <v>7</v>
      </c>
      <c r="C124">
        <f t="shared" si="20"/>
        <v>17</v>
      </c>
      <c r="D124">
        <f t="shared" si="20"/>
        <v>16</v>
      </c>
      <c r="E124">
        <f t="shared" si="21"/>
        <v>0</v>
      </c>
      <c r="F124">
        <f t="shared" si="16"/>
        <v>0</v>
      </c>
      <c r="G124">
        <f t="shared" si="22"/>
        <v>0</v>
      </c>
      <c r="H124">
        <f t="shared" si="23"/>
        <v>0</v>
      </c>
      <c r="I124">
        <f t="shared" si="24"/>
        <v>0</v>
      </c>
      <c r="J124">
        <f t="shared" si="17"/>
        <v>0</v>
      </c>
      <c r="K124">
        <f t="shared" si="18"/>
        <v>0</v>
      </c>
      <c r="L124">
        <f t="shared" si="25"/>
        <v>17</v>
      </c>
      <c r="M124">
        <f t="shared" si="26"/>
        <v>16</v>
      </c>
      <c r="N124">
        <f t="shared" si="27"/>
        <v>0</v>
      </c>
      <c r="O124">
        <f t="shared" si="28"/>
        <v>0</v>
      </c>
      <c r="P124">
        <f t="shared" si="19"/>
        <v>0</v>
      </c>
      <c r="Q124">
        <f t="shared" si="29"/>
        <v>17</v>
      </c>
      <c r="R124">
        <f t="shared" si="29"/>
        <v>16</v>
      </c>
    </row>
    <row r="125" spans="1:18" x14ac:dyDescent="0.25">
      <c r="A125" s="1">
        <v>44774</v>
      </c>
      <c r="B125">
        <f t="shared" si="15"/>
        <v>1</v>
      </c>
      <c r="C125">
        <f t="shared" si="20"/>
        <v>17</v>
      </c>
      <c r="D125">
        <f t="shared" si="20"/>
        <v>16</v>
      </c>
      <c r="E125">
        <f t="shared" si="21"/>
        <v>1</v>
      </c>
      <c r="F125">
        <f t="shared" si="16"/>
        <v>1</v>
      </c>
      <c r="G125">
        <f t="shared" si="22"/>
        <v>0</v>
      </c>
      <c r="H125">
        <f t="shared" si="23"/>
        <v>0</v>
      </c>
      <c r="I125">
        <f t="shared" si="24"/>
        <v>0</v>
      </c>
      <c r="J125">
        <f t="shared" si="17"/>
        <v>0</v>
      </c>
      <c r="K125">
        <f t="shared" si="18"/>
        <v>0</v>
      </c>
      <c r="L125">
        <f t="shared" si="25"/>
        <v>16</v>
      </c>
      <c r="M125">
        <f t="shared" si="26"/>
        <v>16</v>
      </c>
      <c r="N125">
        <f t="shared" si="27"/>
        <v>1</v>
      </c>
      <c r="O125">
        <f t="shared" si="28"/>
        <v>5</v>
      </c>
      <c r="P125">
        <f t="shared" si="19"/>
        <v>4</v>
      </c>
      <c r="Q125">
        <f t="shared" si="29"/>
        <v>11</v>
      </c>
      <c r="R125">
        <f t="shared" si="29"/>
        <v>12</v>
      </c>
    </row>
    <row r="126" spans="1:18" x14ac:dyDescent="0.25">
      <c r="A126" s="1">
        <v>44775</v>
      </c>
      <c r="B126">
        <f t="shared" si="15"/>
        <v>2</v>
      </c>
      <c r="C126">
        <f t="shared" si="20"/>
        <v>11</v>
      </c>
      <c r="D126">
        <f t="shared" si="20"/>
        <v>12</v>
      </c>
      <c r="E126">
        <f t="shared" si="21"/>
        <v>0</v>
      </c>
      <c r="F126">
        <f t="shared" si="16"/>
        <v>0</v>
      </c>
      <c r="G126">
        <f t="shared" si="22"/>
        <v>0</v>
      </c>
      <c r="H126">
        <f t="shared" si="23"/>
        <v>0</v>
      </c>
      <c r="I126">
        <f t="shared" si="24"/>
        <v>0</v>
      </c>
      <c r="J126">
        <f t="shared" si="17"/>
        <v>0</v>
      </c>
      <c r="K126">
        <f t="shared" si="18"/>
        <v>0</v>
      </c>
      <c r="L126">
        <f t="shared" si="25"/>
        <v>11</v>
      </c>
      <c r="M126">
        <f t="shared" si="26"/>
        <v>12</v>
      </c>
      <c r="N126">
        <f t="shared" si="27"/>
        <v>1</v>
      </c>
      <c r="O126">
        <f t="shared" si="28"/>
        <v>4</v>
      </c>
      <c r="P126">
        <f t="shared" si="19"/>
        <v>3</v>
      </c>
      <c r="Q126">
        <f t="shared" si="29"/>
        <v>7</v>
      </c>
      <c r="R126">
        <f t="shared" si="29"/>
        <v>9</v>
      </c>
    </row>
    <row r="127" spans="1:18" x14ac:dyDescent="0.25">
      <c r="A127" s="1">
        <v>44776</v>
      </c>
      <c r="B127">
        <f t="shared" si="15"/>
        <v>3</v>
      </c>
      <c r="C127">
        <f t="shared" si="20"/>
        <v>7</v>
      </c>
      <c r="D127">
        <f t="shared" si="20"/>
        <v>9</v>
      </c>
      <c r="E127">
        <f t="shared" si="21"/>
        <v>0</v>
      </c>
      <c r="F127">
        <f t="shared" si="16"/>
        <v>0</v>
      </c>
      <c r="G127">
        <f t="shared" si="22"/>
        <v>0</v>
      </c>
      <c r="H127">
        <f t="shared" si="23"/>
        <v>0</v>
      </c>
      <c r="I127">
        <f t="shared" si="24"/>
        <v>0</v>
      </c>
      <c r="J127">
        <f t="shared" si="17"/>
        <v>0</v>
      </c>
      <c r="K127">
        <f t="shared" si="18"/>
        <v>0</v>
      </c>
      <c r="L127">
        <f t="shared" si="25"/>
        <v>7</v>
      </c>
      <c r="M127">
        <f t="shared" si="26"/>
        <v>9</v>
      </c>
      <c r="N127">
        <f t="shared" si="27"/>
        <v>1</v>
      </c>
      <c r="O127">
        <f t="shared" si="28"/>
        <v>3</v>
      </c>
      <c r="P127">
        <f t="shared" si="19"/>
        <v>2</v>
      </c>
      <c r="Q127">
        <f t="shared" si="29"/>
        <v>4</v>
      </c>
      <c r="R127">
        <f t="shared" si="29"/>
        <v>7</v>
      </c>
    </row>
    <row r="128" spans="1:18" x14ac:dyDescent="0.25">
      <c r="A128" s="1">
        <v>44777</v>
      </c>
      <c r="B128">
        <f t="shared" si="15"/>
        <v>4</v>
      </c>
      <c r="C128">
        <f t="shared" si="20"/>
        <v>4</v>
      </c>
      <c r="D128">
        <f t="shared" si="20"/>
        <v>7</v>
      </c>
      <c r="E128">
        <f t="shared" si="21"/>
        <v>0</v>
      </c>
      <c r="F128">
        <f t="shared" si="16"/>
        <v>0</v>
      </c>
      <c r="G128">
        <f t="shared" si="22"/>
        <v>1</v>
      </c>
      <c r="H128">
        <f t="shared" si="23"/>
        <v>50</v>
      </c>
      <c r="I128">
        <f t="shared" si="24"/>
        <v>25</v>
      </c>
      <c r="J128">
        <f t="shared" si="17"/>
        <v>0</v>
      </c>
      <c r="K128">
        <f t="shared" si="18"/>
        <v>0</v>
      </c>
      <c r="L128">
        <f t="shared" si="25"/>
        <v>54</v>
      </c>
      <c r="M128">
        <f t="shared" si="26"/>
        <v>32</v>
      </c>
      <c r="N128">
        <f t="shared" si="27"/>
        <v>1</v>
      </c>
      <c r="O128">
        <f t="shared" si="28"/>
        <v>17</v>
      </c>
      <c r="P128">
        <f t="shared" si="19"/>
        <v>7</v>
      </c>
      <c r="Q128">
        <f t="shared" si="29"/>
        <v>37</v>
      </c>
      <c r="R128">
        <f t="shared" si="29"/>
        <v>25</v>
      </c>
    </row>
    <row r="129" spans="1:18" x14ac:dyDescent="0.25">
      <c r="A129" s="1">
        <v>44778</v>
      </c>
      <c r="B129">
        <f t="shared" si="15"/>
        <v>5</v>
      </c>
      <c r="C129">
        <f t="shared" si="20"/>
        <v>37</v>
      </c>
      <c r="D129">
        <f t="shared" si="20"/>
        <v>25</v>
      </c>
      <c r="E129">
        <f t="shared" si="21"/>
        <v>0</v>
      </c>
      <c r="F129">
        <f t="shared" si="16"/>
        <v>0</v>
      </c>
      <c r="G129">
        <f t="shared" si="22"/>
        <v>0</v>
      </c>
      <c r="H129">
        <f t="shared" si="23"/>
        <v>0</v>
      </c>
      <c r="I129">
        <f t="shared" si="24"/>
        <v>0</v>
      </c>
      <c r="J129">
        <f t="shared" si="17"/>
        <v>0</v>
      </c>
      <c r="K129">
        <f t="shared" si="18"/>
        <v>0</v>
      </c>
      <c r="L129">
        <f t="shared" si="25"/>
        <v>37</v>
      </c>
      <c r="M129">
        <f t="shared" si="26"/>
        <v>25</v>
      </c>
      <c r="N129">
        <f t="shared" si="27"/>
        <v>1</v>
      </c>
      <c r="O129">
        <f t="shared" si="28"/>
        <v>12</v>
      </c>
      <c r="P129">
        <f t="shared" si="19"/>
        <v>5</v>
      </c>
      <c r="Q129">
        <f t="shared" si="29"/>
        <v>25</v>
      </c>
      <c r="R129">
        <f t="shared" si="29"/>
        <v>20</v>
      </c>
    </row>
    <row r="130" spans="1:18" x14ac:dyDescent="0.25">
      <c r="A130" s="1">
        <v>44779</v>
      </c>
      <c r="B130">
        <f t="shared" si="15"/>
        <v>6</v>
      </c>
      <c r="C130">
        <f t="shared" si="20"/>
        <v>25</v>
      </c>
      <c r="D130">
        <f t="shared" si="20"/>
        <v>20</v>
      </c>
      <c r="E130">
        <f t="shared" si="21"/>
        <v>0</v>
      </c>
      <c r="F130">
        <f t="shared" si="16"/>
        <v>0</v>
      </c>
      <c r="G130">
        <f t="shared" si="22"/>
        <v>0</v>
      </c>
      <c r="H130">
        <f t="shared" si="23"/>
        <v>0</v>
      </c>
      <c r="I130">
        <f t="shared" si="24"/>
        <v>0</v>
      </c>
      <c r="J130">
        <f t="shared" si="17"/>
        <v>0</v>
      </c>
      <c r="K130">
        <f t="shared" si="18"/>
        <v>0</v>
      </c>
      <c r="L130">
        <f t="shared" si="25"/>
        <v>25</v>
      </c>
      <c r="M130">
        <f t="shared" si="26"/>
        <v>20</v>
      </c>
      <c r="N130">
        <f t="shared" si="27"/>
        <v>1</v>
      </c>
      <c r="O130">
        <f t="shared" si="28"/>
        <v>8</v>
      </c>
      <c r="P130">
        <f t="shared" si="19"/>
        <v>4</v>
      </c>
      <c r="Q130">
        <f t="shared" si="29"/>
        <v>17</v>
      </c>
      <c r="R130">
        <f t="shared" si="29"/>
        <v>16</v>
      </c>
    </row>
    <row r="131" spans="1:18" x14ac:dyDescent="0.25">
      <c r="A131" s="1">
        <v>44780</v>
      </c>
      <c r="B131">
        <f t="shared" si="15"/>
        <v>7</v>
      </c>
      <c r="C131">
        <f t="shared" si="20"/>
        <v>17</v>
      </c>
      <c r="D131">
        <f t="shared" si="20"/>
        <v>16</v>
      </c>
      <c r="E131">
        <f t="shared" si="21"/>
        <v>0</v>
      </c>
      <c r="F131">
        <f t="shared" si="16"/>
        <v>0</v>
      </c>
      <c r="G131">
        <f t="shared" si="22"/>
        <v>0</v>
      </c>
      <c r="H131">
        <f t="shared" si="23"/>
        <v>0</v>
      </c>
      <c r="I131">
        <f t="shared" si="24"/>
        <v>0</v>
      </c>
      <c r="J131">
        <f t="shared" si="17"/>
        <v>0</v>
      </c>
      <c r="K131">
        <f t="shared" si="18"/>
        <v>0</v>
      </c>
      <c r="L131">
        <f t="shared" si="25"/>
        <v>17</v>
      </c>
      <c r="M131">
        <f t="shared" si="26"/>
        <v>16</v>
      </c>
      <c r="N131">
        <f t="shared" si="27"/>
        <v>0</v>
      </c>
      <c r="O131">
        <f t="shared" si="28"/>
        <v>0</v>
      </c>
      <c r="P131">
        <f t="shared" si="19"/>
        <v>0</v>
      </c>
      <c r="Q131">
        <f t="shared" si="29"/>
        <v>17</v>
      </c>
      <c r="R131">
        <f t="shared" si="29"/>
        <v>16</v>
      </c>
    </row>
    <row r="132" spans="1:18" x14ac:dyDescent="0.25">
      <c r="A132" s="1">
        <v>44781</v>
      </c>
      <c r="B132">
        <f t="shared" ref="B132:B195" si="30">WEEKDAY(A132, 2)</f>
        <v>1</v>
      </c>
      <c r="C132">
        <f t="shared" si="20"/>
        <v>17</v>
      </c>
      <c r="D132">
        <f t="shared" si="20"/>
        <v>16</v>
      </c>
      <c r="E132">
        <f t="shared" si="21"/>
        <v>1</v>
      </c>
      <c r="F132">
        <f t="shared" ref="F132:F195" si="31">IF(E132=1,ROUNDUP(5% * C132,0),0)</f>
        <v>1</v>
      </c>
      <c r="G132">
        <f t="shared" si="22"/>
        <v>0</v>
      </c>
      <c r="H132">
        <f t="shared" si="23"/>
        <v>0</v>
      </c>
      <c r="I132">
        <f t="shared" si="24"/>
        <v>0</v>
      </c>
      <c r="J132">
        <f t="shared" ref="J132:J195" si="32">IF(AND(B132=1,SUM(O129:O130)&gt;25),1,0)</f>
        <v>0</v>
      </c>
      <c r="K132">
        <f t="shared" ref="K132:K195" si="33">IF(J132=1,15,0)</f>
        <v>0</v>
      </c>
      <c r="L132">
        <f t="shared" si="25"/>
        <v>16</v>
      </c>
      <c r="M132">
        <f t="shared" si="26"/>
        <v>16</v>
      </c>
      <c r="N132">
        <f t="shared" si="27"/>
        <v>1</v>
      </c>
      <c r="O132">
        <f t="shared" si="28"/>
        <v>5</v>
      </c>
      <c r="P132">
        <f t="shared" ref="P132:P195" si="34">IF(N132=1,ROUNDUP(20% * M132,0),0)</f>
        <v>4</v>
      </c>
      <c r="Q132">
        <f t="shared" si="29"/>
        <v>11</v>
      </c>
      <c r="R132">
        <f t="shared" si="29"/>
        <v>12</v>
      </c>
    </row>
    <row r="133" spans="1:18" x14ac:dyDescent="0.25">
      <c r="A133" s="1">
        <v>44782</v>
      </c>
      <c r="B133">
        <f t="shared" si="30"/>
        <v>2</v>
      </c>
      <c r="C133">
        <f t="shared" ref="C133:D196" si="35">Q132</f>
        <v>11</v>
      </c>
      <c r="D133">
        <f t="shared" si="35"/>
        <v>12</v>
      </c>
      <c r="E133">
        <f t="shared" ref="E133:E196" si="36">IF(B133=1,1,0)</f>
        <v>0</v>
      </c>
      <c r="F133">
        <f t="shared" si="31"/>
        <v>0</v>
      </c>
      <c r="G133">
        <f t="shared" ref="G133:G196" si="37">IF(B133=4,1,0)</f>
        <v>0</v>
      </c>
      <c r="H133">
        <f t="shared" ref="H133:H196" si="38">IF(G133=1,50,0)</f>
        <v>0</v>
      </c>
      <c r="I133">
        <f t="shared" ref="I133:I196" si="39">IF(G133=1,25,0)</f>
        <v>0</v>
      </c>
      <c r="J133">
        <f t="shared" si="32"/>
        <v>0</v>
      </c>
      <c r="K133">
        <f t="shared" si="33"/>
        <v>0</v>
      </c>
      <c r="L133">
        <f t="shared" ref="L133:L196" si="40">K133+H133+C133-F133</f>
        <v>11</v>
      </c>
      <c r="M133">
        <f t="shared" ref="M133:M196" si="41">I133+D133</f>
        <v>12</v>
      </c>
      <c r="N133">
        <f t="shared" ref="N133:N196" si="42">IF(B133&lt;&gt;7,1,0)</f>
        <v>1</v>
      </c>
      <c r="O133">
        <f t="shared" ref="O133:O196" si="43">IF(N133=1,ROUNDUP(30% * L133,0),0)</f>
        <v>4</v>
      </c>
      <c r="P133">
        <f t="shared" si="34"/>
        <v>3</v>
      </c>
      <c r="Q133">
        <f t="shared" ref="Q133:R196" si="44">L133-O133</f>
        <v>7</v>
      </c>
      <c r="R133">
        <f t="shared" si="44"/>
        <v>9</v>
      </c>
    </row>
    <row r="134" spans="1:18" x14ac:dyDescent="0.25">
      <c r="A134" s="1">
        <v>44783</v>
      </c>
      <c r="B134">
        <f t="shared" si="30"/>
        <v>3</v>
      </c>
      <c r="C134">
        <f t="shared" si="35"/>
        <v>7</v>
      </c>
      <c r="D134">
        <f t="shared" si="35"/>
        <v>9</v>
      </c>
      <c r="E134">
        <f t="shared" si="36"/>
        <v>0</v>
      </c>
      <c r="F134">
        <f t="shared" si="31"/>
        <v>0</v>
      </c>
      <c r="G134">
        <f t="shared" si="37"/>
        <v>0</v>
      </c>
      <c r="H134">
        <f t="shared" si="38"/>
        <v>0</v>
      </c>
      <c r="I134">
        <f t="shared" si="39"/>
        <v>0</v>
      </c>
      <c r="J134">
        <f t="shared" si="32"/>
        <v>0</v>
      </c>
      <c r="K134">
        <f t="shared" si="33"/>
        <v>0</v>
      </c>
      <c r="L134">
        <f t="shared" si="40"/>
        <v>7</v>
      </c>
      <c r="M134">
        <f t="shared" si="41"/>
        <v>9</v>
      </c>
      <c r="N134">
        <f t="shared" si="42"/>
        <v>1</v>
      </c>
      <c r="O134">
        <f t="shared" si="43"/>
        <v>3</v>
      </c>
      <c r="P134">
        <f t="shared" si="34"/>
        <v>2</v>
      </c>
      <c r="Q134">
        <f t="shared" si="44"/>
        <v>4</v>
      </c>
      <c r="R134">
        <f t="shared" si="44"/>
        <v>7</v>
      </c>
    </row>
    <row r="135" spans="1:18" x14ac:dyDescent="0.25">
      <c r="A135" s="1">
        <v>44784</v>
      </c>
      <c r="B135">
        <f t="shared" si="30"/>
        <v>4</v>
      </c>
      <c r="C135">
        <f t="shared" si="35"/>
        <v>4</v>
      </c>
      <c r="D135">
        <f t="shared" si="35"/>
        <v>7</v>
      </c>
      <c r="E135">
        <f t="shared" si="36"/>
        <v>0</v>
      </c>
      <c r="F135">
        <f t="shared" si="31"/>
        <v>0</v>
      </c>
      <c r="G135">
        <f t="shared" si="37"/>
        <v>1</v>
      </c>
      <c r="H135">
        <f t="shared" si="38"/>
        <v>50</v>
      </c>
      <c r="I135">
        <f t="shared" si="39"/>
        <v>25</v>
      </c>
      <c r="J135">
        <f t="shared" si="32"/>
        <v>0</v>
      </c>
      <c r="K135">
        <f t="shared" si="33"/>
        <v>0</v>
      </c>
      <c r="L135">
        <f t="shared" si="40"/>
        <v>54</v>
      </c>
      <c r="M135">
        <f t="shared" si="41"/>
        <v>32</v>
      </c>
      <c r="N135">
        <f t="shared" si="42"/>
        <v>1</v>
      </c>
      <c r="O135">
        <f t="shared" si="43"/>
        <v>17</v>
      </c>
      <c r="P135">
        <f t="shared" si="34"/>
        <v>7</v>
      </c>
      <c r="Q135">
        <f t="shared" si="44"/>
        <v>37</v>
      </c>
      <c r="R135">
        <f t="shared" si="44"/>
        <v>25</v>
      </c>
    </row>
    <row r="136" spans="1:18" x14ac:dyDescent="0.25">
      <c r="A136" s="1">
        <v>44785</v>
      </c>
      <c r="B136">
        <f t="shared" si="30"/>
        <v>5</v>
      </c>
      <c r="C136">
        <f t="shared" si="35"/>
        <v>37</v>
      </c>
      <c r="D136">
        <f t="shared" si="35"/>
        <v>25</v>
      </c>
      <c r="E136">
        <f t="shared" si="36"/>
        <v>0</v>
      </c>
      <c r="F136">
        <f t="shared" si="31"/>
        <v>0</v>
      </c>
      <c r="G136">
        <f t="shared" si="37"/>
        <v>0</v>
      </c>
      <c r="H136">
        <f t="shared" si="38"/>
        <v>0</v>
      </c>
      <c r="I136">
        <f t="shared" si="39"/>
        <v>0</v>
      </c>
      <c r="J136">
        <f t="shared" si="32"/>
        <v>0</v>
      </c>
      <c r="K136">
        <f t="shared" si="33"/>
        <v>0</v>
      </c>
      <c r="L136">
        <f t="shared" si="40"/>
        <v>37</v>
      </c>
      <c r="M136">
        <f t="shared" si="41"/>
        <v>25</v>
      </c>
      <c r="N136">
        <f t="shared" si="42"/>
        <v>1</v>
      </c>
      <c r="O136">
        <f t="shared" si="43"/>
        <v>12</v>
      </c>
      <c r="P136">
        <f t="shared" si="34"/>
        <v>5</v>
      </c>
      <c r="Q136">
        <f t="shared" si="44"/>
        <v>25</v>
      </c>
      <c r="R136">
        <f t="shared" si="44"/>
        <v>20</v>
      </c>
    </row>
    <row r="137" spans="1:18" x14ac:dyDescent="0.25">
      <c r="A137" s="1">
        <v>44786</v>
      </c>
      <c r="B137">
        <f t="shared" si="30"/>
        <v>6</v>
      </c>
      <c r="C137">
        <f t="shared" si="35"/>
        <v>25</v>
      </c>
      <c r="D137">
        <f t="shared" si="35"/>
        <v>20</v>
      </c>
      <c r="E137">
        <f t="shared" si="36"/>
        <v>0</v>
      </c>
      <c r="F137">
        <f t="shared" si="31"/>
        <v>0</v>
      </c>
      <c r="G137">
        <f t="shared" si="37"/>
        <v>0</v>
      </c>
      <c r="H137">
        <f t="shared" si="38"/>
        <v>0</v>
      </c>
      <c r="I137">
        <f t="shared" si="39"/>
        <v>0</v>
      </c>
      <c r="J137">
        <f t="shared" si="32"/>
        <v>0</v>
      </c>
      <c r="K137">
        <f t="shared" si="33"/>
        <v>0</v>
      </c>
      <c r="L137">
        <f t="shared" si="40"/>
        <v>25</v>
      </c>
      <c r="M137">
        <f t="shared" si="41"/>
        <v>20</v>
      </c>
      <c r="N137">
        <f t="shared" si="42"/>
        <v>1</v>
      </c>
      <c r="O137">
        <f t="shared" si="43"/>
        <v>8</v>
      </c>
      <c r="P137">
        <f t="shared" si="34"/>
        <v>4</v>
      </c>
      <c r="Q137">
        <f t="shared" si="44"/>
        <v>17</v>
      </c>
      <c r="R137">
        <f t="shared" si="44"/>
        <v>16</v>
      </c>
    </row>
    <row r="138" spans="1:18" x14ac:dyDescent="0.25">
      <c r="A138" s="1">
        <v>44787</v>
      </c>
      <c r="B138">
        <f t="shared" si="30"/>
        <v>7</v>
      </c>
      <c r="C138">
        <f t="shared" si="35"/>
        <v>17</v>
      </c>
      <c r="D138">
        <f t="shared" si="35"/>
        <v>16</v>
      </c>
      <c r="E138">
        <f t="shared" si="36"/>
        <v>0</v>
      </c>
      <c r="F138">
        <f t="shared" si="31"/>
        <v>0</v>
      </c>
      <c r="G138">
        <f t="shared" si="37"/>
        <v>0</v>
      </c>
      <c r="H138">
        <f t="shared" si="38"/>
        <v>0</v>
      </c>
      <c r="I138">
        <f t="shared" si="39"/>
        <v>0</v>
      </c>
      <c r="J138">
        <f t="shared" si="32"/>
        <v>0</v>
      </c>
      <c r="K138">
        <f t="shared" si="33"/>
        <v>0</v>
      </c>
      <c r="L138">
        <f t="shared" si="40"/>
        <v>17</v>
      </c>
      <c r="M138">
        <f t="shared" si="41"/>
        <v>16</v>
      </c>
      <c r="N138">
        <f t="shared" si="42"/>
        <v>0</v>
      </c>
      <c r="O138">
        <f t="shared" si="43"/>
        <v>0</v>
      </c>
      <c r="P138">
        <f t="shared" si="34"/>
        <v>0</v>
      </c>
      <c r="Q138">
        <f t="shared" si="44"/>
        <v>17</v>
      </c>
      <c r="R138">
        <f t="shared" si="44"/>
        <v>16</v>
      </c>
    </row>
    <row r="139" spans="1:18" x14ac:dyDescent="0.25">
      <c r="A139" s="1">
        <v>44788</v>
      </c>
      <c r="B139">
        <f t="shared" si="30"/>
        <v>1</v>
      </c>
      <c r="C139">
        <f t="shared" si="35"/>
        <v>17</v>
      </c>
      <c r="D139">
        <f t="shared" si="35"/>
        <v>16</v>
      </c>
      <c r="E139">
        <f t="shared" si="36"/>
        <v>1</v>
      </c>
      <c r="F139">
        <f t="shared" si="31"/>
        <v>1</v>
      </c>
      <c r="G139">
        <f t="shared" si="37"/>
        <v>0</v>
      </c>
      <c r="H139">
        <f t="shared" si="38"/>
        <v>0</v>
      </c>
      <c r="I139">
        <f t="shared" si="39"/>
        <v>0</v>
      </c>
      <c r="J139">
        <f t="shared" si="32"/>
        <v>0</v>
      </c>
      <c r="K139">
        <f t="shared" si="33"/>
        <v>0</v>
      </c>
      <c r="L139">
        <f t="shared" si="40"/>
        <v>16</v>
      </c>
      <c r="M139">
        <f t="shared" si="41"/>
        <v>16</v>
      </c>
      <c r="N139">
        <f t="shared" si="42"/>
        <v>1</v>
      </c>
      <c r="O139">
        <f t="shared" si="43"/>
        <v>5</v>
      </c>
      <c r="P139">
        <f t="shared" si="34"/>
        <v>4</v>
      </c>
      <c r="Q139">
        <f t="shared" si="44"/>
        <v>11</v>
      </c>
      <c r="R139">
        <f t="shared" si="44"/>
        <v>12</v>
      </c>
    </row>
    <row r="140" spans="1:18" x14ac:dyDescent="0.25">
      <c r="A140" s="1">
        <v>44789</v>
      </c>
      <c r="B140">
        <f t="shared" si="30"/>
        <v>2</v>
      </c>
      <c r="C140">
        <f t="shared" si="35"/>
        <v>11</v>
      </c>
      <c r="D140">
        <f t="shared" si="35"/>
        <v>12</v>
      </c>
      <c r="E140">
        <f t="shared" si="36"/>
        <v>0</v>
      </c>
      <c r="F140">
        <f t="shared" si="31"/>
        <v>0</v>
      </c>
      <c r="G140">
        <f t="shared" si="37"/>
        <v>0</v>
      </c>
      <c r="H140">
        <f t="shared" si="38"/>
        <v>0</v>
      </c>
      <c r="I140">
        <f t="shared" si="39"/>
        <v>0</v>
      </c>
      <c r="J140">
        <f t="shared" si="32"/>
        <v>0</v>
      </c>
      <c r="K140">
        <f t="shared" si="33"/>
        <v>0</v>
      </c>
      <c r="L140">
        <f t="shared" si="40"/>
        <v>11</v>
      </c>
      <c r="M140">
        <f t="shared" si="41"/>
        <v>12</v>
      </c>
      <c r="N140">
        <f t="shared" si="42"/>
        <v>1</v>
      </c>
      <c r="O140">
        <f t="shared" si="43"/>
        <v>4</v>
      </c>
      <c r="P140">
        <f t="shared" si="34"/>
        <v>3</v>
      </c>
      <c r="Q140">
        <f t="shared" si="44"/>
        <v>7</v>
      </c>
      <c r="R140">
        <f t="shared" si="44"/>
        <v>9</v>
      </c>
    </row>
    <row r="141" spans="1:18" x14ac:dyDescent="0.25">
      <c r="A141" s="1">
        <v>44790</v>
      </c>
      <c r="B141">
        <f t="shared" si="30"/>
        <v>3</v>
      </c>
      <c r="C141">
        <f t="shared" si="35"/>
        <v>7</v>
      </c>
      <c r="D141">
        <f t="shared" si="35"/>
        <v>9</v>
      </c>
      <c r="E141">
        <f t="shared" si="36"/>
        <v>0</v>
      </c>
      <c r="F141">
        <f t="shared" si="31"/>
        <v>0</v>
      </c>
      <c r="G141">
        <f t="shared" si="37"/>
        <v>0</v>
      </c>
      <c r="H141">
        <f t="shared" si="38"/>
        <v>0</v>
      </c>
      <c r="I141">
        <f t="shared" si="39"/>
        <v>0</v>
      </c>
      <c r="J141">
        <f t="shared" si="32"/>
        <v>0</v>
      </c>
      <c r="K141">
        <f t="shared" si="33"/>
        <v>0</v>
      </c>
      <c r="L141">
        <f t="shared" si="40"/>
        <v>7</v>
      </c>
      <c r="M141">
        <f t="shared" si="41"/>
        <v>9</v>
      </c>
      <c r="N141">
        <f t="shared" si="42"/>
        <v>1</v>
      </c>
      <c r="O141">
        <f t="shared" si="43"/>
        <v>3</v>
      </c>
      <c r="P141">
        <f t="shared" si="34"/>
        <v>2</v>
      </c>
      <c r="Q141">
        <f t="shared" si="44"/>
        <v>4</v>
      </c>
      <c r="R141">
        <f t="shared" si="44"/>
        <v>7</v>
      </c>
    </row>
    <row r="142" spans="1:18" x14ac:dyDescent="0.25">
      <c r="A142" s="1">
        <v>44791</v>
      </c>
      <c r="B142">
        <f t="shared" si="30"/>
        <v>4</v>
      </c>
      <c r="C142">
        <f t="shared" si="35"/>
        <v>4</v>
      </c>
      <c r="D142">
        <f t="shared" si="35"/>
        <v>7</v>
      </c>
      <c r="E142">
        <f t="shared" si="36"/>
        <v>0</v>
      </c>
      <c r="F142">
        <f t="shared" si="31"/>
        <v>0</v>
      </c>
      <c r="G142">
        <f t="shared" si="37"/>
        <v>1</v>
      </c>
      <c r="H142">
        <f t="shared" si="38"/>
        <v>50</v>
      </c>
      <c r="I142">
        <f t="shared" si="39"/>
        <v>25</v>
      </c>
      <c r="J142">
        <f t="shared" si="32"/>
        <v>0</v>
      </c>
      <c r="K142">
        <f t="shared" si="33"/>
        <v>0</v>
      </c>
      <c r="L142">
        <f t="shared" si="40"/>
        <v>54</v>
      </c>
      <c r="M142">
        <f t="shared" si="41"/>
        <v>32</v>
      </c>
      <c r="N142">
        <f t="shared" si="42"/>
        <v>1</v>
      </c>
      <c r="O142">
        <f t="shared" si="43"/>
        <v>17</v>
      </c>
      <c r="P142">
        <f t="shared" si="34"/>
        <v>7</v>
      </c>
      <c r="Q142">
        <f t="shared" si="44"/>
        <v>37</v>
      </c>
      <c r="R142">
        <f t="shared" si="44"/>
        <v>25</v>
      </c>
    </row>
    <row r="143" spans="1:18" x14ac:dyDescent="0.25">
      <c r="A143" s="1">
        <v>44792</v>
      </c>
      <c r="B143">
        <f t="shared" si="30"/>
        <v>5</v>
      </c>
      <c r="C143">
        <f t="shared" si="35"/>
        <v>37</v>
      </c>
      <c r="D143">
        <f t="shared" si="35"/>
        <v>25</v>
      </c>
      <c r="E143">
        <f t="shared" si="36"/>
        <v>0</v>
      </c>
      <c r="F143">
        <f t="shared" si="31"/>
        <v>0</v>
      </c>
      <c r="G143">
        <f t="shared" si="37"/>
        <v>0</v>
      </c>
      <c r="H143">
        <f t="shared" si="38"/>
        <v>0</v>
      </c>
      <c r="I143">
        <f t="shared" si="39"/>
        <v>0</v>
      </c>
      <c r="J143">
        <f t="shared" si="32"/>
        <v>0</v>
      </c>
      <c r="K143">
        <f t="shared" si="33"/>
        <v>0</v>
      </c>
      <c r="L143">
        <f t="shared" si="40"/>
        <v>37</v>
      </c>
      <c r="M143">
        <f t="shared" si="41"/>
        <v>25</v>
      </c>
      <c r="N143">
        <f t="shared" si="42"/>
        <v>1</v>
      </c>
      <c r="O143">
        <f t="shared" si="43"/>
        <v>12</v>
      </c>
      <c r="P143">
        <f t="shared" si="34"/>
        <v>5</v>
      </c>
      <c r="Q143">
        <f t="shared" si="44"/>
        <v>25</v>
      </c>
      <c r="R143">
        <f t="shared" si="44"/>
        <v>20</v>
      </c>
    </row>
    <row r="144" spans="1:18" x14ac:dyDescent="0.25">
      <c r="A144" s="1">
        <v>44793</v>
      </c>
      <c r="B144">
        <f t="shared" si="30"/>
        <v>6</v>
      </c>
      <c r="C144">
        <f t="shared" si="35"/>
        <v>25</v>
      </c>
      <c r="D144">
        <f t="shared" si="35"/>
        <v>20</v>
      </c>
      <c r="E144">
        <f t="shared" si="36"/>
        <v>0</v>
      </c>
      <c r="F144">
        <f t="shared" si="31"/>
        <v>0</v>
      </c>
      <c r="G144">
        <f t="shared" si="37"/>
        <v>0</v>
      </c>
      <c r="H144">
        <f t="shared" si="38"/>
        <v>0</v>
      </c>
      <c r="I144">
        <f t="shared" si="39"/>
        <v>0</v>
      </c>
      <c r="J144">
        <f t="shared" si="32"/>
        <v>0</v>
      </c>
      <c r="K144">
        <f t="shared" si="33"/>
        <v>0</v>
      </c>
      <c r="L144">
        <f t="shared" si="40"/>
        <v>25</v>
      </c>
      <c r="M144">
        <f t="shared" si="41"/>
        <v>20</v>
      </c>
      <c r="N144">
        <f t="shared" si="42"/>
        <v>1</v>
      </c>
      <c r="O144">
        <f t="shared" si="43"/>
        <v>8</v>
      </c>
      <c r="P144">
        <f t="shared" si="34"/>
        <v>4</v>
      </c>
      <c r="Q144">
        <f t="shared" si="44"/>
        <v>17</v>
      </c>
      <c r="R144">
        <f t="shared" si="44"/>
        <v>16</v>
      </c>
    </row>
    <row r="145" spans="1:18" x14ac:dyDescent="0.25">
      <c r="A145" s="1">
        <v>44794</v>
      </c>
      <c r="B145">
        <f t="shared" si="30"/>
        <v>7</v>
      </c>
      <c r="C145">
        <f t="shared" si="35"/>
        <v>17</v>
      </c>
      <c r="D145">
        <f t="shared" si="35"/>
        <v>16</v>
      </c>
      <c r="E145">
        <f t="shared" si="36"/>
        <v>0</v>
      </c>
      <c r="F145">
        <f t="shared" si="31"/>
        <v>0</v>
      </c>
      <c r="G145">
        <f t="shared" si="37"/>
        <v>0</v>
      </c>
      <c r="H145">
        <f t="shared" si="38"/>
        <v>0</v>
      </c>
      <c r="I145">
        <f t="shared" si="39"/>
        <v>0</v>
      </c>
      <c r="J145">
        <f t="shared" si="32"/>
        <v>0</v>
      </c>
      <c r="K145">
        <f t="shared" si="33"/>
        <v>0</v>
      </c>
      <c r="L145">
        <f t="shared" si="40"/>
        <v>17</v>
      </c>
      <c r="M145">
        <f t="shared" si="41"/>
        <v>16</v>
      </c>
      <c r="N145">
        <f t="shared" si="42"/>
        <v>0</v>
      </c>
      <c r="O145">
        <f t="shared" si="43"/>
        <v>0</v>
      </c>
      <c r="P145">
        <f t="shared" si="34"/>
        <v>0</v>
      </c>
      <c r="Q145">
        <f t="shared" si="44"/>
        <v>17</v>
      </c>
      <c r="R145">
        <f t="shared" si="44"/>
        <v>16</v>
      </c>
    </row>
    <row r="146" spans="1:18" x14ac:dyDescent="0.25">
      <c r="A146" s="1">
        <v>44795</v>
      </c>
      <c r="B146">
        <f t="shared" si="30"/>
        <v>1</v>
      </c>
      <c r="C146">
        <f t="shared" si="35"/>
        <v>17</v>
      </c>
      <c r="D146">
        <f t="shared" si="35"/>
        <v>16</v>
      </c>
      <c r="E146">
        <f t="shared" si="36"/>
        <v>1</v>
      </c>
      <c r="F146">
        <f t="shared" si="31"/>
        <v>1</v>
      </c>
      <c r="G146">
        <f t="shared" si="37"/>
        <v>0</v>
      </c>
      <c r="H146">
        <f t="shared" si="38"/>
        <v>0</v>
      </c>
      <c r="I146">
        <f t="shared" si="39"/>
        <v>0</v>
      </c>
      <c r="J146">
        <f t="shared" si="32"/>
        <v>0</v>
      </c>
      <c r="K146">
        <f t="shared" si="33"/>
        <v>0</v>
      </c>
      <c r="L146">
        <f t="shared" si="40"/>
        <v>16</v>
      </c>
      <c r="M146">
        <f t="shared" si="41"/>
        <v>16</v>
      </c>
      <c r="N146">
        <f t="shared" si="42"/>
        <v>1</v>
      </c>
      <c r="O146">
        <f t="shared" si="43"/>
        <v>5</v>
      </c>
      <c r="P146">
        <f t="shared" si="34"/>
        <v>4</v>
      </c>
      <c r="Q146">
        <f t="shared" si="44"/>
        <v>11</v>
      </c>
      <c r="R146">
        <f t="shared" si="44"/>
        <v>12</v>
      </c>
    </row>
    <row r="147" spans="1:18" x14ac:dyDescent="0.25">
      <c r="A147" s="1">
        <v>44796</v>
      </c>
      <c r="B147">
        <f t="shared" si="30"/>
        <v>2</v>
      </c>
      <c r="C147">
        <f t="shared" si="35"/>
        <v>11</v>
      </c>
      <c r="D147">
        <f t="shared" si="35"/>
        <v>12</v>
      </c>
      <c r="E147">
        <f t="shared" si="36"/>
        <v>0</v>
      </c>
      <c r="F147">
        <f t="shared" si="31"/>
        <v>0</v>
      </c>
      <c r="G147">
        <f t="shared" si="37"/>
        <v>0</v>
      </c>
      <c r="H147">
        <f t="shared" si="38"/>
        <v>0</v>
      </c>
      <c r="I147">
        <f t="shared" si="39"/>
        <v>0</v>
      </c>
      <c r="J147">
        <f t="shared" si="32"/>
        <v>0</v>
      </c>
      <c r="K147">
        <f t="shared" si="33"/>
        <v>0</v>
      </c>
      <c r="L147">
        <f t="shared" si="40"/>
        <v>11</v>
      </c>
      <c r="M147">
        <f t="shared" si="41"/>
        <v>12</v>
      </c>
      <c r="N147">
        <f t="shared" si="42"/>
        <v>1</v>
      </c>
      <c r="O147">
        <f t="shared" si="43"/>
        <v>4</v>
      </c>
      <c r="P147">
        <f t="shared" si="34"/>
        <v>3</v>
      </c>
      <c r="Q147">
        <f t="shared" si="44"/>
        <v>7</v>
      </c>
      <c r="R147">
        <f t="shared" si="44"/>
        <v>9</v>
      </c>
    </row>
    <row r="148" spans="1:18" x14ac:dyDescent="0.25">
      <c r="A148" s="1">
        <v>44797</v>
      </c>
      <c r="B148">
        <f t="shared" si="30"/>
        <v>3</v>
      </c>
      <c r="C148">
        <f t="shared" si="35"/>
        <v>7</v>
      </c>
      <c r="D148">
        <f t="shared" si="35"/>
        <v>9</v>
      </c>
      <c r="E148">
        <f t="shared" si="36"/>
        <v>0</v>
      </c>
      <c r="F148">
        <f t="shared" si="31"/>
        <v>0</v>
      </c>
      <c r="G148">
        <f t="shared" si="37"/>
        <v>0</v>
      </c>
      <c r="H148">
        <f t="shared" si="38"/>
        <v>0</v>
      </c>
      <c r="I148">
        <f t="shared" si="39"/>
        <v>0</v>
      </c>
      <c r="J148">
        <f t="shared" si="32"/>
        <v>0</v>
      </c>
      <c r="K148">
        <f t="shared" si="33"/>
        <v>0</v>
      </c>
      <c r="L148">
        <f t="shared" si="40"/>
        <v>7</v>
      </c>
      <c r="M148">
        <f t="shared" si="41"/>
        <v>9</v>
      </c>
      <c r="N148">
        <f t="shared" si="42"/>
        <v>1</v>
      </c>
      <c r="O148">
        <f t="shared" si="43"/>
        <v>3</v>
      </c>
      <c r="P148">
        <f t="shared" si="34"/>
        <v>2</v>
      </c>
      <c r="Q148">
        <f t="shared" si="44"/>
        <v>4</v>
      </c>
      <c r="R148">
        <f t="shared" si="44"/>
        <v>7</v>
      </c>
    </row>
    <row r="149" spans="1:18" x14ac:dyDescent="0.25">
      <c r="A149" s="1">
        <v>44798</v>
      </c>
      <c r="B149">
        <f t="shared" si="30"/>
        <v>4</v>
      </c>
      <c r="C149">
        <f t="shared" si="35"/>
        <v>4</v>
      </c>
      <c r="D149">
        <f t="shared" si="35"/>
        <v>7</v>
      </c>
      <c r="E149">
        <f t="shared" si="36"/>
        <v>0</v>
      </c>
      <c r="F149">
        <f t="shared" si="31"/>
        <v>0</v>
      </c>
      <c r="G149">
        <f t="shared" si="37"/>
        <v>1</v>
      </c>
      <c r="H149">
        <f t="shared" si="38"/>
        <v>50</v>
      </c>
      <c r="I149">
        <f t="shared" si="39"/>
        <v>25</v>
      </c>
      <c r="J149">
        <f t="shared" si="32"/>
        <v>0</v>
      </c>
      <c r="K149">
        <f t="shared" si="33"/>
        <v>0</v>
      </c>
      <c r="L149">
        <f t="shared" si="40"/>
        <v>54</v>
      </c>
      <c r="M149">
        <f t="shared" si="41"/>
        <v>32</v>
      </c>
      <c r="N149">
        <f t="shared" si="42"/>
        <v>1</v>
      </c>
      <c r="O149">
        <f t="shared" si="43"/>
        <v>17</v>
      </c>
      <c r="P149">
        <f t="shared" si="34"/>
        <v>7</v>
      </c>
      <c r="Q149">
        <f t="shared" si="44"/>
        <v>37</v>
      </c>
      <c r="R149">
        <f t="shared" si="44"/>
        <v>25</v>
      </c>
    </row>
    <row r="150" spans="1:18" x14ac:dyDescent="0.25">
      <c r="A150" s="1">
        <v>44799</v>
      </c>
      <c r="B150">
        <f t="shared" si="30"/>
        <v>5</v>
      </c>
      <c r="C150">
        <f t="shared" si="35"/>
        <v>37</v>
      </c>
      <c r="D150">
        <f t="shared" si="35"/>
        <v>25</v>
      </c>
      <c r="E150">
        <f t="shared" si="36"/>
        <v>0</v>
      </c>
      <c r="F150">
        <f t="shared" si="31"/>
        <v>0</v>
      </c>
      <c r="G150">
        <f t="shared" si="37"/>
        <v>0</v>
      </c>
      <c r="H150">
        <f t="shared" si="38"/>
        <v>0</v>
      </c>
      <c r="I150">
        <f t="shared" si="39"/>
        <v>0</v>
      </c>
      <c r="J150">
        <f t="shared" si="32"/>
        <v>0</v>
      </c>
      <c r="K150">
        <f t="shared" si="33"/>
        <v>0</v>
      </c>
      <c r="L150">
        <f t="shared" si="40"/>
        <v>37</v>
      </c>
      <c r="M150">
        <f t="shared" si="41"/>
        <v>25</v>
      </c>
      <c r="N150">
        <f t="shared" si="42"/>
        <v>1</v>
      </c>
      <c r="O150">
        <f t="shared" si="43"/>
        <v>12</v>
      </c>
      <c r="P150">
        <f t="shared" si="34"/>
        <v>5</v>
      </c>
      <c r="Q150">
        <f t="shared" si="44"/>
        <v>25</v>
      </c>
      <c r="R150">
        <f t="shared" si="44"/>
        <v>20</v>
      </c>
    </row>
    <row r="151" spans="1:18" x14ac:dyDescent="0.25">
      <c r="A151" s="1">
        <v>44800</v>
      </c>
      <c r="B151">
        <f t="shared" si="30"/>
        <v>6</v>
      </c>
      <c r="C151">
        <f t="shared" si="35"/>
        <v>25</v>
      </c>
      <c r="D151">
        <f t="shared" si="35"/>
        <v>20</v>
      </c>
      <c r="E151">
        <f t="shared" si="36"/>
        <v>0</v>
      </c>
      <c r="F151">
        <f t="shared" si="31"/>
        <v>0</v>
      </c>
      <c r="G151">
        <f t="shared" si="37"/>
        <v>0</v>
      </c>
      <c r="H151">
        <f t="shared" si="38"/>
        <v>0</v>
      </c>
      <c r="I151">
        <f t="shared" si="39"/>
        <v>0</v>
      </c>
      <c r="J151">
        <f t="shared" si="32"/>
        <v>0</v>
      </c>
      <c r="K151">
        <f t="shared" si="33"/>
        <v>0</v>
      </c>
      <c r="L151">
        <f t="shared" si="40"/>
        <v>25</v>
      </c>
      <c r="M151">
        <f t="shared" si="41"/>
        <v>20</v>
      </c>
      <c r="N151">
        <f t="shared" si="42"/>
        <v>1</v>
      </c>
      <c r="O151">
        <f t="shared" si="43"/>
        <v>8</v>
      </c>
      <c r="P151">
        <f t="shared" si="34"/>
        <v>4</v>
      </c>
      <c r="Q151">
        <f t="shared" si="44"/>
        <v>17</v>
      </c>
      <c r="R151">
        <f t="shared" si="44"/>
        <v>16</v>
      </c>
    </row>
    <row r="152" spans="1:18" x14ac:dyDescent="0.25">
      <c r="A152" s="1">
        <v>44801</v>
      </c>
      <c r="B152">
        <f t="shared" si="30"/>
        <v>7</v>
      </c>
      <c r="C152">
        <f t="shared" si="35"/>
        <v>17</v>
      </c>
      <c r="D152">
        <f t="shared" si="35"/>
        <v>16</v>
      </c>
      <c r="E152">
        <f t="shared" si="36"/>
        <v>0</v>
      </c>
      <c r="F152">
        <f t="shared" si="31"/>
        <v>0</v>
      </c>
      <c r="G152">
        <f t="shared" si="37"/>
        <v>0</v>
      </c>
      <c r="H152">
        <f t="shared" si="38"/>
        <v>0</v>
      </c>
      <c r="I152">
        <f t="shared" si="39"/>
        <v>0</v>
      </c>
      <c r="J152">
        <f t="shared" si="32"/>
        <v>0</v>
      </c>
      <c r="K152">
        <f t="shared" si="33"/>
        <v>0</v>
      </c>
      <c r="L152">
        <f t="shared" si="40"/>
        <v>17</v>
      </c>
      <c r="M152">
        <f t="shared" si="41"/>
        <v>16</v>
      </c>
      <c r="N152">
        <f t="shared" si="42"/>
        <v>0</v>
      </c>
      <c r="O152">
        <f t="shared" si="43"/>
        <v>0</v>
      </c>
      <c r="P152">
        <f t="shared" si="34"/>
        <v>0</v>
      </c>
      <c r="Q152">
        <f t="shared" si="44"/>
        <v>17</v>
      </c>
      <c r="R152">
        <f t="shared" si="44"/>
        <v>16</v>
      </c>
    </row>
    <row r="153" spans="1:18" x14ac:dyDescent="0.25">
      <c r="A153" s="1">
        <v>44802</v>
      </c>
      <c r="B153">
        <f t="shared" si="30"/>
        <v>1</v>
      </c>
      <c r="C153">
        <f t="shared" si="35"/>
        <v>17</v>
      </c>
      <c r="D153">
        <f t="shared" si="35"/>
        <v>16</v>
      </c>
      <c r="E153">
        <f t="shared" si="36"/>
        <v>1</v>
      </c>
      <c r="F153">
        <f t="shared" si="31"/>
        <v>1</v>
      </c>
      <c r="G153">
        <f t="shared" si="37"/>
        <v>0</v>
      </c>
      <c r="H153">
        <f t="shared" si="38"/>
        <v>0</v>
      </c>
      <c r="I153">
        <f t="shared" si="39"/>
        <v>0</v>
      </c>
      <c r="J153">
        <f t="shared" si="32"/>
        <v>0</v>
      </c>
      <c r="K153">
        <f t="shared" si="33"/>
        <v>0</v>
      </c>
      <c r="L153">
        <f t="shared" si="40"/>
        <v>16</v>
      </c>
      <c r="M153">
        <f t="shared" si="41"/>
        <v>16</v>
      </c>
      <c r="N153">
        <f t="shared" si="42"/>
        <v>1</v>
      </c>
      <c r="O153">
        <f t="shared" si="43"/>
        <v>5</v>
      </c>
      <c r="P153">
        <f t="shared" si="34"/>
        <v>4</v>
      </c>
      <c r="Q153">
        <f t="shared" si="44"/>
        <v>11</v>
      </c>
      <c r="R153">
        <f t="shared" si="44"/>
        <v>12</v>
      </c>
    </row>
    <row r="154" spans="1:18" x14ac:dyDescent="0.25">
      <c r="A154" s="1">
        <v>44803</v>
      </c>
      <c r="B154">
        <f t="shared" si="30"/>
        <v>2</v>
      </c>
      <c r="C154">
        <f t="shared" si="35"/>
        <v>11</v>
      </c>
      <c r="D154">
        <f t="shared" si="35"/>
        <v>12</v>
      </c>
      <c r="E154">
        <f t="shared" si="36"/>
        <v>0</v>
      </c>
      <c r="F154">
        <f t="shared" si="31"/>
        <v>0</v>
      </c>
      <c r="G154">
        <f t="shared" si="37"/>
        <v>0</v>
      </c>
      <c r="H154">
        <f t="shared" si="38"/>
        <v>0</v>
      </c>
      <c r="I154">
        <f t="shared" si="39"/>
        <v>0</v>
      </c>
      <c r="J154">
        <f t="shared" si="32"/>
        <v>0</v>
      </c>
      <c r="K154">
        <f t="shared" si="33"/>
        <v>0</v>
      </c>
      <c r="L154">
        <f t="shared" si="40"/>
        <v>11</v>
      </c>
      <c r="M154">
        <f t="shared" si="41"/>
        <v>12</v>
      </c>
      <c r="N154">
        <f t="shared" si="42"/>
        <v>1</v>
      </c>
      <c r="O154">
        <f t="shared" si="43"/>
        <v>4</v>
      </c>
      <c r="P154">
        <f t="shared" si="34"/>
        <v>3</v>
      </c>
      <c r="Q154">
        <f t="shared" si="44"/>
        <v>7</v>
      </c>
      <c r="R154">
        <f t="shared" si="44"/>
        <v>9</v>
      </c>
    </row>
    <row r="155" spans="1:18" x14ac:dyDescent="0.25">
      <c r="A155" s="1">
        <v>44804</v>
      </c>
      <c r="B155">
        <f t="shared" si="30"/>
        <v>3</v>
      </c>
      <c r="C155">
        <f t="shared" si="35"/>
        <v>7</v>
      </c>
      <c r="D155">
        <f t="shared" si="35"/>
        <v>9</v>
      </c>
      <c r="E155">
        <f t="shared" si="36"/>
        <v>0</v>
      </c>
      <c r="F155">
        <f t="shared" si="31"/>
        <v>0</v>
      </c>
      <c r="G155">
        <f t="shared" si="37"/>
        <v>0</v>
      </c>
      <c r="H155">
        <f t="shared" si="38"/>
        <v>0</v>
      </c>
      <c r="I155">
        <f t="shared" si="39"/>
        <v>0</v>
      </c>
      <c r="J155">
        <f t="shared" si="32"/>
        <v>0</v>
      </c>
      <c r="K155">
        <f t="shared" si="33"/>
        <v>0</v>
      </c>
      <c r="L155">
        <f t="shared" si="40"/>
        <v>7</v>
      </c>
      <c r="M155">
        <f t="shared" si="41"/>
        <v>9</v>
      </c>
      <c r="N155">
        <f t="shared" si="42"/>
        <v>1</v>
      </c>
      <c r="O155">
        <f t="shared" si="43"/>
        <v>3</v>
      </c>
      <c r="P155">
        <f t="shared" si="34"/>
        <v>2</v>
      </c>
      <c r="Q155">
        <f t="shared" si="44"/>
        <v>4</v>
      </c>
      <c r="R155">
        <f t="shared" si="44"/>
        <v>7</v>
      </c>
    </row>
    <row r="156" spans="1:18" x14ac:dyDescent="0.25">
      <c r="A156" s="1">
        <v>44805</v>
      </c>
      <c r="B156">
        <f t="shared" si="30"/>
        <v>4</v>
      </c>
      <c r="C156">
        <f t="shared" si="35"/>
        <v>4</v>
      </c>
      <c r="D156">
        <f t="shared" si="35"/>
        <v>7</v>
      </c>
      <c r="E156">
        <f t="shared" si="36"/>
        <v>0</v>
      </c>
      <c r="F156">
        <f t="shared" si="31"/>
        <v>0</v>
      </c>
      <c r="G156">
        <f t="shared" si="37"/>
        <v>1</v>
      </c>
      <c r="H156">
        <f t="shared" si="38"/>
        <v>50</v>
      </c>
      <c r="I156">
        <f t="shared" si="39"/>
        <v>25</v>
      </c>
      <c r="J156">
        <f t="shared" si="32"/>
        <v>0</v>
      </c>
      <c r="K156">
        <f t="shared" si="33"/>
        <v>0</v>
      </c>
      <c r="L156">
        <f t="shared" si="40"/>
        <v>54</v>
      </c>
      <c r="M156">
        <f t="shared" si="41"/>
        <v>32</v>
      </c>
      <c r="N156">
        <f t="shared" si="42"/>
        <v>1</v>
      </c>
      <c r="O156">
        <f t="shared" si="43"/>
        <v>17</v>
      </c>
      <c r="P156">
        <f t="shared" si="34"/>
        <v>7</v>
      </c>
      <c r="Q156">
        <f t="shared" si="44"/>
        <v>37</v>
      </c>
      <c r="R156">
        <f t="shared" si="44"/>
        <v>25</v>
      </c>
    </row>
    <row r="157" spans="1:18" x14ac:dyDescent="0.25">
      <c r="A157" s="1">
        <v>44806</v>
      </c>
      <c r="B157">
        <f t="shared" si="30"/>
        <v>5</v>
      </c>
      <c r="C157">
        <f t="shared" si="35"/>
        <v>37</v>
      </c>
      <c r="D157">
        <f t="shared" si="35"/>
        <v>25</v>
      </c>
      <c r="E157">
        <f t="shared" si="36"/>
        <v>0</v>
      </c>
      <c r="F157">
        <f t="shared" si="31"/>
        <v>0</v>
      </c>
      <c r="G157">
        <f t="shared" si="37"/>
        <v>0</v>
      </c>
      <c r="H157">
        <f t="shared" si="38"/>
        <v>0</v>
      </c>
      <c r="I157">
        <f t="shared" si="39"/>
        <v>0</v>
      </c>
      <c r="J157">
        <f t="shared" si="32"/>
        <v>0</v>
      </c>
      <c r="K157">
        <f t="shared" si="33"/>
        <v>0</v>
      </c>
      <c r="L157">
        <f t="shared" si="40"/>
        <v>37</v>
      </c>
      <c r="M157">
        <f t="shared" si="41"/>
        <v>25</v>
      </c>
      <c r="N157">
        <f t="shared" si="42"/>
        <v>1</v>
      </c>
      <c r="O157">
        <f t="shared" si="43"/>
        <v>12</v>
      </c>
      <c r="P157">
        <f t="shared" si="34"/>
        <v>5</v>
      </c>
      <c r="Q157">
        <f t="shared" si="44"/>
        <v>25</v>
      </c>
      <c r="R157">
        <f t="shared" si="44"/>
        <v>20</v>
      </c>
    </row>
    <row r="158" spans="1:18" x14ac:dyDescent="0.25">
      <c r="A158" s="1">
        <v>44807</v>
      </c>
      <c r="B158">
        <f t="shared" si="30"/>
        <v>6</v>
      </c>
      <c r="C158">
        <f t="shared" si="35"/>
        <v>25</v>
      </c>
      <c r="D158">
        <f t="shared" si="35"/>
        <v>20</v>
      </c>
      <c r="E158">
        <f t="shared" si="36"/>
        <v>0</v>
      </c>
      <c r="F158">
        <f t="shared" si="31"/>
        <v>0</v>
      </c>
      <c r="G158">
        <f t="shared" si="37"/>
        <v>0</v>
      </c>
      <c r="H158">
        <f t="shared" si="38"/>
        <v>0</v>
      </c>
      <c r="I158">
        <f t="shared" si="39"/>
        <v>0</v>
      </c>
      <c r="J158">
        <f t="shared" si="32"/>
        <v>0</v>
      </c>
      <c r="K158">
        <f t="shared" si="33"/>
        <v>0</v>
      </c>
      <c r="L158">
        <f t="shared" si="40"/>
        <v>25</v>
      </c>
      <c r="M158">
        <f t="shared" si="41"/>
        <v>20</v>
      </c>
      <c r="N158">
        <f t="shared" si="42"/>
        <v>1</v>
      </c>
      <c r="O158">
        <f t="shared" si="43"/>
        <v>8</v>
      </c>
      <c r="P158">
        <f t="shared" si="34"/>
        <v>4</v>
      </c>
      <c r="Q158">
        <f t="shared" si="44"/>
        <v>17</v>
      </c>
      <c r="R158">
        <f t="shared" si="44"/>
        <v>16</v>
      </c>
    </row>
    <row r="159" spans="1:18" x14ac:dyDescent="0.25">
      <c r="A159" s="1">
        <v>44808</v>
      </c>
      <c r="B159">
        <f t="shared" si="30"/>
        <v>7</v>
      </c>
      <c r="C159">
        <f t="shared" si="35"/>
        <v>17</v>
      </c>
      <c r="D159">
        <f t="shared" si="35"/>
        <v>16</v>
      </c>
      <c r="E159">
        <f t="shared" si="36"/>
        <v>0</v>
      </c>
      <c r="F159">
        <f t="shared" si="31"/>
        <v>0</v>
      </c>
      <c r="G159">
        <f t="shared" si="37"/>
        <v>0</v>
      </c>
      <c r="H159">
        <f t="shared" si="38"/>
        <v>0</v>
      </c>
      <c r="I159">
        <f t="shared" si="39"/>
        <v>0</v>
      </c>
      <c r="J159">
        <f t="shared" si="32"/>
        <v>0</v>
      </c>
      <c r="K159">
        <f t="shared" si="33"/>
        <v>0</v>
      </c>
      <c r="L159">
        <f t="shared" si="40"/>
        <v>17</v>
      </c>
      <c r="M159">
        <f t="shared" si="41"/>
        <v>16</v>
      </c>
      <c r="N159">
        <f t="shared" si="42"/>
        <v>0</v>
      </c>
      <c r="O159">
        <f t="shared" si="43"/>
        <v>0</v>
      </c>
      <c r="P159">
        <f t="shared" si="34"/>
        <v>0</v>
      </c>
      <c r="Q159">
        <f t="shared" si="44"/>
        <v>17</v>
      </c>
      <c r="R159">
        <f t="shared" si="44"/>
        <v>16</v>
      </c>
    </row>
    <row r="160" spans="1:18" x14ac:dyDescent="0.25">
      <c r="A160" s="1">
        <v>44809</v>
      </c>
      <c r="B160">
        <f t="shared" si="30"/>
        <v>1</v>
      </c>
      <c r="C160">
        <f t="shared" si="35"/>
        <v>17</v>
      </c>
      <c r="D160">
        <f t="shared" si="35"/>
        <v>16</v>
      </c>
      <c r="E160">
        <f t="shared" si="36"/>
        <v>1</v>
      </c>
      <c r="F160">
        <f t="shared" si="31"/>
        <v>1</v>
      </c>
      <c r="G160">
        <f t="shared" si="37"/>
        <v>0</v>
      </c>
      <c r="H160">
        <f t="shared" si="38"/>
        <v>0</v>
      </c>
      <c r="I160">
        <f t="shared" si="39"/>
        <v>0</v>
      </c>
      <c r="J160">
        <f t="shared" si="32"/>
        <v>0</v>
      </c>
      <c r="K160">
        <f t="shared" si="33"/>
        <v>0</v>
      </c>
      <c r="L160">
        <f t="shared" si="40"/>
        <v>16</v>
      </c>
      <c r="M160">
        <f t="shared" si="41"/>
        <v>16</v>
      </c>
      <c r="N160">
        <f t="shared" si="42"/>
        <v>1</v>
      </c>
      <c r="O160">
        <f t="shared" si="43"/>
        <v>5</v>
      </c>
      <c r="P160">
        <f t="shared" si="34"/>
        <v>4</v>
      </c>
      <c r="Q160">
        <f t="shared" si="44"/>
        <v>11</v>
      </c>
      <c r="R160">
        <f t="shared" si="44"/>
        <v>12</v>
      </c>
    </row>
    <row r="161" spans="1:18" x14ac:dyDescent="0.25">
      <c r="A161" s="1">
        <v>44810</v>
      </c>
      <c r="B161">
        <f t="shared" si="30"/>
        <v>2</v>
      </c>
      <c r="C161">
        <f t="shared" si="35"/>
        <v>11</v>
      </c>
      <c r="D161">
        <f t="shared" si="35"/>
        <v>12</v>
      </c>
      <c r="E161">
        <f t="shared" si="36"/>
        <v>0</v>
      </c>
      <c r="F161">
        <f t="shared" si="31"/>
        <v>0</v>
      </c>
      <c r="G161">
        <f t="shared" si="37"/>
        <v>0</v>
      </c>
      <c r="H161">
        <f t="shared" si="38"/>
        <v>0</v>
      </c>
      <c r="I161">
        <f t="shared" si="39"/>
        <v>0</v>
      </c>
      <c r="J161">
        <f t="shared" si="32"/>
        <v>0</v>
      </c>
      <c r="K161">
        <f t="shared" si="33"/>
        <v>0</v>
      </c>
      <c r="L161">
        <f t="shared" si="40"/>
        <v>11</v>
      </c>
      <c r="M161">
        <f t="shared" si="41"/>
        <v>12</v>
      </c>
      <c r="N161">
        <f t="shared" si="42"/>
        <v>1</v>
      </c>
      <c r="O161">
        <f t="shared" si="43"/>
        <v>4</v>
      </c>
      <c r="P161">
        <f t="shared" si="34"/>
        <v>3</v>
      </c>
      <c r="Q161">
        <f t="shared" si="44"/>
        <v>7</v>
      </c>
      <c r="R161">
        <f t="shared" si="44"/>
        <v>9</v>
      </c>
    </row>
    <row r="162" spans="1:18" x14ac:dyDescent="0.25">
      <c r="A162" s="1">
        <v>44811</v>
      </c>
      <c r="B162">
        <f t="shared" si="30"/>
        <v>3</v>
      </c>
      <c r="C162">
        <f t="shared" si="35"/>
        <v>7</v>
      </c>
      <c r="D162">
        <f t="shared" si="35"/>
        <v>9</v>
      </c>
      <c r="E162">
        <f t="shared" si="36"/>
        <v>0</v>
      </c>
      <c r="F162">
        <f t="shared" si="31"/>
        <v>0</v>
      </c>
      <c r="G162">
        <f t="shared" si="37"/>
        <v>0</v>
      </c>
      <c r="H162">
        <f t="shared" si="38"/>
        <v>0</v>
      </c>
      <c r="I162">
        <f t="shared" si="39"/>
        <v>0</v>
      </c>
      <c r="J162">
        <f t="shared" si="32"/>
        <v>0</v>
      </c>
      <c r="K162">
        <f t="shared" si="33"/>
        <v>0</v>
      </c>
      <c r="L162">
        <f t="shared" si="40"/>
        <v>7</v>
      </c>
      <c r="M162">
        <f t="shared" si="41"/>
        <v>9</v>
      </c>
      <c r="N162">
        <f t="shared" si="42"/>
        <v>1</v>
      </c>
      <c r="O162">
        <f t="shared" si="43"/>
        <v>3</v>
      </c>
      <c r="P162">
        <f t="shared" si="34"/>
        <v>2</v>
      </c>
      <c r="Q162">
        <f t="shared" si="44"/>
        <v>4</v>
      </c>
      <c r="R162">
        <f t="shared" si="44"/>
        <v>7</v>
      </c>
    </row>
    <row r="163" spans="1:18" x14ac:dyDescent="0.25">
      <c r="A163" s="1">
        <v>44812</v>
      </c>
      <c r="B163">
        <f t="shared" si="30"/>
        <v>4</v>
      </c>
      <c r="C163">
        <f t="shared" si="35"/>
        <v>4</v>
      </c>
      <c r="D163">
        <f t="shared" si="35"/>
        <v>7</v>
      </c>
      <c r="E163">
        <f t="shared" si="36"/>
        <v>0</v>
      </c>
      <c r="F163">
        <f t="shared" si="31"/>
        <v>0</v>
      </c>
      <c r="G163">
        <f t="shared" si="37"/>
        <v>1</v>
      </c>
      <c r="H163">
        <f t="shared" si="38"/>
        <v>50</v>
      </c>
      <c r="I163">
        <f t="shared" si="39"/>
        <v>25</v>
      </c>
      <c r="J163">
        <f t="shared" si="32"/>
        <v>0</v>
      </c>
      <c r="K163">
        <f t="shared" si="33"/>
        <v>0</v>
      </c>
      <c r="L163">
        <f t="shared" si="40"/>
        <v>54</v>
      </c>
      <c r="M163">
        <f t="shared" si="41"/>
        <v>32</v>
      </c>
      <c r="N163">
        <f t="shared" si="42"/>
        <v>1</v>
      </c>
      <c r="O163">
        <f t="shared" si="43"/>
        <v>17</v>
      </c>
      <c r="P163">
        <f t="shared" si="34"/>
        <v>7</v>
      </c>
      <c r="Q163">
        <f t="shared" si="44"/>
        <v>37</v>
      </c>
      <c r="R163">
        <f t="shared" si="44"/>
        <v>25</v>
      </c>
    </row>
    <row r="164" spans="1:18" x14ac:dyDescent="0.25">
      <c r="A164" s="1">
        <v>44813</v>
      </c>
      <c r="B164">
        <f t="shared" si="30"/>
        <v>5</v>
      </c>
      <c r="C164">
        <f t="shared" si="35"/>
        <v>37</v>
      </c>
      <c r="D164">
        <f t="shared" si="35"/>
        <v>25</v>
      </c>
      <c r="E164">
        <f t="shared" si="36"/>
        <v>0</v>
      </c>
      <c r="F164">
        <f t="shared" si="31"/>
        <v>0</v>
      </c>
      <c r="G164">
        <f t="shared" si="37"/>
        <v>0</v>
      </c>
      <c r="H164">
        <f t="shared" si="38"/>
        <v>0</v>
      </c>
      <c r="I164">
        <f t="shared" si="39"/>
        <v>0</v>
      </c>
      <c r="J164">
        <f t="shared" si="32"/>
        <v>0</v>
      </c>
      <c r="K164">
        <f t="shared" si="33"/>
        <v>0</v>
      </c>
      <c r="L164">
        <f t="shared" si="40"/>
        <v>37</v>
      </c>
      <c r="M164">
        <f t="shared" si="41"/>
        <v>25</v>
      </c>
      <c r="N164">
        <f t="shared" si="42"/>
        <v>1</v>
      </c>
      <c r="O164">
        <f t="shared" si="43"/>
        <v>12</v>
      </c>
      <c r="P164">
        <f t="shared" si="34"/>
        <v>5</v>
      </c>
      <c r="Q164">
        <f t="shared" si="44"/>
        <v>25</v>
      </c>
      <c r="R164">
        <f t="shared" si="44"/>
        <v>20</v>
      </c>
    </row>
    <row r="165" spans="1:18" x14ac:dyDescent="0.25">
      <c r="A165" s="1">
        <v>44814</v>
      </c>
      <c r="B165">
        <f t="shared" si="30"/>
        <v>6</v>
      </c>
      <c r="C165">
        <f t="shared" si="35"/>
        <v>25</v>
      </c>
      <c r="D165">
        <f t="shared" si="35"/>
        <v>20</v>
      </c>
      <c r="E165">
        <f t="shared" si="36"/>
        <v>0</v>
      </c>
      <c r="F165">
        <f t="shared" si="31"/>
        <v>0</v>
      </c>
      <c r="G165">
        <f t="shared" si="37"/>
        <v>0</v>
      </c>
      <c r="H165">
        <f t="shared" si="38"/>
        <v>0</v>
      </c>
      <c r="I165">
        <f t="shared" si="39"/>
        <v>0</v>
      </c>
      <c r="J165">
        <f t="shared" si="32"/>
        <v>0</v>
      </c>
      <c r="K165">
        <f t="shared" si="33"/>
        <v>0</v>
      </c>
      <c r="L165">
        <f t="shared" si="40"/>
        <v>25</v>
      </c>
      <c r="M165">
        <f t="shared" si="41"/>
        <v>20</v>
      </c>
      <c r="N165">
        <f t="shared" si="42"/>
        <v>1</v>
      </c>
      <c r="O165">
        <f t="shared" si="43"/>
        <v>8</v>
      </c>
      <c r="P165">
        <f t="shared" si="34"/>
        <v>4</v>
      </c>
      <c r="Q165">
        <f t="shared" si="44"/>
        <v>17</v>
      </c>
      <c r="R165">
        <f t="shared" si="44"/>
        <v>16</v>
      </c>
    </row>
    <row r="166" spans="1:18" x14ac:dyDescent="0.25">
      <c r="A166" s="1">
        <v>44815</v>
      </c>
      <c r="B166">
        <f t="shared" si="30"/>
        <v>7</v>
      </c>
      <c r="C166">
        <f t="shared" si="35"/>
        <v>17</v>
      </c>
      <c r="D166">
        <f t="shared" si="35"/>
        <v>16</v>
      </c>
      <c r="E166">
        <f t="shared" si="36"/>
        <v>0</v>
      </c>
      <c r="F166">
        <f t="shared" si="31"/>
        <v>0</v>
      </c>
      <c r="G166">
        <f t="shared" si="37"/>
        <v>0</v>
      </c>
      <c r="H166">
        <f t="shared" si="38"/>
        <v>0</v>
      </c>
      <c r="I166">
        <f t="shared" si="39"/>
        <v>0</v>
      </c>
      <c r="J166">
        <f t="shared" si="32"/>
        <v>0</v>
      </c>
      <c r="K166">
        <f t="shared" si="33"/>
        <v>0</v>
      </c>
      <c r="L166">
        <f t="shared" si="40"/>
        <v>17</v>
      </c>
      <c r="M166">
        <f t="shared" si="41"/>
        <v>16</v>
      </c>
      <c r="N166">
        <f t="shared" si="42"/>
        <v>0</v>
      </c>
      <c r="O166">
        <f t="shared" si="43"/>
        <v>0</v>
      </c>
      <c r="P166">
        <f t="shared" si="34"/>
        <v>0</v>
      </c>
      <c r="Q166">
        <f t="shared" si="44"/>
        <v>17</v>
      </c>
      <c r="R166">
        <f t="shared" si="44"/>
        <v>16</v>
      </c>
    </row>
    <row r="167" spans="1:18" x14ac:dyDescent="0.25">
      <c r="A167" s="1">
        <v>44816</v>
      </c>
      <c r="B167">
        <f t="shared" si="30"/>
        <v>1</v>
      </c>
      <c r="C167">
        <f t="shared" si="35"/>
        <v>17</v>
      </c>
      <c r="D167">
        <f t="shared" si="35"/>
        <v>16</v>
      </c>
      <c r="E167">
        <f t="shared" si="36"/>
        <v>1</v>
      </c>
      <c r="F167">
        <f t="shared" si="31"/>
        <v>1</v>
      </c>
      <c r="G167">
        <f t="shared" si="37"/>
        <v>0</v>
      </c>
      <c r="H167">
        <f t="shared" si="38"/>
        <v>0</v>
      </c>
      <c r="I167">
        <f t="shared" si="39"/>
        <v>0</v>
      </c>
      <c r="J167">
        <f t="shared" si="32"/>
        <v>0</v>
      </c>
      <c r="K167">
        <f t="shared" si="33"/>
        <v>0</v>
      </c>
      <c r="L167">
        <f t="shared" si="40"/>
        <v>16</v>
      </c>
      <c r="M167">
        <f t="shared" si="41"/>
        <v>16</v>
      </c>
      <c r="N167">
        <f t="shared" si="42"/>
        <v>1</v>
      </c>
      <c r="O167">
        <f t="shared" si="43"/>
        <v>5</v>
      </c>
      <c r="P167">
        <f t="shared" si="34"/>
        <v>4</v>
      </c>
      <c r="Q167">
        <f t="shared" si="44"/>
        <v>11</v>
      </c>
      <c r="R167">
        <f t="shared" si="44"/>
        <v>12</v>
      </c>
    </row>
    <row r="168" spans="1:18" x14ac:dyDescent="0.25">
      <c r="A168" s="1">
        <v>44817</v>
      </c>
      <c r="B168">
        <f t="shared" si="30"/>
        <v>2</v>
      </c>
      <c r="C168">
        <f t="shared" si="35"/>
        <v>11</v>
      </c>
      <c r="D168">
        <f t="shared" si="35"/>
        <v>12</v>
      </c>
      <c r="E168">
        <f t="shared" si="36"/>
        <v>0</v>
      </c>
      <c r="F168">
        <f t="shared" si="31"/>
        <v>0</v>
      </c>
      <c r="G168">
        <f t="shared" si="37"/>
        <v>0</v>
      </c>
      <c r="H168">
        <f t="shared" si="38"/>
        <v>0</v>
      </c>
      <c r="I168">
        <f t="shared" si="39"/>
        <v>0</v>
      </c>
      <c r="J168">
        <f t="shared" si="32"/>
        <v>0</v>
      </c>
      <c r="K168">
        <f t="shared" si="33"/>
        <v>0</v>
      </c>
      <c r="L168">
        <f t="shared" si="40"/>
        <v>11</v>
      </c>
      <c r="M168">
        <f t="shared" si="41"/>
        <v>12</v>
      </c>
      <c r="N168">
        <f t="shared" si="42"/>
        <v>1</v>
      </c>
      <c r="O168">
        <f t="shared" si="43"/>
        <v>4</v>
      </c>
      <c r="P168">
        <f t="shared" si="34"/>
        <v>3</v>
      </c>
      <c r="Q168">
        <f t="shared" si="44"/>
        <v>7</v>
      </c>
      <c r="R168">
        <f t="shared" si="44"/>
        <v>9</v>
      </c>
    </row>
    <row r="169" spans="1:18" x14ac:dyDescent="0.25">
      <c r="A169" s="1">
        <v>44818</v>
      </c>
      <c r="B169">
        <f t="shared" si="30"/>
        <v>3</v>
      </c>
      <c r="C169">
        <f t="shared" si="35"/>
        <v>7</v>
      </c>
      <c r="D169">
        <f t="shared" si="35"/>
        <v>9</v>
      </c>
      <c r="E169">
        <f t="shared" si="36"/>
        <v>0</v>
      </c>
      <c r="F169">
        <f t="shared" si="31"/>
        <v>0</v>
      </c>
      <c r="G169">
        <f t="shared" si="37"/>
        <v>0</v>
      </c>
      <c r="H169">
        <f t="shared" si="38"/>
        <v>0</v>
      </c>
      <c r="I169">
        <f t="shared" si="39"/>
        <v>0</v>
      </c>
      <c r="J169">
        <f t="shared" si="32"/>
        <v>0</v>
      </c>
      <c r="K169">
        <f t="shared" si="33"/>
        <v>0</v>
      </c>
      <c r="L169">
        <f t="shared" si="40"/>
        <v>7</v>
      </c>
      <c r="M169">
        <f t="shared" si="41"/>
        <v>9</v>
      </c>
      <c r="N169">
        <f t="shared" si="42"/>
        <v>1</v>
      </c>
      <c r="O169">
        <f t="shared" si="43"/>
        <v>3</v>
      </c>
      <c r="P169">
        <f t="shared" si="34"/>
        <v>2</v>
      </c>
      <c r="Q169">
        <f t="shared" si="44"/>
        <v>4</v>
      </c>
      <c r="R169">
        <f t="shared" si="44"/>
        <v>7</v>
      </c>
    </row>
    <row r="170" spans="1:18" x14ac:dyDescent="0.25">
      <c r="A170" s="1">
        <v>44819</v>
      </c>
      <c r="B170">
        <f t="shared" si="30"/>
        <v>4</v>
      </c>
      <c r="C170">
        <f t="shared" si="35"/>
        <v>4</v>
      </c>
      <c r="D170">
        <f t="shared" si="35"/>
        <v>7</v>
      </c>
      <c r="E170">
        <f t="shared" si="36"/>
        <v>0</v>
      </c>
      <c r="F170">
        <f t="shared" si="31"/>
        <v>0</v>
      </c>
      <c r="G170">
        <f t="shared" si="37"/>
        <v>1</v>
      </c>
      <c r="H170">
        <f t="shared" si="38"/>
        <v>50</v>
      </c>
      <c r="I170">
        <f t="shared" si="39"/>
        <v>25</v>
      </c>
      <c r="J170">
        <f t="shared" si="32"/>
        <v>0</v>
      </c>
      <c r="K170">
        <f t="shared" si="33"/>
        <v>0</v>
      </c>
      <c r="L170">
        <f t="shared" si="40"/>
        <v>54</v>
      </c>
      <c r="M170">
        <f t="shared" si="41"/>
        <v>32</v>
      </c>
      <c r="N170">
        <f t="shared" si="42"/>
        <v>1</v>
      </c>
      <c r="O170">
        <f t="shared" si="43"/>
        <v>17</v>
      </c>
      <c r="P170">
        <f t="shared" si="34"/>
        <v>7</v>
      </c>
      <c r="Q170">
        <f t="shared" si="44"/>
        <v>37</v>
      </c>
      <c r="R170">
        <f t="shared" si="44"/>
        <v>25</v>
      </c>
    </row>
    <row r="171" spans="1:18" x14ac:dyDescent="0.25">
      <c r="A171" s="1">
        <v>44820</v>
      </c>
      <c r="B171">
        <f t="shared" si="30"/>
        <v>5</v>
      </c>
      <c r="C171">
        <f t="shared" si="35"/>
        <v>37</v>
      </c>
      <c r="D171">
        <f t="shared" si="35"/>
        <v>25</v>
      </c>
      <c r="E171">
        <f t="shared" si="36"/>
        <v>0</v>
      </c>
      <c r="F171">
        <f t="shared" si="31"/>
        <v>0</v>
      </c>
      <c r="G171">
        <f t="shared" si="37"/>
        <v>0</v>
      </c>
      <c r="H171">
        <f t="shared" si="38"/>
        <v>0</v>
      </c>
      <c r="I171">
        <f t="shared" si="39"/>
        <v>0</v>
      </c>
      <c r="J171">
        <f t="shared" si="32"/>
        <v>0</v>
      </c>
      <c r="K171">
        <f t="shared" si="33"/>
        <v>0</v>
      </c>
      <c r="L171">
        <f t="shared" si="40"/>
        <v>37</v>
      </c>
      <c r="M171">
        <f t="shared" si="41"/>
        <v>25</v>
      </c>
      <c r="N171">
        <f t="shared" si="42"/>
        <v>1</v>
      </c>
      <c r="O171">
        <f t="shared" si="43"/>
        <v>12</v>
      </c>
      <c r="P171">
        <f t="shared" si="34"/>
        <v>5</v>
      </c>
      <c r="Q171">
        <f t="shared" si="44"/>
        <v>25</v>
      </c>
      <c r="R171">
        <f t="shared" si="44"/>
        <v>20</v>
      </c>
    </row>
    <row r="172" spans="1:18" x14ac:dyDescent="0.25">
      <c r="A172" s="1">
        <v>44821</v>
      </c>
      <c r="B172">
        <f t="shared" si="30"/>
        <v>6</v>
      </c>
      <c r="C172">
        <f t="shared" si="35"/>
        <v>25</v>
      </c>
      <c r="D172">
        <f t="shared" si="35"/>
        <v>20</v>
      </c>
      <c r="E172">
        <f t="shared" si="36"/>
        <v>0</v>
      </c>
      <c r="F172">
        <f t="shared" si="31"/>
        <v>0</v>
      </c>
      <c r="G172">
        <f t="shared" si="37"/>
        <v>0</v>
      </c>
      <c r="H172">
        <f t="shared" si="38"/>
        <v>0</v>
      </c>
      <c r="I172">
        <f t="shared" si="39"/>
        <v>0</v>
      </c>
      <c r="J172">
        <f t="shared" si="32"/>
        <v>0</v>
      </c>
      <c r="K172">
        <f t="shared" si="33"/>
        <v>0</v>
      </c>
      <c r="L172">
        <f t="shared" si="40"/>
        <v>25</v>
      </c>
      <c r="M172">
        <f t="shared" si="41"/>
        <v>20</v>
      </c>
      <c r="N172">
        <f t="shared" si="42"/>
        <v>1</v>
      </c>
      <c r="O172">
        <f t="shared" si="43"/>
        <v>8</v>
      </c>
      <c r="P172">
        <f t="shared" si="34"/>
        <v>4</v>
      </c>
      <c r="Q172">
        <f t="shared" si="44"/>
        <v>17</v>
      </c>
      <c r="R172">
        <f t="shared" si="44"/>
        <v>16</v>
      </c>
    </row>
    <row r="173" spans="1:18" x14ac:dyDescent="0.25">
      <c r="A173" s="1">
        <v>44822</v>
      </c>
      <c r="B173">
        <f t="shared" si="30"/>
        <v>7</v>
      </c>
      <c r="C173">
        <f t="shared" si="35"/>
        <v>17</v>
      </c>
      <c r="D173">
        <f t="shared" si="35"/>
        <v>16</v>
      </c>
      <c r="E173">
        <f t="shared" si="36"/>
        <v>0</v>
      </c>
      <c r="F173">
        <f t="shared" si="31"/>
        <v>0</v>
      </c>
      <c r="G173">
        <f t="shared" si="37"/>
        <v>0</v>
      </c>
      <c r="H173">
        <f t="shared" si="38"/>
        <v>0</v>
      </c>
      <c r="I173">
        <f t="shared" si="39"/>
        <v>0</v>
      </c>
      <c r="J173">
        <f t="shared" si="32"/>
        <v>0</v>
      </c>
      <c r="K173">
        <f t="shared" si="33"/>
        <v>0</v>
      </c>
      <c r="L173">
        <f t="shared" si="40"/>
        <v>17</v>
      </c>
      <c r="M173">
        <f t="shared" si="41"/>
        <v>16</v>
      </c>
      <c r="N173">
        <f t="shared" si="42"/>
        <v>0</v>
      </c>
      <c r="O173">
        <f t="shared" si="43"/>
        <v>0</v>
      </c>
      <c r="P173">
        <f t="shared" si="34"/>
        <v>0</v>
      </c>
      <c r="Q173">
        <f t="shared" si="44"/>
        <v>17</v>
      </c>
      <c r="R173">
        <f t="shared" si="44"/>
        <v>16</v>
      </c>
    </row>
    <row r="174" spans="1:18" x14ac:dyDescent="0.25">
      <c r="A174" s="1">
        <v>44823</v>
      </c>
      <c r="B174">
        <f t="shared" si="30"/>
        <v>1</v>
      </c>
      <c r="C174">
        <f t="shared" si="35"/>
        <v>17</v>
      </c>
      <c r="D174">
        <f t="shared" si="35"/>
        <v>16</v>
      </c>
      <c r="E174">
        <f t="shared" si="36"/>
        <v>1</v>
      </c>
      <c r="F174">
        <f t="shared" si="31"/>
        <v>1</v>
      </c>
      <c r="G174">
        <f t="shared" si="37"/>
        <v>0</v>
      </c>
      <c r="H174">
        <f t="shared" si="38"/>
        <v>0</v>
      </c>
      <c r="I174">
        <f t="shared" si="39"/>
        <v>0</v>
      </c>
      <c r="J174">
        <f t="shared" si="32"/>
        <v>0</v>
      </c>
      <c r="K174">
        <f t="shared" si="33"/>
        <v>0</v>
      </c>
      <c r="L174">
        <f t="shared" si="40"/>
        <v>16</v>
      </c>
      <c r="M174">
        <f t="shared" si="41"/>
        <v>16</v>
      </c>
      <c r="N174">
        <f t="shared" si="42"/>
        <v>1</v>
      </c>
      <c r="O174">
        <f t="shared" si="43"/>
        <v>5</v>
      </c>
      <c r="P174">
        <f t="shared" si="34"/>
        <v>4</v>
      </c>
      <c r="Q174">
        <f t="shared" si="44"/>
        <v>11</v>
      </c>
      <c r="R174">
        <f t="shared" si="44"/>
        <v>12</v>
      </c>
    </row>
    <row r="175" spans="1:18" x14ac:dyDescent="0.25">
      <c r="A175" s="1">
        <v>44824</v>
      </c>
      <c r="B175">
        <f t="shared" si="30"/>
        <v>2</v>
      </c>
      <c r="C175">
        <f t="shared" si="35"/>
        <v>11</v>
      </c>
      <c r="D175">
        <f t="shared" si="35"/>
        <v>12</v>
      </c>
      <c r="E175">
        <f t="shared" si="36"/>
        <v>0</v>
      </c>
      <c r="F175">
        <f t="shared" si="31"/>
        <v>0</v>
      </c>
      <c r="G175">
        <f t="shared" si="37"/>
        <v>0</v>
      </c>
      <c r="H175">
        <f t="shared" si="38"/>
        <v>0</v>
      </c>
      <c r="I175">
        <f t="shared" si="39"/>
        <v>0</v>
      </c>
      <c r="J175">
        <f t="shared" si="32"/>
        <v>0</v>
      </c>
      <c r="K175">
        <f t="shared" si="33"/>
        <v>0</v>
      </c>
      <c r="L175">
        <f t="shared" si="40"/>
        <v>11</v>
      </c>
      <c r="M175">
        <f t="shared" si="41"/>
        <v>12</v>
      </c>
      <c r="N175">
        <f t="shared" si="42"/>
        <v>1</v>
      </c>
      <c r="O175">
        <f t="shared" si="43"/>
        <v>4</v>
      </c>
      <c r="P175">
        <f t="shared" si="34"/>
        <v>3</v>
      </c>
      <c r="Q175">
        <f t="shared" si="44"/>
        <v>7</v>
      </c>
      <c r="R175">
        <f t="shared" si="44"/>
        <v>9</v>
      </c>
    </row>
    <row r="176" spans="1:18" x14ac:dyDescent="0.25">
      <c r="A176" s="1">
        <v>44825</v>
      </c>
      <c r="B176">
        <f t="shared" si="30"/>
        <v>3</v>
      </c>
      <c r="C176">
        <f t="shared" si="35"/>
        <v>7</v>
      </c>
      <c r="D176">
        <f t="shared" si="35"/>
        <v>9</v>
      </c>
      <c r="E176">
        <f t="shared" si="36"/>
        <v>0</v>
      </c>
      <c r="F176">
        <f t="shared" si="31"/>
        <v>0</v>
      </c>
      <c r="G176">
        <f t="shared" si="37"/>
        <v>0</v>
      </c>
      <c r="H176">
        <f t="shared" si="38"/>
        <v>0</v>
      </c>
      <c r="I176">
        <f t="shared" si="39"/>
        <v>0</v>
      </c>
      <c r="J176">
        <f t="shared" si="32"/>
        <v>0</v>
      </c>
      <c r="K176">
        <f t="shared" si="33"/>
        <v>0</v>
      </c>
      <c r="L176">
        <f t="shared" si="40"/>
        <v>7</v>
      </c>
      <c r="M176">
        <f t="shared" si="41"/>
        <v>9</v>
      </c>
      <c r="N176">
        <f t="shared" si="42"/>
        <v>1</v>
      </c>
      <c r="O176">
        <f t="shared" si="43"/>
        <v>3</v>
      </c>
      <c r="P176">
        <f t="shared" si="34"/>
        <v>2</v>
      </c>
      <c r="Q176">
        <f t="shared" si="44"/>
        <v>4</v>
      </c>
      <c r="R176">
        <f t="shared" si="44"/>
        <v>7</v>
      </c>
    </row>
    <row r="177" spans="1:18" x14ac:dyDescent="0.25">
      <c r="A177" s="1">
        <v>44826</v>
      </c>
      <c r="B177">
        <f t="shared" si="30"/>
        <v>4</v>
      </c>
      <c r="C177">
        <f t="shared" si="35"/>
        <v>4</v>
      </c>
      <c r="D177">
        <f t="shared" si="35"/>
        <v>7</v>
      </c>
      <c r="E177">
        <f t="shared" si="36"/>
        <v>0</v>
      </c>
      <c r="F177">
        <f t="shared" si="31"/>
        <v>0</v>
      </c>
      <c r="G177">
        <f t="shared" si="37"/>
        <v>1</v>
      </c>
      <c r="H177">
        <f t="shared" si="38"/>
        <v>50</v>
      </c>
      <c r="I177">
        <f t="shared" si="39"/>
        <v>25</v>
      </c>
      <c r="J177">
        <f t="shared" si="32"/>
        <v>0</v>
      </c>
      <c r="K177">
        <f t="shared" si="33"/>
        <v>0</v>
      </c>
      <c r="L177">
        <f t="shared" si="40"/>
        <v>54</v>
      </c>
      <c r="M177">
        <f t="shared" si="41"/>
        <v>32</v>
      </c>
      <c r="N177">
        <f t="shared" si="42"/>
        <v>1</v>
      </c>
      <c r="O177">
        <f t="shared" si="43"/>
        <v>17</v>
      </c>
      <c r="P177">
        <f t="shared" si="34"/>
        <v>7</v>
      </c>
      <c r="Q177">
        <f t="shared" si="44"/>
        <v>37</v>
      </c>
      <c r="R177">
        <f t="shared" si="44"/>
        <v>25</v>
      </c>
    </row>
    <row r="178" spans="1:18" x14ac:dyDescent="0.25">
      <c r="A178" s="1">
        <v>44827</v>
      </c>
      <c r="B178">
        <f t="shared" si="30"/>
        <v>5</v>
      </c>
      <c r="C178">
        <f t="shared" si="35"/>
        <v>37</v>
      </c>
      <c r="D178">
        <f t="shared" si="35"/>
        <v>25</v>
      </c>
      <c r="E178">
        <f t="shared" si="36"/>
        <v>0</v>
      </c>
      <c r="F178">
        <f t="shared" si="31"/>
        <v>0</v>
      </c>
      <c r="G178">
        <f t="shared" si="37"/>
        <v>0</v>
      </c>
      <c r="H178">
        <f t="shared" si="38"/>
        <v>0</v>
      </c>
      <c r="I178">
        <f t="shared" si="39"/>
        <v>0</v>
      </c>
      <c r="J178">
        <f t="shared" si="32"/>
        <v>0</v>
      </c>
      <c r="K178">
        <f t="shared" si="33"/>
        <v>0</v>
      </c>
      <c r="L178">
        <f t="shared" si="40"/>
        <v>37</v>
      </c>
      <c r="M178">
        <f t="shared" si="41"/>
        <v>25</v>
      </c>
      <c r="N178">
        <f t="shared" si="42"/>
        <v>1</v>
      </c>
      <c r="O178">
        <f t="shared" si="43"/>
        <v>12</v>
      </c>
      <c r="P178">
        <f t="shared" si="34"/>
        <v>5</v>
      </c>
      <c r="Q178">
        <f t="shared" si="44"/>
        <v>25</v>
      </c>
      <c r="R178">
        <f t="shared" si="44"/>
        <v>20</v>
      </c>
    </row>
    <row r="179" spans="1:18" x14ac:dyDescent="0.25">
      <c r="A179" s="1">
        <v>44828</v>
      </c>
      <c r="B179">
        <f t="shared" si="30"/>
        <v>6</v>
      </c>
      <c r="C179">
        <f t="shared" si="35"/>
        <v>25</v>
      </c>
      <c r="D179">
        <f t="shared" si="35"/>
        <v>20</v>
      </c>
      <c r="E179">
        <f t="shared" si="36"/>
        <v>0</v>
      </c>
      <c r="F179">
        <f t="shared" si="31"/>
        <v>0</v>
      </c>
      <c r="G179">
        <f t="shared" si="37"/>
        <v>0</v>
      </c>
      <c r="H179">
        <f t="shared" si="38"/>
        <v>0</v>
      </c>
      <c r="I179">
        <f t="shared" si="39"/>
        <v>0</v>
      </c>
      <c r="J179">
        <f t="shared" si="32"/>
        <v>0</v>
      </c>
      <c r="K179">
        <f t="shared" si="33"/>
        <v>0</v>
      </c>
      <c r="L179">
        <f t="shared" si="40"/>
        <v>25</v>
      </c>
      <c r="M179">
        <f t="shared" si="41"/>
        <v>20</v>
      </c>
      <c r="N179">
        <f t="shared" si="42"/>
        <v>1</v>
      </c>
      <c r="O179">
        <f t="shared" si="43"/>
        <v>8</v>
      </c>
      <c r="P179">
        <f t="shared" si="34"/>
        <v>4</v>
      </c>
      <c r="Q179">
        <f t="shared" si="44"/>
        <v>17</v>
      </c>
      <c r="R179">
        <f t="shared" si="44"/>
        <v>16</v>
      </c>
    </row>
    <row r="180" spans="1:18" x14ac:dyDescent="0.25">
      <c r="A180" s="1">
        <v>44829</v>
      </c>
      <c r="B180">
        <f t="shared" si="30"/>
        <v>7</v>
      </c>
      <c r="C180">
        <f t="shared" si="35"/>
        <v>17</v>
      </c>
      <c r="D180">
        <f t="shared" si="35"/>
        <v>16</v>
      </c>
      <c r="E180">
        <f t="shared" si="36"/>
        <v>0</v>
      </c>
      <c r="F180">
        <f t="shared" si="31"/>
        <v>0</v>
      </c>
      <c r="G180">
        <f t="shared" si="37"/>
        <v>0</v>
      </c>
      <c r="H180">
        <f t="shared" si="38"/>
        <v>0</v>
      </c>
      <c r="I180">
        <f t="shared" si="39"/>
        <v>0</v>
      </c>
      <c r="J180">
        <f t="shared" si="32"/>
        <v>0</v>
      </c>
      <c r="K180">
        <f t="shared" si="33"/>
        <v>0</v>
      </c>
      <c r="L180">
        <f t="shared" si="40"/>
        <v>17</v>
      </c>
      <c r="M180">
        <f t="shared" si="41"/>
        <v>16</v>
      </c>
      <c r="N180">
        <f t="shared" si="42"/>
        <v>0</v>
      </c>
      <c r="O180">
        <f t="shared" si="43"/>
        <v>0</v>
      </c>
      <c r="P180">
        <f t="shared" si="34"/>
        <v>0</v>
      </c>
      <c r="Q180">
        <f t="shared" si="44"/>
        <v>17</v>
      </c>
      <c r="R180">
        <f t="shared" si="44"/>
        <v>16</v>
      </c>
    </row>
    <row r="181" spans="1:18" x14ac:dyDescent="0.25">
      <c r="A181" s="1">
        <v>44830</v>
      </c>
      <c r="B181">
        <f t="shared" si="30"/>
        <v>1</v>
      </c>
      <c r="C181">
        <f t="shared" si="35"/>
        <v>17</v>
      </c>
      <c r="D181">
        <f t="shared" si="35"/>
        <v>16</v>
      </c>
      <c r="E181">
        <f t="shared" si="36"/>
        <v>1</v>
      </c>
      <c r="F181">
        <f t="shared" si="31"/>
        <v>1</v>
      </c>
      <c r="G181">
        <f t="shared" si="37"/>
        <v>0</v>
      </c>
      <c r="H181">
        <f t="shared" si="38"/>
        <v>0</v>
      </c>
      <c r="I181">
        <f t="shared" si="39"/>
        <v>0</v>
      </c>
      <c r="J181">
        <f t="shared" si="32"/>
        <v>0</v>
      </c>
      <c r="K181">
        <f t="shared" si="33"/>
        <v>0</v>
      </c>
      <c r="L181">
        <f t="shared" si="40"/>
        <v>16</v>
      </c>
      <c r="M181">
        <f t="shared" si="41"/>
        <v>16</v>
      </c>
      <c r="N181">
        <f t="shared" si="42"/>
        <v>1</v>
      </c>
      <c r="O181">
        <f t="shared" si="43"/>
        <v>5</v>
      </c>
      <c r="P181">
        <f t="shared" si="34"/>
        <v>4</v>
      </c>
      <c r="Q181">
        <f t="shared" si="44"/>
        <v>11</v>
      </c>
      <c r="R181">
        <f t="shared" si="44"/>
        <v>12</v>
      </c>
    </row>
    <row r="182" spans="1:18" x14ac:dyDescent="0.25">
      <c r="A182" s="1">
        <v>44831</v>
      </c>
      <c r="B182">
        <f t="shared" si="30"/>
        <v>2</v>
      </c>
      <c r="C182">
        <f t="shared" si="35"/>
        <v>11</v>
      </c>
      <c r="D182">
        <f t="shared" si="35"/>
        <v>12</v>
      </c>
      <c r="E182">
        <f t="shared" si="36"/>
        <v>0</v>
      </c>
      <c r="F182">
        <f t="shared" si="31"/>
        <v>0</v>
      </c>
      <c r="G182">
        <f t="shared" si="37"/>
        <v>0</v>
      </c>
      <c r="H182">
        <f t="shared" si="38"/>
        <v>0</v>
      </c>
      <c r="I182">
        <f t="shared" si="39"/>
        <v>0</v>
      </c>
      <c r="J182">
        <f t="shared" si="32"/>
        <v>0</v>
      </c>
      <c r="K182">
        <f t="shared" si="33"/>
        <v>0</v>
      </c>
      <c r="L182">
        <f t="shared" si="40"/>
        <v>11</v>
      </c>
      <c r="M182">
        <f t="shared" si="41"/>
        <v>12</v>
      </c>
      <c r="N182">
        <f t="shared" si="42"/>
        <v>1</v>
      </c>
      <c r="O182">
        <f t="shared" si="43"/>
        <v>4</v>
      </c>
      <c r="P182">
        <f t="shared" si="34"/>
        <v>3</v>
      </c>
      <c r="Q182">
        <f t="shared" si="44"/>
        <v>7</v>
      </c>
      <c r="R182">
        <f t="shared" si="44"/>
        <v>9</v>
      </c>
    </row>
    <row r="183" spans="1:18" x14ac:dyDescent="0.25">
      <c r="A183" s="1">
        <v>44832</v>
      </c>
      <c r="B183">
        <f t="shared" si="30"/>
        <v>3</v>
      </c>
      <c r="C183">
        <f t="shared" si="35"/>
        <v>7</v>
      </c>
      <c r="D183">
        <f t="shared" si="35"/>
        <v>9</v>
      </c>
      <c r="E183">
        <f t="shared" si="36"/>
        <v>0</v>
      </c>
      <c r="F183">
        <f t="shared" si="31"/>
        <v>0</v>
      </c>
      <c r="G183">
        <f t="shared" si="37"/>
        <v>0</v>
      </c>
      <c r="H183">
        <f t="shared" si="38"/>
        <v>0</v>
      </c>
      <c r="I183">
        <f t="shared" si="39"/>
        <v>0</v>
      </c>
      <c r="J183">
        <f t="shared" si="32"/>
        <v>0</v>
      </c>
      <c r="K183">
        <f t="shared" si="33"/>
        <v>0</v>
      </c>
      <c r="L183">
        <f t="shared" si="40"/>
        <v>7</v>
      </c>
      <c r="M183">
        <f t="shared" si="41"/>
        <v>9</v>
      </c>
      <c r="N183">
        <f t="shared" si="42"/>
        <v>1</v>
      </c>
      <c r="O183">
        <f t="shared" si="43"/>
        <v>3</v>
      </c>
      <c r="P183">
        <f t="shared" si="34"/>
        <v>2</v>
      </c>
      <c r="Q183">
        <f t="shared" si="44"/>
        <v>4</v>
      </c>
      <c r="R183">
        <f t="shared" si="44"/>
        <v>7</v>
      </c>
    </row>
    <row r="184" spans="1:18" x14ac:dyDescent="0.25">
      <c r="A184" s="1">
        <v>44833</v>
      </c>
      <c r="B184">
        <f t="shared" si="30"/>
        <v>4</v>
      </c>
      <c r="C184">
        <f t="shared" si="35"/>
        <v>4</v>
      </c>
      <c r="D184">
        <f t="shared" si="35"/>
        <v>7</v>
      </c>
      <c r="E184">
        <f t="shared" si="36"/>
        <v>0</v>
      </c>
      <c r="F184">
        <f t="shared" si="31"/>
        <v>0</v>
      </c>
      <c r="G184">
        <f t="shared" si="37"/>
        <v>1</v>
      </c>
      <c r="H184">
        <f t="shared" si="38"/>
        <v>50</v>
      </c>
      <c r="I184">
        <f t="shared" si="39"/>
        <v>25</v>
      </c>
      <c r="J184">
        <f t="shared" si="32"/>
        <v>0</v>
      </c>
      <c r="K184">
        <f t="shared" si="33"/>
        <v>0</v>
      </c>
      <c r="L184">
        <f t="shared" si="40"/>
        <v>54</v>
      </c>
      <c r="M184">
        <f t="shared" si="41"/>
        <v>32</v>
      </c>
      <c r="N184">
        <f t="shared" si="42"/>
        <v>1</v>
      </c>
      <c r="O184">
        <f t="shared" si="43"/>
        <v>17</v>
      </c>
      <c r="P184">
        <f t="shared" si="34"/>
        <v>7</v>
      </c>
      <c r="Q184">
        <f t="shared" si="44"/>
        <v>37</v>
      </c>
      <c r="R184">
        <f t="shared" si="44"/>
        <v>25</v>
      </c>
    </row>
    <row r="185" spans="1:18" x14ac:dyDescent="0.25">
      <c r="A185" s="1">
        <v>44834</v>
      </c>
      <c r="B185">
        <f t="shared" si="30"/>
        <v>5</v>
      </c>
      <c r="C185">
        <f t="shared" si="35"/>
        <v>37</v>
      </c>
      <c r="D185">
        <f t="shared" si="35"/>
        <v>25</v>
      </c>
      <c r="E185">
        <f t="shared" si="36"/>
        <v>0</v>
      </c>
      <c r="F185">
        <f t="shared" si="31"/>
        <v>0</v>
      </c>
      <c r="G185">
        <f t="shared" si="37"/>
        <v>0</v>
      </c>
      <c r="H185">
        <f t="shared" si="38"/>
        <v>0</v>
      </c>
      <c r="I185">
        <f t="shared" si="39"/>
        <v>0</v>
      </c>
      <c r="J185">
        <f t="shared" si="32"/>
        <v>0</v>
      </c>
      <c r="K185">
        <f t="shared" si="33"/>
        <v>0</v>
      </c>
      <c r="L185">
        <f t="shared" si="40"/>
        <v>37</v>
      </c>
      <c r="M185">
        <f t="shared" si="41"/>
        <v>25</v>
      </c>
      <c r="N185">
        <f t="shared" si="42"/>
        <v>1</v>
      </c>
      <c r="O185">
        <f t="shared" si="43"/>
        <v>12</v>
      </c>
      <c r="P185">
        <f t="shared" si="34"/>
        <v>5</v>
      </c>
      <c r="Q185">
        <f t="shared" si="44"/>
        <v>25</v>
      </c>
      <c r="R185">
        <f t="shared" si="44"/>
        <v>20</v>
      </c>
    </row>
    <row r="186" spans="1:18" x14ac:dyDescent="0.25">
      <c r="A186" s="1">
        <v>44835</v>
      </c>
      <c r="B186">
        <f t="shared" si="30"/>
        <v>6</v>
      </c>
      <c r="C186">
        <f t="shared" si="35"/>
        <v>25</v>
      </c>
      <c r="D186">
        <f t="shared" si="35"/>
        <v>20</v>
      </c>
      <c r="E186">
        <f t="shared" si="36"/>
        <v>0</v>
      </c>
      <c r="F186">
        <f t="shared" si="31"/>
        <v>0</v>
      </c>
      <c r="G186">
        <f t="shared" si="37"/>
        <v>0</v>
      </c>
      <c r="H186">
        <f t="shared" si="38"/>
        <v>0</v>
      </c>
      <c r="I186">
        <f t="shared" si="39"/>
        <v>0</v>
      </c>
      <c r="J186">
        <f t="shared" si="32"/>
        <v>0</v>
      </c>
      <c r="K186">
        <f t="shared" si="33"/>
        <v>0</v>
      </c>
      <c r="L186">
        <f t="shared" si="40"/>
        <v>25</v>
      </c>
      <c r="M186">
        <f t="shared" si="41"/>
        <v>20</v>
      </c>
      <c r="N186">
        <f t="shared" si="42"/>
        <v>1</v>
      </c>
      <c r="O186">
        <f t="shared" si="43"/>
        <v>8</v>
      </c>
      <c r="P186">
        <f t="shared" si="34"/>
        <v>4</v>
      </c>
      <c r="Q186">
        <f t="shared" si="44"/>
        <v>17</v>
      </c>
      <c r="R186">
        <f t="shared" si="44"/>
        <v>16</v>
      </c>
    </row>
    <row r="187" spans="1:18" x14ac:dyDescent="0.25">
      <c r="A187" s="1">
        <v>44836</v>
      </c>
      <c r="B187">
        <f t="shared" si="30"/>
        <v>7</v>
      </c>
      <c r="C187">
        <f t="shared" si="35"/>
        <v>17</v>
      </c>
      <c r="D187">
        <f t="shared" si="35"/>
        <v>16</v>
      </c>
      <c r="E187">
        <f t="shared" si="36"/>
        <v>0</v>
      </c>
      <c r="F187">
        <f t="shared" si="31"/>
        <v>0</v>
      </c>
      <c r="G187">
        <f t="shared" si="37"/>
        <v>0</v>
      </c>
      <c r="H187">
        <f t="shared" si="38"/>
        <v>0</v>
      </c>
      <c r="I187">
        <f t="shared" si="39"/>
        <v>0</v>
      </c>
      <c r="J187">
        <f t="shared" si="32"/>
        <v>0</v>
      </c>
      <c r="K187">
        <f t="shared" si="33"/>
        <v>0</v>
      </c>
      <c r="L187">
        <f t="shared" si="40"/>
        <v>17</v>
      </c>
      <c r="M187">
        <f t="shared" si="41"/>
        <v>16</v>
      </c>
      <c r="N187">
        <f t="shared" si="42"/>
        <v>0</v>
      </c>
      <c r="O187">
        <f t="shared" si="43"/>
        <v>0</v>
      </c>
      <c r="P187">
        <f t="shared" si="34"/>
        <v>0</v>
      </c>
      <c r="Q187">
        <f t="shared" si="44"/>
        <v>17</v>
      </c>
      <c r="R187">
        <f t="shared" si="44"/>
        <v>16</v>
      </c>
    </row>
    <row r="188" spans="1:18" x14ac:dyDescent="0.25">
      <c r="A188" s="1">
        <v>44837</v>
      </c>
      <c r="B188">
        <f t="shared" si="30"/>
        <v>1</v>
      </c>
      <c r="C188">
        <f t="shared" si="35"/>
        <v>17</v>
      </c>
      <c r="D188">
        <f t="shared" si="35"/>
        <v>16</v>
      </c>
      <c r="E188">
        <f t="shared" si="36"/>
        <v>1</v>
      </c>
      <c r="F188">
        <f t="shared" si="31"/>
        <v>1</v>
      </c>
      <c r="G188">
        <f t="shared" si="37"/>
        <v>0</v>
      </c>
      <c r="H188">
        <f t="shared" si="38"/>
        <v>0</v>
      </c>
      <c r="I188">
        <f t="shared" si="39"/>
        <v>0</v>
      </c>
      <c r="J188">
        <f t="shared" si="32"/>
        <v>0</v>
      </c>
      <c r="K188">
        <f t="shared" si="33"/>
        <v>0</v>
      </c>
      <c r="L188">
        <f t="shared" si="40"/>
        <v>16</v>
      </c>
      <c r="M188">
        <f t="shared" si="41"/>
        <v>16</v>
      </c>
      <c r="N188">
        <f t="shared" si="42"/>
        <v>1</v>
      </c>
      <c r="O188">
        <f t="shared" si="43"/>
        <v>5</v>
      </c>
      <c r="P188">
        <f t="shared" si="34"/>
        <v>4</v>
      </c>
      <c r="Q188">
        <f t="shared" si="44"/>
        <v>11</v>
      </c>
      <c r="R188">
        <f t="shared" si="44"/>
        <v>12</v>
      </c>
    </row>
    <row r="189" spans="1:18" x14ac:dyDescent="0.25">
      <c r="A189" s="1">
        <v>44838</v>
      </c>
      <c r="B189">
        <f t="shared" si="30"/>
        <v>2</v>
      </c>
      <c r="C189">
        <f t="shared" si="35"/>
        <v>11</v>
      </c>
      <c r="D189">
        <f t="shared" si="35"/>
        <v>12</v>
      </c>
      <c r="E189">
        <f t="shared" si="36"/>
        <v>0</v>
      </c>
      <c r="F189">
        <f t="shared" si="31"/>
        <v>0</v>
      </c>
      <c r="G189">
        <f t="shared" si="37"/>
        <v>0</v>
      </c>
      <c r="H189">
        <f t="shared" si="38"/>
        <v>0</v>
      </c>
      <c r="I189">
        <f t="shared" si="39"/>
        <v>0</v>
      </c>
      <c r="J189">
        <f t="shared" si="32"/>
        <v>0</v>
      </c>
      <c r="K189">
        <f t="shared" si="33"/>
        <v>0</v>
      </c>
      <c r="L189">
        <f t="shared" si="40"/>
        <v>11</v>
      </c>
      <c r="M189">
        <f t="shared" si="41"/>
        <v>12</v>
      </c>
      <c r="N189">
        <f t="shared" si="42"/>
        <v>1</v>
      </c>
      <c r="O189">
        <f t="shared" si="43"/>
        <v>4</v>
      </c>
      <c r="P189">
        <f t="shared" si="34"/>
        <v>3</v>
      </c>
      <c r="Q189">
        <f t="shared" si="44"/>
        <v>7</v>
      </c>
      <c r="R189">
        <f t="shared" si="44"/>
        <v>9</v>
      </c>
    </row>
    <row r="190" spans="1:18" x14ac:dyDescent="0.25">
      <c r="A190" s="1">
        <v>44839</v>
      </c>
      <c r="B190">
        <f t="shared" si="30"/>
        <v>3</v>
      </c>
      <c r="C190">
        <f t="shared" si="35"/>
        <v>7</v>
      </c>
      <c r="D190">
        <f t="shared" si="35"/>
        <v>9</v>
      </c>
      <c r="E190">
        <f t="shared" si="36"/>
        <v>0</v>
      </c>
      <c r="F190">
        <f t="shared" si="31"/>
        <v>0</v>
      </c>
      <c r="G190">
        <f t="shared" si="37"/>
        <v>0</v>
      </c>
      <c r="H190">
        <f t="shared" si="38"/>
        <v>0</v>
      </c>
      <c r="I190">
        <f t="shared" si="39"/>
        <v>0</v>
      </c>
      <c r="J190">
        <f t="shared" si="32"/>
        <v>0</v>
      </c>
      <c r="K190">
        <f t="shared" si="33"/>
        <v>0</v>
      </c>
      <c r="L190">
        <f t="shared" si="40"/>
        <v>7</v>
      </c>
      <c r="M190">
        <f t="shared" si="41"/>
        <v>9</v>
      </c>
      <c r="N190">
        <f t="shared" si="42"/>
        <v>1</v>
      </c>
      <c r="O190">
        <f t="shared" si="43"/>
        <v>3</v>
      </c>
      <c r="P190">
        <f t="shared" si="34"/>
        <v>2</v>
      </c>
      <c r="Q190">
        <f t="shared" si="44"/>
        <v>4</v>
      </c>
      <c r="R190">
        <f t="shared" si="44"/>
        <v>7</v>
      </c>
    </row>
    <row r="191" spans="1:18" x14ac:dyDescent="0.25">
      <c r="A191" s="1">
        <v>44840</v>
      </c>
      <c r="B191">
        <f t="shared" si="30"/>
        <v>4</v>
      </c>
      <c r="C191">
        <f t="shared" si="35"/>
        <v>4</v>
      </c>
      <c r="D191">
        <f t="shared" si="35"/>
        <v>7</v>
      </c>
      <c r="E191">
        <f t="shared" si="36"/>
        <v>0</v>
      </c>
      <c r="F191">
        <f t="shared" si="31"/>
        <v>0</v>
      </c>
      <c r="G191">
        <f t="shared" si="37"/>
        <v>1</v>
      </c>
      <c r="H191">
        <f t="shared" si="38"/>
        <v>50</v>
      </c>
      <c r="I191">
        <f t="shared" si="39"/>
        <v>25</v>
      </c>
      <c r="J191">
        <f t="shared" si="32"/>
        <v>0</v>
      </c>
      <c r="K191">
        <f t="shared" si="33"/>
        <v>0</v>
      </c>
      <c r="L191">
        <f t="shared" si="40"/>
        <v>54</v>
      </c>
      <c r="M191">
        <f t="shared" si="41"/>
        <v>32</v>
      </c>
      <c r="N191">
        <f t="shared" si="42"/>
        <v>1</v>
      </c>
      <c r="O191">
        <f t="shared" si="43"/>
        <v>17</v>
      </c>
      <c r="P191">
        <f t="shared" si="34"/>
        <v>7</v>
      </c>
      <c r="Q191">
        <f t="shared" si="44"/>
        <v>37</v>
      </c>
      <c r="R191">
        <f t="shared" si="44"/>
        <v>25</v>
      </c>
    </row>
    <row r="192" spans="1:18" x14ac:dyDescent="0.25">
      <c r="A192" s="1">
        <v>44841</v>
      </c>
      <c r="B192">
        <f t="shared" si="30"/>
        <v>5</v>
      </c>
      <c r="C192">
        <f t="shared" si="35"/>
        <v>37</v>
      </c>
      <c r="D192">
        <f t="shared" si="35"/>
        <v>25</v>
      </c>
      <c r="E192">
        <f t="shared" si="36"/>
        <v>0</v>
      </c>
      <c r="F192">
        <f t="shared" si="31"/>
        <v>0</v>
      </c>
      <c r="G192">
        <f t="shared" si="37"/>
        <v>0</v>
      </c>
      <c r="H192">
        <f t="shared" si="38"/>
        <v>0</v>
      </c>
      <c r="I192">
        <f t="shared" si="39"/>
        <v>0</v>
      </c>
      <c r="J192">
        <f t="shared" si="32"/>
        <v>0</v>
      </c>
      <c r="K192">
        <f t="shared" si="33"/>
        <v>0</v>
      </c>
      <c r="L192">
        <f t="shared" si="40"/>
        <v>37</v>
      </c>
      <c r="M192">
        <f t="shared" si="41"/>
        <v>25</v>
      </c>
      <c r="N192">
        <f t="shared" si="42"/>
        <v>1</v>
      </c>
      <c r="O192">
        <f t="shared" si="43"/>
        <v>12</v>
      </c>
      <c r="P192">
        <f t="shared" si="34"/>
        <v>5</v>
      </c>
      <c r="Q192">
        <f t="shared" si="44"/>
        <v>25</v>
      </c>
      <c r="R192">
        <f t="shared" si="44"/>
        <v>20</v>
      </c>
    </row>
    <row r="193" spans="1:18" x14ac:dyDescent="0.25">
      <c r="A193" s="1">
        <v>44842</v>
      </c>
      <c r="B193">
        <f t="shared" si="30"/>
        <v>6</v>
      </c>
      <c r="C193">
        <f t="shared" si="35"/>
        <v>25</v>
      </c>
      <c r="D193">
        <f t="shared" si="35"/>
        <v>20</v>
      </c>
      <c r="E193">
        <f t="shared" si="36"/>
        <v>0</v>
      </c>
      <c r="F193">
        <f t="shared" si="31"/>
        <v>0</v>
      </c>
      <c r="G193">
        <f t="shared" si="37"/>
        <v>0</v>
      </c>
      <c r="H193">
        <f t="shared" si="38"/>
        <v>0</v>
      </c>
      <c r="I193">
        <f t="shared" si="39"/>
        <v>0</v>
      </c>
      <c r="J193">
        <f t="shared" si="32"/>
        <v>0</v>
      </c>
      <c r="K193">
        <f t="shared" si="33"/>
        <v>0</v>
      </c>
      <c r="L193">
        <f t="shared" si="40"/>
        <v>25</v>
      </c>
      <c r="M193">
        <f t="shared" si="41"/>
        <v>20</v>
      </c>
      <c r="N193">
        <f t="shared" si="42"/>
        <v>1</v>
      </c>
      <c r="O193">
        <f t="shared" si="43"/>
        <v>8</v>
      </c>
      <c r="P193">
        <f t="shared" si="34"/>
        <v>4</v>
      </c>
      <c r="Q193">
        <f t="shared" si="44"/>
        <v>17</v>
      </c>
      <c r="R193">
        <f t="shared" si="44"/>
        <v>16</v>
      </c>
    </row>
    <row r="194" spans="1:18" x14ac:dyDescent="0.25">
      <c r="A194" s="1">
        <v>44843</v>
      </c>
      <c r="B194">
        <f t="shared" si="30"/>
        <v>7</v>
      </c>
      <c r="C194">
        <f t="shared" si="35"/>
        <v>17</v>
      </c>
      <c r="D194">
        <f t="shared" si="35"/>
        <v>16</v>
      </c>
      <c r="E194">
        <f t="shared" si="36"/>
        <v>0</v>
      </c>
      <c r="F194">
        <f t="shared" si="31"/>
        <v>0</v>
      </c>
      <c r="G194">
        <f t="shared" si="37"/>
        <v>0</v>
      </c>
      <c r="H194">
        <f t="shared" si="38"/>
        <v>0</v>
      </c>
      <c r="I194">
        <f t="shared" si="39"/>
        <v>0</v>
      </c>
      <c r="J194">
        <f t="shared" si="32"/>
        <v>0</v>
      </c>
      <c r="K194">
        <f t="shared" si="33"/>
        <v>0</v>
      </c>
      <c r="L194">
        <f t="shared" si="40"/>
        <v>17</v>
      </c>
      <c r="M194">
        <f t="shared" si="41"/>
        <v>16</v>
      </c>
      <c r="N194">
        <f t="shared" si="42"/>
        <v>0</v>
      </c>
      <c r="O194">
        <f t="shared" si="43"/>
        <v>0</v>
      </c>
      <c r="P194">
        <f t="shared" si="34"/>
        <v>0</v>
      </c>
      <c r="Q194">
        <f t="shared" si="44"/>
        <v>17</v>
      </c>
      <c r="R194">
        <f t="shared" si="44"/>
        <v>16</v>
      </c>
    </row>
    <row r="195" spans="1:18" x14ac:dyDescent="0.25">
      <c r="A195" s="1">
        <v>44844</v>
      </c>
      <c r="B195">
        <f t="shared" si="30"/>
        <v>1</v>
      </c>
      <c r="C195">
        <f t="shared" si="35"/>
        <v>17</v>
      </c>
      <c r="D195">
        <f t="shared" si="35"/>
        <v>16</v>
      </c>
      <c r="E195">
        <f t="shared" si="36"/>
        <v>1</v>
      </c>
      <c r="F195">
        <f t="shared" si="31"/>
        <v>1</v>
      </c>
      <c r="G195">
        <f t="shared" si="37"/>
        <v>0</v>
      </c>
      <c r="H195">
        <f t="shared" si="38"/>
        <v>0</v>
      </c>
      <c r="I195">
        <f t="shared" si="39"/>
        <v>0</v>
      </c>
      <c r="J195">
        <f t="shared" si="32"/>
        <v>0</v>
      </c>
      <c r="K195">
        <f t="shared" si="33"/>
        <v>0</v>
      </c>
      <c r="L195">
        <f t="shared" si="40"/>
        <v>16</v>
      </c>
      <c r="M195">
        <f t="shared" si="41"/>
        <v>16</v>
      </c>
      <c r="N195">
        <f t="shared" si="42"/>
        <v>1</v>
      </c>
      <c r="O195">
        <f t="shared" si="43"/>
        <v>5</v>
      </c>
      <c r="P195">
        <f t="shared" si="34"/>
        <v>4</v>
      </c>
      <c r="Q195">
        <f t="shared" si="44"/>
        <v>11</v>
      </c>
      <c r="R195">
        <f t="shared" si="44"/>
        <v>12</v>
      </c>
    </row>
    <row r="196" spans="1:18" x14ac:dyDescent="0.25">
      <c r="A196" s="1">
        <v>44845</v>
      </c>
      <c r="B196">
        <f t="shared" ref="B196:B216" si="45">WEEKDAY(A196, 2)</f>
        <v>2</v>
      </c>
      <c r="C196">
        <f t="shared" si="35"/>
        <v>11</v>
      </c>
      <c r="D196">
        <f t="shared" si="35"/>
        <v>12</v>
      </c>
      <c r="E196">
        <f t="shared" si="36"/>
        <v>0</v>
      </c>
      <c r="F196">
        <f t="shared" ref="F196:F216" si="46">IF(E196=1,ROUNDUP(5% * C196,0),0)</f>
        <v>0</v>
      </c>
      <c r="G196">
        <f t="shared" si="37"/>
        <v>0</v>
      </c>
      <c r="H196">
        <f t="shared" si="38"/>
        <v>0</v>
      </c>
      <c r="I196">
        <f t="shared" si="39"/>
        <v>0</v>
      </c>
      <c r="J196">
        <f t="shared" ref="J196:J216" si="47">IF(AND(B196=1,SUM(O193:O194)&gt;25),1,0)</f>
        <v>0</v>
      </c>
      <c r="K196">
        <f t="shared" ref="K196:K216" si="48">IF(J196=1,15,0)</f>
        <v>0</v>
      </c>
      <c r="L196">
        <f t="shared" si="40"/>
        <v>11</v>
      </c>
      <c r="M196">
        <f t="shared" si="41"/>
        <v>12</v>
      </c>
      <c r="N196">
        <f t="shared" si="42"/>
        <v>1</v>
      </c>
      <c r="O196">
        <f t="shared" si="43"/>
        <v>4</v>
      </c>
      <c r="P196">
        <f t="shared" ref="P196:P216" si="49">IF(N196=1,ROUNDUP(20% * M196,0),0)</f>
        <v>3</v>
      </c>
      <c r="Q196">
        <f t="shared" si="44"/>
        <v>7</v>
      </c>
      <c r="R196">
        <f t="shared" si="44"/>
        <v>9</v>
      </c>
    </row>
    <row r="197" spans="1:18" x14ac:dyDescent="0.25">
      <c r="A197" s="1">
        <v>44846</v>
      </c>
      <c r="B197">
        <f t="shared" si="45"/>
        <v>3</v>
      </c>
      <c r="C197">
        <f t="shared" ref="C197:D216" si="50">Q196</f>
        <v>7</v>
      </c>
      <c r="D197">
        <f t="shared" si="50"/>
        <v>9</v>
      </c>
      <c r="E197">
        <f t="shared" ref="E197:E216" si="51">IF(B197=1,1,0)</f>
        <v>0</v>
      </c>
      <c r="F197">
        <f t="shared" si="46"/>
        <v>0</v>
      </c>
      <c r="G197">
        <f t="shared" ref="G197:G216" si="52">IF(B197=4,1,0)</f>
        <v>0</v>
      </c>
      <c r="H197">
        <f t="shared" ref="H197:H216" si="53">IF(G197=1,50,0)</f>
        <v>0</v>
      </c>
      <c r="I197">
        <f t="shared" ref="I197:I216" si="54">IF(G197=1,25,0)</f>
        <v>0</v>
      </c>
      <c r="J197">
        <f t="shared" si="47"/>
        <v>0</v>
      </c>
      <c r="K197">
        <f t="shared" si="48"/>
        <v>0</v>
      </c>
      <c r="L197">
        <f t="shared" ref="L197:L216" si="55">K197+H197+C197-F197</f>
        <v>7</v>
      </c>
      <c r="M197">
        <f t="shared" ref="M197:M216" si="56">I197+D197</f>
        <v>9</v>
      </c>
      <c r="N197">
        <f t="shared" ref="N197:N216" si="57">IF(B197&lt;&gt;7,1,0)</f>
        <v>1</v>
      </c>
      <c r="O197">
        <f t="shared" ref="O197:O216" si="58">IF(N197=1,ROUNDUP(30% * L197,0),0)</f>
        <v>3</v>
      </c>
      <c r="P197">
        <f t="shared" si="49"/>
        <v>2</v>
      </c>
      <c r="Q197">
        <f t="shared" ref="Q197:R216" si="59">L197-O197</f>
        <v>4</v>
      </c>
      <c r="R197">
        <f t="shared" si="59"/>
        <v>7</v>
      </c>
    </row>
    <row r="198" spans="1:18" x14ac:dyDescent="0.25">
      <c r="A198" s="1">
        <v>44847</v>
      </c>
      <c r="B198">
        <f t="shared" si="45"/>
        <v>4</v>
      </c>
      <c r="C198">
        <f t="shared" si="50"/>
        <v>4</v>
      </c>
      <c r="D198">
        <f t="shared" si="50"/>
        <v>7</v>
      </c>
      <c r="E198">
        <f t="shared" si="51"/>
        <v>0</v>
      </c>
      <c r="F198">
        <f t="shared" si="46"/>
        <v>0</v>
      </c>
      <c r="G198">
        <f t="shared" si="52"/>
        <v>1</v>
      </c>
      <c r="H198">
        <f t="shared" si="53"/>
        <v>50</v>
      </c>
      <c r="I198">
        <f t="shared" si="54"/>
        <v>25</v>
      </c>
      <c r="J198">
        <f t="shared" si="47"/>
        <v>0</v>
      </c>
      <c r="K198">
        <f t="shared" si="48"/>
        <v>0</v>
      </c>
      <c r="L198">
        <f t="shared" si="55"/>
        <v>54</v>
      </c>
      <c r="M198">
        <f t="shared" si="56"/>
        <v>32</v>
      </c>
      <c r="N198">
        <f t="shared" si="57"/>
        <v>1</v>
      </c>
      <c r="O198">
        <f t="shared" si="58"/>
        <v>17</v>
      </c>
      <c r="P198">
        <f t="shared" si="49"/>
        <v>7</v>
      </c>
      <c r="Q198">
        <f t="shared" si="59"/>
        <v>37</v>
      </c>
      <c r="R198">
        <f t="shared" si="59"/>
        <v>25</v>
      </c>
    </row>
    <row r="199" spans="1:18" x14ac:dyDescent="0.25">
      <c r="A199" s="1">
        <v>44848</v>
      </c>
      <c r="B199">
        <f t="shared" si="45"/>
        <v>5</v>
      </c>
      <c r="C199">
        <f t="shared" si="50"/>
        <v>37</v>
      </c>
      <c r="D199">
        <f t="shared" si="50"/>
        <v>25</v>
      </c>
      <c r="E199">
        <f t="shared" si="51"/>
        <v>0</v>
      </c>
      <c r="F199">
        <f t="shared" si="46"/>
        <v>0</v>
      </c>
      <c r="G199">
        <f t="shared" si="52"/>
        <v>0</v>
      </c>
      <c r="H199">
        <f t="shared" si="53"/>
        <v>0</v>
      </c>
      <c r="I199">
        <f t="shared" si="54"/>
        <v>0</v>
      </c>
      <c r="J199">
        <f t="shared" si="47"/>
        <v>0</v>
      </c>
      <c r="K199">
        <f t="shared" si="48"/>
        <v>0</v>
      </c>
      <c r="L199">
        <f t="shared" si="55"/>
        <v>37</v>
      </c>
      <c r="M199">
        <f t="shared" si="56"/>
        <v>25</v>
      </c>
      <c r="N199">
        <f t="shared" si="57"/>
        <v>1</v>
      </c>
      <c r="O199">
        <f t="shared" si="58"/>
        <v>12</v>
      </c>
      <c r="P199">
        <f t="shared" si="49"/>
        <v>5</v>
      </c>
      <c r="Q199">
        <f t="shared" si="59"/>
        <v>25</v>
      </c>
      <c r="R199">
        <f t="shared" si="59"/>
        <v>20</v>
      </c>
    </row>
    <row r="200" spans="1:18" x14ac:dyDescent="0.25">
      <c r="A200" s="1">
        <v>44849</v>
      </c>
      <c r="B200">
        <f t="shared" si="45"/>
        <v>6</v>
      </c>
      <c r="C200">
        <f t="shared" si="50"/>
        <v>25</v>
      </c>
      <c r="D200">
        <f t="shared" si="50"/>
        <v>20</v>
      </c>
      <c r="E200">
        <f t="shared" si="51"/>
        <v>0</v>
      </c>
      <c r="F200">
        <f t="shared" si="46"/>
        <v>0</v>
      </c>
      <c r="G200">
        <f t="shared" si="52"/>
        <v>0</v>
      </c>
      <c r="H200">
        <f t="shared" si="53"/>
        <v>0</v>
      </c>
      <c r="I200">
        <f t="shared" si="54"/>
        <v>0</v>
      </c>
      <c r="J200">
        <f t="shared" si="47"/>
        <v>0</v>
      </c>
      <c r="K200">
        <f t="shared" si="48"/>
        <v>0</v>
      </c>
      <c r="L200">
        <f t="shared" si="55"/>
        <v>25</v>
      </c>
      <c r="M200">
        <f t="shared" si="56"/>
        <v>20</v>
      </c>
      <c r="N200">
        <f t="shared" si="57"/>
        <v>1</v>
      </c>
      <c r="O200">
        <f t="shared" si="58"/>
        <v>8</v>
      </c>
      <c r="P200">
        <f t="shared" si="49"/>
        <v>4</v>
      </c>
      <c r="Q200">
        <f t="shared" si="59"/>
        <v>17</v>
      </c>
      <c r="R200">
        <f t="shared" si="59"/>
        <v>16</v>
      </c>
    </row>
    <row r="201" spans="1:18" x14ac:dyDescent="0.25">
      <c r="A201" s="1">
        <v>44850</v>
      </c>
      <c r="B201">
        <f t="shared" si="45"/>
        <v>7</v>
      </c>
      <c r="C201">
        <f t="shared" si="50"/>
        <v>17</v>
      </c>
      <c r="D201">
        <f t="shared" si="50"/>
        <v>16</v>
      </c>
      <c r="E201">
        <f t="shared" si="51"/>
        <v>0</v>
      </c>
      <c r="F201">
        <f t="shared" si="46"/>
        <v>0</v>
      </c>
      <c r="G201">
        <f t="shared" si="52"/>
        <v>0</v>
      </c>
      <c r="H201">
        <f t="shared" si="53"/>
        <v>0</v>
      </c>
      <c r="I201">
        <f t="shared" si="54"/>
        <v>0</v>
      </c>
      <c r="J201">
        <f t="shared" si="47"/>
        <v>0</v>
      </c>
      <c r="K201">
        <f t="shared" si="48"/>
        <v>0</v>
      </c>
      <c r="L201">
        <f t="shared" si="55"/>
        <v>17</v>
      </c>
      <c r="M201">
        <f t="shared" si="56"/>
        <v>16</v>
      </c>
      <c r="N201">
        <f t="shared" si="57"/>
        <v>0</v>
      </c>
      <c r="O201">
        <f t="shared" si="58"/>
        <v>0</v>
      </c>
      <c r="P201">
        <f t="shared" si="49"/>
        <v>0</v>
      </c>
      <c r="Q201">
        <f t="shared" si="59"/>
        <v>17</v>
      </c>
      <c r="R201">
        <f t="shared" si="59"/>
        <v>16</v>
      </c>
    </row>
    <row r="202" spans="1:18" x14ac:dyDescent="0.25">
      <c r="A202" s="1">
        <v>44851</v>
      </c>
      <c r="B202">
        <f t="shared" si="45"/>
        <v>1</v>
      </c>
      <c r="C202">
        <f t="shared" si="50"/>
        <v>17</v>
      </c>
      <c r="D202">
        <f t="shared" si="50"/>
        <v>16</v>
      </c>
      <c r="E202">
        <f t="shared" si="51"/>
        <v>1</v>
      </c>
      <c r="F202">
        <f t="shared" si="46"/>
        <v>1</v>
      </c>
      <c r="G202">
        <f t="shared" si="52"/>
        <v>0</v>
      </c>
      <c r="H202">
        <f t="shared" si="53"/>
        <v>0</v>
      </c>
      <c r="I202">
        <f t="shared" si="54"/>
        <v>0</v>
      </c>
      <c r="J202">
        <f t="shared" si="47"/>
        <v>0</v>
      </c>
      <c r="K202">
        <f t="shared" si="48"/>
        <v>0</v>
      </c>
      <c r="L202">
        <f t="shared" si="55"/>
        <v>16</v>
      </c>
      <c r="M202">
        <f t="shared" si="56"/>
        <v>16</v>
      </c>
      <c r="N202">
        <f t="shared" si="57"/>
        <v>1</v>
      </c>
      <c r="O202">
        <f t="shared" si="58"/>
        <v>5</v>
      </c>
      <c r="P202">
        <f t="shared" si="49"/>
        <v>4</v>
      </c>
      <c r="Q202">
        <f t="shared" si="59"/>
        <v>11</v>
      </c>
      <c r="R202">
        <f t="shared" si="59"/>
        <v>12</v>
      </c>
    </row>
    <row r="203" spans="1:18" x14ac:dyDescent="0.25">
      <c r="A203" s="1">
        <v>44852</v>
      </c>
      <c r="B203">
        <f t="shared" si="45"/>
        <v>2</v>
      </c>
      <c r="C203">
        <f t="shared" si="50"/>
        <v>11</v>
      </c>
      <c r="D203">
        <f t="shared" si="50"/>
        <v>12</v>
      </c>
      <c r="E203">
        <f t="shared" si="51"/>
        <v>0</v>
      </c>
      <c r="F203">
        <f t="shared" si="46"/>
        <v>0</v>
      </c>
      <c r="G203">
        <f t="shared" si="52"/>
        <v>0</v>
      </c>
      <c r="H203">
        <f t="shared" si="53"/>
        <v>0</v>
      </c>
      <c r="I203">
        <f t="shared" si="54"/>
        <v>0</v>
      </c>
      <c r="J203">
        <f t="shared" si="47"/>
        <v>0</v>
      </c>
      <c r="K203">
        <f t="shared" si="48"/>
        <v>0</v>
      </c>
      <c r="L203">
        <f t="shared" si="55"/>
        <v>11</v>
      </c>
      <c r="M203">
        <f t="shared" si="56"/>
        <v>12</v>
      </c>
      <c r="N203">
        <f t="shared" si="57"/>
        <v>1</v>
      </c>
      <c r="O203">
        <f t="shared" si="58"/>
        <v>4</v>
      </c>
      <c r="P203">
        <f t="shared" si="49"/>
        <v>3</v>
      </c>
      <c r="Q203">
        <f t="shared" si="59"/>
        <v>7</v>
      </c>
      <c r="R203">
        <f t="shared" si="59"/>
        <v>9</v>
      </c>
    </row>
    <row r="204" spans="1:18" x14ac:dyDescent="0.25">
      <c r="A204" s="1">
        <v>44853</v>
      </c>
      <c r="B204">
        <f t="shared" si="45"/>
        <v>3</v>
      </c>
      <c r="C204">
        <f t="shared" si="50"/>
        <v>7</v>
      </c>
      <c r="D204">
        <f t="shared" si="50"/>
        <v>9</v>
      </c>
      <c r="E204">
        <f t="shared" si="51"/>
        <v>0</v>
      </c>
      <c r="F204">
        <f t="shared" si="46"/>
        <v>0</v>
      </c>
      <c r="G204">
        <f t="shared" si="52"/>
        <v>0</v>
      </c>
      <c r="H204">
        <f t="shared" si="53"/>
        <v>0</v>
      </c>
      <c r="I204">
        <f t="shared" si="54"/>
        <v>0</v>
      </c>
      <c r="J204">
        <f t="shared" si="47"/>
        <v>0</v>
      </c>
      <c r="K204">
        <f t="shared" si="48"/>
        <v>0</v>
      </c>
      <c r="L204">
        <f t="shared" si="55"/>
        <v>7</v>
      </c>
      <c r="M204">
        <f t="shared" si="56"/>
        <v>9</v>
      </c>
      <c r="N204">
        <f t="shared" si="57"/>
        <v>1</v>
      </c>
      <c r="O204">
        <f t="shared" si="58"/>
        <v>3</v>
      </c>
      <c r="P204">
        <f t="shared" si="49"/>
        <v>2</v>
      </c>
      <c r="Q204">
        <f t="shared" si="59"/>
        <v>4</v>
      </c>
      <c r="R204">
        <f t="shared" si="59"/>
        <v>7</v>
      </c>
    </row>
    <row r="205" spans="1:18" x14ac:dyDescent="0.25">
      <c r="A205" s="1">
        <v>44854</v>
      </c>
      <c r="B205">
        <f t="shared" si="45"/>
        <v>4</v>
      </c>
      <c r="C205">
        <f t="shared" si="50"/>
        <v>4</v>
      </c>
      <c r="D205">
        <f t="shared" si="50"/>
        <v>7</v>
      </c>
      <c r="E205">
        <f t="shared" si="51"/>
        <v>0</v>
      </c>
      <c r="F205">
        <f t="shared" si="46"/>
        <v>0</v>
      </c>
      <c r="G205">
        <f t="shared" si="52"/>
        <v>1</v>
      </c>
      <c r="H205">
        <f t="shared" si="53"/>
        <v>50</v>
      </c>
      <c r="I205">
        <f t="shared" si="54"/>
        <v>25</v>
      </c>
      <c r="J205">
        <f t="shared" si="47"/>
        <v>0</v>
      </c>
      <c r="K205">
        <f t="shared" si="48"/>
        <v>0</v>
      </c>
      <c r="L205">
        <f t="shared" si="55"/>
        <v>54</v>
      </c>
      <c r="M205">
        <f t="shared" si="56"/>
        <v>32</v>
      </c>
      <c r="N205">
        <f t="shared" si="57"/>
        <v>1</v>
      </c>
      <c r="O205">
        <f t="shared" si="58"/>
        <v>17</v>
      </c>
      <c r="P205">
        <f t="shared" si="49"/>
        <v>7</v>
      </c>
      <c r="Q205">
        <f t="shared" si="59"/>
        <v>37</v>
      </c>
      <c r="R205">
        <f t="shared" si="59"/>
        <v>25</v>
      </c>
    </row>
    <row r="206" spans="1:18" x14ac:dyDescent="0.25">
      <c r="A206" s="1">
        <v>44855</v>
      </c>
      <c r="B206">
        <f t="shared" si="45"/>
        <v>5</v>
      </c>
      <c r="C206">
        <f t="shared" si="50"/>
        <v>37</v>
      </c>
      <c r="D206">
        <f t="shared" si="50"/>
        <v>25</v>
      </c>
      <c r="E206">
        <f t="shared" si="51"/>
        <v>0</v>
      </c>
      <c r="F206">
        <f t="shared" si="46"/>
        <v>0</v>
      </c>
      <c r="G206">
        <f t="shared" si="52"/>
        <v>0</v>
      </c>
      <c r="H206">
        <f t="shared" si="53"/>
        <v>0</v>
      </c>
      <c r="I206">
        <f t="shared" si="54"/>
        <v>0</v>
      </c>
      <c r="J206">
        <f t="shared" si="47"/>
        <v>0</v>
      </c>
      <c r="K206">
        <f t="shared" si="48"/>
        <v>0</v>
      </c>
      <c r="L206">
        <f t="shared" si="55"/>
        <v>37</v>
      </c>
      <c r="M206">
        <f t="shared" si="56"/>
        <v>25</v>
      </c>
      <c r="N206">
        <f t="shared" si="57"/>
        <v>1</v>
      </c>
      <c r="O206">
        <f t="shared" si="58"/>
        <v>12</v>
      </c>
      <c r="P206">
        <f t="shared" si="49"/>
        <v>5</v>
      </c>
      <c r="Q206">
        <f t="shared" si="59"/>
        <v>25</v>
      </c>
      <c r="R206">
        <f t="shared" si="59"/>
        <v>20</v>
      </c>
    </row>
    <row r="207" spans="1:18" x14ac:dyDescent="0.25">
      <c r="A207" s="1">
        <v>44856</v>
      </c>
      <c r="B207">
        <f t="shared" si="45"/>
        <v>6</v>
      </c>
      <c r="C207">
        <f t="shared" si="50"/>
        <v>25</v>
      </c>
      <c r="D207">
        <f t="shared" si="50"/>
        <v>20</v>
      </c>
      <c r="E207">
        <f t="shared" si="51"/>
        <v>0</v>
      </c>
      <c r="F207">
        <f t="shared" si="46"/>
        <v>0</v>
      </c>
      <c r="G207">
        <f t="shared" si="52"/>
        <v>0</v>
      </c>
      <c r="H207">
        <f t="shared" si="53"/>
        <v>0</v>
      </c>
      <c r="I207">
        <f t="shared" si="54"/>
        <v>0</v>
      </c>
      <c r="J207">
        <f t="shared" si="47"/>
        <v>0</v>
      </c>
      <c r="K207">
        <f t="shared" si="48"/>
        <v>0</v>
      </c>
      <c r="L207">
        <f t="shared" si="55"/>
        <v>25</v>
      </c>
      <c r="M207">
        <f t="shared" si="56"/>
        <v>20</v>
      </c>
      <c r="N207">
        <f t="shared" si="57"/>
        <v>1</v>
      </c>
      <c r="O207">
        <f t="shared" si="58"/>
        <v>8</v>
      </c>
      <c r="P207">
        <f t="shared" si="49"/>
        <v>4</v>
      </c>
      <c r="Q207">
        <f t="shared" si="59"/>
        <v>17</v>
      </c>
      <c r="R207">
        <f t="shared" si="59"/>
        <v>16</v>
      </c>
    </row>
    <row r="208" spans="1:18" x14ac:dyDescent="0.25">
      <c r="A208" s="1">
        <v>44857</v>
      </c>
      <c r="B208">
        <f t="shared" si="45"/>
        <v>7</v>
      </c>
      <c r="C208">
        <f t="shared" si="50"/>
        <v>17</v>
      </c>
      <c r="D208">
        <f t="shared" si="50"/>
        <v>16</v>
      </c>
      <c r="E208">
        <f t="shared" si="51"/>
        <v>0</v>
      </c>
      <c r="F208">
        <f t="shared" si="46"/>
        <v>0</v>
      </c>
      <c r="G208">
        <f t="shared" si="52"/>
        <v>0</v>
      </c>
      <c r="H208">
        <f t="shared" si="53"/>
        <v>0</v>
      </c>
      <c r="I208">
        <f t="shared" si="54"/>
        <v>0</v>
      </c>
      <c r="J208">
        <f t="shared" si="47"/>
        <v>0</v>
      </c>
      <c r="K208">
        <f t="shared" si="48"/>
        <v>0</v>
      </c>
      <c r="L208">
        <f t="shared" si="55"/>
        <v>17</v>
      </c>
      <c r="M208">
        <f t="shared" si="56"/>
        <v>16</v>
      </c>
      <c r="N208">
        <f t="shared" si="57"/>
        <v>0</v>
      </c>
      <c r="O208">
        <f t="shared" si="58"/>
        <v>0</v>
      </c>
      <c r="P208">
        <f t="shared" si="49"/>
        <v>0</v>
      </c>
      <c r="Q208">
        <f t="shared" si="59"/>
        <v>17</v>
      </c>
      <c r="R208">
        <f t="shared" si="59"/>
        <v>16</v>
      </c>
    </row>
    <row r="209" spans="1:18" x14ac:dyDescent="0.25">
      <c r="A209" s="1">
        <v>44858</v>
      </c>
      <c r="B209">
        <f t="shared" si="45"/>
        <v>1</v>
      </c>
      <c r="C209">
        <f t="shared" si="50"/>
        <v>17</v>
      </c>
      <c r="D209">
        <f t="shared" si="50"/>
        <v>16</v>
      </c>
      <c r="E209">
        <f t="shared" si="51"/>
        <v>1</v>
      </c>
      <c r="F209">
        <f t="shared" si="46"/>
        <v>1</v>
      </c>
      <c r="G209">
        <f t="shared" si="52"/>
        <v>0</v>
      </c>
      <c r="H209">
        <f t="shared" si="53"/>
        <v>0</v>
      </c>
      <c r="I209">
        <f t="shared" si="54"/>
        <v>0</v>
      </c>
      <c r="J209">
        <f t="shared" si="47"/>
        <v>0</v>
      </c>
      <c r="K209">
        <f t="shared" si="48"/>
        <v>0</v>
      </c>
      <c r="L209">
        <f t="shared" si="55"/>
        <v>16</v>
      </c>
      <c r="M209">
        <f t="shared" si="56"/>
        <v>16</v>
      </c>
      <c r="N209">
        <f t="shared" si="57"/>
        <v>1</v>
      </c>
      <c r="O209">
        <f t="shared" si="58"/>
        <v>5</v>
      </c>
      <c r="P209">
        <f t="shared" si="49"/>
        <v>4</v>
      </c>
      <c r="Q209">
        <f t="shared" si="59"/>
        <v>11</v>
      </c>
      <c r="R209">
        <f t="shared" si="59"/>
        <v>12</v>
      </c>
    </row>
    <row r="210" spans="1:18" x14ac:dyDescent="0.25">
      <c r="A210" s="1">
        <v>44859</v>
      </c>
      <c r="B210">
        <f t="shared" si="45"/>
        <v>2</v>
      </c>
      <c r="C210">
        <f t="shared" si="50"/>
        <v>11</v>
      </c>
      <c r="D210">
        <f t="shared" si="50"/>
        <v>12</v>
      </c>
      <c r="E210">
        <f t="shared" si="51"/>
        <v>0</v>
      </c>
      <c r="F210">
        <f t="shared" si="46"/>
        <v>0</v>
      </c>
      <c r="G210">
        <f t="shared" si="52"/>
        <v>0</v>
      </c>
      <c r="H210">
        <f t="shared" si="53"/>
        <v>0</v>
      </c>
      <c r="I210">
        <f t="shared" si="54"/>
        <v>0</v>
      </c>
      <c r="J210">
        <f t="shared" si="47"/>
        <v>0</v>
      </c>
      <c r="K210">
        <f t="shared" si="48"/>
        <v>0</v>
      </c>
      <c r="L210">
        <f t="shared" si="55"/>
        <v>11</v>
      </c>
      <c r="M210">
        <f t="shared" si="56"/>
        <v>12</v>
      </c>
      <c r="N210">
        <f t="shared" si="57"/>
        <v>1</v>
      </c>
      <c r="O210">
        <f t="shared" si="58"/>
        <v>4</v>
      </c>
      <c r="P210">
        <f t="shared" si="49"/>
        <v>3</v>
      </c>
      <c r="Q210">
        <f t="shared" si="59"/>
        <v>7</v>
      </c>
      <c r="R210">
        <f t="shared" si="59"/>
        <v>9</v>
      </c>
    </row>
    <row r="211" spans="1:18" x14ac:dyDescent="0.25">
      <c r="A211" s="1">
        <v>44860</v>
      </c>
      <c r="B211">
        <f t="shared" si="45"/>
        <v>3</v>
      </c>
      <c r="C211">
        <f t="shared" si="50"/>
        <v>7</v>
      </c>
      <c r="D211">
        <f t="shared" si="50"/>
        <v>9</v>
      </c>
      <c r="E211">
        <f t="shared" si="51"/>
        <v>0</v>
      </c>
      <c r="F211">
        <f t="shared" si="46"/>
        <v>0</v>
      </c>
      <c r="G211">
        <f t="shared" si="52"/>
        <v>0</v>
      </c>
      <c r="H211">
        <f t="shared" si="53"/>
        <v>0</v>
      </c>
      <c r="I211">
        <f t="shared" si="54"/>
        <v>0</v>
      </c>
      <c r="J211">
        <f t="shared" si="47"/>
        <v>0</v>
      </c>
      <c r="K211">
        <f t="shared" si="48"/>
        <v>0</v>
      </c>
      <c r="L211">
        <f t="shared" si="55"/>
        <v>7</v>
      </c>
      <c r="M211">
        <f t="shared" si="56"/>
        <v>9</v>
      </c>
      <c r="N211">
        <f t="shared" si="57"/>
        <v>1</v>
      </c>
      <c r="O211">
        <f t="shared" si="58"/>
        <v>3</v>
      </c>
      <c r="P211">
        <f t="shared" si="49"/>
        <v>2</v>
      </c>
      <c r="Q211">
        <f t="shared" si="59"/>
        <v>4</v>
      </c>
      <c r="R211">
        <f t="shared" si="59"/>
        <v>7</v>
      </c>
    </row>
    <row r="212" spans="1:18" x14ac:dyDescent="0.25">
      <c r="A212" s="1">
        <v>44861</v>
      </c>
      <c r="B212">
        <f t="shared" si="45"/>
        <v>4</v>
      </c>
      <c r="C212">
        <f t="shared" si="50"/>
        <v>4</v>
      </c>
      <c r="D212">
        <f t="shared" si="50"/>
        <v>7</v>
      </c>
      <c r="E212">
        <f t="shared" si="51"/>
        <v>0</v>
      </c>
      <c r="F212">
        <f t="shared" si="46"/>
        <v>0</v>
      </c>
      <c r="G212">
        <f t="shared" si="52"/>
        <v>1</v>
      </c>
      <c r="H212">
        <f t="shared" si="53"/>
        <v>50</v>
      </c>
      <c r="I212">
        <f t="shared" si="54"/>
        <v>25</v>
      </c>
      <c r="J212">
        <f t="shared" si="47"/>
        <v>0</v>
      </c>
      <c r="K212">
        <f t="shared" si="48"/>
        <v>0</v>
      </c>
      <c r="L212">
        <f t="shared" si="55"/>
        <v>54</v>
      </c>
      <c r="M212">
        <f t="shared" si="56"/>
        <v>32</v>
      </c>
      <c r="N212">
        <f t="shared" si="57"/>
        <v>1</v>
      </c>
      <c r="O212">
        <f t="shared" si="58"/>
        <v>17</v>
      </c>
      <c r="P212">
        <f t="shared" si="49"/>
        <v>7</v>
      </c>
      <c r="Q212">
        <f t="shared" si="59"/>
        <v>37</v>
      </c>
      <c r="R212">
        <f t="shared" si="59"/>
        <v>25</v>
      </c>
    </row>
    <row r="213" spans="1:18" x14ac:dyDescent="0.25">
      <c r="A213" s="1">
        <v>44862</v>
      </c>
      <c r="B213">
        <f t="shared" si="45"/>
        <v>5</v>
      </c>
      <c r="C213">
        <f t="shared" si="50"/>
        <v>37</v>
      </c>
      <c r="D213">
        <f t="shared" si="50"/>
        <v>25</v>
      </c>
      <c r="E213">
        <f t="shared" si="51"/>
        <v>0</v>
      </c>
      <c r="F213">
        <f t="shared" si="46"/>
        <v>0</v>
      </c>
      <c r="G213">
        <f t="shared" si="52"/>
        <v>0</v>
      </c>
      <c r="H213">
        <f t="shared" si="53"/>
        <v>0</v>
      </c>
      <c r="I213">
        <f t="shared" si="54"/>
        <v>0</v>
      </c>
      <c r="J213">
        <f t="shared" si="47"/>
        <v>0</v>
      </c>
      <c r="K213">
        <f t="shared" si="48"/>
        <v>0</v>
      </c>
      <c r="L213">
        <f t="shared" si="55"/>
        <v>37</v>
      </c>
      <c r="M213">
        <f t="shared" si="56"/>
        <v>25</v>
      </c>
      <c r="N213">
        <f t="shared" si="57"/>
        <v>1</v>
      </c>
      <c r="O213">
        <f t="shared" si="58"/>
        <v>12</v>
      </c>
      <c r="P213">
        <f t="shared" si="49"/>
        <v>5</v>
      </c>
      <c r="Q213">
        <f t="shared" si="59"/>
        <v>25</v>
      </c>
      <c r="R213">
        <f t="shared" si="59"/>
        <v>20</v>
      </c>
    </row>
    <row r="214" spans="1:18" x14ac:dyDescent="0.25">
      <c r="A214" s="1">
        <v>44863</v>
      </c>
      <c r="B214">
        <f t="shared" si="45"/>
        <v>6</v>
      </c>
      <c r="C214">
        <f t="shared" si="50"/>
        <v>25</v>
      </c>
      <c r="D214">
        <f t="shared" si="50"/>
        <v>20</v>
      </c>
      <c r="E214">
        <f t="shared" si="51"/>
        <v>0</v>
      </c>
      <c r="F214">
        <f t="shared" si="46"/>
        <v>0</v>
      </c>
      <c r="G214">
        <f t="shared" si="52"/>
        <v>0</v>
      </c>
      <c r="H214">
        <f t="shared" si="53"/>
        <v>0</v>
      </c>
      <c r="I214">
        <f t="shared" si="54"/>
        <v>0</v>
      </c>
      <c r="J214">
        <f t="shared" si="47"/>
        <v>0</v>
      </c>
      <c r="K214">
        <f t="shared" si="48"/>
        <v>0</v>
      </c>
      <c r="L214">
        <f t="shared" si="55"/>
        <v>25</v>
      </c>
      <c r="M214">
        <f t="shared" si="56"/>
        <v>20</v>
      </c>
      <c r="N214">
        <f t="shared" si="57"/>
        <v>1</v>
      </c>
      <c r="O214">
        <f t="shared" si="58"/>
        <v>8</v>
      </c>
      <c r="P214">
        <f t="shared" si="49"/>
        <v>4</v>
      </c>
      <c r="Q214">
        <f t="shared" si="59"/>
        <v>17</v>
      </c>
      <c r="R214">
        <f t="shared" si="59"/>
        <v>16</v>
      </c>
    </row>
    <row r="215" spans="1:18" x14ac:dyDescent="0.25">
      <c r="A215" s="1">
        <v>44864</v>
      </c>
      <c r="B215">
        <f t="shared" si="45"/>
        <v>7</v>
      </c>
      <c r="C215">
        <f t="shared" si="50"/>
        <v>17</v>
      </c>
      <c r="D215">
        <f t="shared" si="50"/>
        <v>16</v>
      </c>
      <c r="E215">
        <f t="shared" si="51"/>
        <v>0</v>
      </c>
      <c r="F215">
        <f t="shared" si="46"/>
        <v>0</v>
      </c>
      <c r="G215">
        <f t="shared" si="52"/>
        <v>0</v>
      </c>
      <c r="H215">
        <f t="shared" si="53"/>
        <v>0</v>
      </c>
      <c r="I215">
        <f t="shared" si="54"/>
        <v>0</v>
      </c>
      <c r="J215">
        <f t="shared" si="47"/>
        <v>0</v>
      </c>
      <c r="K215">
        <f t="shared" si="48"/>
        <v>0</v>
      </c>
      <c r="L215">
        <f t="shared" si="55"/>
        <v>17</v>
      </c>
      <c r="M215">
        <f t="shared" si="56"/>
        <v>16</v>
      </c>
      <c r="N215">
        <f t="shared" si="57"/>
        <v>0</v>
      </c>
      <c r="O215">
        <f t="shared" si="58"/>
        <v>0</v>
      </c>
      <c r="P215">
        <f t="shared" si="49"/>
        <v>0</v>
      </c>
      <c r="Q215">
        <f t="shared" si="59"/>
        <v>17</v>
      </c>
      <c r="R215">
        <f t="shared" si="59"/>
        <v>16</v>
      </c>
    </row>
    <row r="216" spans="1:18" x14ac:dyDescent="0.25">
      <c r="A216" s="1">
        <v>44865</v>
      </c>
      <c r="B216">
        <f t="shared" si="45"/>
        <v>1</v>
      </c>
      <c r="C216">
        <f t="shared" si="50"/>
        <v>17</v>
      </c>
      <c r="D216">
        <f t="shared" si="50"/>
        <v>16</v>
      </c>
      <c r="E216">
        <f t="shared" si="51"/>
        <v>1</v>
      </c>
      <c r="F216">
        <f t="shared" si="46"/>
        <v>1</v>
      </c>
      <c r="G216">
        <f t="shared" si="52"/>
        <v>0</v>
      </c>
      <c r="H216">
        <f t="shared" si="53"/>
        <v>0</v>
      </c>
      <c r="I216">
        <f t="shared" si="54"/>
        <v>0</v>
      </c>
      <c r="J216">
        <f t="shared" si="47"/>
        <v>0</v>
      </c>
      <c r="K216">
        <f t="shared" si="48"/>
        <v>0</v>
      </c>
      <c r="L216">
        <f t="shared" si="55"/>
        <v>16</v>
      </c>
      <c r="M216">
        <f t="shared" si="56"/>
        <v>16</v>
      </c>
      <c r="N216">
        <f t="shared" si="57"/>
        <v>1</v>
      </c>
      <c r="O216">
        <f t="shared" si="58"/>
        <v>5</v>
      </c>
      <c r="P216">
        <f t="shared" si="49"/>
        <v>4</v>
      </c>
      <c r="Q216">
        <f t="shared" si="59"/>
        <v>11</v>
      </c>
      <c r="R216">
        <f t="shared" si="59"/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F343B-B953-445D-89A4-0A7F8488F50F}">
  <dimension ref="A2:Z242"/>
  <sheetViews>
    <sheetView topLeftCell="J13" zoomScaleNormal="100" workbookViewId="0">
      <selection activeCell="Y26" sqref="Y26"/>
    </sheetView>
  </sheetViews>
  <sheetFormatPr defaultRowHeight="15" x14ac:dyDescent="0.25"/>
  <cols>
    <col min="1" max="1" width="10.140625" bestFit="1" customWidth="1"/>
    <col min="2" max="2" width="14.140625" bestFit="1" customWidth="1"/>
    <col min="3" max="3" width="11.28515625" bestFit="1" customWidth="1"/>
    <col min="4" max="4" width="9.85546875" bestFit="1" customWidth="1"/>
    <col min="5" max="5" width="11.7109375" bestFit="1" customWidth="1"/>
    <col min="6" max="6" width="11.7109375" customWidth="1"/>
    <col min="7" max="7" width="11.5703125" bestFit="1" customWidth="1"/>
    <col min="9" max="9" width="8.42578125" bestFit="1" customWidth="1"/>
    <col min="10" max="10" width="14.28515625" bestFit="1" customWidth="1"/>
    <col min="11" max="11" width="19.85546875" bestFit="1" customWidth="1"/>
    <col min="12" max="12" width="11.7109375" bestFit="1" customWidth="1"/>
    <col min="13" max="13" width="9.85546875" bestFit="1" customWidth="1"/>
    <col min="14" max="14" width="11.85546875" bestFit="1" customWidth="1"/>
    <col min="15" max="15" width="20" bestFit="1" customWidth="1"/>
    <col min="16" max="16" width="19.28515625" bestFit="1" customWidth="1"/>
    <col min="17" max="17" width="10.5703125" bestFit="1" customWidth="1"/>
    <col min="18" max="18" width="9.85546875" bestFit="1" customWidth="1"/>
  </cols>
  <sheetData>
    <row r="2" spans="1:18" x14ac:dyDescent="0.25">
      <c r="A2" t="s">
        <v>0</v>
      </c>
      <c r="B2" t="s">
        <v>1</v>
      </c>
      <c r="C2" t="s">
        <v>2</v>
      </c>
      <c r="D2" t="s">
        <v>3</v>
      </c>
      <c r="E2" t="s">
        <v>14</v>
      </c>
      <c r="F2" t="s">
        <v>15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3</v>
      </c>
      <c r="N2" t="s">
        <v>10</v>
      </c>
      <c r="O2" t="s">
        <v>11</v>
      </c>
      <c r="P2" t="s">
        <v>12</v>
      </c>
      <c r="Q2" t="s">
        <v>13</v>
      </c>
      <c r="R2" t="s">
        <v>3</v>
      </c>
    </row>
    <row r="3" spans="1:18" x14ac:dyDescent="0.25">
      <c r="A3" s="1">
        <v>44652</v>
      </c>
      <c r="B3">
        <f>WEEKDAY(A3, 2)</f>
        <v>5</v>
      </c>
      <c r="C3">
        <v>100</v>
      </c>
      <c r="D3">
        <v>75</v>
      </c>
      <c r="E3">
        <f>IF(B3=1,1,0)</f>
        <v>0</v>
      </c>
      <c r="F3">
        <f>IF(E3=1,ROUNDUP(5% * C3,0),0)</f>
        <v>0</v>
      </c>
      <c r="G3">
        <f>IF(B3=4,1,0)</f>
        <v>0</v>
      </c>
      <c r="H3">
        <f>IF(G3=1,50,0)</f>
        <v>0</v>
      </c>
      <c r="I3">
        <f>IF(G3=1,25,0)</f>
        <v>0</v>
      </c>
      <c r="J3">
        <v>0</v>
      </c>
      <c r="K3">
        <f>IF(J3=1,15,0)</f>
        <v>0</v>
      </c>
      <c r="L3">
        <f>K3+H3+C3-F3</f>
        <v>100</v>
      </c>
      <c r="M3">
        <f>I3+D3</f>
        <v>75</v>
      </c>
      <c r="N3">
        <f>IF(B3&lt;&gt;7,1,0)</f>
        <v>1</v>
      </c>
      <c r="O3">
        <f>IF(N3=1,ROUNDUP(30% * L3,0),0)</f>
        <v>30</v>
      </c>
      <c r="P3">
        <f>IF(N3=1,ROUNDUP(20% * M3,0),0)</f>
        <v>15</v>
      </c>
      <c r="Q3">
        <f>L3-O3</f>
        <v>70</v>
      </c>
      <c r="R3">
        <f>M3-P3</f>
        <v>60</v>
      </c>
    </row>
    <row r="4" spans="1:18" x14ac:dyDescent="0.25">
      <c r="A4" s="1">
        <v>44653</v>
      </c>
      <c r="B4">
        <f t="shared" ref="B4:B67" si="0">WEEKDAY(A4, 2)</f>
        <v>6</v>
      </c>
      <c r="C4">
        <f>Q3</f>
        <v>70</v>
      </c>
      <c r="D4">
        <f>R3</f>
        <v>60</v>
      </c>
      <c r="E4">
        <f>IF(B4=1,1,0)</f>
        <v>0</v>
      </c>
      <c r="F4">
        <f t="shared" ref="F4:F67" si="1">IF(E4=1,ROUNDUP(5% * C4,0),0)</f>
        <v>0</v>
      </c>
      <c r="G4">
        <f>IF(B4=4,1,0)</f>
        <v>0</v>
      </c>
      <c r="H4">
        <f>IF(G4=1,50,0)</f>
        <v>0</v>
      </c>
      <c r="I4">
        <f>IF(G4=1,25,0)</f>
        <v>0</v>
      </c>
      <c r="J4">
        <f t="shared" ref="J4:J67" si="2">IF(AND(B4=1,SUM(O1:O2)&gt;25),1,0)</f>
        <v>0</v>
      </c>
      <c r="K4">
        <f t="shared" ref="K4:K67" si="3">IF(J4=1,15,0)</f>
        <v>0</v>
      </c>
      <c r="L4">
        <f>K4+H4+C4-F4</f>
        <v>70</v>
      </c>
      <c r="M4">
        <f>I4+D4</f>
        <v>60</v>
      </c>
      <c r="N4">
        <f>IF(B4&lt;&gt;7,1,0)</f>
        <v>1</v>
      </c>
      <c r="O4">
        <f>IF(N4=1,ROUNDUP(30% * L4,0),0)</f>
        <v>21</v>
      </c>
      <c r="P4">
        <f t="shared" ref="P4:P67" si="4">IF(N4=1,ROUNDUP(20% * M4,0),0)</f>
        <v>12</v>
      </c>
      <c r="Q4">
        <f>L4-O4</f>
        <v>49</v>
      </c>
      <c r="R4">
        <f>M4-P4</f>
        <v>48</v>
      </c>
    </row>
    <row r="5" spans="1:18" x14ac:dyDescent="0.25">
      <c r="A5" s="1">
        <v>44654</v>
      </c>
      <c r="B5">
        <f t="shared" si="0"/>
        <v>7</v>
      </c>
      <c r="C5">
        <f t="shared" ref="C5:D68" si="5">Q4</f>
        <v>49</v>
      </c>
      <c r="D5">
        <f t="shared" si="5"/>
        <v>48</v>
      </c>
      <c r="E5">
        <f t="shared" ref="E5:E68" si="6">IF(B5=1,1,0)</f>
        <v>0</v>
      </c>
      <c r="F5">
        <f t="shared" si="1"/>
        <v>0</v>
      </c>
      <c r="G5">
        <f t="shared" ref="G5:G68" si="7">IF(B5=4,1,0)</f>
        <v>0</v>
      </c>
      <c r="H5">
        <f t="shared" ref="H5:H68" si="8">IF(G5=1,50,0)</f>
        <v>0</v>
      </c>
      <c r="I5">
        <f t="shared" ref="I5:I68" si="9">IF(G5=1,25,0)</f>
        <v>0</v>
      </c>
      <c r="J5">
        <f t="shared" si="2"/>
        <v>0</v>
      </c>
      <c r="K5">
        <f t="shared" si="3"/>
        <v>0</v>
      </c>
      <c r="L5">
        <f t="shared" ref="L5:L68" si="10">K5+H5+C5-F5</f>
        <v>49</v>
      </c>
      <c r="M5">
        <f t="shared" ref="M5:M68" si="11">I5+D5</f>
        <v>48</v>
      </c>
      <c r="N5">
        <f t="shared" ref="N5:N68" si="12">IF(B5&lt;&gt;7,1,0)</f>
        <v>0</v>
      </c>
      <c r="O5">
        <f t="shared" ref="O5:O68" si="13">IF(N5=1,ROUNDUP(30% * L5,0),0)</f>
        <v>0</v>
      </c>
      <c r="P5">
        <f t="shared" si="4"/>
        <v>0</v>
      </c>
      <c r="Q5">
        <f t="shared" ref="Q5:R68" si="14">L5-O5</f>
        <v>49</v>
      </c>
      <c r="R5">
        <f t="shared" si="14"/>
        <v>48</v>
      </c>
    </row>
    <row r="6" spans="1:18" x14ac:dyDescent="0.25">
      <c r="A6" s="1">
        <v>44655</v>
      </c>
      <c r="B6">
        <f t="shared" si="0"/>
        <v>1</v>
      </c>
      <c r="C6">
        <f t="shared" si="5"/>
        <v>49</v>
      </c>
      <c r="D6">
        <f t="shared" si="5"/>
        <v>48</v>
      </c>
      <c r="E6">
        <f t="shared" si="6"/>
        <v>1</v>
      </c>
      <c r="F6">
        <f t="shared" si="1"/>
        <v>3</v>
      </c>
      <c r="G6">
        <f t="shared" si="7"/>
        <v>0</v>
      </c>
      <c r="H6">
        <f t="shared" si="8"/>
        <v>0</v>
      </c>
      <c r="I6">
        <f t="shared" si="9"/>
        <v>0</v>
      </c>
      <c r="J6">
        <f t="shared" si="2"/>
        <v>1</v>
      </c>
      <c r="K6">
        <f t="shared" si="3"/>
        <v>15</v>
      </c>
      <c r="L6">
        <f t="shared" si="10"/>
        <v>61</v>
      </c>
      <c r="M6">
        <f t="shared" si="11"/>
        <v>48</v>
      </c>
      <c r="N6">
        <f t="shared" si="12"/>
        <v>1</v>
      </c>
      <c r="O6">
        <f t="shared" si="13"/>
        <v>19</v>
      </c>
      <c r="P6">
        <f t="shared" si="4"/>
        <v>10</v>
      </c>
      <c r="Q6">
        <f t="shared" si="14"/>
        <v>42</v>
      </c>
      <c r="R6">
        <f t="shared" si="14"/>
        <v>38</v>
      </c>
    </row>
    <row r="7" spans="1:18" x14ac:dyDescent="0.25">
      <c r="A7" s="1">
        <v>44656</v>
      </c>
      <c r="B7">
        <f t="shared" si="0"/>
        <v>2</v>
      </c>
      <c r="C7">
        <f t="shared" si="5"/>
        <v>42</v>
      </c>
      <c r="D7">
        <f t="shared" si="5"/>
        <v>38</v>
      </c>
      <c r="E7">
        <f t="shared" si="6"/>
        <v>0</v>
      </c>
      <c r="F7">
        <f t="shared" si="1"/>
        <v>0</v>
      </c>
      <c r="G7">
        <f t="shared" si="7"/>
        <v>0</v>
      </c>
      <c r="H7">
        <f t="shared" si="8"/>
        <v>0</v>
      </c>
      <c r="I7">
        <f t="shared" si="9"/>
        <v>0</v>
      </c>
      <c r="J7">
        <f t="shared" si="2"/>
        <v>0</v>
      </c>
      <c r="K7">
        <f t="shared" si="3"/>
        <v>0</v>
      </c>
      <c r="L7">
        <f t="shared" si="10"/>
        <v>42</v>
      </c>
      <c r="M7">
        <f t="shared" si="11"/>
        <v>38</v>
      </c>
      <c r="N7">
        <f t="shared" si="12"/>
        <v>1</v>
      </c>
      <c r="O7">
        <f t="shared" si="13"/>
        <v>13</v>
      </c>
      <c r="P7">
        <f t="shared" si="4"/>
        <v>8</v>
      </c>
      <c r="Q7">
        <f t="shared" si="14"/>
        <v>29</v>
      </c>
      <c r="R7">
        <f t="shared" si="14"/>
        <v>30</v>
      </c>
    </row>
    <row r="8" spans="1:18" x14ac:dyDescent="0.25">
      <c r="A8" s="1">
        <v>44657</v>
      </c>
      <c r="B8">
        <f t="shared" si="0"/>
        <v>3</v>
      </c>
      <c r="C8">
        <f t="shared" si="5"/>
        <v>29</v>
      </c>
      <c r="D8">
        <f t="shared" si="5"/>
        <v>30</v>
      </c>
      <c r="E8">
        <f t="shared" si="6"/>
        <v>0</v>
      </c>
      <c r="F8">
        <f t="shared" si="1"/>
        <v>0</v>
      </c>
      <c r="G8">
        <f t="shared" si="7"/>
        <v>0</v>
      </c>
      <c r="H8">
        <f t="shared" si="8"/>
        <v>0</v>
      </c>
      <c r="I8">
        <f t="shared" si="9"/>
        <v>0</v>
      </c>
      <c r="J8">
        <f t="shared" si="2"/>
        <v>0</v>
      </c>
      <c r="K8">
        <f t="shared" si="3"/>
        <v>0</v>
      </c>
      <c r="L8">
        <f t="shared" si="10"/>
        <v>29</v>
      </c>
      <c r="M8">
        <f t="shared" si="11"/>
        <v>30</v>
      </c>
      <c r="N8">
        <f t="shared" si="12"/>
        <v>1</v>
      </c>
      <c r="O8">
        <f t="shared" si="13"/>
        <v>9</v>
      </c>
      <c r="P8">
        <f t="shared" si="4"/>
        <v>6</v>
      </c>
      <c r="Q8">
        <f t="shared" si="14"/>
        <v>20</v>
      </c>
      <c r="R8">
        <f t="shared" si="14"/>
        <v>24</v>
      </c>
    </row>
    <row r="9" spans="1:18" x14ac:dyDescent="0.25">
      <c r="A9" s="1">
        <v>44658</v>
      </c>
      <c r="B9">
        <f t="shared" si="0"/>
        <v>4</v>
      </c>
      <c r="C9">
        <f t="shared" si="5"/>
        <v>20</v>
      </c>
      <c r="D9">
        <f t="shared" si="5"/>
        <v>24</v>
      </c>
      <c r="E9">
        <f t="shared" si="6"/>
        <v>0</v>
      </c>
      <c r="F9">
        <f t="shared" si="1"/>
        <v>0</v>
      </c>
      <c r="G9">
        <f t="shared" si="7"/>
        <v>1</v>
      </c>
      <c r="H9">
        <f t="shared" si="8"/>
        <v>50</v>
      </c>
      <c r="I9">
        <f t="shared" si="9"/>
        <v>25</v>
      </c>
      <c r="J9">
        <f t="shared" si="2"/>
        <v>0</v>
      </c>
      <c r="K9">
        <f t="shared" si="3"/>
        <v>0</v>
      </c>
      <c r="L9">
        <f t="shared" si="10"/>
        <v>70</v>
      </c>
      <c r="M9">
        <f t="shared" si="11"/>
        <v>49</v>
      </c>
      <c r="N9">
        <f t="shared" si="12"/>
        <v>1</v>
      </c>
      <c r="O9">
        <f t="shared" si="13"/>
        <v>21</v>
      </c>
      <c r="P9">
        <f t="shared" si="4"/>
        <v>10</v>
      </c>
      <c r="Q9">
        <f t="shared" si="14"/>
        <v>49</v>
      </c>
      <c r="R9">
        <f t="shared" si="14"/>
        <v>39</v>
      </c>
    </row>
    <row r="10" spans="1:18" x14ac:dyDescent="0.25">
      <c r="A10" s="1">
        <v>44659</v>
      </c>
      <c r="B10">
        <f t="shared" si="0"/>
        <v>5</v>
      </c>
      <c r="C10">
        <f t="shared" si="5"/>
        <v>49</v>
      </c>
      <c r="D10">
        <f t="shared" si="5"/>
        <v>39</v>
      </c>
      <c r="E10">
        <f t="shared" si="6"/>
        <v>0</v>
      </c>
      <c r="F10">
        <f t="shared" si="1"/>
        <v>0</v>
      </c>
      <c r="G10">
        <f t="shared" si="7"/>
        <v>0</v>
      </c>
      <c r="H10">
        <f t="shared" si="8"/>
        <v>0</v>
      </c>
      <c r="I10">
        <f t="shared" si="9"/>
        <v>0</v>
      </c>
      <c r="J10">
        <f t="shared" si="2"/>
        <v>0</v>
      </c>
      <c r="K10">
        <f t="shared" si="3"/>
        <v>0</v>
      </c>
      <c r="L10">
        <f t="shared" si="10"/>
        <v>49</v>
      </c>
      <c r="M10">
        <f t="shared" si="11"/>
        <v>39</v>
      </c>
      <c r="N10">
        <f t="shared" si="12"/>
        <v>1</v>
      </c>
      <c r="O10">
        <f t="shared" si="13"/>
        <v>15</v>
      </c>
      <c r="P10">
        <f t="shared" si="4"/>
        <v>8</v>
      </c>
      <c r="Q10">
        <f t="shared" si="14"/>
        <v>34</v>
      </c>
      <c r="R10">
        <f t="shared" si="14"/>
        <v>31</v>
      </c>
    </row>
    <row r="11" spans="1:18" x14ac:dyDescent="0.25">
      <c r="A11" s="1">
        <v>44660</v>
      </c>
      <c r="B11">
        <f t="shared" si="0"/>
        <v>6</v>
      </c>
      <c r="C11">
        <f t="shared" si="5"/>
        <v>34</v>
      </c>
      <c r="D11">
        <f t="shared" si="5"/>
        <v>31</v>
      </c>
      <c r="E11">
        <f t="shared" si="6"/>
        <v>0</v>
      </c>
      <c r="F11">
        <f t="shared" si="1"/>
        <v>0</v>
      </c>
      <c r="G11">
        <f t="shared" si="7"/>
        <v>0</v>
      </c>
      <c r="H11">
        <f t="shared" si="8"/>
        <v>0</v>
      </c>
      <c r="I11">
        <f t="shared" si="9"/>
        <v>0</v>
      </c>
      <c r="J11">
        <f t="shared" si="2"/>
        <v>0</v>
      </c>
      <c r="K11">
        <f t="shared" si="3"/>
        <v>0</v>
      </c>
      <c r="L11">
        <f t="shared" si="10"/>
        <v>34</v>
      </c>
      <c r="M11">
        <f t="shared" si="11"/>
        <v>31</v>
      </c>
      <c r="N11">
        <f t="shared" si="12"/>
        <v>1</v>
      </c>
      <c r="O11">
        <f t="shared" si="13"/>
        <v>11</v>
      </c>
      <c r="P11">
        <f t="shared" si="4"/>
        <v>7</v>
      </c>
      <c r="Q11">
        <f t="shared" si="14"/>
        <v>23</v>
      </c>
      <c r="R11">
        <f t="shared" si="14"/>
        <v>24</v>
      </c>
    </row>
    <row r="12" spans="1:18" x14ac:dyDescent="0.25">
      <c r="A12" s="1">
        <v>44661</v>
      </c>
      <c r="B12">
        <f t="shared" si="0"/>
        <v>7</v>
      </c>
      <c r="C12">
        <f t="shared" si="5"/>
        <v>23</v>
      </c>
      <c r="D12">
        <f t="shared" si="5"/>
        <v>24</v>
      </c>
      <c r="E12">
        <f t="shared" si="6"/>
        <v>0</v>
      </c>
      <c r="F12">
        <f t="shared" si="1"/>
        <v>0</v>
      </c>
      <c r="G12">
        <f t="shared" si="7"/>
        <v>0</v>
      </c>
      <c r="H12">
        <f t="shared" si="8"/>
        <v>0</v>
      </c>
      <c r="I12">
        <f t="shared" si="9"/>
        <v>0</v>
      </c>
      <c r="J12">
        <f t="shared" si="2"/>
        <v>0</v>
      </c>
      <c r="K12">
        <f t="shared" si="3"/>
        <v>0</v>
      </c>
      <c r="L12">
        <f t="shared" si="10"/>
        <v>23</v>
      </c>
      <c r="M12">
        <f t="shared" si="11"/>
        <v>24</v>
      </c>
      <c r="N12">
        <f t="shared" si="12"/>
        <v>0</v>
      </c>
      <c r="O12">
        <f t="shared" si="13"/>
        <v>0</v>
      </c>
      <c r="P12">
        <f t="shared" si="4"/>
        <v>0</v>
      </c>
      <c r="Q12">
        <f t="shared" si="14"/>
        <v>23</v>
      </c>
      <c r="R12">
        <f t="shared" si="14"/>
        <v>24</v>
      </c>
    </row>
    <row r="13" spans="1:18" x14ac:dyDescent="0.25">
      <c r="A13" s="1">
        <v>44662</v>
      </c>
      <c r="B13">
        <f t="shared" si="0"/>
        <v>1</v>
      </c>
      <c r="C13">
        <f t="shared" si="5"/>
        <v>23</v>
      </c>
      <c r="D13">
        <f t="shared" si="5"/>
        <v>24</v>
      </c>
      <c r="E13">
        <f t="shared" si="6"/>
        <v>1</v>
      </c>
      <c r="F13">
        <f t="shared" si="1"/>
        <v>2</v>
      </c>
      <c r="G13">
        <f t="shared" si="7"/>
        <v>0</v>
      </c>
      <c r="H13">
        <f t="shared" si="8"/>
        <v>0</v>
      </c>
      <c r="I13">
        <f t="shared" si="9"/>
        <v>0</v>
      </c>
      <c r="J13">
        <f t="shared" si="2"/>
        <v>1</v>
      </c>
      <c r="K13">
        <f t="shared" si="3"/>
        <v>15</v>
      </c>
      <c r="L13">
        <f t="shared" si="10"/>
        <v>36</v>
      </c>
      <c r="M13">
        <f t="shared" si="11"/>
        <v>24</v>
      </c>
      <c r="N13">
        <f t="shared" si="12"/>
        <v>1</v>
      </c>
      <c r="O13">
        <f t="shared" si="13"/>
        <v>11</v>
      </c>
      <c r="P13">
        <f t="shared" si="4"/>
        <v>5</v>
      </c>
      <c r="Q13">
        <f t="shared" si="14"/>
        <v>25</v>
      </c>
      <c r="R13">
        <f t="shared" si="14"/>
        <v>19</v>
      </c>
    </row>
    <row r="14" spans="1:18" x14ac:dyDescent="0.25">
      <c r="A14" s="1">
        <v>44663</v>
      </c>
      <c r="B14">
        <f t="shared" si="0"/>
        <v>2</v>
      </c>
      <c r="C14">
        <f t="shared" si="5"/>
        <v>25</v>
      </c>
      <c r="D14">
        <f t="shared" si="5"/>
        <v>19</v>
      </c>
      <c r="E14">
        <f t="shared" si="6"/>
        <v>0</v>
      </c>
      <c r="F14">
        <f t="shared" si="1"/>
        <v>0</v>
      </c>
      <c r="G14">
        <f t="shared" si="7"/>
        <v>0</v>
      </c>
      <c r="H14">
        <f t="shared" si="8"/>
        <v>0</v>
      </c>
      <c r="I14">
        <f t="shared" si="9"/>
        <v>0</v>
      </c>
      <c r="J14">
        <f t="shared" si="2"/>
        <v>0</v>
      </c>
      <c r="K14">
        <f t="shared" si="3"/>
        <v>0</v>
      </c>
      <c r="L14">
        <f t="shared" si="10"/>
        <v>25</v>
      </c>
      <c r="M14">
        <f t="shared" si="11"/>
        <v>19</v>
      </c>
      <c r="N14">
        <f t="shared" si="12"/>
        <v>1</v>
      </c>
      <c r="O14">
        <f t="shared" si="13"/>
        <v>8</v>
      </c>
      <c r="P14">
        <f t="shared" si="4"/>
        <v>4</v>
      </c>
      <c r="Q14">
        <f t="shared" si="14"/>
        <v>17</v>
      </c>
      <c r="R14">
        <f t="shared" si="14"/>
        <v>15</v>
      </c>
    </row>
    <row r="15" spans="1:18" x14ac:dyDescent="0.25">
      <c r="A15" s="1">
        <v>44664</v>
      </c>
      <c r="B15">
        <f t="shared" si="0"/>
        <v>3</v>
      </c>
      <c r="C15">
        <f t="shared" si="5"/>
        <v>17</v>
      </c>
      <c r="D15">
        <f t="shared" si="5"/>
        <v>15</v>
      </c>
      <c r="E15">
        <f t="shared" si="6"/>
        <v>0</v>
      </c>
      <c r="F15">
        <f t="shared" si="1"/>
        <v>0</v>
      </c>
      <c r="G15">
        <f t="shared" si="7"/>
        <v>0</v>
      </c>
      <c r="H15">
        <f t="shared" si="8"/>
        <v>0</v>
      </c>
      <c r="I15">
        <f t="shared" si="9"/>
        <v>0</v>
      </c>
      <c r="J15">
        <f t="shared" si="2"/>
        <v>0</v>
      </c>
      <c r="K15">
        <f t="shared" si="3"/>
        <v>0</v>
      </c>
      <c r="L15">
        <f t="shared" si="10"/>
        <v>17</v>
      </c>
      <c r="M15">
        <f t="shared" si="11"/>
        <v>15</v>
      </c>
      <c r="N15">
        <f t="shared" si="12"/>
        <v>1</v>
      </c>
      <c r="O15">
        <f t="shared" si="13"/>
        <v>6</v>
      </c>
      <c r="P15">
        <f t="shared" si="4"/>
        <v>3</v>
      </c>
      <c r="Q15">
        <f t="shared" si="14"/>
        <v>11</v>
      </c>
      <c r="R15">
        <f t="shared" si="14"/>
        <v>12</v>
      </c>
    </row>
    <row r="16" spans="1:18" x14ac:dyDescent="0.25">
      <c r="A16" s="1">
        <v>44665</v>
      </c>
      <c r="B16">
        <f t="shared" si="0"/>
        <v>4</v>
      </c>
      <c r="C16">
        <f t="shared" si="5"/>
        <v>11</v>
      </c>
      <c r="D16">
        <f t="shared" si="5"/>
        <v>12</v>
      </c>
      <c r="E16">
        <f t="shared" si="6"/>
        <v>0</v>
      </c>
      <c r="F16">
        <f t="shared" si="1"/>
        <v>0</v>
      </c>
      <c r="G16">
        <f t="shared" si="7"/>
        <v>1</v>
      </c>
      <c r="H16">
        <f t="shared" si="8"/>
        <v>50</v>
      </c>
      <c r="I16">
        <f t="shared" si="9"/>
        <v>25</v>
      </c>
      <c r="J16">
        <f t="shared" si="2"/>
        <v>0</v>
      </c>
      <c r="K16">
        <f t="shared" si="3"/>
        <v>0</v>
      </c>
      <c r="L16">
        <f t="shared" si="10"/>
        <v>61</v>
      </c>
      <c r="M16">
        <f t="shared" si="11"/>
        <v>37</v>
      </c>
      <c r="N16">
        <f t="shared" si="12"/>
        <v>1</v>
      </c>
      <c r="O16">
        <f t="shared" si="13"/>
        <v>19</v>
      </c>
      <c r="P16">
        <f t="shared" si="4"/>
        <v>8</v>
      </c>
      <c r="Q16">
        <f t="shared" si="14"/>
        <v>42</v>
      </c>
      <c r="R16">
        <f t="shared" si="14"/>
        <v>29</v>
      </c>
    </row>
    <row r="17" spans="1:21" x14ac:dyDescent="0.25">
      <c r="A17" s="1">
        <v>44666</v>
      </c>
      <c r="B17">
        <f t="shared" si="0"/>
        <v>5</v>
      </c>
      <c r="C17">
        <f t="shared" si="5"/>
        <v>42</v>
      </c>
      <c r="D17">
        <f t="shared" si="5"/>
        <v>29</v>
      </c>
      <c r="E17">
        <f t="shared" si="6"/>
        <v>0</v>
      </c>
      <c r="F17">
        <f t="shared" si="1"/>
        <v>0</v>
      </c>
      <c r="G17">
        <f t="shared" si="7"/>
        <v>0</v>
      </c>
      <c r="H17">
        <f t="shared" si="8"/>
        <v>0</v>
      </c>
      <c r="I17">
        <f t="shared" si="9"/>
        <v>0</v>
      </c>
      <c r="J17">
        <f t="shared" si="2"/>
        <v>0</v>
      </c>
      <c r="K17">
        <f t="shared" si="3"/>
        <v>0</v>
      </c>
      <c r="L17">
        <f t="shared" si="10"/>
        <v>42</v>
      </c>
      <c r="M17">
        <f t="shared" si="11"/>
        <v>29</v>
      </c>
      <c r="N17">
        <f t="shared" si="12"/>
        <v>1</v>
      </c>
      <c r="O17">
        <f t="shared" si="13"/>
        <v>13</v>
      </c>
      <c r="P17">
        <f t="shared" si="4"/>
        <v>6</v>
      </c>
      <c r="Q17">
        <f t="shared" si="14"/>
        <v>29</v>
      </c>
      <c r="R17">
        <f t="shared" si="14"/>
        <v>23</v>
      </c>
    </row>
    <row r="18" spans="1:21" x14ac:dyDescent="0.25">
      <c r="A18" s="1">
        <v>44667</v>
      </c>
      <c r="B18">
        <f t="shared" si="0"/>
        <v>6</v>
      </c>
      <c r="C18">
        <f t="shared" si="5"/>
        <v>29</v>
      </c>
      <c r="D18">
        <f t="shared" si="5"/>
        <v>23</v>
      </c>
      <c r="E18">
        <f t="shared" si="6"/>
        <v>0</v>
      </c>
      <c r="F18">
        <f t="shared" si="1"/>
        <v>0</v>
      </c>
      <c r="G18">
        <f t="shared" si="7"/>
        <v>0</v>
      </c>
      <c r="H18">
        <f t="shared" si="8"/>
        <v>0</v>
      </c>
      <c r="I18">
        <f t="shared" si="9"/>
        <v>0</v>
      </c>
      <c r="J18">
        <f t="shared" si="2"/>
        <v>0</v>
      </c>
      <c r="K18">
        <f t="shared" si="3"/>
        <v>0</v>
      </c>
      <c r="L18">
        <f t="shared" si="10"/>
        <v>29</v>
      </c>
      <c r="M18">
        <f t="shared" si="11"/>
        <v>23</v>
      </c>
      <c r="N18">
        <f t="shared" si="12"/>
        <v>1</v>
      </c>
      <c r="O18">
        <f t="shared" si="13"/>
        <v>9</v>
      </c>
      <c r="P18">
        <f t="shared" si="4"/>
        <v>5</v>
      </c>
      <c r="Q18">
        <f t="shared" si="14"/>
        <v>20</v>
      </c>
      <c r="R18">
        <f t="shared" si="14"/>
        <v>18</v>
      </c>
    </row>
    <row r="19" spans="1:21" x14ac:dyDescent="0.25">
      <c r="A19" s="1">
        <v>44668</v>
      </c>
      <c r="B19">
        <f t="shared" si="0"/>
        <v>7</v>
      </c>
      <c r="C19">
        <f t="shared" si="5"/>
        <v>20</v>
      </c>
      <c r="D19">
        <f t="shared" si="5"/>
        <v>18</v>
      </c>
      <c r="E19">
        <f t="shared" si="6"/>
        <v>0</v>
      </c>
      <c r="F19">
        <f t="shared" si="1"/>
        <v>0</v>
      </c>
      <c r="G19">
        <f t="shared" si="7"/>
        <v>0</v>
      </c>
      <c r="H19">
        <f t="shared" si="8"/>
        <v>0</v>
      </c>
      <c r="I19">
        <f t="shared" si="9"/>
        <v>0</v>
      </c>
      <c r="J19">
        <f t="shared" si="2"/>
        <v>0</v>
      </c>
      <c r="K19">
        <f t="shared" si="3"/>
        <v>0</v>
      </c>
      <c r="L19">
        <f t="shared" si="10"/>
        <v>20</v>
      </c>
      <c r="M19">
        <f t="shared" si="11"/>
        <v>18</v>
      </c>
      <c r="N19">
        <f t="shared" si="12"/>
        <v>0</v>
      </c>
      <c r="O19">
        <f t="shared" si="13"/>
        <v>0</v>
      </c>
      <c r="P19">
        <f t="shared" si="4"/>
        <v>0</v>
      </c>
      <c r="Q19">
        <f t="shared" si="14"/>
        <v>20</v>
      </c>
      <c r="R19">
        <f t="shared" si="14"/>
        <v>18</v>
      </c>
    </row>
    <row r="20" spans="1:21" x14ac:dyDescent="0.25">
      <c r="A20" s="1">
        <v>44669</v>
      </c>
      <c r="B20">
        <f t="shared" si="0"/>
        <v>1</v>
      </c>
      <c r="C20">
        <f t="shared" si="5"/>
        <v>20</v>
      </c>
      <c r="D20">
        <f t="shared" si="5"/>
        <v>18</v>
      </c>
      <c r="E20">
        <f t="shared" si="6"/>
        <v>1</v>
      </c>
      <c r="F20">
        <f t="shared" si="1"/>
        <v>1</v>
      </c>
      <c r="G20">
        <f t="shared" si="7"/>
        <v>0</v>
      </c>
      <c r="H20">
        <f t="shared" si="8"/>
        <v>0</v>
      </c>
      <c r="I20">
        <f t="shared" si="9"/>
        <v>0</v>
      </c>
      <c r="J20">
        <f t="shared" si="2"/>
        <v>0</v>
      </c>
      <c r="K20">
        <f t="shared" si="3"/>
        <v>0</v>
      </c>
      <c r="L20">
        <f t="shared" si="10"/>
        <v>19</v>
      </c>
      <c r="M20">
        <f t="shared" si="11"/>
        <v>18</v>
      </c>
      <c r="N20">
        <f t="shared" si="12"/>
        <v>1</v>
      </c>
      <c r="O20">
        <f t="shared" si="13"/>
        <v>6</v>
      </c>
      <c r="P20">
        <f t="shared" si="4"/>
        <v>4</v>
      </c>
      <c r="Q20">
        <f t="shared" si="14"/>
        <v>13</v>
      </c>
      <c r="R20">
        <f t="shared" si="14"/>
        <v>14</v>
      </c>
    </row>
    <row r="21" spans="1:21" x14ac:dyDescent="0.25">
      <c r="A21" s="1">
        <v>44670</v>
      </c>
      <c r="B21">
        <f t="shared" si="0"/>
        <v>2</v>
      </c>
      <c r="C21">
        <f t="shared" si="5"/>
        <v>13</v>
      </c>
      <c r="D21">
        <f t="shared" si="5"/>
        <v>14</v>
      </c>
      <c r="E21">
        <f t="shared" si="6"/>
        <v>0</v>
      </c>
      <c r="F21">
        <f t="shared" si="1"/>
        <v>0</v>
      </c>
      <c r="G21">
        <f t="shared" si="7"/>
        <v>0</v>
      </c>
      <c r="H21">
        <f t="shared" si="8"/>
        <v>0</v>
      </c>
      <c r="I21">
        <f t="shared" si="9"/>
        <v>0</v>
      </c>
      <c r="J21">
        <f t="shared" si="2"/>
        <v>0</v>
      </c>
      <c r="K21">
        <f t="shared" si="3"/>
        <v>0</v>
      </c>
      <c r="L21">
        <f t="shared" si="10"/>
        <v>13</v>
      </c>
      <c r="M21">
        <f t="shared" si="11"/>
        <v>14</v>
      </c>
      <c r="N21">
        <f t="shared" si="12"/>
        <v>1</v>
      </c>
      <c r="O21">
        <f t="shared" si="13"/>
        <v>4</v>
      </c>
      <c r="P21">
        <f t="shared" si="4"/>
        <v>3</v>
      </c>
      <c r="Q21">
        <f t="shared" si="14"/>
        <v>9</v>
      </c>
      <c r="R21">
        <f t="shared" si="14"/>
        <v>11</v>
      </c>
    </row>
    <row r="22" spans="1:21" x14ac:dyDescent="0.25">
      <c r="A22" s="1">
        <v>44671</v>
      </c>
      <c r="B22">
        <f t="shared" si="0"/>
        <v>3</v>
      </c>
      <c r="C22">
        <f t="shared" si="5"/>
        <v>9</v>
      </c>
      <c r="D22">
        <f t="shared" si="5"/>
        <v>11</v>
      </c>
      <c r="E22">
        <f t="shared" si="6"/>
        <v>0</v>
      </c>
      <c r="F22">
        <f t="shared" si="1"/>
        <v>0</v>
      </c>
      <c r="G22">
        <f t="shared" si="7"/>
        <v>0</v>
      </c>
      <c r="H22">
        <f t="shared" si="8"/>
        <v>0</v>
      </c>
      <c r="I22">
        <f t="shared" si="9"/>
        <v>0</v>
      </c>
      <c r="J22">
        <f t="shared" si="2"/>
        <v>0</v>
      </c>
      <c r="K22">
        <f t="shared" si="3"/>
        <v>0</v>
      </c>
      <c r="L22">
        <f t="shared" si="10"/>
        <v>9</v>
      </c>
      <c r="M22">
        <f t="shared" si="11"/>
        <v>11</v>
      </c>
      <c r="N22">
        <f t="shared" si="12"/>
        <v>1</v>
      </c>
      <c r="O22">
        <f t="shared" si="13"/>
        <v>3</v>
      </c>
      <c r="P22">
        <f t="shared" si="4"/>
        <v>3</v>
      </c>
      <c r="Q22">
        <f t="shared" si="14"/>
        <v>6</v>
      </c>
      <c r="R22">
        <f t="shared" si="14"/>
        <v>8</v>
      </c>
    </row>
    <row r="23" spans="1:21" x14ac:dyDescent="0.25">
      <c r="A23" s="1">
        <v>44672</v>
      </c>
      <c r="B23">
        <f t="shared" si="0"/>
        <v>4</v>
      </c>
      <c r="C23">
        <f t="shared" si="5"/>
        <v>6</v>
      </c>
      <c r="D23">
        <f t="shared" si="5"/>
        <v>8</v>
      </c>
      <c r="E23">
        <f t="shared" si="6"/>
        <v>0</v>
      </c>
      <c r="F23">
        <f t="shared" si="1"/>
        <v>0</v>
      </c>
      <c r="G23">
        <f t="shared" si="7"/>
        <v>1</v>
      </c>
      <c r="H23">
        <f t="shared" si="8"/>
        <v>50</v>
      </c>
      <c r="I23">
        <f t="shared" si="9"/>
        <v>25</v>
      </c>
      <c r="J23">
        <f t="shared" si="2"/>
        <v>0</v>
      </c>
      <c r="K23">
        <f t="shared" si="3"/>
        <v>0</v>
      </c>
      <c r="L23">
        <f t="shared" si="10"/>
        <v>56</v>
      </c>
      <c r="M23">
        <f t="shared" si="11"/>
        <v>33</v>
      </c>
      <c r="N23">
        <f t="shared" si="12"/>
        <v>1</v>
      </c>
      <c r="O23">
        <f t="shared" si="13"/>
        <v>17</v>
      </c>
      <c r="P23">
        <f t="shared" si="4"/>
        <v>7</v>
      </c>
      <c r="Q23">
        <f t="shared" si="14"/>
        <v>39</v>
      </c>
      <c r="R23">
        <f t="shared" si="14"/>
        <v>26</v>
      </c>
    </row>
    <row r="24" spans="1:21" x14ac:dyDescent="0.25">
      <c r="A24" s="1">
        <v>44673</v>
      </c>
      <c r="B24">
        <f t="shared" si="0"/>
        <v>5</v>
      </c>
      <c r="C24">
        <f t="shared" si="5"/>
        <v>39</v>
      </c>
      <c r="D24">
        <f t="shared" si="5"/>
        <v>26</v>
      </c>
      <c r="E24">
        <f t="shared" si="6"/>
        <v>0</v>
      </c>
      <c r="F24">
        <f t="shared" si="1"/>
        <v>0</v>
      </c>
      <c r="G24">
        <f t="shared" si="7"/>
        <v>0</v>
      </c>
      <c r="H24">
        <f t="shared" si="8"/>
        <v>0</v>
      </c>
      <c r="I24">
        <f t="shared" si="9"/>
        <v>0</v>
      </c>
      <c r="J24">
        <f t="shared" si="2"/>
        <v>0</v>
      </c>
      <c r="K24">
        <f t="shared" si="3"/>
        <v>0</v>
      </c>
      <c r="L24">
        <f t="shared" si="10"/>
        <v>39</v>
      </c>
      <c r="M24">
        <f t="shared" si="11"/>
        <v>26</v>
      </c>
      <c r="N24">
        <f t="shared" si="12"/>
        <v>1</v>
      </c>
      <c r="O24">
        <f t="shared" si="13"/>
        <v>12</v>
      </c>
      <c r="P24">
        <f t="shared" si="4"/>
        <v>6</v>
      </c>
      <c r="Q24">
        <f t="shared" si="14"/>
        <v>27</v>
      </c>
      <c r="R24">
        <f t="shared" si="14"/>
        <v>20</v>
      </c>
    </row>
    <row r="25" spans="1:21" x14ac:dyDescent="0.25">
      <c r="A25" s="1">
        <v>44674</v>
      </c>
      <c r="B25">
        <f t="shared" si="0"/>
        <v>6</v>
      </c>
      <c r="C25">
        <f t="shared" si="5"/>
        <v>27</v>
      </c>
      <c r="D25">
        <f t="shared" si="5"/>
        <v>20</v>
      </c>
      <c r="E25">
        <f t="shared" si="6"/>
        <v>0</v>
      </c>
      <c r="F25">
        <f t="shared" si="1"/>
        <v>0</v>
      </c>
      <c r="G25">
        <f t="shared" si="7"/>
        <v>0</v>
      </c>
      <c r="H25">
        <f t="shared" si="8"/>
        <v>0</v>
      </c>
      <c r="I25">
        <f t="shared" si="9"/>
        <v>0</v>
      </c>
      <c r="J25">
        <f t="shared" si="2"/>
        <v>0</v>
      </c>
      <c r="K25">
        <f t="shared" si="3"/>
        <v>0</v>
      </c>
      <c r="L25">
        <f t="shared" si="10"/>
        <v>27</v>
      </c>
      <c r="M25">
        <f t="shared" si="11"/>
        <v>20</v>
      </c>
      <c r="N25">
        <f t="shared" si="12"/>
        <v>1</v>
      </c>
      <c r="O25">
        <f t="shared" si="13"/>
        <v>9</v>
      </c>
      <c r="P25">
        <f t="shared" si="4"/>
        <v>4</v>
      </c>
      <c r="Q25">
        <f t="shared" si="14"/>
        <v>18</v>
      </c>
      <c r="R25">
        <f t="shared" si="14"/>
        <v>16</v>
      </c>
    </row>
    <row r="26" spans="1:21" x14ac:dyDescent="0.25">
      <c r="A26" s="1">
        <v>44675</v>
      </c>
      <c r="B26">
        <f t="shared" si="0"/>
        <v>7</v>
      </c>
      <c r="C26">
        <f t="shared" si="5"/>
        <v>18</v>
      </c>
      <c r="D26">
        <f t="shared" si="5"/>
        <v>16</v>
      </c>
      <c r="E26">
        <f t="shared" si="6"/>
        <v>0</v>
      </c>
      <c r="F26">
        <f t="shared" si="1"/>
        <v>0</v>
      </c>
      <c r="G26">
        <f t="shared" si="7"/>
        <v>0</v>
      </c>
      <c r="H26">
        <f t="shared" si="8"/>
        <v>0</v>
      </c>
      <c r="I26">
        <f t="shared" si="9"/>
        <v>0</v>
      </c>
      <c r="J26">
        <f t="shared" si="2"/>
        <v>0</v>
      </c>
      <c r="K26">
        <f t="shared" si="3"/>
        <v>0</v>
      </c>
      <c r="L26">
        <f t="shared" si="10"/>
        <v>18</v>
      </c>
      <c r="M26">
        <f t="shared" si="11"/>
        <v>16</v>
      </c>
      <c r="N26">
        <f t="shared" si="12"/>
        <v>0</v>
      </c>
      <c r="O26">
        <f t="shared" si="13"/>
        <v>0</v>
      </c>
      <c r="P26">
        <f t="shared" si="4"/>
        <v>0</v>
      </c>
      <c r="Q26">
        <f t="shared" si="14"/>
        <v>18</v>
      </c>
      <c r="R26">
        <f t="shared" si="14"/>
        <v>16</v>
      </c>
    </row>
    <row r="27" spans="1:21" x14ac:dyDescent="0.25">
      <c r="A27" s="1">
        <v>44676</v>
      </c>
      <c r="B27">
        <f t="shared" si="0"/>
        <v>1</v>
      </c>
      <c r="C27">
        <f t="shared" si="5"/>
        <v>18</v>
      </c>
      <c r="D27">
        <f t="shared" si="5"/>
        <v>16</v>
      </c>
      <c r="E27">
        <f t="shared" si="6"/>
        <v>1</v>
      </c>
      <c r="F27">
        <f t="shared" si="1"/>
        <v>1</v>
      </c>
      <c r="G27">
        <f t="shared" si="7"/>
        <v>0</v>
      </c>
      <c r="H27">
        <f t="shared" si="8"/>
        <v>0</v>
      </c>
      <c r="I27">
        <f t="shared" si="9"/>
        <v>0</v>
      </c>
      <c r="J27">
        <f t="shared" si="2"/>
        <v>0</v>
      </c>
      <c r="K27">
        <f t="shared" si="3"/>
        <v>0</v>
      </c>
      <c r="L27">
        <f t="shared" si="10"/>
        <v>17</v>
      </c>
      <c r="M27">
        <f t="shared" si="11"/>
        <v>16</v>
      </c>
      <c r="N27">
        <f t="shared" si="12"/>
        <v>1</v>
      </c>
      <c r="O27">
        <f t="shared" si="13"/>
        <v>6</v>
      </c>
      <c r="P27">
        <f t="shared" si="4"/>
        <v>4</v>
      </c>
      <c r="Q27">
        <f t="shared" si="14"/>
        <v>11</v>
      </c>
      <c r="R27">
        <f t="shared" si="14"/>
        <v>12</v>
      </c>
    </row>
    <row r="28" spans="1:21" x14ac:dyDescent="0.25">
      <c r="A28" s="1">
        <v>44677</v>
      </c>
      <c r="B28">
        <f t="shared" si="0"/>
        <v>2</v>
      </c>
      <c r="C28">
        <f t="shared" si="5"/>
        <v>11</v>
      </c>
      <c r="D28">
        <f t="shared" si="5"/>
        <v>12</v>
      </c>
      <c r="E28">
        <f t="shared" si="6"/>
        <v>0</v>
      </c>
      <c r="F28">
        <f t="shared" si="1"/>
        <v>0</v>
      </c>
      <c r="G28">
        <f t="shared" si="7"/>
        <v>0</v>
      </c>
      <c r="H28">
        <f t="shared" si="8"/>
        <v>0</v>
      </c>
      <c r="I28">
        <f t="shared" si="9"/>
        <v>0</v>
      </c>
      <c r="J28">
        <f t="shared" si="2"/>
        <v>0</v>
      </c>
      <c r="K28">
        <f t="shared" si="3"/>
        <v>0</v>
      </c>
      <c r="L28">
        <f t="shared" si="10"/>
        <v>11</v>
      </c>
      <c r="M28">
        <f t="shared" si="11"/>
        <v>12</v>
      </c>
      <c r="N28">
        <f t="shared" si="12"/>
        <v>1</v>
      </c>
      <c r="O28">
        <f t="shared" si="13"/>
        <v>4</v>
      </c>
      <c r="P28">
        <f t="shared" si="4"/>
        <v>3</v>
      </c>
      <c r="Q28">
        <f t="shared" si="14"/>
        <v>7</v>
      </c>
      <c r="R28">
        <f t="shared" si="14"/>
        <v>9</v>
      </c>
    </row>
    <row r="29" spans="1:21" x14ac:dyDescent="0.25">
      <c r="A29" s="1">
        <v>44678</v>
      </c>
      <c r="B29">
        <f t="shared" si="0"/>
        <v>3</v>
      </c>
      <c r="C29">
        <f t="shared" si="5"/>
        <v>7</v>
      </c>
      <c r="D29">
        <f t="shared" si="5"/>
        <v>9</v>
      </c>
      <c r="E29">
        <f t="shared" si="6"/>
        <v>0</v>
      </c>
      <c r="F29">
        <f t="shared" si="1"/>
        <v>0</v>
      </c>
      <c r="G29">
        <f t="shared" si="7"/>
        <v>0</v>
      </c>
      <c r="H29">
        <f t="shared" si="8"/>
        <v>0</v>
      </c>
      <c r="I29">
        <f t="shared" si="9"/>
        <v>0</v>
      </c>
      <c r="J29">
        <f t="shared" si="2"/>
        <v>0</v>
      </c>
      <c r="K29">
        <f t="shared" si="3"/>
        <v>0</v>
      </c>
      <c r="L29">
        <f t="shared" si="10"/>
        <v>7</v>
      </c>
      <c r="M29">
        <f t="shared" si="11"/>
        <v>9</v>
      </c>
      <c r="N29">
        <f t="shared" si="12"/>
        <v>1</v>
      </c>
      <c r="O29">
        <f t="shared" si="13"/>
        <v>3</v>
      </c>
      <c r="P29">
        <f t="shared" si="4"/>
        <v>2</v>
      </c>
      <c r="Q29">
        <f t="shared" si="14"/>
        <v>4</v>
      </c>
      <c r="R29">
        <f t="shared" si="14"/>
        <v>7</v>
      </c>
      <c r="U29">
        <v>0</v>
      </c>
    </row>
    <row r="30" spans="1:21" x14ac:dyDescent="0.25">
      <c r="A30" s="1">
        <v>44679</v>
      </c>
      <c r="B30">
        <f t="shared" si="0"/>
        <v>4</v>
      </c>
      <c r="C30">
        <f t="shared" si="5"/>
        <v>4</v>
      </c>
      <c r="D30">
        <f t="shared" si="5"/>
        <v>7</v>
      </c>
      <c r="E30">
        <f t="shared" si="6"/>
        <v>0</v>
      </c>
      <c r="F30">
        <f t="shared" si="1"/>
        <v>0</v>
      </c>
      <c r="G30">
        <f t="shared" si="7"/>
        <v>1</v>
      </c>
      <c r="H30">
        <f t="shared" si="8"/>
        <v>50</v>
      </c>
      <c r="I30">
        <f t="shared" si="9"/>
        <v>25</v>
      </c>
      <c r="J30">
        <f t="shared" si="2"/>
        <v>0</v>
      </c>
      <c r="K30">
        <f t="shared" si="3"/>
        <v>0</v>
      </c>
      <c r="L30">
        <f t="shared" si="10"/>
        <v>54</v>
      </c>
      <c r="M30">
        <f t="shared" si="11"/>
        <v>32</v>
      </c>
      <c r="N30">
        <f t="shared" si="12"/>
        <v>1</v>
      </c>
      <c r="O30">
        <f t="shared" si="13"/>
        <v>17</v>
      </c>
      <c r="P30">
        <f t="shared" si="4"/>
        <v>7</v>
      </c>
      <c r="Q30">
        <f t="shared" si="14"/>
        <v>37</v>
      </c>
      <c r="R30">
        <f t="shared" si="14"/>
        <v>25</v>
      </c>
      <c r="U30">
        <v>0</v>
      </c>
    </row>
    <row r="31" spans="1:21" x14ac:dyDescent="0.25">
      <c r="A31" s="1">
        <v>44680</v>
      </c>
      <c r="B31">
        <f t="shared" si="0"/>
        <v>5</v>
      </c>
      <c r="C31">
        <f t="shared" si="5"/>
        <v>37</v>
      </c>
      <c r="D31">
        <f t="shared" si="5"/>
        <v>25</v>
      </c>
      <c r="E31">
        <f t="shared" si="6"/>
        <v>0</v>
      </c>
      <c r="F31">
        <f t="shared" si="1"/>
        <v>0</v>
      </c>
      <c r="G31">
        <f t="shared" si="7"/>
        <v>0</v>
      </c>
      <c r="H31">
        <f t="shared" si="8"/>
        <v>0</v>
      </c>
      <c r="I31">
        <f t="shared" si="9"/>
        <v>0</v>
      </c>
      <c r="J31">
        <f t="shared" si="2"/>
        <v>0</v>
      </c>
      <c r="K31">
        <f t="shared" si="3"/>
        <v>0</v>
      </c>
      <c r="L31">
        <f t="shared" si="10"/>
        <v>37</v>
      </c>
      <c r="M31">
        <f t="shared" si="11"/>
        <v>25</v>
      </c>
      <c r="N31">
        <f t="shared" si="12"/>
        <v>1</v>
      </c>
      <c r="O31">
        <f t="shared" si="13"/>
        <v>12</v>
      </c>
      <c r="P31">
        <f t="shared" si="4"/>
        <v>5</v>
      </c>
      <c r="Q31">
        <f t="shared" si="14"/>
        <v>25</v>
      </c>
      <c r="R31">
        <f t="shared" si="14"/>
        <v>20</v>
      </c>
      <c r="U31">
        <v>0</v>
      </c>
    </row>
    <row r="32" spans="1:21" x14ac:dyDescent="0.25">
      <c r="A32" s="1">
        <v>44681</v>
      </c>
      <c r="B32">
        <f t="shared" si="0"/>
        <v>6</v>
      </c>
      <c r="C32">
        <f t="shared" si="5"/>
        <v>25</v>
      </c>
      <c r="D32">
        <f t="shared" si="5"/>
        <v>20</v>
      </c>
      <c r="E32">
        <f t="shared" si="6"/>
        <v>0</v>
      </c>
      <c r="F32">
        <f t="shared" si="1"/>
        <v>0</v>
      </c>
      <c r="G32">
        <f t="shared" si="7"/>
        <v>0</v>
      </c>
      <c r="H32">
        <f t="shared" si="8"/>
        <v>0</v>
      </c>
      <c r="I32">
        <f t="shared" si="9"/>
        <v>0</v>
      </c>
      <c r="J32">
        <f t="shared" si="2"/>
        <v>0</v>
      </c>
      <c r="K32">
        <f t="shared" si="3"/>
        <v>0</v>
      </c>
      <c r="L32">
        <f t="shared" si="10"/>
        <v>25</v>
      </c>
      <c r="M32">
        <f t="shared" si="11"/>
        <v>20</v>
      </c>
      <c r="N32">
        <f t="shared" si="12"/>
        <v>1</v>
      </c>
      <c r="O32">
        <f t="shared" si="13"/>
        <v>8</v>
      </c>
      <c r="P32">
        <f t="shared" si="4"/>
        <v>4</v>
      </c>
      <c r="Q32">
        <f t="shared" si="14"/>
        <v>17</v>
      </c>
      <c r="R32">
        <f t="shared" si="14"/>
        <v>16</v>
      </c>
      <c r="U32">
        <v>0</v>
      </c>
    </row>
    <row r="33" spans="1:26" x14ac:dyDescent="0.25">
      <c r="A33" s="1">
        <v>44682</v>
      </c>
      <c r="B33">
        <f t="shared" si="0"/>
        <v>7</v>
      </c>
      <c r="C33">
        <f t="shared" si="5"/>
        <v>17</v>
      </c>
      <c r="D33">
        <f t="shared" si="5"/>
        <v>16</v>
      </c>
      <c r="E33">
        <f t="shared" si="6"/>
        <v>0</v>
      </c>
      <c r="F33">
        <f t="shared" si="1"/>
        <v>0</v>
      </c>
      <c r="G33">
        <f t="shared" si="7"/>
        <v>0</v>
      </c>
      <c r="H33">
        <f t="shared" si="8"/>
        <v>0</v>
      </c>
      <c r="I33">
        <f t="shared" si="9"/>
        <v>0</v>
      </c>
      <c r="J33">
        <f t="shared" si="2"/>
        <v>0</v>
      </c>
      <c r="K33">
        <f t="shared" si="3"/>
        <v>0</v>
      </c>
      <c r="L33">
        <f t="shared" si="10"/>
        <v>17</v>
      </c>
      <c r="M33">
        <f t="shared" si="11"/>
        <v>16</v>
      </c>
      <c r="N33">
        <f t="shared" si="12"/>
        <v>0</v>
      </c>
      <c r="O33">
        <f t="shared" si="13"/>
        <v>0</v>
      </c>
      <c r="P33">
        <f t="shared" si="4"/>
        <v>0</v>
      </c>
      <c r="Q33">
        <f t="shared" si="14"/>
        <v>17</v>
      </c>
      <c r="R33">
        <f t="shared" si="14"/>
        <v>16</v>
      </c>
      <c r="U33">
        <v>0</v>
      </c>
    </row>
    <row r="34" spans="1:26" x14ac:dyDescent="0.25">
      <c r="A34" s="1">
        <v>44683</v>
      </c>
      <c r="B34">
        <f t="shared" si="0"/>
        <v>1</v>
      </c>
      <c r="C34">
        <f t="shared" si="5"/>
        <v>17</v>
      </c>
      <c r="D34">
        <f t="shared" si="5"/>
        <v>16</v>
      </c>
      <c r="E34">
        <f t="shared" si="6"/>
        <v>1</v>
      </c>
      <c r="F34">
        <f t="shared" si="1"/>
        <v>1</v>
      </c>
      <c r="G34">
        <f t="shared" si="7"/>
        <v>0</v>
      </c>
      <c r="H34">
        <f t="shared" si="8"/>
        <v>0</v>
      </c>
      <c r="I34">
        <f t="shared" si="9"/>
        <v>0</v>
      </c>
      <c r="J34">
        <f t="shared" si="2"/>
        <v>0</v>
      </c>
      <c r="K34">
        <f t="shared" si="3"/>
        <v>0</v>
      </c>
      <c r="L34">
        <f t="shared" si="10"/>
        <v>16</v>
      </c>
      <c r="M34">
        <f t="shared" si="11"/>
        <v>16</v>
      </c>
      <c r="N34">
        <f t="shared" si="12"/>
        <v>1</v>
      </c>
      <c r="O34">
        <f t="shared" si="13"/>
        <v>5</v>
      </c>
      <c r="P34">
        <f t="shared" si="4"/>
        <v>4</v>
      </c>
      <c r="Q34">
        <f t="shared" si="14"/>
        <v>11</v>
      </c>
      <c r="R34">
        <f t="shared" si="14"/>
        <v>12</v>
      </c>
      <c r="U34">
        <v>0</v>
      </c>
      <c r="X34">
        <f>COUNTIF(U29:U242,"&lt;10")</f>
        <v>148</v>
      </c>
      <c r="Y34" t="s">
        <v>16</v>
      </c>
    </row>
    <row r="35" spans="1:26" x14ac:dyDescent="0.25">
      <c r="A35" s="1">
        <v>44684</v>
      </c>
      <c r="B35">
        <f t="shared" si="0"/>
        <v>2</v>
      </c>
      <c r="C35">
        <f t="shared" si="5"/>
        <v>11</v>
      </c>
      <c r="D35">
        <f t="shared" si="5"/>
        <v>12</v>
      </c>
      <c r="E35">
        <f t="shared" si="6"/>
        <v>0</v>
      </c>
      <c r="F35">
        <f t="shared" si="1"/>
        <v>0</v>
      </c>
      <c r="G35">
        <f t="shared" si="7"/>
        <v>0</v>
      </c>
      <c r="H35">
        <f t="shared" si="8"/>
        <v>0</v>
      </c>
      <c r="I35">
        <f t="shared" si="9"/>
        <v>0</v>
      </c>
      <c r="J35">
        <f t="shared" si="2"/>
        <v>0</v>
      </c>
      <c r="K35">
        <f t="shared" si="3"/>
        <v>0</v>
      </c>
      <c r="L35">
        <f t="shared" si="10"/>
        <v>11</v>
      </c>
      <c r="M35">
        <f t="shared" si="11"/>
        <v>12</v>
      </c>
      <c r="N35">
        <f t="shared" si="12"/>
        <v>1</v>
      </c>
      <c r="O35">
        <f t="shared" si="13"/>
        <v>4</v>
      </c>
      <c r="P35">
        <f t="shared" si="4"/>
        <v>3</v>
      </c>
      <c r="Q35">
        <f t="shared" si="14"/>
        <v>7</v>
      </c>
      <c r="R35">
        <f t="shared" si="14"/>
        <v>9</v>
      </c>
      <c r="U35">
        <v>0</v>
      </c>
    </row>
    <row r="36" spans="1:26" x14ac:dyDescent="0.25">
      <c r="A36" s="1">
        <v>44685</v>
      </c>
      <c r="B36">
        <f t="shared" si="0"/>
        <v>3</v>
      </c>
      <c r="C36">
        <f t="shared" si="5"/>
        <v>7</v>
      </c>
      <c r="D36">
        <f t="shared" si="5"/>
        <v>9</v>
      </c>
      <c r="E36">
        <f t="shared" si="6"/>
        <v>0</v>
      </c>
      <c r="F36">
        <f t="shared" si="1"/>
        <v>0</v>
      </c>
      <c r="G36">
        <f t="shared" si="7"/>
        <v>0</v>
      </c>
      <c r="H36">
        <f t="shared" si="8"/>
        <v>0</v>
      </c>
      <c r="I36">
        <f t="shared" si="9"/>
        <v>0</v>
      </c>
      <c r="J36">
        <f t="shared" si="2"/>
        <v>0</v>
      </c>
      <c r="K36">
        <f t="shared" si="3"/>
        <v>0</v>
      </c>
      <c r="L36">
        <f t="shared" si="10"/>
        <v>7</v>
      </c>
      <c r="M36">
        <f t="shared" si="11"/>
        <v>9</v>
      </c>
      <c r="N36">
        <f t="shared" si="12"/>
        <v>1</v>
      </c>
      <c r="O36">
        <f t="shared" si="13"/>
        <v>3</v>
      </c>
      <c r="P36">
        <f t="shared" si="4"/>
        <v>2</v>
      </c>
      <c r="Q36">
        <f t="shared" si="14"/>
        <v>4</v>
      </c>
      <c r="R36">
        <f t="shared" si="14"/>
        <v>7</v>
      </c>
      <c r="U36">
        <v>0</v>
      </c>
      <c r="X36">
        <f>COUNTIFS(U29:U242, "&gt;=10",U29:U242,"&lt;20")</f>
        <v>63</v>
      </c>
      <c r="Y36" t="s">
        <v>17</v>
      </c>
      <c r="Z36" t="s">
        <v>18</v>
      </c>
    </row>
    <row r="37" spans="1:26" x14ac:dyDescent="0.25">
      <c r="A37" s="1">
        <v>44686</v>
      </c>
      <c r="B37">
        <f t="shared" si="0"/>
        <v>4</v>
      </c>
      <c r="C37">
        <f t="shared" si="5"/>
        <v>4</v>
      </c>
      <c r="D37">
        <f t="shared" si="5"/>
        <v>7</v>
      </c>
      <c r="E37">
        <f t="shared" si="6"/>
        <v>0</v>
      </c>
      <c r="F37">
        <f t="shared" si="1"/>
        <v>0</v>
      </c>
      <c r="G37">
        <f t="shared" si="7"/>
        <v>1</v>
      </c>
      <c r="H37">
        <f t="shared" si="8"/>
        <v>50</v>
      </c>
      <c r="I37">
        <f t="shared" si="9"/>
        <v>25</v>
      </c>
      <c r="J37">
        <f t="shared" si="2"/>
        <v>0</v>
      </c>
      <c r="K37">
        <f t="shared" si="3"/>
        <v>0</v>
      </c>
      <c r="L37">
        <f t="shared" si="10"/>
        <v>54</v>
      </c>
      <c r="M37">
        <f t="shared" si="11"/>
        <v>32</v>
      </c>
      <c r="N37">
        <f t="shared" si="12"/>
        <v>1</v>
      </c>
      <c r="O37">
        <f t="shared" si="13"/>
        <v>17</v>
      </c>
      <c r="P37">
        <f t="shared" si="4"/>
        <v>7</v>
      </c>
      <c r="Q37">
        <f t="shared" si="14"/>
        <v>37</v>
      </c>
      <c r="R37">
        <f t="shared" si="14"/>
        <v>25</v>
      </c>
      <c r="U37">
        <v>0</v>
      </c>
    </row>
    <row r="38" spans="1:26" x14ac:dyDescent="0.25">
      <c r="A38" s="1">
        <v>44687</v>
      </c>
      <c r="B38">
        <f t="shared" si="0"/>
        <v>5</v>
      </c>
      <c r="C38">
        <f t="shared" si="5"/>
        <v>37</v>
      </c>
      <c r="D38">
        <f t="shared" si="5"/>
        <v>25</v>
      </c>
      <c r="E38">
        <f t="shared" si="6"/>
        <v>0</v>
      </c>
      <c r="F38">
        <f t="shared" si="1"/>
        <v>0</v>
      </c>
      <c r="G38">
        <f t="shared" si="7"/>
        <v>0</v>
      </c>
      <c r="H38">
        <f t="shared" si="8"/>
        <v>0</v>
      </c>
      <c r="I38">
        <f t="shared" si="9"/>
        <v>0</v>
      </c>
      <c r="J38">
        <f t="shared" si="2"/>
        <v>0</v>
      </c>
      <c r="K38">
        <f t="shared" si="3"/>
        <v>0</v>
      </c>
      <c r="L38">
        <f t="shared" si="10"/>
        <v>37</v>
      </c>
      <c r="M38">
        <f t="shared" si="11"/>
        <v>25</v>
      </c>
      <c r="N38">
        <f t="shared" si="12"/>
        <v>1</v>
      </c>
      <c r="O38">
        <f t="shared" si="13"/>
        <v>12</v>
      </c>
      <c r="P38">
        <f t="shared" si="4"/>
        <v>5</v>
      </c>
      <c r="Q38">
        <f t="shared" si="14"/>
        <v>25</v>
      </c>
      <c r="R38">
        <f t="shared" si="14"/>
        <v>20</v>
      </c>
      <c r="U38">
        <v>0</v>
      </c>
      <c r="X38">
        <f>COUNTIF(U29:U242,"&gt;20")</f>
        <v>3</v>
      </c>
      <c r="Y38" t="s">
        <v>19</v>
      </c>
    </row>
    <row r="39" spans="1:26" x14ac:dyDescent="0.25">
      <c r="A39" s="1">
        <v>44688</v>
      </c>
      <c r="B39">
        <f t="shared" si="0"/>
        <v>6</v>
      </c>
      <c r="C39">
        <f t="shared" si="5"/>
        <v>25</v>
      </c>
      <c r="D39">
        <f t="shared" si="5"/>
        <v>20</v>
      </c>
      <c r="E39">
        <f t="shared" si="6"/>
        <v>0</v>
      </c>
      <c r="F39">
        <f t="shared" si="1"/>
        <v>0</v>
      </c>
      <c r="G39">
        <f t="shared" si="7"/>
        <v>0</v>
      </c>
      <c r="H39">
        <f t="shared" si="8"/>
        <v>0</v>
      </c>
      <c r="I39">
        <f t="shared" si="9"/>
        <v>0</v>
      </c>
      <c r="J39">
        <f t="shared" si="2"/>
        <v>0</v>
      </c>
      <c r="K39">
        <f t="shared" si="3"/>
        <v>0</v>
      </c>
      <c r="L39">
        <f t="shared" si="10"/>
        <v>25</v>
      </c>
      <c r="M39">
        <f t="shared" si="11"/>
        <v>20</v>
      </c>
      <c r="N39">
        <f t="shared" si="12"/>
        <v>1</v>
      </c>
      <c r="O39">
        <f t="shared" si="13"/>
        <v>8</v>
      </c>
      <c r="P39">
        <f t="shared" si="4"/>
        <v>4</v>
      </c>
      <c r="Q39">
        <f t="shared" si="14"/>
        <v>17</v>
      </c>
      <c r="R39">
        <f t="shared" si="14"/>
        <v>16</v>
      </c>
      <c r="U39">
        <v>0</v>
      </c>
    </row>
    <row r="40" spans="1:26" x14ac:dyDescent="0.25">
      <c r="A40" s="1">
        <v>44689</v>
      </c>
      <c r="B40">
        <f t="shared" si="0"/>
        <v>7</v>
      </c>
      <c r="C40">
        <f t="shared" si="5"/>
        <v>17</v>
      </c>
      <c r="D40">
        <f t="shared" si="5"/>
        <v>16</v>
      </c>
      <c r="E40">
        <f t="shared" si="6"/>
        <v>0</v>
      </c>
      <c r="F40">
        <f t="shared" si="1"/>
        <v>0</v>
      </c>
      <c r="G40">
        <f t="shared" si="7"/>
        <v>0</v>
      </c>
      <c r="H40">
        <f t="shared" si="8"/>
        <v>0</v>
      </c>
      <c r="I40">
        <f t="shared" si="9"/>
        <v>0</v>
      </c>
      <c r="J40">
        <f t="shared" si="2"/>
        <v>0</v>
      </c>
      <c r="K40">
        <f t="shared" si="3"/>
        <v>0</v>
      </c>
      <c r="L40">
        <f t="shared" si="10"/>
        <v>17</v>
      </c>
      <c r="M40">
        <f t="shared" si="11"/>
        <v>16</v>
      </c>
      <c r="N40">
        <f t="shared" si="12"/>
        <v>0</v>
      </c>
      <c r="O40">
        <f t="shared" si="13"/>
        <v>0</v>
      </c>
      <c r="P40">
        <f t="shared" si="4"/>
        <v>0</v>
      </c>
      <c r="Q40">
        <f t="shared" si="14"/>
        <v>17</v>
      </c>
      <c r="R40">
        <f t="shared" si="14"/>
        <v>16</v>
      </c>
      <c r="U40">
        <v>0</v>
      </c>
    </row>
    <row r="41" spans="1:26" x14ac:dyDescent="0.25">
      <c r="A41" s="1">
        <v>44690</v>
      </c>
      <c r="B41">
        <f t="shared" si="0"/>
        <v>1</v>
      </c>
      <c r="C41">
        <f t="shared" si="5"/>
        <v>17</v>
      </c>
      <c r="D41">
        <f t="shared" si="5"/>
        <v>16</v>
      </c>
      <c r="E41">
        <f t="shared" si="6"/>
        <v>1</v>
      </c>
      <c r="F41">
        <f t="shared" si="1"/>
        <v>1</v>
      </c>
      <c r="G41">
        <f t="shared" si="7"/>
        <v>0</v>
      </c>
      <c r="H41">
        <f t="shared" si="8"/>
        <v>0</v>
      </c>
      <c r="I41">
        <f t="shared" si="9"/>
        <v>0</v>
      </c>
      <c r="J41">
        <f t="shared" si="2"/>
        <v>0</v>
      </c>
      <c r="K41">
        <f t="shared" si="3"/>
        <v>0</v>
      </c>
      <c r="L41">
        <f t="shared" si="10"/>
        <v>16</v>
      </c>
      <c r="M41">
        <f t="shared" si="11"/>
        <v>16</v>
      </c>
      <c r="N41">
        <f t="shared" si="12"/>
        <v>1</v>
      </c>
      <c r="O41">
        <f t="shared" si="13"/>
        <v>5</v>
      </c>
      <c r="P41">
        <f t="shared" si="4"/>
        <v>4</v>
      </c>
      <c r="Q41">
        <f t="shared" si="14"/>
        <v>11</v>
      </c>
      <c r="R41">
        <f t="shared" si="14"/>
        <v>12</v>
      </c>
      <c r="U41">
        <v>0</v>
      </c>
    </row>
    <row r="42" spans="1:26" x14ac:dyDescent="0.25">
      <c r="A42" s="1">
        <v>44691</v>
      </c>
      <c r="B42">
        <f t="shared" si="0"/>
        <v>2</v>
      </c>
      <c r="C42">
        <f t="shared" si="5"/>
        <v>11</v>
      </c>
      <c r="D42">
        <f t="shared" si="5"/>
        <v>12</v>
      </c>
      <c r="E42">
        <f t="shared" si="6"/>
        <v>0</v>
      </c>
      <c r="F42">
        <f t="shared" si="1"/>
        <v>0</v>
      </c>
      <c r="G42">
        <f t="shared" si="7"/>
        <v>0</v>
      </c>
      <c r="H42">
        <f t="shared" si="8"/>
        <v>0</v>
      </c>
      <c r="I42">
        <f t="shared" si="9"/>
        <v>0</v>
      </c>
      <c r="J42">
        <f t="shared" si="2"/>
        <v>0</v>
      </c>
      <c r="K42">
        <f t="shared" si="3"/>
        <v>0</v>
      </c>
      <c r="L42">
        <f t="shared" si="10"/>
        <v>11</v>
      </c>
      <c r="M42">
        <f t="shared" si="11"/>
        <v>12</v>
      </c>
      <c r="N42">
        <f t="shared" si="12"/>
        <v>1</v>
      </c>
      <c r="O42">
        <f t="shared" si="13"/>
        <v>4</v>
      </c>
      <c r="P42">
        <f t="shared" si="4"/>
        <v>3</v>
      </c>
      <c r="Q42">
        <f t="shared" si="14"/>
        <v>7</v>
      </c>
      <c r="R42">
        <f t="shared" si="14"/>
        <v>9</v>
      </c>
      <c r="U42">
        <v>0</v>
      </c>
    </row>
    <row r="43" spans="1:26" x14ac:dyDescent="0.25">
      <c r="A43" s="1">
        <v>44692</v>
      </c>
      <c r="B43">
        <f t="shared" si="0"/>
        <v>3</v>
      </c>
      <c r="C43">
        <f t="shared" si="5"/>
        <v>7</v>
      </c>
      <c r="D43">
        <f t="shared" si="5"/>
        <v>9</v>
      </c>
      <c r="E43">
        <f t="shared" si="6"/>
        <v>0</v>
      </c>
      <c r="F43">
        <f t="shared" si="1"/>
        <v>0</v>
      </c>
      <c r="G43">
        <f t="shared" si="7"/>
        <v>0</v>
      </c>
      <c r="H43">
        <f t="shared" si="8"/>
        <v>0</v>
      </c>
      <c r="I43">
        <f t="shared" si="9"/>
        <v>0</v>
      </c>
      <c r="J43">
        <f t="shared" si="2"/>
        <v>0</v>
      </c>
      <c r="K43">
        <f t="shared" si="3"/>
        <v>0</v>
      </c>
      <c r="L43">
        <f t="shared" si="10"/>
        <v>7</v>
      </c>
      <c r="M43">
        <f t="shared" si="11"/>
        <v>9</v>
      </c>
      <c r="N43">
        <f t="shared" si="12"/>
        <v>1</v>
      </c>
      <c r="O43">
        <f t="shared" si="13"/>
        <v>3</v>
      </c>
      <c r="P43">
        <f t="shared" si="4"/>
        <v>2</v>
      </c>
      <c r="Q43">
        <f t="shared" si="14"/>
        <v>4</v>
      </c>
      <c r="R43">
        <f t="shared" si="14"/>
        <v>7</v>
      </c>
      <c r="U43">
        <v>0</v>
      </c>
    </row>
    <row r="44" spans="1:26" x14ac:dyDescent="0.25">
      <c r="A44" s="1">
        <v>44693</v>
      </c>
      <c r="B44">
        <f t="shared" si="0"/>
        <v>4</v>
      </c>
      <c r="C44">
        <f t="shared" si="5"/>
        <v>4</v>
      </c>
      <c r="D44">
        <f t="shared" si="5"/>
        <v>7</v>
      </c>
      <c r="E44">
        <f t="shared" si="6"/>
        <v>0</v>
      </c>
      <c r="F44">
        <f t="shared" si="1"/>
        <v>0</v>
      </c>
      <c r="G44">
        <f t="shared" si="7"/>
        <v>1</v>
      </c>
      <c r="H44">
        <f t="shared" si="8"/>
        <v>50</v>
      </c>
      <c r="I44">
        <f t="shared" si="9"/>
        <v>25</v>
      </c>
      <c r="J44">
        <f t="shared" si="2"/>
        <v>0</v>
      </c>
      <c r="K44">
        <f t="shared" si="3"/>
        <v>0</v>
      </c>
      <c r="L44">
        <f t="shared" si="10"/>
        <v>54</v>
      </c>
      <c r="M44">
        <f t="shared" si="11"/>
        <v>32</v>
      </c>
      <c r="N44">
        <f t="shared" si="12"/>
        <v>1</v>
      </c>
      <c r="O44">
        <f t="shared" si="13"/>
        <v>17</v>
      </c>
      <c r="P44">
        <f t="shared" si="4"/>
        <v>7</v>
      </c>
      <c r="Q44">
        <f t="shared" si="14"/>
        <v>37</v>
      </c>
      <c r="R44">
        <f t="shared" si="14"/>
        <v>25</v>
      </c>
      <c r="U44">
        <v>0</v>
      </c>
    </row>
    <row r="45" spans="1:26" x14ac:dyDescent="0.25">
      <c r="A45" s="1">
        <v>44694</v>
      </c>
      <c r="B45">
        <f t="shared" si="0"/>
        <v>5</v>
      </c>
      <c r="C45">
        <f t="shared" si="5"/>
        <v>37</v>
      </c>
      <c r="D45">
        <f t="shared" si="5"/>
        <v>25</v>
      </c>
      <c r="E45">
        <f t="shared" si="6"/>
        <v>0</v>
      </c>
      <c r="F45">
        <f t="shared" si="1"/>
        <v>0</v>
      </c>
      <c r="G45">
        <f t="shared" si="7"/>
        <v>0</v>
      </c>
      <c r="H45">
        <f t="shared" si="8"/>
        <v>0</v>
      </c>
      <c r="I45">
        <f t="shared" si="9"/>
        <v>0</v>
      </c>
      <c r="J45">
        <f t="shared" si="2"/>
        <v>0</v>
      </c>
      <c r="K45">
        <f t="shared" si="3"/>
        <v>0</v>
      </c>
      <c r="L45">
        <f t="shared" si="10"/>
        <v>37</v>
      </c>
      <c r="M45">
        <f t="shared" si="11"/>
        <v>25</v>
      </c>
      <c r="N45">
        <f t="shared" si="12"/>
        <v>1</v>
      </c>
      <c r="O45">
        <f t="shared" si="13"/>
        <v>12</v>
      </c>
      <c r="P45">
        <f t="shared" si="4"/>
        <v>5</v>
      </c>
      <c r="Q45">
        <f t="shared" si="14"/>
        <v>25</v>
      </c>
      <c r="R45">
        <f t="shared" si="14"/>
        <v>20</v>
      </c>
      <c r="U45">
        <v>0</v>
      </c>
    </row>
    <row r="46" spans="1:26" x14ac:dyDescent="0.25">
      <c r="A46" s="1">
        <v>44695</v>
      </c>
      <c r="B46">
        <f t="shared" si="0"/>
        <v>6</v>
      </c>
      <c r="C46">
        <f t="shared" si="5"/>
        <v>25</v>
      </c>
      <c r="D46">
        <f t="shared" si="5"/>
        <v>20</v>
      </c>
      <c r="E46">
        <f t="shared" si="6"/>
        <v>0</v>
      </c>
      <c r="F46">
        <f t="shared" si="1"/>
        <v>0</v>
      </c>
      <c r="G46">
        <f t="shared" si="7"/>
        <v>0</v>
      </c>
      <c r="H46">
        <f t="shared" si="8"/>
        <v>0</v>
      </c>
      <c r="I46">
        <f t="shared" si="9"/>
        <v>0</v>
      </c>
      <c r="J46">
        <f t="shared" si="2"/>
        <v>0</v>
      </c>
      <c r="K46">
        <f t="shared" si="3"/>
        <v>0</v>
      </c>
      <c r="L46">
        <f t="shared" si="10"/>
        <v>25</v>
      </c>
      <c r="M46">
        <f t="shared" si="11"/>
        <v>20</v>
      </c>
      <c r="N46">
        <f t="shared" si="12"/>
        <v>1</v>
      </c>
      <c r="O46">
        <f t="shared" si="13"/>
        <v>8</v>
      </c>
      <c r="P46">
        <f t="shared" si="4"/>
        <v>4</v>
      </c>
      <c r="Q46">
        <f t="shared" si="14"/>
        <v>17</v>
      </c>
      <c r="R46">
        <f t="shared" si="14"/>
        <v>16</v>
      </c>
      <c r="U46">
        <v>0</v>
      </c>
    </row>
    <row r="47" spans="1:26" x14ac:dyDescent="0.25">
      <c r="A47" s="1">
        <v>44696</v>
      </c>
      <c r="B47">
        <f t="shared" si="0"/>
        <v>7</v>
      </c>
      <c r="C47">
        <f t="shared" si="5"/>
        <v>17</v>
      </c>
      <c r="D47">
        <f t="shared" si="5"/>
        <v>16</v>
      </c>
      <c r="E47">
        <f t="shared" si="6"/>
        <v>0</v>
      </c>
      <c r="F47">
        <f t="shared" si="1"/>
        <v>0</v>
      </c>
      <c r="G47">
        <f t="shared" si="7"/>
        <v>0</v>
      </c>
      <c r="H47">
        <f t="shared" si="8"/>
        <v>0</v>
      </c>
      <c r="I47">
        <f t="shared" si="9"/>
        <v>0</v>
      </c>
      <c r="J47">
        <f t="shared" si="2"/>
        <v>0</v>
      </c>
      <c r="K47">
        <f t="shared" si="3"/>
        <v>0</v>
      </c>
      <c r="L47">
        <f t="shared" si="10"/>
        <v>17</v>
      </c>
      <c r="M47">
        <f t="shared" si="11"/>
        <v>16</v>
      </c>
      <c r="N47">
        <f t="shared" si="12"/>
        <v>0</v>
      </c>
      <c r="O47">
        <f t="shared" si="13"/>
        <v>0</v>
      </c>
      <c r="P47">
        <f t="shared" si="4"/>
        <v>0</v>
      </c>
      <c r="Q47">
        <f t="shared" si="14"/>
        <v>17</v>
      </c>
      <c r="R47">
        <f t="shared" si="14"/>
        <v>16</v>
      </c>
      <c r="U47">
        <v>0</v>
      </c>
    </row>
    <row r="48" spans="1:26" x14ac:dyDescent="0.25">
      <c r="A48" s="1">
        <v>44697</v>
      </c>
      <c r="B48">
        <f t="shared" si="0"/>
        <v>1</v>
      </c>
      <c r="C48">
        <f t="shared" si="5"/>
        <v>17</v>
      </c>
      <c r="D48">
        <f t="shared" si="5"/>
        <v>16</v>
      </c>
      <c r="E48">
        <f t="shared" si="6"/>
        <v>1</v>
      </c>
      <c r="F48">
        <f t="shared" si="1"/>
        <v>1</v>
      </c>
      <c r="G48">
        <f t="shared" si="7"/>
        <v>0</v>
      </c>
      <c r="H48">
        <f t="shared" si="8"/>
        <v>0</v>
      </c>
      <c r="I48">
        <f t="shared" si="9"/>
        <v>0</v>
      </c>
      <c r="J48">
        <f t="shared" si="2"/>
        <v>0</v>
      </c>
      <c r="K48">
        <f t="shared" si="3"/>
        <v>0</v>
      </c>
      <c r="L48">
        <f t="shared" si="10"/>
        <v>16</v>
      </c>
      <c r="M48">
        <f t="shared" si="11"/>
        <v>16</v>
      </c>
      <c r="N48">
        <f t="shared" si="12"/>
        <v>1</v>
      </c>
      <c r="O48">
        <f t="shared" si="13"/>
        <v>5</v>
      </c>
      <c r="P48">
        <f t="shared" si="4"/>
        <v>4</v>
      </c>
      <c r="Q48">
        <f t="shared" si="14"/>
        <v>11</v>
      </c>
      <c r="R48">
        <f t="shared" si="14"/>
        <v>12</v>
      </c>
      <c r="U48">
        <v>0</v>
      </c>
    </row>
    <row r="49" spans="1:21" x14ac:dyDescent="0.25">
      <c r="A49" s="1">
        <v>44698</v>
      </c>
      <c r="B49">
        <f t="shared" si="0"/>
        <v>2</v>
      </c>
      <c r="C49">
        <f t="shared" si="5"/>
        <v>11</v>
      </c>
      <c r="D49">
        <f t="shared" si="5"/>
        <v>12</v>
      </c>
      <c r="E49">
        <f t="shared" si="6"/>
        <v>0</v>
      </c>
      <c r="F49">
        <f t="shared" si="1"/>
        <v>0</v>
      </c>
      <c r="G49">
        <f t="shared" si="7"/>
        <v>0</v>
      </c>
      <c r="H49">
        <f t="shared" si="8"/>
        <v>0</v>
      </c>
      <c r="I49">
        <f t="shared" si="9"/>
        <v>0</v>
      </c>
      <c r="J49">
        <f t="shared" si="2"/>
        <v>0</v>
      </c>
      <c r="K49">
        <f t="shared" si="3"/>
        <v>0</v>
      </c>
      <c r="L49">
        <f t="shared" si="10"/>
        <v>11</v>
      </c>
      <c r="M49">
        <f t="shared" si="11"/>
        <v>12</v>
      </c>
      <c r="N49">
        <f t="shared" si="12"/>
        <v>1</v>
      </c>
      <c r="O49">
        <f t="shared" si="13"/>
        <v>4</v>
      </c>
      <c r="P49">
        <f t="shared" si="4"/>
        <v>3</v>
      </c>
      <c r="Q49">
        <f t="shared" si="14"/>
        <v>7</v>
      </c>
      <c r="R49">
        <f t="shared" si="14"/>
        <v>9</v>
      </c>
      <c r="U49">
        <v>0</v>
      </c>
    </row>
    <row r="50" spans="1:21" x14ac:dyDescent="0.25">
      <c r="A50" s="1">
        <v>44699</v>
      </c>
      <c r="B50">
        <f t="shared" si="0"/>
        <v>3</v>
      </c>
      <c r="C50">
        <f t="shared" si="5"/>
        <v>7</v>
      </c>
      <c r="D50">
        <f t="shared" si="5"/>
        <v>9</v>
      </c>
      <c r="E50">
        <f t="shared" si="6"/>
        <v>0</v>
      </c>
      <c r="F50">
        <f t="shared" si="1"/>
        <v>0</v>
      </c>
      <c r="G50">
        <f t="shared" si="7"/>
        <v>0</v>
      </c>
      <c r="H50">
        <f t="shared" si="8"/>
        <v>0</v>
      </c>
      <c r="I50">
        <f t="shared" si="9"/>
        <v>0</v>
      </c>
      <c r="J50">
        <f t="shared" si="2"/>
        <v>0</v>
      </c>
      <c r="K50">
        <f t="shared" si="3"/>
        <v>0</v>
      </c>
      <c r="L50">
        <f t="shared" si="10"/>
        <v>7</v>
      </c>
      <c r="M50">
        <f t="shared" si="11"/>
        <v>9</v>
      </c>
      <c r="N50">
        <f t="shared" si="12"/>
        <v>1</v>
      </c>
      <c r="O50">
        <f t="shared" si="13"/>
        <v>3</v>
      </c>
      <c r="P50">
        <f t="shared" si="4"/>
        <v>2</v>
      </c>
      <c r="Q50">
        <f t="shared" si="14"/>
        <v>4</v>
      </c>
      <c r="R50">
        <f t="shared" si="14"/>
        <v>7</v>
      </c>
      <c r="U50">
        <v>0</v>
      </c>
    </row>
    <row r="51" spans="1:21" x14ac:dyDescent="0.25">
      <c r="A51" s="1">
        <v>44700</v>
      </c>
      <c r="B51">
        <f t="shared" si="0"/>
        <v>4</v>
      </c>
      <c r="C51">
        <f t="shared" si="5"/>
        <v>4</v>
      </c>
      <c r="D51">
        <f t="shared" si="5"/>
        <v>7</v>
      </c>
      <c r="E51">
        <f t="shared" si="6"/>
        <v>0</v>
      </c>
      <c r="F51">
        <f t="shared" si="1"/>
        <v>0</v>
      </c>
      <c r="G51">
        <f t="shared" si="7"/>
        <v>1</v>
      </c>
      <c r="H51">
        <f t="shared" si="8"/>
        <v>50</v>
      </c>
      <c r="I51">
        <f t="shared" si="9"/>
        <v>25</v>
      </c>
      <c r="J51">
        <f t="shared" si="2"/>
        <v>0</v>
      </c>
      <c r="K51">
        <f t="shared" si="3"/>
        <v>0</v>
      </c>
      <c r="L51">
        <f t="shared" si="10"/>
        <v>54</v>
      </c>
      <c r="M51">
        <f t="shared" si="11"/>
        <v>32</v>
      </c>
      <c r="N51">
        <f t="shared" si="12"/>
        <v>1</v>
      </c>
      <c r="O51">
        <f t="shared" si="13"/>
        <v>17</v>
      </c>
      <c r="P51">
        <f t="shared" si="4"/>
        <v>7</v>
      </c>
      <c r="Q51">
        <f t="shared" si="14"/>
        <v>37</v>
      </c>
      <c r="R51">
        <f t="shared" si="14"/>
        <v>25</v>
      </c>
      <c r="U51">
        <v>0</v>
      </c>
    </row>
    <row r="52" spans="1:21" x14ac:dyDescent="0.25">
      <c r="A52" s="1">
        <v>44701</v>
      </c>
      <c r="B52">
        <f t="shared" si="0"/>
        <v>5</v>
      </c>
      <c r="C52">
        <f t="shared" si="5"/>
        <v>37</v>
      </c>
      <c r="D52">
        <f t="shared" si="5"/>
        <v>25</v>
      </c>
      <c r="E52">
        <f t="shared" si="6"/>
        <v>0</v>
      </c>
      <c r="F52">
        <f t="shared" si="1"/>
        <v>0</v>
      </c>
      <c r="G52">
        <f t="shared" si="7"/>
        <v>0</v>
      </c>
      <c r="H52">
        <f t="shared" si="8"/>
        <v>0</v>
      </c>
      <c r="I52">
        <f t="shared" si="9"/>
        <v>0</v>
      </c>
      <c r="J52">
        <f t="shared" si="2"/>
        <v>0</v>
      </c>
      <c r="K52">
        <f t="shared" si="3"/>
        <v>0</v>
      </c>
      <c r="L52">
        <f t="shared" si="10"/>
        <v>37</v>
      </c>
      <c r="M52">
        <f t="shared" si="11"/>
        <v>25</v>
      </c>
      <c r="N52">
        <f t="shared" si="12"/>
        <v>1</v>
      </c>
      <c r="O52">
        <f t="shared" si="13"/>
        <v>12</v>
      </c>
      <c r="P52">
        <f t="shared" si="4"/>
        <v>5</v>
      </c>
      <c r="Q52">
        <f t="shared" si="14"/>
        <v>25</v>
      </c>
      <c r="R52">
        <f t="shared" si="14"/>
        <v>20</v>
      </c>
      <c r="U52">
        <v>0</v>
      </c>
    </row>
    <row r="53" spans="1:21" x14ac:dyDescent="0.25">
      <c r="A53" s="1">
        <v>44702</v>
      </c>
      <c r="B53">
        <f t="shared" si="0"/>
        <v>6</v>
      </c>
      <c r="C53">
        <f t="shared" si="5"/>
        <v>25</v>
      </c>
      <c r="D53">
        <f t="shared" si="5"/>
        <v>20</v>
      </c>
      <c r="E53">
        <f t="shared" si="6"/>
        <v>0</v>
      </c>
      <c r="F53">
        <f t="shared" si="1"/>
        <v>0</v>
      </c>
      <c r="G53">
        <f t="shared" si="7"/>
        <v>0</v>
      </c>
      <c r="H53">
        <f t="shared" si="8"/>
        <v>0</v>
      </c>
      <c r="I53">
        <f t="shared" si="9"/>
        <v>0</v>
      </c>
      <c r="J53">
        <f t="shared" si="2"/>
        <v>0</v>
      </c>
      <c r="K53">
        <f t="shared" si="3"/>
        <v>0</v>
      </c>
      <c r="L53">
        <f t="shared" si="10"/>
        <v>25</v>
      </c>
      <c r="M53">
        <f t="shared" si="11"/>
        <v>20</v>
      </c>
      <c r="N53">
        <f t="shared" si="12"/>
        <v>1</v>
      </c>
      <c r="O53">
        <f t="shared" si="13"/>
        <v>8</v>
      </c>
      <c r="P53">
        <f t="shared" si="4"/>
        <v>4</v>
      </c>
      <c r="Q53">
        <f t="shared" si="14"/>
        <v>17</v>
      </c>
      <c r="R53">
        <f t="shared" si="14"/>
        <v>16</v>
      </c>
      <c r="U53">
        <v>0</v>
      </c>
    </row>
    <row r="54" spans="1:21" x14ac:dyDescent="0.25">
      <c r="A54" s="1">
        <v>44703</v>
      </c>
      <c r="B54">
        <f t="shared" si="0"/>
        <v>7</v>
      </c>
      <c r="C54">
        <f t="shared" si="5"/>
        <v>17</v>
      </c>
      <c r="D54">
        <f t="shared" si="5"/>
        <v>16</v>
      </c>
      <c r="E54">
        <f t="shared" si="6"/>
        <v>0</v>
      </c>
      <c r="F54">
        <f t="shared" si="1"/>
        <v>0</v>
      </c>
      <c r="G54">
        <f t="shared" si="7"/>
        <v>0</v>
      </c>
      <c r="H54">
        <f t="shared" si="8"/>
        <v>0</v>
      </c>
      <c r="I54">
        <f t="shared" si="9"/>
        <v>0</v>
      </c>
      <c r="J54">
        <f t="shared" si="2"/>
        <v>0</v>
      </c>
      <c r="K54">
        <f t="shared" si="3"/>
        <v>0</v>
      </c>
      <c r="L54">
        <f t="shared" si="10"/>
        <v>17</v>
      </c>
      <c r="M54">
        <f t="shared" si="11"/>
        <v>16</v>
      </c>
      <c r="N54">
        <f t="shared" si="12"/>
        <v>0</v>
      </c>
      <c r="O54">
        <f t="shared" si="13"/>
        <v>0</v>
      </c>
      <c r="P54">
        <f t="shared" si="4"/>
        <v>0</v>
      </c>
      <c r="Q54">
        <f t="shared" si="14"/>
        <v>17</v>
      </c>
      <c r="R54">
        <f t="shared" si="14"/>
        <v>16</v>
      </c>
      <c r="U54">
        <v>0</v>
      </c>
    </row>
    <row r="55" spans="1:21" x14ac:dyDescent="0.25">
      <c r="A55" s="1">
        <v>44704</v>
      </c>
      <c r="B55">
        <f t="shared" si="0"/>
        <v>1</v>
      </c>
      <c r="C55">
        <f t="shared" si="5"/>
        <v>17</v>
      </c>
      <c r="D55">
        <f t="shared" si="5"/>
        <v>16</v>
      </c>
      <c r="E55">
        <f t="shared" si="6"/>
        <v>1</v>
      </c>
      <c r="F55">
        <f t="shared" si="1"/>
        <v>1</v>
      </c>
      <c r="G55">
        <f t="shared" si="7"/>
        <v>0</v>
      </c>
      <c r="H55">
        <f t="shared" si="8"/>
        <v>0</v>
      </c>
      <c r="I55">
        <f t="shared" si="9"/>
        <v>0</v>
      </c>
      <c r="J55">
        <f t="shared" si="2"/>
        <v>0</v>
      </c>
      <c r="K55">
        <f t="shared" si="3"/>
        <v>0</v>
      </c>
      <c r="L55">
        <f t="shared" si="10"/>
        <v>16</v>
      </c>
      <c r="M55">
        <f t="shared" si="11"/>
        <v>16</v>
      </c>
      <c r="N55">
        <f t="shared" si="12"/>
        <v>1</v>
      </c>
      <c r="O55">
        <f t="shared" si="13"/>
        <v>5</v>
      </c>
      <c r="P55">
        <f t="shared" si="4"/>
        <v>4</v>
      </c>
      <c r="Q55">
        <f t="shared" si="14"/>
        <v>11</v>
      </c>
      <c r="R55">
        <f t="shared" si="14"/>
        <v>12</v>
      </c>
      <c r="U55">
        <v>0</v>
      </c>
    </row>
    <row r="56" spans="1:21" x14ac:dyDescent="0.25">
      <c r="A56" s="1">
        <v>44705</v>
      </c>
      <c r="B56">
        <f t="shared" si="0"/>
        <v>2</v>
      </c>
      <c r="C56">
        <f t="shared" si="5"/>
        <v>11</v>
      </c>
      <c r="D56">
        <f t="shared" si="5"/>
        <v>12</v>
      </c>
      <c r="E56">
        <f t="shared" si="6"/>
        <v>0</v>
      </c>
      <c r="F56">
        <f t="shared" si="1"/>
        <v>0</v>
      </c>
      <c r="G56">
        <f t="shared" si="7"/>
        <v>0</v>
      </c>
      <c r="H56">
        <f t="shared" si="8"/>
        <v>0</v>
      </c>
      <c r="I56">
        <f t="shared" si="9"/>
        <v>0</v>
      </c>
      <c r="J56">
        <f t="shared" si="2"/>
        <v>0</v>
      </c>
      <c r="K56">
        <f t="shared" si="3"/>
        <v>0</v>
      </c>
      <c r="L56">
        <f t="shared" si="10"/>
        <v>11</v>
      </c>
      <c r="M56">
        <f t="shared" si="11"/>
        <v>12</v>
      </c>
      <c r="N56">
        <f t="shared" si="12"/>
        <v>1</v>
      </c>
      <c r="O56">
        <f t="shared" si="13"/>
        <v>4</v>
      </c>
      <c r="P56">
        <f t="shared" si="4"/>
        <v>3</v>
      </c>
      <c r="Q56">
        <f t="shared" si="14"/>
        <v>7</v>
      </c>
      <c r="R56">
        <f t="shared" si="14"/>
        <v>9</v>
      </c>
      <c r="U56">
        <v>0</v>
      </c>
    </row>
    <row r="57" spans="1:21" x14ac:dyDescent="0.25">
      <c r="A57" s="1">
        <v>44706</v>
      </c>
      <c r="B57">
        <f t="shared" si="0"/>
        <v>3</v>
      </c>
      <c r="C57">
        <f t="shared" si="5"/>
        <v>7</v>
      </c>
      <c r="D57">
        <f t="shared" si="5"/>
        <v>9</v>
      </c>
      <c r="E57">
        <f t="shared" si="6"/>
        <v>0</v>
      </c>
      <c r="F57">
        <f t="shared" si="1"/>
        <v>0</v>
      </c>
      <c r="G57">
        <f t="shared" si="7"/>
        <v>0</v>
      </c>
      <c r="H57">
        <f t="shared" si="8"/>
        <v>0</v>
      </c>
      <c r="I57">
        <f t="shared" si="9"/>
        <v>0</v>
      </c>
      <c r="J57">
        <f t="shared" si="2"/>
        <v>0</v>
      </c>
      <c r="K57">
        <f t="shared" si="3"/>
        <v>0</v>
      </c>
      <c r="L57">
        <f t="shared" si="10"/>
        <v>7</v>
      </c>
      <c r="M57">
        <f t="shared" si="11"/>
        <v>9</v>
      </c>
      <c r="N57">
        <f t="shared" si="12"/>
        <v>1</v>
      </c>
      <c r="O57">
        <f t="shared" si="13"/>
        <v>3</v>
      </c>
      <c r="P57">
        <f t="shared" si="4"/>
        <v>2</v>
      </c>
      <c r="Q57">
        <f t="shared" si="14"/>
        <v>4</v>
      </c>
      <c r="R57">
        <f t="shared" si="14"/>
        <v>7</v>
      </c>
      <c r="U57">
        <v>0</v>
      </c>
    </row>
    <row r="58" spans="1:21" x14ac:dyDescent="0.25">
      <c r="A58" s="1">
        <v>44707</v>
      </c>
      <c r="B58">
        <f t="shared" si="0"/>
        <v>4</v>
      </c>
      <c r="C58">
        <f t="shared" si="5"/>
        <v>4</v>
      </c>
      <c r="D58">
        <f t="shared" si="5"/>
        <v>7</v>
      </c>
      <c r="E58">
        <f t="shared" si="6"/>
        <v>0</v>
      </c>
      <c r="F58">
        <f t="shared" si="1"/>
        <v>0</v>
      </c>
      <c r="G58">
        <f t="shared" si="7"/>
        <v>1</v>
      </c>
      <c r="H58">
        <f t="shared" si="8"/>
        <v>50</v>
      </c>
      <c r="I58">
        <f t="shared" si="9"/>
        <v>25</v>
      </c>
      <c r="J58">
        <f t="shared" si="2"/>
        <v>0</v>
      </c>
      <c r="K58">
        <f t="shared" si="3"/>
        <v>0</v>
      </c>
      <c r="L58">
        <f t="shared" si="10"/>
        <v>54</v>
      </c>
      <c r="M58">
        <f t="shared" si="11"/>
        <v>32</v>
      </c>
      <c r="N58">
        <f t="shared" si="12"/>
        <v>1</v>
      </c>
      <c r="O58">
        <f t="shared" si="13"/>
        <v>17</v>
      </c>
      <c r="P58">
        <f t="shared" si="4"/>
        <v>7</v>
      </c>
      <c r="Q58">
        <f t="shared" si="14"/>
        <v>37</v>
      </c>
      <c r="R58">
        <f t="shared" si="14"/>
        <v>25</v>
      </c>
      <c r="U58">
        <v>0</v>
      </c>
    </row>
    <row r="59" spans="1:21" x14ac:dyDescent="0.25">
      <c r="A59" s="1">
        <v>44708</v>
      </c>
      <c r="B59">
        <f t="shared" si="0"/>
        <v>5</v>
      </c>
      <c r="C59">
        <f t="shared" si="5"/>
        <v>37</v>
      </c>
      <c r="D59">
        <f t="shared" si="5"/>
        <v>25</v>
      </c>
      <c r="E59">
        <f t="shared" si="6"/>
        <v>0</v>
      </c>
      <c r="F59">
        <f t="shared" si="1"/>
        <v>0</v>
      </c>
      <c r="G59">
        <f t="shared" si="7"/>
        <v>0</v>
      </c>
      <c r="H59">
        <f t="shared" si="8"/>
        <v>0</v>
      </c>
      <c r="I59">
        <f t="shared" si="9"/>
        <v>0</v>
      </c>
      <c r="J59">
        <f t="shared" si="2"/>
        <v>0</v>
      </c>
      <c r="K59">
        <f t="shared" si="3"/>
        <v>0</v>
      </c>
      <c r="L59">
        <f t="shared" si="10"/>
        <v>37</v>
      </c>
      <c r="M59">
        <f t="shared" si="11"/>
        <v>25</v>
      </c>
      <c r="N59">
        <f t="shared" si="12"/>
        <v>1</v>
      </c>
      <c r="O59">
        <f t="shared" si="13"/>
        <v>12</v>
      </c>
      <c r="P59">
        <f t="shared" si="4"/>
        <v>5</v>
      </c>
      <c r="Q59">
        <f t="shared" si="14"/>
        <v>25</v>
      </c>
      <c r="R59">
        <f t="shared" si="14"/>
        <v>20</v>
      </c>
      <c r="U59">
        <v>0</v>
      </c>
    </row>
    <row r="60" spans="1:21" x14ac:dyDescent="0.25">
      <c r="A60" s="1">
        <v>44709</v>
      </c>
      <c r="B60">
        <f t="shared" si="0"/>
        <v>6</v>
      </c>
      <c r="C60">
        <f t="shared" si="5"/>
        <v>25</v>
      </c>
      <c r="D60">
        <f t="shared" si="5"/>
        <v>20</v>
      </c>
      <c r="E60">
        <f t="shared" si="6"/>
        <v>0</v>
      </c>
      <c r="F60">
        <f t="shared" si="1"/>
        <v>0</v>
      </c>
      <c r="G60">
        <f t="shared" si="7"/>
        <v>0</v>
      </c>
      <c r="H60">
        <f t="shared" si="8"/>
        <v>0</v>
      </c>
      <c r="I60">
        <f t="shared" si="9"/>
        <v>0</v>
      </c>
      <c r="J60">
        <f t="shared" si="2"/>
        <v>0</v>
      </c>
      <c r="K60">
        <f t="shared" si="3"/>
        <v>0</v>
      </c>
      <c r="L60">
        <f t="shared" si="10"/>
        <v>25</v>
      </c>
      <c r="M60">
        <f t="shared" si="11"/>
        <v>20</v>
      </c>
      <c r="N60">
        <f t="shared" si="12"/>
        <v>1</v>
      </c>
      <c r="O60">
        <f t="shared" si="13"/>
        <v>8</v>
      </c>
      <c r="P60">
        <f t="shared" si="4"/>
        <v>4</v>
      </c>
      <c r="Q60">
        <f t="shared" si="14"/>
        <v>17</v>
      </c>
      <c r="R60">
        <f t="shared" si="14"/>
        <v>16</v>
      </c>
      <c r="U60">
        <v>3</v>
      </c>
    </row>
    <row r="61" spans="1:21" x14ac:dyDescent="0.25">
      <c r="A61" s="1">
        <v>44710</v>
      </c>
      <c r="B61">
        <f t="shared" si="0"/>
        <v>7</v>
      </c>
      <c r="C61">
        <f t="shared" si="5"/>
        <v>17</v>
      </c>
      <c r="D61">
        <f t="shared" si="5"/>
        <v>16</v>
      </c>
      <c r="E61">
        <f t="shared" si="6"/>
        <v>0</v>
      </c>
      <c r="F61">
        <f t="shared" si="1"/>
        <v>0</v>
      </c>
      <c r="G61">
        <f t="shared" si="7"/>
        <v>0</v>
      </c>
      <c r="H61">
        <f t="shared" si="8"/>
        <v>0</v>
      </c>
      <c r="I61">
        <f t="shared" si="9"/>
        <v>0</v>
      </c>
      <c r="J61">
        <f t="shared" si="2"/>
        <v>0</v>
      </c>
      <c r="K61">
        <f t="shared" si="3"/>
        <v>0</v>
      </c>
      <c r="L61">
        <f t="shared" si="10"/>
        <v>17</v>
      </c>
      <c r="M61">
        <f t="shared" si="11"/>
        <v>16</v>
      </c>
      <c r="N61">
        <f t="shared" si="12"/>
        <v>0</v>
      </c>
      <c r="O61">
        <f t="shared" si="13"/>
        <v>0</v>
      </c>
      <c r="P61">
        <f t="shared" si="4"/>
        <v>0</v>
      </c>
      <c r="Q61">
        <f t="shared" si="14"/>
        <v>17</v>
      </c>
      <c r="R61">
        <f t="shared" si="14"/>
        <v>16</v>
      </c>
      <c r="U61">
        <v>3</v>
      </c>
    </row>
    <row r="62" spans="1:21" x14ac:dyDescent="0.25">
      <c r="A62" s="1">
        <v>44711</v>
      </c>
      <c r="B62">
        <f t="shared" si="0"/>
        <v>1</v>
      </c>
      <c r="C62">
        <f t="shared" si="5"/>
        <v>17</v>
      </c>
      <c r="D62">
        <f t="shared" si="5"/>
        <v>16</v>
      </c>
      <c r="E62">
        <f t="shared" si="6"/>
        <v>1</v>
      </c>
      <c r="F62">
        <f t="shared" si="1"/>
        <v>1</v>
      </c>
      <c r="G62">
        <f t="shared" si="7"/>
        <v>0</v>
      </c>
      <c r="H62">
        <f t="shared" si="8"/>
        <v>0</v>
      </c>
      <c r="I62">
        <f t="shared" si="9"/>
        <v>0</v>
      </c>
      <c r="J62">
        <f t="shared" si="2"/>
        <v>0</v>
      </c>
      <c r="K62">
        <f t="shared" si="3"/>
        <v>0</v>
      </c>
      <c r="L62">
        <f t="shared" si="10"/>
        <v>16</v>
      </c>
      <c r="M62">
        <f t="shared" si="11"/>
        <v>16</v>
      </c>
      <c r="N62">
        <f t="shared" si="12"/>
        <v>1</v>
      </c>
      <c r="O62">
        <f t="shared" si="13"/>
        <v>5</v>
      </c>
      <c r="P62">
        <f t="shared" si="4"/>
        <v>4</v>
      </c>
      <c r="Q62">
        <f t="shared" si="14"/>
        <v>11</v>
      </c>
      <c r="R62">
        <f t="shared" si="14"/>
        <v>12</v>
      </c>
      <c r="U62">
        <v>3</v>
      </c>
    </row>
    <row r="63" spans="1:21" x14ac:dyDescent="0.25">
      <c r="A63" s="1">
        <v>44712</v>
      </c>
      <c r="B63">
        <f t="shared" si="0"/>
        <v>2</v>
      </c>
      <c r="C63">
        <f t="shared" si="5"/>
        <v>11</v>
      </c>
      <c r="D63">
        <f t="shared" si="5"/>
        <v>12</v>
      </c>
      <c r="E63">
        <f t="shared" si="6"/>
        <v>0</v>
      </c>
      <c r="F63">
        <f t="shared" si="1"/>
        <v>0</v>
      </c>
      <c r="G63">
        <f t="shared" si="7"/>
        <v>0</v>
      </c>
      <c r="H63">
        <f t="shared" si="8"/>
        <v>0</v>
      </c>
      <c r="I63">
        <f t="shared" si="9"/>
        <v>0</v>
      </c>
      <c r="J63">
        <f t="shared" si="2"/>
        <v>0</v>
      </c>
      <c r="K63">
        <f t="shared" si="3"/>
        <v>0</v>
      </c>
      <c r="L63">
        <f t="shared" si="10"/>
        <v>11</v>
      </c>
      <c r="M63">
        <f t="shared" si="11"/>
        <v>12</v>
      </c>
      <c r="N63">
        <f t="shared" si="12"/>
        <v>1</v>
      </c>
      <c r="O63">
        <f t="shared" si="13"/>
        <v>4</v>
      </c>
      <c r="P63">
        <f t="shared" si="4"/>
        <v>3</v>
      </c>
      <c r="Q63">
        <f t="shared" si="14"/>
        <v>7</v>
      </c>
      <c r="R63">
        <f t="shared" si="14"/>
        <v>9</v>
      </c>
      <c r="U63">
        <v>3</v>
      </c>
    </row>
    <row r="64" spans="1:21" x14ac:dyDescent="0.25">
      <c r="A64" s="1">
        <v>44713</v>
      </c>
      <c r="B64">
        <f t="shared" si="0"/>
        <v>3</v>
      </c>
      <c r="C64">
        <f t="shared" si="5"/>
        <v>7</v>
      </c>
      <c r="D64">
        <f t="shared" si="5"/>
        <v>9</v>
      </c>
      <c r="E64">
        <f t="shared" si="6"/>
        <v>0</v>
      </c>
      <c r="F64">
        <f t="shared" si="1"/>
        <v>0</v>
      </c>
      <c r="G64">
        <f t="shared" si="7"/>
        <v>0</v>
      </c>
      <c r="H64">
        <f t="shared" si="8"/>
        <v>0</v>
      </c>
      <c r="I64">
        <f t="shared" si="9"/>
        <v>0</v>
      </c>
      <c r="J64">
        <f t="shared" si="2"/>
        <v>0</v>
      </c>
      <c r="K64">
        <f t="shared" si="3"/>
        <v>0</v>
      </c>
      <c r="L64">
        <f t="shared" si="10"/>
        <v>7</v>
      </c>
      <c r="M64">
        <f t="shared" si="11"/>
        <v>9</v>
      </c>
      <c r="N64">
        <f t="shared" si="12"/>
        <v>1</v>
      </c>
      <c r="O64">
        <f t="shared" si="13"/>
        <v>3</v>
      </c>
      <c r="P64">
        <f t="shared" si="4"/>
        <v>2</v>
      </c>
      <c r="Q64">
        <f t="shared" si="14"/>
        <v>4</v>
      </c>
      <c r="R64">
        <f t="shared" si="14"/>
        <v>7</v>
      </c>
      <c r="U64">
        <v>3</v>
      </c>
    </row>
    <row r="65" spans="1:21" x14ac:dyDescent="0.25">
      <c r="A65" s="1">
        <v>44714</v>
      </c>
      <c r="B65">
        <f t="shared" si="0"/>
        <v>4</v>
      </c>
      <c r="C65">
        <f t="shared" si="5"/>
        <v>4</v>
      </c>
      <c r="D65">
        <f t="shared" si="5"/>
        <v>7</v>
      </c>
      <c r="E65">
        <f t="shared" si="6"/>
        <v>0</v>
      </c>
      <c r="F65">
        <f t="shared" si="1"/>
        <v>0</v>
      </c>
      <c r="G65">
        <f t="shared" si="7"/>
        <v>1</v>
      </c>
      <c r="H65">
        <f t="shared" si="8"/>
        <v>50</v>
      </c>
      <c r="I65">
        <f t="shared" si="9"/>
        <v>25</v>
      </c>
      <c r="J65">
        <f t="shared" si="2"/>
        <v>0</v>
      </c>
      <c r="K65">
        <f t="shared" si="3"/>
        <v>0</v>
      </c>
      <c r="L65">
        <f t="shared" si="10"/>
        <v>54</v>
      </c>
      <c r="M65">
        <f t="shared" si="11"/>
        <v>32</v>
      </c>
      <c r="N65">
        <f t="shared" si="12"/>
        <v>1</v>
      </c>
      <c r="O65">
        <f t="shared" si="13"/>
        <v>17</v>
      </c>
      <c r="P65">
        <f t="shared" si="4"/>
        <v>7</v>
      </c>
      <c r="Q65">
        <f t="shared" si="14"/>
        <v>37</v>
      </c>
      <c r="R65">
        <f t="shared" si="14"/>
        <v>25</v>
      </c>
      <c r="U65">
        <v>3</v>
      </c>
    </row>
    <row r="66" spans="1:21" x14ac:dyDescent="0.25">
      <c r="A66" s="1">
        <v>44715</v>
      </c>
      <c r="B66">
        <f t="shared" si="0"/>
        <v>5</v>
      </c>
      <c r="C66">
        <f t="shared" si="5"/>
        <v>37</v>
      </c>
      <c r="D66">
        <f t="shared" si="5"/>
        <v>25</v>
      </c>
      <c r="E66">
        <f t="shared" si="6"/>
        <v>0</v>
      </c>
      <c r="F66">
        <f t="shared" si="1"/>
        <v>0</v>
      </c>
      <c r="G66">
        <f t="shared" si="7"/>
        <v>0</v>
      </c>
      <c r="H66">
        <f t="shared" si="8"/>
        <v>0</v>
      </c>
      <c r="I66">
        <f t="shared" si="9"/>
        <v>0</v>
      </c>
      <c r="J66">
        <f t="shared" si="2"/>
        <v>0</v>
      </c>
      <c r="K66">
        <f t="shared" si="3"/>
        <v>0</v>
      </c>
      <c r="L66">
        <f t="shared" si="10"/>
        <v>37</v>
      </c>
      <c r="M66">
        <f t="shared" si="11"/>
        <v>25</v>
      </c>
      <c r="N66">
        <f t="shared" si="12"/>
        <v>1</v>
      </c>
      <c r="O66">
        <f t="shared" si="13"/>
        <v>12</v>
      </c>
      <c r="P66">
        <f t="shared" si="4"/>
        <v>5</v>
      </c>
      <c r="Q66">
        <f t="shared" si="14"/>
        <v>25</v>
      </c>
      <c r="R66">
        <f t="shared" si="14"/>
        <v>20</v>
      </c>
      <c r="U66">
        <v>3</v>
      </c>
    </row>
    <row r="67" spans="1:21" x14ac:dyDescent="0.25">
      <c r="A67" s="1">
        <v>44716</v>
      </c>
      <c r="B67">
        <f t="shared" si="0"/>
        <v>6</v>
      </c>
      <c r="C67">
        <f t="shared" si="5"/>
        <v>25</v>
      </c>
      <c r="D67">
        <f t="shared" si="5"/>
        <v>20</v>
      </c>
      <c r="E67">
        <f t="shared" si="6"/>
        <v>0</v>
      </c>
      <c r="F67">
        <f t="shared" si="1"/>
        <v>0</v>
      </c>
      <c r="G67">
        <f t="shared" si="7"/>
        <v>0</v>
      </c>
      <c r="H67">
        <f t="shared" si="8"/>
        <v>0</v>
      </c>
      <c r="I67">
        <f t="shared" si="9"/>
        <v>0</v>
      </c>
      <c r="J67">
        <f t="shared" si="2"/>
        <v>0</v>
      </c>
      <c r="K67">
        <f t="shared" si="3"/>
        <v>0</v>
      </c>
      <c r="L67">
        <f t="shared" si="10"/>
        <v>25</v>
      </c>
      <c r="M67">
        <f t="shared" si="11"/>
        <v>20</v>
      </c>
      <c r="N67">
        <f t="shared" si="12"/>
        <v>1</v>
      </c>
      <c r="O67">
        <f t="shared" si="13"/>
        <v>8</v>
      </c>
      <c r="P67">
        <f t="shared" si="4"/>
        <v>4</v>
      </c>
      <c r="Q67">
        <f t="shared" si="14"/>
        <v>17</v>
      </c>
      <c r="R67">
        <f t="shared" si="14"/>
        <v>16</v>
      </c>
      <c r="U67">
        <v>3</v>
      </c>
    </row>
    <row r="68" spans="1:21" x14ac:dyDescent="0.25">
      <c r="A68" s="1">
        <v>44717</v>
      </c>
      <c r="B68">
        <f t="shared" ref="B68:B131" si="15">WEEKDAY(A68, 2)</f>
        <v>7</v>
      </c>
      <c r="C68">
        <f t="shared" si="5"/>
        <v>17</v>
      </c>
      <c r="D68">
        <f t="shared" si="5"/>
        <v>16</v>
      </c>
      <c r="E68">
        <f t="shared" si="6"/>
        <v>0</v>
      </c>
      <c r="F68">
        <f t="shared" ref="F68:F131" si="16">IF(E68=1,ROUNDUP(5% * C68,0),0)</f>
        <v>0</v>
      </c>
      <c r="G68">
        <f t="shared" si="7"/>
        <v>0</v>
      </c>
      <c r="H68">
        <f t="shared" si="8"/>
        <v>0</v>
      </c>
      <c r="I68">
        <f t="shared" si="9"/>
        <v>0</v>
      </c>
      <c r="J68">
        <f t="shared" ref="J68:J131" si="17">IF(AND(B68=1,SUM(O65:O66)&gt;25),1,0)</f>
        <v>0</v>
      </c>
      <c r="K68">
        <f t="shared" ref="K68:K131" si="18">IF(J68=1,15,0)</f>
        <v>0</v>
      </c>
      <c r="L68">
        <f t="shared" si="10"/>
        <v>17</v>
      </c>
      <c r="M68">
        <f t="shared" si="11"/>
        <v>16</v>
      </c>
      <c r="N68">
        <f t="shared" si="12"/>
        <v>0</v>
      </c>
      <c r="O68">
        <f t="shared" si="13"/>
        <v>0</v>
      </c>
      <c r="P68">
        <f t="shared" ref="P68:P131" si="19">IF(N68=1,ROUNDUP(20% * M68,0),0)</f>
        <v>0</v>
      </c>
      <c r="Q68">
        <f t="shared" si="14"/>
        <v>17</v>
      </c>
      <c r="R68">
        <f t="shared" si="14"/>
        <v>16</v>
      </c>
      <c r="U68">
        <v>3</v>
      </c>
    </row>
    <row r="69" spans="1:21" x14ac:dyDescent="0.25">
      <c r="A69" s="1">
        <v>44718</v>
      </c>
      <c r="B69">
        <f t="shared" si="15"/>
        <v>1</v>
      </c>
      <c r="C69">
        <f t="shared" ref="C69:D132" si="20">Q68</f>
        <v>17</v>
      </c>
      <c r="D69">
        <f t="shared" si="20"/>
        <v>16</v>
      </c>
      <c r="E69">
        <f t="shared" ref="E69:E132" si="21">IF(B69=1,1,0)</f>
        <v>1</v>
      </c>
      <c r="F69">
        <f t="shared" si="16"/>
        <v>1</v>
      </c>
      <c r="G69">
        <f t="shared" ref="G69:G132" si="22">IF(B69=4,1,0)</f>
        <v>0</v>
      </c>
      <c r="H69">
        <f t="shared" ref="H69:H132" si="23">IF(G69=1,50,0)</f>
        <v>0</v>
      </c>
      <c r="I69">
        <f t="shared" ref="I69:I132" si="24">IF(G69=1,25,0)</f>
        <v>0</v>
      </c>
      <c r="J69">
        <f t="shared" si="17"/>
        <v>0</v>
      </c>
      <c r="K69">
        <f t="shared" si="18"/>
        <v>0</v>
      </c>
      <c r="L69">
        <f t="shared" ref="L69:L132" si="25">K69+H69+C69-F69</f>
        <v>16</v>
      </c>
      <c r="M69">
        <f t="shared" ref="M69:M132" si="26">I69+D69</f>
        <v>16</v>
      </c>
      <c r="N69">
        <f t="shared" ref="N69:N132" si="27">IF(B69&lt;&gt;7,1,0)</f>
        <v>1</v>
      </c>
      <c r="O69">
        <f t="shared" ref="O69:O132" si="28">IF(N69=1,ROUNDUP(30% * L69,0),0)</f>
        <v>5</v>
      </c>
      <c r="P69">
        <f t="shared" si="19"/>
        <v>4</v>
      </c>
      <c r="Q69">
        <f t="shared" ref="Q69:R132" si="29">L69-O69</f>
        <v>11</v>
      </c>
      <c r="R69">
        <f t="shared" si="29"/>
        <v>12</v>
      </c>
      <c r="U69">
        <v>3</v>
      </c>
    </row>
    <row r="70" spans="1:21" x14ac:dyDescent="0.25">
      <c r="A70" s="1">
        <v>44719</v>
      </c>
      <c r="B70">
        <f t="shared" si="15"/>
        <v>2</v>
      </c>
      <c r="C70">
        <f t="shared" si="20"/>
        <v>11</v>
      </c>
      <c r="D70">
        <f t="shared" si="20"/>
        <v>12</v>
      </c>
      <c r="E70">
        <f t="shared" si="21"/>
        <v>0</v>
      </c>
      <c r="F70">
        <f t="shared" si="16"/>
        <v>0</v>
      </c>
      <c r="G70">
        <f t="shared" si="22"/>
        <v>0</v>
      </c>
      <c r="H70">
        <f t="shared" si="23"/>
        <v>0</v>
      </c>
      <c r="I70">
        <f t="shared" si="24"/>
        <v>0</v>
      </c>
      <c r="J70">
        <f t="shared" si="17"/>
        <v>0</v>
      </c>
      <c r="K70">
        <f t="shared" si="18"/>
        <v>0</v>
      </c>
      <c r="L70">
        <f t="shared" si="25"/>
        <v>11</v>
      </c>
      <c r="M70">
        <f t="shared" si="26"/>
        <v>12</v>
      </c>
      <c r="N70">
        <f t="shared" si="27"/>
        <v>1</v>
      </c>
      <c r="O70">
        <f t="shared" si="28"/>
        <v>4</v>
      </c>
      <c r="P70">
        <f t="shared" si="19"/>
        <v>3</v>
      </c>
      <c r="Q70">
        <f t="shared" si="29"/>
        <v>7</v>
      </c>
      <c r="R70">
        <f t="shared" si="29"/>
        <v>9</v>
      </c>
      <c r="U70">
        <v>3</v>
      </c>
    </row>
    <row r="71" spans="1:21" x14ac:dyDescent="0.25">
      <c r="A71" s="1">
        <v>44720</v>
      </c>
      <c r="B71">
        <f t="shared" si="15"/>
        <v>3</v>
      </c>
      <c r="C71">
        <f t="shared" si="20"/>
        <v>7</v>
      </c>
      <c r="D71">
        <f t="shared" si="20"/>
        <v>9</v>
      </c>
      <c r="E71">
        <f t="shared" si="21"/>
        <v>0</v>
      </c>
      <c r="F71">
        <f t="shared" si="16"/>
        <v>0</v>
      </c>
      <c r="G71">
        <f t="shared" si="22"/>
        <v>0</v>
      </c>
      <c r="H71">
        <f t="shared" si="23"/>
        <v>0</v>
      </c>
      <c r="I71">
        <f t="shared" si="24"/>
        <v>0</v>
      </c>
      <c r="J71">
        <f t="shared" si="17"/>
        <v>0</v>
      </c>
      <c r="K71">
        <f t="shared" si="18"/>
        <v>0</v>
      </c>
      <c r="L71">
        <f t="shared" si="25"/>
        <v>7</v>
      </c>
      <c r="M71">
        <f t="shared" si="26"/>
        <v>9</v>
      </c>
      <c r="N71">
        <f t="shared" si="27"/>
        <v>1</v>
      </c>
      <c r="O71">
        <f t="shared" si="28"/>
        <v>3</v>
      </c>
      <c r="P71">
        <f t="shared" si="19"/>
        <v>2</v>
      </c>
      <c r="Q71">
        <f t="shared" si="29"/>
        <v>4</v>
      </c>
      <c r="R71">
        <f t="shared" si="29"/>
        <v>7</v>
      </c>
      <c r="U71">
        <v>3</v>
      </c>
    </row>
    <row r="72" spans="1:21" x14ac:dyDescent="0.25">
      <c r="A72" s="1">
        <v>44721</v>
      </c>
      <c r="B72">
        <f t="shared" si="15"/>
        <v>4</v>
      </c>
      <c r="C72">
        <f t="shared" si="20"/>
        <v>4</v>
      </c>
      <c r="D72">
        <f t="shared" si="20"/>
        <v>7</v>
      </c>
      <c r="E72">
        <f t="shared" si="21"/>
        <v>0</v>
      </c>
      <c r="F72">
        <f t="shared" si="16"/>
        <v>0</v>
      </c>
      <c r="G72">
        <f t="shared" si="22"/>
        <v>1</v>
      </c>
      <c r="H72">
        <f t="shared" si="23"/>
        <v>50</v>
      </c>
      <c r="I72">
        <f t="shared" si="24"/>
        <v>25</v>
      </c>
      <c r="J72">
        <f t="shared" si="17"/>
        <v>0</v>
      </c>
      <c r="K72">
        <f t="shared" si="18"/>
        <v>0</v>
      </c>
      <c r="L72">
        <f t="shared" si="25"/>
        <v>54</v>
      </c>
      <c r="M72">
        <f t="shared" si="26"/>
        <v>32</v>
      </c>
      <c r="N72">
        <f t="shared" si="27"/>
        <v>1</v>
      </c>
      <c r="O72">
        <f t="shared" si="28"/>
        <v>17</v>
      </c>
      <c r="P72">
        <f t="shared" si="19"/>
        <v>7</v>
      </c>
      <c r="Q72">
        <f t="shared" si="29"/>
        <v>37</v>
      </c>
      <c r="R72">
        <f t="shared" si="29"/>
        <v>25</v>
      </c>
      <c r="U72">
        <v>3</v>
      </c>
    </row>
    <row r="73" spans="1:21" x14ac:dyDescent="0.25">
      <c r="A73" s="1">
        <v>44722</v>
      </c>
      <c r="B73">
        <f t="shared" si="15"/>
        <v>5</v>
      </c>
      <c r="C73">
        <f t="shared" si="20"/>
        <v>37</v>
      </c>
      <c r="D73">
        <f t="shared" si="20"/>
        <v>25</v>
      </c>
      <c r="E73">
        <f t="shared" si="21"/>
        <v>0</v>
      </c>
      <c r="F73">
        <f t="shared" si="16"/>
        <v>0</v>
      </c>
      <c r="G73">
        <f t="shared" si="22"/>
        <v>0</v>
      </c>
      <c r="H73">
        <f t="shared" si="23"/>
        <v>0</v>
      </c>
      <c r="I73">
        <f t="shared" si="24"/>
        <v>0</v>
      </c>
      <c r="J73">
        <f t="shared" si="17"/>
        <v>0</v>
      </c>
      <c r="K73">
        <f t="shared" si="18"/>
        <v>0</v>
      </c>
      <c r="L73">
        <f t="shared" si="25"/>
        <v>37</v>
      </c>
      <c r="M73">
        <f t="shared" si="26"/>
        <v>25</v>
      </c>
      <c r="N73">
        <f t="shared" si="27"/>
        <v>1</v>
      </c>
      <c r="O73">
        <f t="shared" si="28"/>
        <v>12</v>
      </c>
      <c r="P73">
        <f t="shared" si="19"/>
        <v>5</v>
      </c>
      <c r="Q73">
        <f t="shared" si="29"/>
        <v>25</v>
      </c>
      <c r="R73">
        <f t="shared" si="29"/>
        <v>20</v>
      </c>
      <c r="U73">
        <v>3</v>
      </c>
    </row>
    <row r="74" spans="1:21" x14ac:dyDescent="0.25">
      <c r="A74" s="1">
        <v>44723</v>
      </c>
      <c r="B74">
        <f t="shared" si="15"/>
        <v>6</v>
      </c>
      <c r="C74">
        <f t="shared" si="20"/>
        <v>25</v>
      </c>
      <c r="D74">
        <f t="shared" si="20"/>
        <v>20</v>
      </c>
      <c r="E74">
        <f t="shared" si="21"/>
        <v>0</v>
      </c>
      <c r="F74">
        <f t="shared" si="16"/>
        <v>0</v>
      </c>
      <c r="G74">
        <f t="shared" si="22"/>
        <v>0</v>
      </c>
      <c r="H74">
        <f t="shared" si="23"/>
        <v>0</v>
      </c>
      <c r="I74">
        <f t="shared" si="24"/>
        <v>0</v>
      </c>
      <c r="J74">
        <f t="shared" si="17"/>
        <v>0</v>
      </c>
      <c r="K74">
        <f t="shared" si="18"/>
        <v>0</v>
      </c>
      <c r="L74">
        <f t="shared" si="25"/>
        <v>25</v>
      </c>
      <c r="M74">
        <f t="shared" si="26"/>
        <v>20</v>
      </c>
      <c r="N74">
        <f t="shared" si="27"/>
        <v>1</v>
      </c>
      <c r="O74">
        <f t="shared" si="28"/>
        <v>8</v>
      </c>
      <c r="P74">
        <f t="shared" si="19"/>
        <v>4</v>
      </c>
      <c r="Q74">
        <f t="shared" si="29"/>
        <v>17</v>
      </c>
      <c r="R74">
        <f t="shared" si="29"/>
        <v>16</v>
      </c>
      <c r="U74">
        <v>3</v>
      </c>
    </row>
    <row r="75" spans="1:21" x14ac:dyDescent="0.25">
      <c r="A75" s="1">
        <v>44724</v>
      </c>
      <c r="B75">
        <f t="shared" si="15"/>
        <v>7</v>
      </c>
      <c r="C75">
        <f t="shared" si="20"/>
        <v>17</v>
      </c>
      <c r="D75">
        <f t="shared" si="20"/>
        <v>16</v>
      </c>
      <c r="E75">
        <f t="shared" si="21"/>
        <v>0</v>
      </c>
      <c r="F75">
        <f t="shared" si="16"/>
        <v>0</v>
      </c>
      <c r="G75">
        <f t="shared" si="22"/>
        <v>0</v>
      </c>
      <c r="H75">
        <f t="shared" si="23"/>
        <v>0</v>
      </c>
      <c r="I75">
        <f t="shared" si="24"/>
        <v>0</v>
      </c>
      <c r="J75">
        <f t="shared" si="17"/>
        <v>0</v>
      </c>
      <c r="K75">
        <f t="shared" si="18"/>
        <v>0</v>
      </c>
      <c r="L75">
        <f t="shared" si="25"/>
        <v>17</v>
      </c>
      <c r="M75">
        <f t="shared" si="26"/>
        <v>16</v>
      </c>
      <c r="N75">
        <f t="shared" si="27"/>
        <v>0</v>
      </c>
      <c r="O75">
        <f t="shared" si="28"/>
        <v>0</v>
      </c>
      <c r="P75">
        <f t="shared" si="19"/>
        <v>0</v>
      </c>
      <c r="Q75">
        <f t="shared" si="29"/>
        <v>17</v>
      </c>
      <c r="R75">
        <f t="shared" si="29"/>
        <v>16</v>
      </c>
      <c r="U75">
        <v>3</v>
      </c>
    </row>
    <row r="76" spans="1:21" x14ac:dyDescent="0.25">
      <c r="A76" s="1">
        <v>44725</v>
      </c>
      <c r="B76">
        <f t="shared" si="15"/>
        <v>1</v>
      </c>
      <c r="C76">
        <f t="shared" si="20"/>
        <v>17</v>
      </c>
      <c r="D76">
        <f t="shared" si="20"/>
        <v>16</v>
      </c>
      <c r="E76">
        <f t="shared" si="21"/>
        <v>1</v>
      </c>
      <c r="F76">
        <f t="shared" si="16"/>
        <v>1</v>
      </c>
      <c r="G76">
        <f t="shared" si="22"/>
        <v>0</v>
      </c>
      <c r="H76">
        <f t="shared" si="23"/>
        <v>0</v>
      </c>
      <c r="I76">
        <f t="shared" si="24"/>
        <v>0</v>
      </c>
      <c r="J76">
        <f t="shared" si="17"/>
        <v>0</v>
      </c>
      <c r="K76">
        <f t="shared" si="18"/>
        <v>0</v>
      </c>
      <c r="L76">
        <f t="shared" si="25"/>
        <v>16</v>
      </c>
      <c r="M76">
        <f t="shared" si="26"/>
        <v>16</v>
      </c>
      <c r="N76">
        <f t="shared" si="27"/>
        <v>1</v>
      </c>
      <c r="O76">
        <f t="shared" si="28"/>
        <v>5</v>
      </c>
      <c r="P76">
        <f t="shared" si="19"/>
        <v>4</v>
      </c>
      <c r="Q76">
        <f t="shared" si="29"/>
        <v>11</v>
      </c>
      <c r="R76">
        <f t="shared" si="29"/>
        <v>12</v>
      </c>
      <c r="U76">
        <v>3</v>
      </c>
    </row>
    <row r="77" spans="1:21" x14ac:dyDescent="0.25">
      <c r="A77" s="1">
        <v>44726</v>
      </c>
      <c r="B77">
        <f t="shared" si="15"/>
        <v>2</v>
      </c>
      <c r="C77">
        <f t="shared" si="20"/>
        <v>11</v>
      </c>
      <c r="D77">
        <f t="shared" si="20"/>
        <v>12</v>
      </c>
      <c r="E77">
        <f t="shared" si="21"/>
        <v>0</v>
      </c>
      <c r="F77">
        <f t="shared" si="16"/>
        <v>0</v>
      </c>
      <c r="G77">
        <f t="shared" si="22"/>
        <v>0</v>
      </c>
      <c r="H77">
        <f t="shared" si="23"/>
        <v>0</v>
      </c>
      <c r="I77">
        <f t="shared" si="24"/>
        <v>0</v>
      </c>
      <c r="J77">
        <f t="shared" si="17"/>
        <v>0</v>
      </c>
      <c r="K77">
        <f t="shared" si="18"/>
        <v>0</v>
      </c>
      <c r="L77">
        <f t="shared" si="25"/>
        <v>11</v>
      </c>
      <c r="M77">
        <f t="shared" si="26"/>
        <v>12</v>
      </c>
      <c r="N77">
        <f t="shared" si="27"/>
        <v>1</v>
      </c>
      <c r="O77">
        <f t="shared" si="28"/>
        <v>4</v>
      </c>
      <c r="P77">
        <f t="shared" si="19"/>
        <v>3</v>
      </c>
      <c r="Q77">
        <f t="shared" si="29"/>
        <v>7</v>
      </c>
      <c r="R77">
        <f t="shared" si="29"/>
        <v>9</v>
      </c>
      <c r="U77">
        <v>3</v>
      </c>
    </row>
    <row r="78" spans="1:21" x14ac:dyDescent="0.25">
      <c r="A78" s="1">
        <v>44727</v>
      </c>
      <c r="B78">
        <f t="shared" si="15"/>
        <v>3</v>
      </c>
      <c r="C78">
        <f t="shared" si="20"/>
        <v>7</v>
      </c>
      <c r="D78">
        <f t="shared" si="20"/>
        <v>9</v>
      </c>
      <c r="E78">
        <f t="shared" si="21"/>
        <v>0</v>
      </c>
      <c r="F78">
        <f t="shared" si="16"/>
        <v>0</v>
      </c>
      <c r="G78">
        <f t="shared" si="22"/>
        <v>0</v>
      </c>
      <c r="H78">
        <f t="shared" si="23"/>
        <v>0</v>
      </c>
      <c r="I78">
        <f t="shared" si="24"/>
        <v>0</v>
      </c>
      <c r="J78">
        <f t="shared" si="17"/>
        <v>0</v>
      </c>
      <c r="K78">
        <f t="shared" si="18"/>
        <v>0</v>
      </c>
      <c r="L78">
        <f t="shared" si="25"/>
        <v>7</v>
      </c>
      <c r="M78">
        <f t="shared" si="26"/>
        <v>9</v>
      </c>
      <c r="N78">
        <f t="shared" si="27"/>
        <v>1</v>
      </c>
      <c r="O78">
        <f t="shared" si="28"/>
        <v>3</v>
      </c>
      <c r="P78">
        <f t="shared" si="19"/>
        <v>2</v>
      </c>
      <c r="Q78">
        <f t="shared" si="29"/>
        <v>4</v>
      </c>
      <c r="R78">
        <f t="shared" si="29"/>
        <v>7</v>
      </c>
      <c r="U78">
        <v>3</v>
      </c>
    </row>
    <row r="79" spans="1:21" x14ac:dyDescent="0.25">
      <c r="A79" s="1">
        <v>44728</v>
      </c>
      <c r="B79">
        <f t="shared" si="15"/>
        <v>4</v>
      </c>
      <c r="C79">
        <f t="shared" si="20"/>
        <v>4</v>
      </c>
      <c r="D79">
        <f t="shared" si="20"/>
        <v>7</v>
      </c>
      <c r="E79">
        <f t="shared" si="21"/>
        <v>0</v>
      </c>
      <c r="F79">
        <f t="shared" si="16"/>
        <v>0</v>
      </c>
      <c r="G79">
        <f t="shared" si="22"/>
        <v>1</v>
      </c>
      <c r="H79">
        <f t="shared" si="23"/>
        <v>50</v>
      </c>
      <c r="I79">
        <f t="shared" si="24"/>
        <v>25</v>
      </c>
      <c r="J79">
        <f t="shared" si="17"/>
        <v>0</v>
      </c>
      <c r="K79">
        <f t="shared" si="18"/>
        <v>0</v>
      </c>
      <c r="L79">
        <f t="shared" si="25"/>
        <v>54</v>
      </c>
      <c r="M79">
        <f t="shared" si="26"/>
        <v>32</v>
      </c>
      <c r="N79">
        <f t="shared" si="27"/>
        <v>1</v>
      </c>
      <c r="O79">
        <f t="shared" si="28"/>
        <v>17</v>
      </c>
      <c r="P79">
        <f t="shared" si="19"/>
        <v>7</v>
      </c>
      <c r="Q79">
        <f t="shared" si="29"/>
        <v>37</v>
      </c>
      <c r="R79">
        <f t="shared" si="29"/>
        <v>25</v>
      </c>
      <c r="U79">
        <v>3</v>
      </c>
    </row>
    <row r="80" spans="1:21" x14ac:dyDescent="0.25">
      <c r="A80" s="1">
        <v>44729</v>
      </c>
      <c r="B80">
        <f t="shared" si="15"/>
        <v>5</v>
      </c>
      <c r="C80">
        <f t="shared" si="20"/>
        <v>37</v>
      </c>
      <c r="D80">
        <f t="shared" si="20"/>
        <v>25</v>
      </c>
      <c r="E80">
        <f t="shared" si="21"/>
        <v>0</v>
      </c>
      <c r="F80">
        <f t="shared" si="16"/>
        <v>0</v>
      </c>
      <c r="G80">
        <f t="shared" si="22"/>
        <v>0</v>
      </c>
      <c r="H80">
        <f t="shared" si="23"/>
        <v>0</v>
      </c>
      <c r="I80">
        <f t="shared" si="24"/>
        <v>0</v>
      </c>
      <c r="J80">
        <f t="shared" si="17"/>
        <v>0</v>
      </c>
      <c r="K80">
        <f t="shared" si="18"/>
        <v>0</v>
      </c>
      <c r="L80">
        <f t="shared" si="25"/>
        <v>37</v>
      </c>
      <c r="M80">
        <f t="shared" si="26"/>
        <v>25</v>
      </c>
      <c r="N80">
        <f t="shared" si="27"/>
        <v>1</v>
      </c>
      <c r="O80">
        <f t="shared" si="28"/>
        <v>12</v>
      </c>
      <c r="P80">
        <f t="shared" si="19"/>
        <v>5</v>
      </c>
      <c r="Q80">
        <f t="shared" si="29"/>
        <v>25</v>
      </c>
      <c r="R80">
        <f t="shared" si="29"/>
        <v>20</v>
      </c>
      <c r="U80">
        <v>3</v>
      </c>
    </row>
    <row r="81" spans="1:21" x14ac:dyDescent="0.25">
      <c r="A81" s="1">
        <v>44730</v>
      </c>
      <c r="B81">
        <f t="shared" si="15"/>
        <v>6</v>
      </c>
      <c r="C81">
        <f t="shared" si="20"/>
        <v>25</v>
      </c>
      <c r="D81">
        <f t="shared" si="20"/>
        <v>20</v>
      </c>
      <c r="E81">
        <f t="shared" si="21"/>
        <v>0</v>
      </c>
      <c r="F81">
        <f t="shared" si="16"/>
        <v>0</v>
      </c>
      <c r="G81">
        <f t="shared" si="22"/>
        <v>0</v>
      </c>
      <c r="H81">
        <f t="shared" si="23"/>
        <v>0</v>
      </c>
      <c r="I81">
        <f t="shared" si="24"/>
        <v>0</v>
      </c>
      <c r="J81">
        <f t="shared" si="17"/>
        <v>0</v>
      </c>
      <c r="K81">
        <f t="shared" si="18"/>
        <v>0</v>
      </c>
      <c r="L81">
        <f t="shared" si="25"/>
        <v>25</v>
      </c>
      <c r="M81">
        <f t="shared" si="26"/>
        <v>20</v>
      </c>
      <c r="N81">
        <f t="shared" si="27"/>
        <v>1</v>
      </c>
      <c r="O81">
        <f t="shared" si="28"/>
        <v>8</v>
      </c>
      <c r="P81">
        <f t="shared" si="19"/>
        <v>4</v>
      </c>
      <c r="Q81">
        <f t="shared" si="29"/>
        <v>17</v>
      </c>
      <c r="R81">
        <f t="shared" si="29"/>
        <v>16</v>
      </c>
      <c r="U81">
        <v>3</v>
      </c>
    </row>
    <row r="82" spans="1:21" x14ac:dyDescent="0.25">
      <c r="A82" s="1">
        <v>44731</v>
      </c>
      <c r="B82">
        <f t="shared" si="15"/>
        <v>7</v>
      </c>
      <c r="C82">
        <f t="shared" si="20"/>
        <v>17</v>
      </c>
      <c r="D82">
        <f t="shared" si="20"/>
        <v>16</v>
      </c>
      <c r="E82">
        <f t="shared" si="21"/>
        <v>0</v>
      </c>
      <c r="F82">
        <f t="shared" si="16"/>
        <v>0</v>
      </c>
      <c r="G82">
        <f t="shared" si="22"/>
        <v>0</v>
      </c>
      <c r="H82">
        <f t="shared" si="23"/>
        <v>0</v>
      </c>
      <c r="I82">
        <f t="shared" si="24"/>
        <v>0</v>
      </c>
      <c r="J82">
        <f t="shared" si="17"/>
        <v>0</v>
      </c>
      <c r="K82">
        <f t="shared" si="18"/>
        <v>0</v>
      </c>
      <c r="L82">
        <f t="shared" si="25"/>
        <v>17</v>
      </c>
      <c r="M82">
        <f t="shared" si="26"/>
        <v>16</v>
      </c>
      <c r="N82">
        <f t="shared" si="27"/>
        <v>0</v>
      </c>
      <c r="O82">
        <f t="shared" si="28"/>
        <v>0</v>
      </c>
      <c r="P82">
        <f t="shared" si="19"/>
        <v>0</v>
      </c>
      <c r="Q82">
        <f t="shared" si="29"/>
        <v>17</v>
      </c>
      <c r="R82">
        <f t="shared" si="29"/>
        <v>16</v>
      </c>
      <c r="U82">
        <v>3</v>
      </c>
    </row>
    <row r="83" spans="1:21" x14ac:dyDescent="0.25">
      <c r="A83" s="1">
        <v>44732</v>
      </c>
      <c r="B83">
        <f t="shared" si="15"/>
        <v>1</v>
      </c>
      <c r="C83">
        <f t="shared" si="20"/>
        <v>17</v>
      </c>
      <c r="D83">
        <f t="shared" si="20"/>
        <v>16</v>
      </c>
      <c r="E83">
        <f t="shared" si="21"/>
        <v>1</v>
      </c>
      <c r="F83">
        <f t="shared" si="16"/>
        <v>1</v>
      </c>
      <c r="G83">
        <f t="shared" si="22"/>
        <v>0</v>
      </c>
      <c r="H83">
        <f t="shared" si="23"/>
        <v>0</v>
      </c>
      <c r="I83">
        <f t="shared" si="24"/>
        <v>0</v>
      </c>
      <c r="J83">
        <f t="shared" si="17"/>
        <v>0</v>
      </c>
      <c r="K83">
        <f t="shared" si="18"/>
        <v>0</v>
      </c>
      <c r="L83">
        <f t="shared" si="25"/>
        <v>16</v>
      </c>
      <c r="M83">
        <f t="shared" si="26"/>
        <v>16</v>
      </c>
      <c r="N83">
        <f t="shared" si="27"/>
        <v>1</v>
      </c>
      <c r="O83">
        <f t="shared" si="28"/>
        <v>5</v>
      </c>
      <c r="P83">
        <f t="shared" si="19"/>
        <v>4</v>
      </c>
      <c r="Q83">
        <f t="shared" si="29"/>
        <v>11</v>
      </c>
      <c r="R83">
        <f t="shared" si="29"/>
        <v>12</v>
      </c>
      <c r="U83">
        <v>3</v>
      </c>
    </row>
    <row r="84" spans="1:21" x14ac:dyDescent="0.25">
      <c r="A84" s="1">
        <v>44733</v>
      </c>
      <c r="B84">
        <f t="shared" si="15"/>
        <v>2</v>
      </c>
      <c r="C84">
        <f t="shared" si="20"/>
        <v>11</v>
      </c>
      <c r="D84">
        <f t="shared" si="20"/>
        <v>12</v>
      </c>
      <c r="E84">
        <f t="shared" si="21"/>
        <v>0</v>
      </c>
      <c r="F84">
        <f t="shared" si="16"/>
        <v>0</v>
      </c>
      <c r="G84">
        <f t="shared" si="22"/>
        <v>0</v>
      </c>
      <c r="H84">
        <f t="shared" si="23"/>
        <v>0</v>
      </c>
      <c r="I84">
        <f t="shared" si="24"/>
        <v>0</v>
      </c>
      <c r="J84">
        <f t="shared" si="17"/>
        <v>0</v>
      </c>
      <c r="K84">
        <f t="shared" si="18"/>
        <v>0</v>
      </c>
      <c r="L84">
        <f t="shared" si="25"/>
        <v>11</v>
      </c>
      <c r="M84">
        <f t="shared" si="26"/>
        <v>12</v>
      </c>
      <c r="N84">
        <f t="shared" si="27"/>
        <v>1</v>
      </c>
      <c r="O84">
        <f t="shared" si="28"/>
        <v>4</v>
      </c>
      <c r="P84">
        <f t="shared" si="19"/>
        <v>3</v>
      </c>
      <c r="Q84">
        <f t="shared" si="29"/>
        <v>7</v>
      </c>
      <c r="R84">
        <f t="shared" si="29"/>
        <v>9</v>
      </c>
      <c r="U84">
        <v>3</v>
      </c>
    </row>
    <row r="85" spans="1:21" x14ac:dyDescent="0.25">
      <c r="A85" s="1">
        <v>44734</v>
      </c>
      <c r="B85">
        <f t="shared" si="15"/>
        <v>3</v>
      </c>
      <c r="C85">
        <f t="shared" si="20"/>
        <v>7</v>
      </c>
      <c r="D85">
        <f t="shared" si="20"/>
        <v>9</v>
      </c>
      <c r="E85">
        <f t="shared" si="21"/>
        <v>0</v>
      </c>
      <c r="F85">
        <f t="shared" si="16"/>
        <v>0</v>
      </c>
      <c r="G85">
        <f t="shared" si="22"/>
        <v>0</v>
      </c>
      <c r="H85">
        <f t="shared" si="23"/>
        <v>0</v>
      </c>
      <c r="I85">
        <f t="shared" si="24"/>
        <v>0</v>
      </c>
      <c r="J85">
        <f t="shared" si="17"/>
        <v>0</v>
      </c>
      <c r="K85">
        <f t="shared" si="18"/>
        <v>0</v>
      </c>
      <c r="L85">
        <f t="shared" si="25"/>
        <v>7</v>
      </c>
      <c r="M85">
        <f t="shared" si="26"/>
        <v>9</v>
      </c>
      <c r="N85">
        <f t="shared" si="27"/>
        <v>1</v>
      </c>
      <c r="O85">
        <f t="shared" si="28"/>
        <v>3</v>
      </c>
      <c r="P85">
        <f t="shared" si="19"/>
        <v>2</v>
      </c>
      <c r="Q85">
        <f t="shared" si="29"/>
        <v>4</v>
      </c>
      <c r="R85">
        <f t="shared" si="29"/>
        <v>7</v>
      </c>
      <c r="U85">
        <v>3</v>
      </c>
    </row>
    <row r="86" spans="1:21" x14ac:dyDescent="0.25">
      <c r="A86" s="1">
        <v>44735</v>
      </c>
      <c r="B86">
        <f t="shared" si="15"/>
        <v>4</v>
      </c>
      <c r="C86">
        <f t="shared" si="20"/>
        <v>4</v>
      </c>
      <c r="D86">
        <f t="shared" si="20"/>
        <v>7</v>
      </c>
      <c r="E86">
        <f t="shared" si="21"/>
        <v>0</v>
      </c>
      <c r="F86">
        <f t="shared" si="16"/>
        <v>0</v>
      </c>
      <c r="G86">
        <f t="shared" si="22"/>
        <v>1</v>
      </c>
      <c r="H86">
        <f t="shared" si="23"/>
        <v>50</v>
      </c>
      <c r="I86">
        <f t="shared" si="24"/>
        <v>25</v>
      </c>
      <c r="J86">
        <f t="shared" si="17"/>
        <v>0</v>
      </c>
      <c r="K86">
        <f t="shared" si="18"/>
        <v>0</v>
      </c>
      <c r="L86">
        <f t="shared" si="25"/>
        <v>54</v>
      </c>
      <c r="M86">
        <f t="shared" si="26"/>
        <v>32</v>
      </c>
      <c r="N86">
        <f t="shared" si="27"/>
        <v>1</v>
      </c>
      <c r="O86">
        <f t="shared" si="28"/>
        <v>17</v>
      </c>
      <c r="P86">
        <f t="shared" si="19"/>
        <v>7</v>
      </c>
      <c r="Q86">
        <f t="shared" si="29"/>
        <v>37</v>
      </c>
      <c r="R86">
        <f t="shared" si="29"/>
        <v>25</v>
      </c>
      <c r="U86">
        <v>3</v>
      </c>
    </row>
    <row r="87" spans="1:21" x14ac:dyDescent="0.25">
      <c r="A87" s="1">
        <v>44736</v>
      </c>
      <c r="B87">
        <f t="shared" si="15"/>
        <v>5</v>
      </c>
      <c r="C87">
        <f t="shared" si="20"/>
        <v>37</v>
      </c>
      <c r="D87">
        <f t="shared" si="20"/>
        <v>25</v>
      </c>
      <c r="E87">
        <f t="shared" si="21"/>
        <v>0</v>
      </c>
      <c r="F87">
        <f t="shared" si="16"/>
        <v>0</v>
      </c>
      <c r="G87">
        <f t="shared" si="22"/>
        <v>0</v>
      </c>
      <c r="H87">
        <f t="shared" si="23"/>
        <v>0</v>
      </c>
      <c r="I87">
        <f t="shared" si="24"/>
        <v>0</v>
      </c>
      <c r="J87">
        <f t="shared" si="17"/>
        <v>0</v>
      </c>
      <c r="K87">
        <f t="shared" si="18"/>
        <v>0</v>
      </c>
      <c r="L87">
        <f t="shared" si="25"/>
        <v>37</v>
      </c>
      <c r="M87">
        <f t="shared" si="26"/>
        <v>25</v>
      </c>
      <c r="N87">
        <f t="shared" si="27"/>
        <v>1</v>
      </c>
      <c r="O87">
        <f t="shared" si="28"/>
        <v>12</v>
      </c>
      <c r="P87">
        <f t="shared" si="19"/>
        <v>5</v>
      </c>
      <c r="Q87">
        <f t="shared" si="29"/>
        <v>25</v>
      </c>
      <c r="R87">
        <f t="shared" si="29"/>
        <v>20</v>
      </c>
      <c r="U87">
        <v>3</v>
      </c>
    </row>
    <row r="88" spans="1:21" x14ac:dyDescent="0.25">
      <c r="A88" s="1">
        <v>44737</v>
      </c>
      <c r="B88">
        <f t="shared" si="15"/>
        <v>6</v>
      </c>
      <c r="C88">
        <f t="shared" si="20"/>
        <v>25</v>
      </c>
      <c r="D88">
        <f t="shared" si="20"/>
        <v>20</v>
      </c>
      <c r="E88">
        <f t="shared" si="21"/>
        <v>0</v>
      </c>
      <c r="F88">
        <f t="shared" si="16"/>
        <v>0</v>
      </c>
      <c r="G88">
        <f t="shared" si="22"/>
        <v>0</v>
      </c>
      <c r="H88">
        <f t="shared" si="23"/>
        <v>0</v>
      </c>
      <c r="I88">
        <f t="shared" si="24"/>
        <v>0</v>
      </c>
      <c r="J88">
        <f t="shared" si="17"/>
        <v>0</v>
      </c>
      <c r="K88">
        <f t="shared" si="18"/>
        <v>0</v>
      </c>
      <c r="L88">
        <f t="shared" si="25"/>
        <v>25</v>
      </c>
      <c r="M88">
        <f t="shared" si="26"/>
        <v>20</v>
      </c>
      <c r="N88">
        <f t="shared" si="27"/>
        <v>1</v>
      </c>
      <c r="O88">
        <f t="shared" si="28"/>
        <v>8</v>
      </c>
      <c r="P88">
        <f t="shared" si="19"/>
        <v>4</v>
      </c>
      <c r="Q88">
        <f t="shared" si="29"/>
        <v>17</v>
      </c>
      <c r="R88">
        <f t="shared" si="29"/>
        <v>16</v>
      </c>
      <c r="U88">
        <v>4</v>
      </c>
    </row>
    <row r="89" spans="1:21" x14ac:dyDescent="0.25">
      <c r="A89" s="1">
        <v>44738</v>
      </c>
      <c r="B89">
        <f t="shared" si="15"/>
        <v>7</v>
      </c>
      <c r="C89">
        <f t="shared" si="20"/>
        <v>17</v>
      </c>
      <c r="D89">
        <f t="shared" si="20"/>
        <v>16</v>
      </c>
      <c r="E89">
        <f t="shared" si="21"/>
        <v>0</v>
      </c>
      <c r="F89">
        <f t="shared" si="16"/>
        <v>0</v>
      </c>
      <c r="G89">
        <f t="shared" si="22"/>
        <v>0</v>
      </c>
      <c r="H89">
        <f t="shared" si="23"/>
        <v>0</v>
      </c>
      <c r="I89">
        <f t="shared" si="24"/>
        <v>0</v>
      </c>
      <c r="J89">
        <f t="shared" si="17"/>
        <v>0</v>
      </c>
      <c r="K89">
        <f t="shared" si="18"/>
        <v>0</v>
      </c>
      <c r="L89">
        <f t="shared" si="25"/>
        <v>17</v>
      </c>
      <c r="M89">
        <f t="shared" si="26"/>
        <v>16</v>
      </c>
      <c r="N89">
        <f t="shared" si="27"/>
        <v>0</v>
      </c>
      <c r="O89">
        <f t="shared" si="28"/>
        <v>0</v>
      </c>
      <c r="P89">
        <f t="shared" si="19"/>
        <v>0</v>
      </c>
      <c r="Q89">
        <f t="shared" si="29"/>
        <v>17</v>
      </c>
      <c r="R89">
        <f t="shared" si="29"/>
        <v>16</v>
      </c>
      <c r="U89">
        <v>4</v>
      </c>
    </row>
    <row r="90" spans="1:21" x14ac:dyDescent="0.25">
      <c r="A90" s="1">
        <v>44739</v>
      </c>
      <c r="B90">
        <f t="shared" si="15"/>
        <v>1</v>
      </c>
      <c r="C90">
        <f t="shared" si="20"/>
        <v>17</v>
      </c>
      <c r="D90">
        <f t="shared" si="20"/>
        <v>16</v>
      </c>
      <c r="E90">
        <f t="shared" si="21"/>
        <v>1</v>
      </c>
      <c r="F90">
        <f t="shared" si="16"/>
        <v>1</v>
      </c>
      <c r="G90">
        <f t="shared" si="22"/>
        <v>0</v>
      </c>
      <c r="H90">
        <f t="shared" si="23"/>
        <v>0</v>
      </c>
      <c r="I90">
        <f t="shared" si="24"/>
        <v>0</v>
      </c>
      <c r="J90">
        <f t="shared" si="17"/>
        <v>0</v>
      </c>
      <c r="K90">
        <f t="shared" si="18"/>
        <v>0</v>
      </c>
      <c r="L90">
        <f t="shared" si="25"/>
        <v>16</v>
      </c>
      <c r="M90">
        <f t="shared" si="26"/>
        <v>16</v>
      </c>
      <c r="N90">
        <f t="shared" si="27"/>
        <v>1</v>
      </c>
      <c r="O90">
        <f t="shared" si="28"/>
        <v>5</v>
      </c>
      <c r="P90">
        <f t="shared" si="19"/>
        <v>4</v>
      </c>
      <c r="Q90">
        <f t="shared" si="29"/>
        <v>11</v>
      </c>
      <c r="R90">
        <f t="shared" si="29"/>
        <v>12</v>
      </c>
      <c r="U90">
        <v>4</v>
      </c>
    </row>
    <row r="91" spans="1:21" x14ac:dyDescent="0.25">
      <c r="A91" s="1">
        <v>44740</v>
      </c>
      <c r="B91">
        <f t="shared" si="15"/>
        <v>2</v>
      </c>
      <c r="C91">
        <f t="shared" si="20"/>
        <v>11</v>
      </c>
      <c r="D91">
        <f t="shared" si="20"/>
        <v>12</v>
      </c>
      <c r="E91">
        <f t="shared" si="21"/>
        <v>0</v>
      </c>
      <c r="F91">
        <f t="shared" si="16"/>
        <v>0</v>
      </c>
      <c r="G91">
        <f t="shared" si="22"/>
        <v>0</v>
      </c>
      <c r="H91">
        <f t="shared" si="23"/>
        <v>0</v>
      </c>
      <c r="I91">
        <f t="shared" si="24"/>
        <v>0</v>
      </c>
      <c r="J91">
        <f t="shared" si="17"/>
        <v>0</v>
      </c>
      <c r="K91">
        <f t="shared" si="18"/>
        <v>0</v>
      </c>
      <c r="L91">
        <f t="shared" si="25"/>
        <v>11</v>
      </c>
      <c r="M91">
        <f t="shared" si="26"/>
        <v>12</v>
      </c>
      <c r="N91">
        <f t="shared" si="27"/>
        <v>1</v>
      </c>
      <c r="O91">
        <f t="shared" si="28"/>
        <v>4</v>
      </c>
      <c r="P91">
        <f t="shared" si="19"/>
        <v>3</v>
      </c>
      <c r="Q91">
        <f t="shared" si="29"/>
        <v>7</v>
      </c>
      <c r="R91">
        <f t="shared" si="29"/>
        <v>9</v>
      </c>
      <c r="U91">
        <v>4</v>
      </c>
    </row>
    <row r="92" spans="1:21" x14ac:dyDescent="0.25">
      <c r="A92" s="1">
        <v>44741</v>
      </c>
      <c r="B92">
        <f t="shared" si="15"/>
        <v>3</v>
      </c>
      <c r="C92">
        <f t="shared" si="20"/>
        <v>7</v>
      </c>
      <c r="D92">
        <f t="shared" si="20"/>
        <v>9</v>
      </c>
      <c r="E92">
        <f t="shared" si="21"/>
        <v>0</v>
      </c>
      <c r="F92">
        <f t="shared" si="16"/>
        <v>0</v>
      </c>
      <c r="G92">
        <f t="shared" si="22"/>
        <v>0</v>
      </c>
      <c r="H92">
        <f t="shared" si="23"/>
        <v>0</v>
      </c>
      <c r="I92">
        <f t="shared" si="24"/>
        <v>0</v>
      </c>
      <c r="J92">
        <f t="shared" si="17"/>
        <v>0</v>
      </c>
      <c r="K92">
        <f t="shared" si="18"/>
        <v>0</v>
      </c>
      <c r="L92">
        <f t="shared" si="25"/>
        <v>7</v>
      </c>
      <c r="M92">
        <f t="shared" si="26"/>
        <v>9</v>
      </c>
      <c r="N92">
        <f t="shared" si="27"/>
        <v>1</v>
      </c>
      <c r="O92">
        <f t="shared" si="28"/>
        <v>3</v>
      </c>
      <c r="P92">
        <f t="shared" si="19"/>
        <v>2</v>
      </c>
      <c r="Q92">
        <f t="shared" si="29"/>
        <v>4</v>
      </c>
      <c r="R92">
        <f t="shared" si="29"/>
        <v>7</v>
      </c>
      <c r="U92">
        <v>4</v>
      </c>
    </row>
    <row r="93" spans="1:21" x14ac:dyDescent="0.25">
      <c r="A93" s="1">
        <v>44742</v>
      </c>
      <c r="B93">
        <f t="shared" si="15"/>
        <v>4</v>
      </c>
      <c r="C93">
        <f t="shared" si="20"/>
        <v>4</v>
      </c>
      <c r="D93">
        <f t="shared" si="20"/>
        <v>7</v>
      </c>
      <c r="E93">
        <f t="shared" si="21"/>
        <v>0</v>
      </c>
      <c r="F93">
        <f t="shared" si="16"/>
        <v>0</v>
      </c>
      <c r="G93">
        <f t="shared" si="22"/>
        <v>1</v>
      </c>
      <c r="H93">
        <f t="shared" si="23"/>
        <v>50</v>
      </c>
      <c r="I93">
        <f t="shared" si="24"/>
        <v>25</v>
      </c>
      <c r="J93">
        <f t="shared" si="17"/>
        <v>0</v>
      </c>
      <c r="K93">
        <f t="shared" si="18"/>
        <v>0</v>
      </c>
      <c r="L93">
        <f t="shared" si="25"/>
        <v>54</v>
      </c>
      <c r="M93">
        <f t="shared" si="26"/>
        <v>32</v>
      </c>
      <c r="N93">
        <f t="shared" si="27"/>
        <v>1</v>
      </c>
      <c r="O93">
        <f t="shared" si="28"/>
        <v>17</v>
      </c>
      <c r="P93">
        <f t="shared" si="19"/>
        <v>7</v>
      </c>
      <c r="Q93">
        <f t="shared" si="29"/>
        <v>37</v>
      </c>
      <c r="R93">
        <f t="shared" si="29"/>
        <v>25</v>
      </c>
      <c r="U93">
        <v>4</v>
      </c>
    </row>
    <row r="94" spans="1:21" x14ac:dyDescent="0.25">
      <c r="A94" s="1">
        <v>44743</v>
      </c>
      <c r="B94">
        <f t="shared" si="15"/>
        <v>5</v>
      </c>
      <c r="C94">
        <f t="shared" si="20"/>
        <v>37</v>
      </c>
      <c r="D94">
        <f t="shared" si="20"/>
        <v>25</v>
      </c>
      <c r="E94">
        <f t="shared" si="21"/>
        <v>0</v>
      </c>
      <c r="F94">
        <f t="shared" si="16"/>
        <v>0</v>
      </c>
      <c r="G94">
        <f t="shared" si="22"/>
        <v>0</v>
      </c>
      <c r="H94">
        <f t="shared" si="23"/>
        <v>0</v>
      </c>
      <c r="I94">
        <f t="shared" si="24"/>
        <v>0</v>
      </c>
      <c r="J94">
        <f t="shared" si="17"/>
        <v>0</v>
      </c>
      <c r="K94">
        <f t="shared" si="18"/>
        <v>0</v>
      </c>
      <c r="L94">
        <f t="shared" si="25"/>
        <v>37</v>
      </c>
      <c r="M94">
        <f t="shared" si="26"/>
        <v>25</v>
      </c>
      <c r="N94">
        <f t="shared" si="27"/>
        <v>1</v>
      </c>
      <c r="O94">
        <f t="shared" si="28"/>
        <v>12</v>
      </c>
      <c r="P94">
        <f t="shared" si="19"/>
        <v>5</v>
      </c>
      <c r="Q94">
        <f t="shared" si="29"/>
        <v>25</v>
      </c>
      <c r="R94">
        <f t="shared" si="29"/>
        <v>20</v>
      </c>
      <c r="U94">
        <v>4</v>
      </c>
    </row>
    <row r="95" spans="1:21" x14ac:dyDescent="0.25">
      <c r="A95" s="1">
        <v>44744</v>
      </c>
      <c r="B95">
        <f t="shared" si="15"/>
        <v>6</v>
      </c>
      <c r="C95">
        <f t="shared" si="20"/>
        <v>25</v>
      </c>
      <c r="D95">
        <f t="shared" si="20"/>
        <v>20</v>
      </c>
      <c r="E95">
        <f t="shared" si="21"/>
        <v>0</v>
      </c>
      <c r="F95">
        <f t="shared" si="16"/>
        <v>0</v>
      </c>
      <c r="G95">
        <f t="shared" si="22"/>
        <v>0</v>
      </c>
      <c r="H95">
        <f t="shared" si="23"/>
        <v>0</v>
      </c>
      <c r="I95">
        <f t="shared" si="24"/>
        <v>0</v>
      </c>
      <c r="J95">
        <f t="shared" si="17"/>
        <v>0</v>
      </c>
      <c r="K95">
        <f t="shared" si="18"/>
        <v>0</v>
      </c>
      <c r="L95">
        <f t="shared" si="25"/>
        <v>25</v>
      </c>
      <c r="M95">
        <f t="shared" si="26"/>
        <v>20</v>
      </c>
      <c r="N95">
        <f t="shared" si="27"/>
        <v>1</v>
      </c>
      <c r="O95">
        <f t="shared" si="28"/>
        <v>8</v>
      </c>
      <c r="P95">
        <f t="shared" si="19"/>
        <v>4</v>
      </c>
      <c r="Q95">
        <f t="shared" si="29"/>
        <v>17</v>
      </c>
      <c r="R95">
        <f t="shared" si="29"/>
        <v>16</v>
      </c>
      <c r="U95">
        <v>4</v>
      </c>
    </row>
    <row r="96" spans="1:21" x14ac:dyDescent="0.25">
      <c r="A96" s="1">
        <v>44745</v>
      </c>
      <c r="B96">
        <f t="shared" si="15"/>
        <v>7</v>
      </c>
      <c r="C96">
        <f t="shared" si="20"/>
        <v>17</v>
      </c>
      <c r="D96">
        <f t="shared" si="20"/>
        <v>16</v>
      </c>
      <c r="E96">
        <f t="shared" si="21"/>
        <v>0</v>
      </c>
      <c r="F96">
        <f t="shared" si="16"/>
        <v>0</v>
      </c>
      <c r="G96">
        <f t="shared" si="22"/>
        <v>0</v>
      </c>
      <c r="H96">
        <f t="shared" si="23"/>
        <v>0</v>
      </c>
      <c r="I96">
        <f t="shared" si="24"/>
        <v>0</v>
      </c>
      <c r="J96">
        <f t="shared" si="17"/>
        <v>0</v>
      </c>
      <c r="K96">
        <f t="shared" si="18"/>
        <v>0</v>
      </c>
      <c r="L96">
        <f t="shared" si="25"/>
        <v>17</v>
      </c>
      <c r="M96">
        <f t="shared" si="26"/>
        <v>16</v>
      </c>
      <c r="N96">
        <f t="shared" si="27"/>
        <v>0</v>
      </c>
      <c r="O96">
        <f t="shared" si="28"/>
        <v>0</v>
      </c>
      <c r="P96">
        <f t="shared" si="19"/>
        <v>0</v>
      </c>
      <c r="Q96">
        <f t="shared" si="29"/>
        <v>17</v>
      </c>
      <c r="R96">
        <f t="shared" si="29"/>
        <v>16</v>
      </c>
      <c r="U96">
        <v>4</v>
      </c>
    </row>
    <row r="97" spans="1:21" x14ac:dyDescent="0.25">
      <c r="A97" s="1">
        <v>44746</v>
      </c>
      <c r="B97">
        <f t="shared" si="15"/>
        <v>1</v>
      </c>
      <c r="C97">
        <f t="shared" si="20"/>
        <v>17</v>
      </c>
      <c r="D97">
        <f t="shared" si="20"/>
        <v>16</v>
      </c>
      <c r="E97">
        <f t="shared" si="21"/>
        <v>1</v>
      </c>
      <c r="F97">
        <f t="shared" si="16"/>
        <v>1</v>
      </c>
      <c r="G97">
        <f t="shared" si="22"/>
        <v>0</v>
      </c>
      <c r="H97">
        <f t="shared" si="23"/>
        <v>0</v>
      </c>
      <c r="I97">
        <f t="shared" si="24"/>
        <v>0</v>
      </c>
      <c r="J97">
        <f t="shared" si="17"/>
        <v>0</v>
      </c>
      <c r="K97">
        <f t="shared" si="18"/>
        <v>0</v>
      </c>
      <c r="L97">
        <f t="shared" si="25"/>
        <v>16</v>
      </c>
      <c r="M97">
        <f t="shared" si="26"/>
        <v>16</v>
      </c>
      <c r="N97">
        <f t="shared" si="27"/>
        <v>1</v>
      </c>
      <c r="O97">
        <f t="shared" si="28"/>
        <v>5</v>
      </c>
      <c r="P97">
        <f t="shared" si="19"/>
        <v>4</v>
      </c>
      <c r="Q97">
        <f t="shared" si="29"/>
        <v>11</v>
      </c>
      <c r="R97">
        <f t="shared" si="29"/>
        <v>12</v>
      </c>
      <c r="U97">
        <v>4</v>
      </c>
    </row>
    <row r="98" spans="1:21" x14ac:dyDescent="0.25">
      <c r="A98" s="1">
        <v>44747</v>
      </c>
      <c r="B98">
        <f t="shared" si="15"/>
        <v>2</v>
      </c>
      <c r="C98">
        <f t="shared" si="20"/>
        <v>11</v>
      </c>
      <c r="D98">
        <f t="shared" si="20"/>
        <v>12</v>
      </c>
      <c r="E98">
        <f t="shared" si="21"/>
        <v>0</v>
      </c>
      <c r="F98">
        <f t="shared" si="16"/>
        <v>0</v>
      </c>
      <c r="G98">
        <f t="shared" si="22"/>
        <v>0</v>
      </c>
      <c r="H98">
        <f t="shared" si="23"/>
        <v>0</v>
      </c>
      <c r="I98">
        <f t="shared" si="24"/>
        <v>0</v>
      </c>
      <c r="J98">
        <f t="shared" si="17"/>
        <v>0</v>
      </c>
      <c r="K98">
        <f t="shared" si="18"/>
        <v>0</v>
      </c>
      <c r="L98">
        <f t="shared" si="25"/>
        <v>11</v>
      </c>
      <c r="M98">
        <f t="shared" si="26"/>
        <v>12</v>
      </c>
      <c r="N98">
        <f t="shared" si="27"/>
        <v>1</v>
      </c>
      <c r="O98">
        <f t="shared" si="28"/>
        <v>4</v>
      </c>
      <c r="P98">
        <f t="shared" si="19"/>
        <v>3</v>
      </c>
      <c r="Q98">
        <f t="shared" si="29"/>
        <v>7</v>
      </c>
      <c r="R98">
        <f t="shared" si="29"/>
        <v>9</v>
      </c>
      <c r="U98">
        <v>4</v>
      </c>
    </row>
    <row r="99" spans="1:21" x14ac:dyDescent="0.25">
      <c r="A99" s="1">
        <v>44748</v>
      </c>
      <c r="B99">
        <f t="shared" si="15"/>
        <v>3</v>
      </c>
      <c r="C99">
        <f t="shared" si="20"/>
        <v>7</v>
      </c>
      <c r="D99">
        <f t="shared" si="20"/>
        <v>9</v>
      </c>
      <c r="E99">
        <f t="shared" si="21"/>
        <v>0</v>
      </c>
      <c r="F99">
        <f t="shared" si="16"/>
        <v>0</v>
      </c>
      <c r="G99">
        <f t="shared" si="22"/>
        <v>0</v>
      </c>
      <c r="H99">
        <f t="shared" si="23"/>
        <v>0</v>
      </c>
      <c r="I99">
        <f t="shared" si="24"/>
        <v>0</v>
      </c>
      <c r="J99">
        <f t="shared" si="17"/>
        <v>0</v>
      </c>
      <c r="K99">
        <f t="shared" si="18"/>
        <v>0</v>
      </c>
      <c r="L99">
        <f t="shared" si="25"/>
        <v>7</v>
      </c>
      <c r="M99">
        <f t="shared" si="26"/>
        <v>9</v>
      </c>
      <c r="N99">
        <f t="shared" si="27"/>
        <v>1</v>
      </c>
      <c r="O99">
        <f t="shared" si="28"/>
        <v>3</v>
      </c>
      <c r="P99">
        <f t="shared" si="19"/>
        <v>2</v>
      </c>
      <c r="Q99">
        <f t="shared" si="29"/>
        <v>4</v>
      </c>
      <c r="R99">
        <f t="shared" si="29"/>
        <v>7</v>
      </c>
      <c r="U99">
        <v>4</v>
      </c>
    </row>
    <row r="100" spans="1:21" x14ac:dyDescent="0.25">
      <c r="A100" s="1">
        <v>44749</v>
      </c>
      <c r="B100">
        <f t="shared" si="15"/>
        <v>4</v>
      </c>
      <c r="C100">
        <f t="shared" si="20"/>
        <v>4</v>
      </c>
      <c r="D100">
        <f t="shared" si="20"/>
        <v>7</v>
      </c>
      <c r="E100">
        <f t="shared" si="21"/>
        <v>0</v>
      </c>
      <c r="F100">
        <f t="shared" si="16"/>
        <v>0</v>
      </c>
      <c r="G100">
        <f t="shared" si="22"/>
        <v>1</v>
      </c>
      <c r="H100">
        <f t="shared" si="23"/>
        <v>50</v>
      </c>
      <c r="I100">
        <f t="shared" si="24"/>
        <v>25</v>
      </c>
      <c r="J100">
        <f t="shared" si="17"/>
        <v>0</v>
      </c>
      <c r="K100">
        <f t="shared" si="18"/>
        <v>0</v>
      </c>
      <c r="L100">
        <f t="shared" si="25"/>
        <v>54</v>
      </c>
      <c r="M100">
        <f t="shared" si="26"/>
        <v>32</v>
      </c>
      <c r="N100">
        <f t="shared" si="27"/>
        <v>1</v>
      </c>
      <c r="O100">
        <f t="shared" si="28"/>
        <v>17</v>
      </c>
      <c r="P100">
        <f t="shared" si="19"/>
        <v>7</v>
      </c>
      <c r="Q100">
        <f t="shared" si="29"/>
        <v>37</v>
      </c>
      <c r="R100">
        <f t="shared" si="29"/>
        <v>25</v>
      </c>
      <c r="U100">
        <v>4</v>
      </c>
    </row>
    <row r="101" spans="1:21" x14ac:dyDescent="0.25">
      <c r="A101" s="1">
        <v>44750</v>
      </c>
      <c r="B101">
        <f t="shared" si="15"/>
        <v>5</v>
      </c>
      <c r="C101">
        <f t="shared" si="20"/>
        <v>37</v>
      </c>
      <c r="D101">
        <f t="shared" si="20"/>
        <v>25</v>
      </c>
      <c r="E101">
        <f t="shared" si="21"/>
        <v>0</v>
      </c>
      <c r="F101">
        <f t="shared" si="16"/>
        <v>0</v>
      </c>
      <c r="G101">
        <f t="shared" si="22"/>
        <v>0</v>
      </c>
      <c r="H101">
        <f t="shared" si="23"/>
        <v>0</v>
      </c>
      <c r="I101">
        <f t="shared" si="24"/>
        <v>0</v>
      </c>
      <c r="J101">
        <f t="shared" si="17"/>
        <v>0</v>
      </c>
      <c r="K101">
        <f t="shared" si="18"/>
        <v>0</v>
      </c>
      <c r="L101">
        <f t="shared" si="25"/>
        <v>37</v>
      </c>
      <c r="M101">
        <f t="shared" si="26"/>
        <v>25</v>
      </c>
      <c r="N101">
        <f t="shared" si="27"/>
        <v>1</v>
      </c>
      <c r="O101">
        <f t="shared" si="28"/>
        <v>12</v>
      </c>
      <c r="P101">
        <f t="shared" si="19"/>
        <v>5</v>
      </c>
      <c r="Q101">
        <f t="shared" si="29"/>
        <v>25</v>
      </c>
      <c r="R101">
        <f t="shared" si="29"/>
        <v>20</v>
      </c>
      <c r="U101">
        <v>4</v>
      </c>
    </row>
    <row r="102" spans="1:21" x14ac:dyDescent="0.25">
      <c r="A102" s="1">
        <v>44751</v>
      </c>
      <c r="B102">
        <f t="shared" si="15"/>
        <v>6</v>
      </c>
      <c r="C102">
        <f t="shared" si="20"/>
        <v>25</v>
      </c>
      <c r="D102">
        <f t="shared" si="20"/>
        <v>20</v>
      </c>
      <c r="E102">
        <f t="shared" si="21"/>
        <v>0</v>
      </c>
      <c r="F102">
        <f t="shared" si="16"/>
        <v>0</v>
      </c>
      <c r="G102">
        <f t="shared" si="22"/>
        <v>0</v>
      </c>
      <c r="H102">
        <f t="shared" si="23"/>
        <v>0</v>
      </c>
      <c r="I102">
        <f t="shared" si="24"/>
        <v>0</v>
      </c>
      <c r="J102">
        <f t="shared" si="17"/>
        <v>0</v>
      </c>
      <c r="K102">
        <f t="shared" si="18"/>
        <v>0</v>
      </c>
      <c r="L102">
        <f t="shared" si="25"/>
        <v>25</v>
      </c>
      <c r="M102">
        <f t="shared" si="26"/>
        <v>20</v>
      </c>
      <c r="N102">
        <f t="shared" si="27"/>
        <v>1</v>
      </c>
      <c r="O102">
        <f t="shared" si="28"/>
        <v>8</v>
      </c>
      <c r="P102">
        <f t="shared" si="19"/>
        <v>4</v>
      </c>
      <c r="Q102">
        <f t="shared" si="29"/>
        <v>17</v>
      </c>
      <c r="R102">
        <f t="shared" si="29"/>
        <v>16</v>
      </c>
      <c r="U102">
        <v>4</v>
      </c>
    </row>
    <row r="103" spans="1:21" x14ac:dyDescent="0.25">
      <c r="A103" s="1">
        <v>44752</v>
      </c>
      <c r="B103">
        <f t="shared" si="15"/>
        <v>7</v>
      </c>
      <c r="C103">
        <f t="shared" si="20"/>
        <v>17</v>
      </c>
      <c r="D103">
        <f t="shared" si="20"/>
        <v>16</v>
      </c>
      <c r="E103">
        <f t="shared" si="21"/>
        <v>0</v>
      </c>
      <c r="F103">
        <f t="shared" si="16"/>
        <v>0</v>
      </c>
      <c r="G103">
        <f t="shared" si="22"/>
        <v>0</v>
      </c>
      <c r="H103">
        <f t="shared" si="23"/>
        <v>0</v>
      </c>
      <c r="I103">
        <f t="shared" si="24"/>
        <v>0</v>
      </c>
      <c r="J103">
        <f t="shared" si="17"/>
        <v>0</v>
      </c>
      <c r="K103">
        <f t="shared" si="18"/>
        <v>0</v>
      </c>
      <c r="L103">
        <f t="shared" si="25"/>
        <v>17</v>
      </c>
      <c r="M103">
        <f t="shared" si="26"/>
        <v>16</v>
      </c>
      <c r="N103">
        <f t="shared" si="27"/>
        <v>0</v>
      </c>
      <c r="O103">
        <f t="shared" si="28"/>
        <v>0</v>
      </c>
      <c r="P103">
        <f t="shared" si="19"/>
        <v>0</v>
      </c>
      <c r="Q103">
        <f t="shared" si="29"/>
        <v>17</v>
      </c>
      <c r="R103">
        <f t="shared" si="29"/>
        <v>16</v>
      </c>
      <c r="U103">
        <v>4</v>
      </c>
    </row>
    <row r="104" spans="1:21" x14ac:dyDescent="0.25">
      <c r="A104" s="1">
        <v>44753</v>
      </c>
      <c r="B104">
        <f t="shared" si="15"/>
        <v>1</v>
      </c>
      <c r="C104">
        <f t="shared" si="20"/>
        <v>17</v>
      </c>
      <c r="D104">
        <f t="shared" si="20"/>
        <v>16</v>
      </c>
      <c r="E104">
        <f t="shared" si="21"/>
        <v>1</v>
      </c>
      <c r="F104">
        <f t="shared" si="16"/>
        <v>1</v>
      </c>
      <c r="G104">
        <f t="shared" si="22"/>
        <v>0</v>
      </c>
      <c r="H104">
        <f t="shared" si="23"/>
        <v>0</v>
      </c>
      <c r="I104">
        <f t="shared" si="24"/>
        <v>0</v>
      </c>
      <c r="J104">
        <f t="shared" si="17"/>
        <v>0</v>
      </c>
      <c r="K104">
        <f t="shared" si="18"/>
        <v>0</v>
      </c>
      <c r="L104">
        <f t="shared" si="25"/>
        <v>16</v>
      </c>
      <c r="M104">
        <f t="shared" si="26"/>
        <v>16</v>
      </c>
      <c r="N104">
        <f t="shared" si="27"/>
        <v>1</v>
      </c>
      <c r="O104">
        <f t="shared" si="28"/>
        <v>5</v>
      </c>
      <c r="P104">
        <f t="shared" si="19"/>
        <v>4</v>
      </c>
      <c r="Q104">
        <f t="shared" si="29"/>
        <v>11</v>
      </c>
      <c r="R104">
        <f t="shared" si="29"/>
        <v>12</v>
      </c>
      <c r="U104">
        <v>4</v>
      </c>
    </row>
    <row r="105" spans="1:21" x14ac:dyDescent="0.25">
      <c r="A105" s="1">
        <v>44754</v>
      </c>
      <c r="B105">
        <f t="shared" si="15"/>
        <v>2</v>
      </c>
      <c r="C105">
        <f t="shared" si="20"/>
        <v>11</v>
      </c>
      <c r="D105">
        <f t="shared" si="20"/>
        <v>12</v>
      </c>
      <c r="E105">
        <f t="shared" si="21"/>
        <v>0</v>
      </c>
      <c r="F105">
        <f t="shared" si="16"/>
        <v>0</v>
      </c>
      <c r="G105">
        <f t="shared" si="22"/>
        <v>0</v>
      </c>
      <c r="H105">
        <f t="shared" si="23"/>
        <v>0</v>
      </c>
      <c r="I105">
        <f t="shared" si="24"/>
        <v>0</v>
      </c>
      <c r="J105">
        <f t="shared" si="17"/>
        <v>0</v>
      </c>
      <c r="K105">
        <f t="shared" si="18"/>
        <v>0</v>
      </c>
      <c r="L105">
        <f t="shared" si="25"/>
        <v>11</v>
      </c>
      <c r="M105">
        <f t="shared" si="26"/>
        <v>12</v>
      </c>
      <c r="N105">
        <f t="shared" si="27"/>
        <v>1</v>
      </c>
      <c r="O105">
        <f t="shared" si="28"/>
        <v>4</v>
      </c>
      <c r="P105">
        <f t="shared" si="19"/>
        <v>3</v>
      </c>
      <c r="Q105">
        <f t="shared" si="29"/>
        <v>7</v>
      </c>
      <c r="R105">
        <f t="shared" si="29"/>
        <v>9</v>
      </c>
      <c r="U105">
        <v>4</v>
      </c>
    </row>
    <row r="106" spans="1:21" x14ac:dyDescent="0.25">
      <c r="A106" s="1">
        <v>44755</v>
      </c>
      <c r="B106">
        <f t="shared" si="15"/>
        <v>3</v>
      </c>
      <c r="C106">
        <f t="shared" si="20"/>
        <v>7</v>
      </c>
      <c r="D106">
        <f t="shared" si="20"/>
        <v>9</v>
      </c>
      <c r="E106">
        <f t="shared" si="21"/>
        <v>0</v>
      </c>
      <c r="F106">
        <f t="shared" si="16"/>
        <v>0</v>
      </c>
      <c r="G106">
        <f t="shared" si="22"/>
        <v>0</v>
      </c>
      <c r="H106">
        <f t="shared" si="23"/>
        <v>0</v>
      </c>
      <c r="I106">
        <f t="shared" si="24"/>
        <v>0</v>
      </c>
      <c r="J106">
        <f t="shared" si="17"/>
        <v>0</v>
      </c>
      <c r="K106">
        <f t="shared" si="18"/>
        <v>0</v>
      </c>
      <c r="L106">
        <f t="shared" si="25"/>
        <v>7</v>
      </c>
      <c r="M106">
        <f t="shared" si="26"/>
        <v>9</v>
      </c>
      <c r="N106">
        <f t="shared" si="27"/>
        <v>1</v>
      </c>
      <c r="O106">
        <f t="shared" si="28"/>
        <v>3</v>
      </c>
      <c r="P106">
        <f t="shared" si="19"/>
        <v>2</v>
      </c>
      <c r="Q106">
        <f t="shared" si="29"/>
        <v>4</v>
      </c>
      <c r="R106">
        <f t="shared" si="29"/>
        <v>7</v>
      </c>
      <c r="U106">
        <v>4</v>
      </c>
    </row>
    <row r="107" spans="1:21" x14ac:dyDescent="0.25">
      <c r="A107" s="1">
        <v>44756</v>
      </c>
      <c r="B107">
        <f t="shared" si="15"/>
        <v>4</v>
      </c>
      <c r="C107">
        <f t="shared" si="20"/>
        <v>4</v>
      </c>
      <c r="D107">
        <f t="shared" si="20"/>
        <v>7</v>
      </c>
      <c r="E107">
        <f t="shared" si="21"/>
        <v>0</v>
      </c>
      <c r="F107">
        <f t="shared" si="16"/>
        <v>0</v>
      </c>
      <c r="G107">
        <f t="shared" si="22"/>
        <v>1</v>
      </c>
      <c r="H107">
        <f t="shared" si="23"/>
        <v>50</v>
      </c>
      <c r="I107">
        <f t="shared" si="24"/>
        <v>25</v>
      </c>
      <c r="J107">
        <f t="shared" si="17"/>
        <v>0</v>
      </c>
      <c r="K107">
        <f t="shared" si="18"/>
        <v>0</v>
      </c>
      <c r="L107">
        <f t="shared" si="25"/>
        <v>54</v>
      </c>
      <c r="M107">
        <f t="shared" si="26"/>
        <v>32</v>
      </c>
      <c r="N107">
        <f t="shared" si="27"/>
        <v>1</v>
      </c>
      <c r="O107">
        <f t="shared" si="28"/>
        <v>17</v>
      </c>
      <c r="P107">
        <f t="shared" si="19"/>
        <v>7</v>
      </c>
      <c r="Q107">
        <f t="shared" si="29"/>
        <v>37</v>
      </c>
      <c r="R107">
        <f t="shared" si="29"/>
        <v>25</v>
      </c>
      <c r="U107">
        <v>4</v>
      </c>
    </row>
    <row r="108" spans="1:21" x14ac:dyDescent="0.25">
      <c r="A108" s="1">
        <v>44757</v>
      </c>
      <c r="B108">
        <f t="shared" si="15"/>
        <v>5</v>
      </c>
      <c r="C108">
        <f t="shared" si="20"/>
        <v>37</v>
      </c>
      <c r="D108">
        <f t="shared" si="20"/>
        <v>25</v>
      </c>
      <c r="E108">
        <f t="shared" si="21"/>
        <v>0</v>
      </c>
      <c r="F108">
        <f t="shared" si="16"/>
        <v>0</v>
      </c>
      <c r="G108">
        <f t="shared" si="22"/>
        <v>0</v>
      </c>
      <c r="H108">
        <f t="shared" si="23"/>
        <v>0</v>
      </c>
      <c r="I108">
        <f t="shared" si="24"/>
        <v>0</v>
      </c>
      <c r="J108">
        <f t="shared" si="17"/>
        <v>0</v>
      </c>
      <c r="K108">
        <f t="shared" si="18"/>
        <v>0</v>
      </c>
      <c r="L108">
        <f t="shared" si="25"/>
        <v>37</v>
      </c>
      <c r="M108">
        <f t="shared" si="26"/>
        <v>25</v>
      </c>
      <c r="N108">
        <f t="shared" si="27"/>
        <v>1</v>
      </c>
      <c r="O108">
        <f t="shared" si="28"/>
        <v>12</v>
      </c>
      <c r="P108">
        <f t="shared" si="19"/>
        <v>5</v>
      </c>
      <c r="Q108">
        <f t="shared" si="29"/>
        <v>25</v>
      </c>
      <c r="R108">
        <f t="shared" si="29"/>
        <v>20</v>
      </c>
      <c r="U108">
        <v>4</v>
      </c>
    </row>
    <row r="109" spans="1:21" x14ac:dyDescent="0.25">
      <c r="A109" s="1">
        <v>44758</v>
      </c>
      <c r="B109">
        <f t="shared" si="15"/>
        <v>6</v>
      </c>
      <c r="C109">
        <f t="shared" si="20"/>
        <v>25</v>
      </c>
      <c r="D109">
        <f t="shared" si="20"/>
        <v>20</v>
      </c>
      <c r="E109">
        <f t="shared" si="21"/>
        <v>0</v>
      </c>
      <c r="F109">
        <f t="shared" si="16"/>
        <v>0</v>
      </c>
      <c r="G109">
        <f t="shared" si="22"/>
        <v>0</v>
      </c>
      <c r="H109">
        <f t="shared" si="23"/>
        <v>0</v>
      </c>
      <c r="I109">
        <f t="shared" si="24"/>
        <v>0</v>
      </c>
      <c r="J109">
        <f t="shared" si="17"/>
        <v>0</v>
      </c>
      <c r="K109">
        <f t="shared" si="18"/>
        <v>0</v>
      </c>
      <c r="L109">
        <f t="shared" si="25"/>
        <v>25</v>
      </c>
      <c r="M109">
        <f t="shared" si="26"/>
        <v>20</v>
      </c>
      <c r="N109">
        <f t="shared" si="27"/>
        <v>1</v>
      </c>
      <c r="O109">
        <f t="shared" si="28"/>
        <v>8</v>
      </c>
      <c r="P109">
        <f t="shared" si="19"/>
        <v>4</v>
      </c>
      <c r="Q109">
        <f t="shared" si="29"/>
        <v>17</v>
      </c>
      <c r="R109">
        <f t="shared" si="29"/>
        <v>16</v>
      </c>
      <c r="U109">
        <v>4</v>
      </c>
    </row>
    <row r="110" spans="1:21" x14ac:dyDescent="0.25">
      <c r="A110" s="1">
        <v>44759</v>
      </c>
      <c r="B110">
        <f t="shared" si="15"/>
        <v>7</v>
      </c>
      <c r="C110">
        <f t="shared" si="20"/>
        <v>17</v>
      </c>
      <c r="D110">
        <f t="shared" si="20"/>
        <v>16</v>
      </c>
      <c r="E110">
        <f t="shared" si="21"/>
        <v>0</v>
      </c>
      <c r="F110">
        <f t="shared" si="16"/>
        <v>0</v>
      </c>
      <c r="G110">
        <f t="shared" si="22"/>
        <v>0</v>
      </c>
      <c r="H110">
        <f t="shared" si="23"/>
        <v>0</v>
      </c>
      <c r="I110">
        <f t="shared" si="24"/>
        <v>0</v>
      </c>
      <c r="J110">
        <f t="shared" si="17"/>
        <v>0</v>
      </c>
      <c r="K110">
        <f t="shared" si="18"/>
        <v>0</v>
      </c>
      <c r="L110">
        <f t="shared" si="25"/>
        <v>17</v>
      </c>
      <c r="M110">
        <f t="shared" si="26"/>
        <v>16</v>
      </c>
      <c r="N110">
        <f t="shared" si="27"/>
        <v>0</v>
      </c>
      <c r="O110">
        <f t="shared" si="28"/>
        <v>0</v>
      </c>
      <c r="P110">
        <f t="shared" si="19"/>
        <v>0</v>
      </c>
      <c r="Q110">
        <f t="shared" si="29"/>
        <v>17</v>
      </c>
      <c r="R110">
        <f t="shared" si="29"/>
        <v>16</v>
      </c>
      <c r="U110">
        <v>4</v>
      </c>
    </row>
    <row r="111" spans="1:21" x14ac:dyDescent="0.25">
      <c r="A111" s="1">
        <v>44760</v>
      </c>
      <c r="B111">
        <f t="shared" si="15"/>
        <v>1</v>
      </c>
      <c r="C111">
        <f t="shared" si="20"/>
        <v>17</v>
      </c>
      <c r="D111">
        <f t="shared" si="20"/>
        <v>16</v>
      </c>
      <c r="E111">
        <f t="shared" si="21"/>
        <v>1</v>
      </c>
      <c r="F111">
        <f t="shared" si="16"/>
        <v>1</v>
      </c>
      <c r="G111">
        <f t="shared" si="22"/>
        <v>0</v>
      </c>
      <c r="H111">
        <f t="shared" si="23"/>
        <v>0</v>
      </c>
      <c r="I111">
        <f t="shared" si="24"/>
        <v>0</v>
      </c>
      <c r="J111">
        <f t="shared" si="17"/>
        <v>0</v>
      </c>
      <c r="K111">
        <f t="shared" si="18"/>
        <v>0</v>
      </c>
      <c r="L111">
        <f t="shared" si="25"/>
        <v>16</v>
      </c>
      <c r="M111">
        <f t="shared" si="26"/>
        <v>16</v>
      </c>
      <c r="N111">
        <f t="shared" si="27"/>
        <v>1</v>
      </c>
      <c r="O111">
        <f t="shared" si="28"/>
        <v>5</v>
      </c>
      <c r="P111">
        <f t="shared" si="19"/>
        <v>4</v>
      </c>
      <c r="Q111">
        <f t="shared" si="29"/>
        <v>11</v>
      </c>
      <c r="R111">
        <f t="shared" si="29"/>
        <v>12</v>
      </c>
      <c r="U111">
        <v>4</v>
      </c>
    </row>
    <row r="112" spans="1:21" x14ac:dyDescent="0.25">
      <c r="A112" s="1">
        <v>44761</v>
      </c>
      <c r="B112">
        <f t="shared" si="15"/>
        <v>2</v>
      </c>
      <c r="C112">
        <f t="shared" si="20"/>
        <v>11</v>
      </c>
      <c r="D112">
        <f t="shared" si="20"/>
        <v>12</v>
      </c>
      <c r="E112">
        <f t="shared" si="21"/>
        <v>0</v>
      </c>
      <c r="F112">
        <f t="shared" si="16"/>
        <v>0</v>
      </c>
      <c r="G112">
        <f t="shared" si="22"/>
        <v>0</v>
      </c>
      <c r="H112">
        <f t="shared" si="23"/>
        <v>0</v>
      </c>
      <c r="I112">
        <f t="shared" si="24"/>
        <v>0</v>
      </c>
      <c r="J112">
        <f t="shared" si="17"/>
        <v>0</v>
      </c>
      <c r="K112">
        <f t="shared" si="18"/>
        <v>0</v>
      </c>
      <c r="L112">
        <f t="shared" si="25"/>
        <v>11</v>
      </c>
      <c r="M112">
        <f t="shared" si="26"/>
        <v>12</v>
      </c>
      <c r="N112">
        <f t="shared" si="27"/>
        <v>1</v>
      </c>
      <c r="O112">
        <f t="shared" si="28"/>
        <v>4</v>
      </c>
      <c r="P112">
        <f t="shared" si="19"/>
        <v>3</v>
      </c>
      <c r="Q112">
        <f t="shared" si="29"/>
        <v>7</v>
      </c>
      <c r="R112">
        <f t="shared" si="29"/>
        <v>9</v>
      </c>
      <c r="U112">
        <v>4</v>
      </c>
    </row>
    <row r="113" spans="1:21" x14ac:dyDescent="0.25">
      <c r="A113" s="1">
        <v>44762</v>
      </c>
      <c r="B113">
        <f t="shared" si="15"/>
        <v>3</v>
      </c>
      <c r="C113">
        <f t="shared" si="20"/>
        <v>7</v>
      </c>
      <c r="D113">
        <f t="shared" si="20"/>
        <v>9</v>
      </c>
      <c r="E113">
        <f t="shared" si="21"/>
        <v>0</v>
      </c>
      <c r="F113">
        <f t="shared" si="16"/>
        <v>0</v>
      </c>
      <c r="G113">
        <f t="shared" si="22"/>
        <v>0</v>
      </c>
      <c r="H113">
        <f t="shared" si="23"/>
        <v>0</v>
      </c>
      <c r="I113">
        <f t="shared" si="24"/>
        <v>0</v>
      </c>
      <c r="J113">
        <f t="shared" si="17"/>
        <v>0</v>
      </c>
      <c r="K113">
        <f t="shared" si="18"/>
        <v>0</v>
      </c>
      <c r="L113">
        <f t="shared" si="25"/>
        <v>7</v>
      </c>
      <c r="M113">
        <f t="shared" si="26"/>
        <v>9</v>
      </c>
      <c r="N113">
        <f t="shared" si="27"/>
        <v>1</v>
      </c>
      <c r="O113">
        <f t="shared" si="28"/>
        <v>3</v>
      </c>
      <c r="P113">
        <f t="shared" si="19"/>
        <v>2</v>
      </c>
      <c r="Q113">
        <f t="shared" si="29"/>
        <v>4</v>
      </c>
      <c r="R113">
        <f t="shared" si="29"/>
        <v>7</v>
      </c>
      <c r="U113">
        <v>4</v>
      </c>
    </row>
    <row r="114" spans="1:21" x14ac:dyDescent="0.25">
      <c r="A114" s="1">
        <v>44763</v>
      </c>
      <c r="B114">
        <f t="shared" si="15"/>
        <v>4</v>
      </c>
      <c r="C114">
        <f t="shared" si="20"/>
        <v>4</v>
      </c>
      <c r="D114">
        <f t="shared" si="20"/>
        <v>7</v>
      </c>
      <c r="E114">
        <f t="shared" si="21"/>
        <v>0</v>
      </c>
      <c r="F114">
        <f t="shared" si="16"/>
        <v>0</v>
      </c>
      <c r="G114">
        <f t="shared" si="22"/>
        <v>1</v>
      </c>
      <c r="H114">
        <f t="shared" si="23"/>
        <v>50</v>
      </c>
      <c r="I114">
        <f t="shared" si="24"/>
        <v>25</v>
      </c>
      <c r="J114">
        <f t="shared" si="17"/>
        <v>0</v>
      </c>
      <c r="K114">
        <f t="shared" si="18"/>
        <v>0</v>
      </c>
      <c r="L114">
        <f t="shared" si="25"/>
        <v>54</v>
      </c>
      <c r="M114">
        <f t="shared" si="26"/>
        <v>32</v>
      </c>
      <c r="N114">
        <f t="shared" si="27"/>
        <v>1</v>
      </c>
      <c r="O114">
        <f t="shared" si="28"/>
        <v>17</v>
      </c>
      <c r="P114">
        <f t="shared" si="19"/>
        <v>7</v>
      </c>
      <c r="Q114">
        <f t="shared" si="29"/>
        <v>37</v>
      </c>
      <c r="R114">
        <f t="shared" si="29"/>
        <v>25</v>
      </c>
      <c r="U114">
        <v>4</v>
      </c>
    </row>
    <row r="115" spans="1:21" x14ac:dyDescent="0.25">
      <c r="A115" s="1">
        <v>44764</v>
      </c>
      <c r="B115">
        <f t="shared" si="15"/>
        <v>5</v>
      </c>
      <c r="C115">
        <f t="shared" si="20"/>
        <v>37</v>
      </c>
      <c r="D115">
        <f t="shared" si="20"/>
        <v>25</v>
      </c>
      <c r="E115">
        <f t="shared" si="21"/>
        <v>0</v>
      </c>
      <c r="F115">
        <f t="shared" si="16"/>
        <v>0</v>
      </c>
      <c r="G115">
        <f t="shared" si="22"/>
        <v>0</v>
      </c>
      <c r="H115">
        <f t="shared" si="23"/>
        <v>0</v>
      </c>
      <c r="I115">
        <f t="shared" si="24"/>
        <v>0</v>
      </c>
      <c r="J115">
        <f t="shared" si="17"/>
        <v>0</v>
      </c>
      <c r="K115">
        <f t="shared" si="18"/>
        <v>0</v>
      </c>
      <c r="L115">
        <f t="shared" si="25"/>
        <v>37</v>
      </c>
      <c r="M115">
        <f t="shared" si="26"/>
        <v>25</v>
      </c>
      <c r="N115">
        <f t="shared" si="27"/>
        <v>1</v>
      </c>
      <c r="O115">
        <f t="shared" si="28"/>
        <v>12</v>
      </c>
      <c r="P115">
        <f t="shared" si="19"/>
        <v>5</v>
      </c>
      <c r="Q115">
        <f t="shared" si="29"/>
        <v>25</v>
      </c>
      <c r="R115">
        <f t="shared" si="29"/>
        <v>20</v>
      </c>
      <c r="U115">
        <v>4</v>
      </c>
    </row>
    <row r="116" spans="1:21" x14ac:dyDescent="0.25">
      <c r="A116" s="1">
        <v>44765</v>
      </c>
      <c r="B116">
        <f t="shared" si="15"/>
        <v>6</v>
      </c>
      <c r="C116">
        <f t="shared" si="20"/>
        <v>25</v>
      </c>
      <c r="D116">
        <f t="shared" si="20"/>
        <v>20</v>
      </c>
      <c r="E116">
        <f t="shared" si="21"/>
        <v>0</v>
      </c>
      <c r="F116">
        <f t="shared" si="16"/>
        <v>0</v>
      </c>
      <c r="G116">
        <f t="shared" si="22"/>
        <v>0</v>
      </c>
      <c r="H116">
        <f t="shared" si="23"/>
        <v>0</v>
      </c>
      <c r="I116">
        <f t="shared" si="24"/>
        <v>0</v>
      </c>
      <c r="J116">
        <f t="shared" si="17"/>
        <v>0</v>
      </c>
      <c r="K116">
        <f t="shared" si="18"/>
        <v>0</v>
      </c>
      <c r="L116">
        <f t="shared" si="25"/>
        <v>25</v>
      </c>
      <c r="M116">
        <f t="shared" si="26"/>
        <v>20</v>
      </c>
      <c r="N116">
        <f t="shared" si="27"/>
        <v>1</v>
      </c>
      <c r="O116">
        <f t="shared" si="28"/>
        <v>8</v>
      </c>
      <c r="P116">
        <f t="shared" si="19"/>
        <v>4</v>
      </c>
      <c r="Q116">
        <f t="shared" si="29"/>
        <v>17</v>
      </c>
      <c r="R116">
        <f t="shared" si="29"/>
        <v>16</v>
      </c>
      <c r="U116">
        <v>5</v>
      </c>
    </row>
    <row r="117" spans="1:21" x14ac:dyDescent="0.25">
      <c r="A117" s="1">
        <v>44766</v>
      </c>
      <c r="B117">
        <f t="shared" si="15"/>
        <v>7</v>
      </c>
      <c r="C117">
        <f t="shared" si="20"/>
        <v>17</v>
      </c>
      <c r="D117">
        <f t="shared" si="20"/>
        <v>16</v>
      </c>
      <c r="E117">
        <f t="shared" si="21"/>
        <v>0</v>
      </c>
      <c r="F117">
        <f t="shared" si="16"/>
        <v>0</v>
      </c>
      <c r="G117">
        <f t="shared" si="22"/>
        <v>0</v>
      </c>
      <c r="H117">
        <f t="shared" si="23"/>
        <v>0</v>
      </c>
      <c r="I117">
        <f t="shared" si="24"/>
        <v>0</v>
      </c>
      <c r="J117">
        <f t="shared" si="17"/>
        <v>0</v>
      </c>
      <c r="K117">
        <f t="shared" si="18"/>
        <v>0</v>
      </c>
      <c r="L117">
        <f t="shared" si="25"/>
        <v>17</v>
      </c>
      <c r="M117">
        <f t="shared" si="26"/>
        <v>16</v>
      </c>
      <c r="N117">
        <f t="shared" si="27"/>
        <v>0</v>
      </c>
      <c r="O117">
        <f t="shared" si="28"/>
        <v>0</v>
      </c>
      <c r="P117">
        <f t="shared" si="19"/>
        <v>0</v>
      </c>
      <c r="Q117">
        <f t="shared" si="29"/>
        <v>17</v>
      </c>
      <c r="R117">
        <f t="shared" si="29"/>
        <v>16</v>
      </c>
      <c r="U117">
        <v>5</v>
      </c>
    </row>
    <row r="118" spans="1:21" x14ac:dyDescent="0.25">
      <c r="A118" s="1">
        <v>44767</v>
      </c>
      <c r="B118">
        <f t="shared" si="15"/>
        <v>1</v>
      </c>
      <c r="C118">
        <f t="shared" si="20"/>
        <v>17</v>
      </c>
      <c r="D118">
        <f t="shared" si="20"/>
        <v>16</v>
      </c>
      <c r="E118">
        <f t="shared" si="21"/>
        <v>1</v>
      </c>
      <c r="F118">
        <f t="shared" si="16"/>
        <v>1</v>
      </c>
      <c r="G118">
        <f t="shared" si="22"/>
        <v>0</v>
      </c>
      <c r="H118">
        <f t="shared" si="23"/>
        <v>0</v>
      </c>
      <c r="I118">
        <f t="shared" si="24"/>
        <v>0</v>
      </c>
      <c r="J118">
        <f t="shared" si="17"/>
        <v>0</v>
      </c>
      <c r="K118">
        <f t="shared" si="18"/>
        <v>0</v>
      </c>
      <c r="L118">
        <f t="shared" si="25"/>
        <v>16</v>
      </c>
      <c r="M118">
        <f t="shared" si="26"/>
        <v>16</v>
      </c>
      <c r="N118">
        <f t="shared" si="27"/>
        <v>1</v>
      </c>
      <c r="O118">
        <f t="shared" si="28"/>
        <v>5</v>
      </c>
      <c r="P118">
        <f t="shared" si="19"/>
        <v>4</v>
      </c>
      <c r="Q118">
        <f t="shared" si="29"/>
        <v>11</v>
      </c>
      <c r="R118">
        <f t="shared" si="29"/>
        <v>12</v>
      </c>
      <c r="U118">
        <v>5</v>
      </c>
    </row>
    <row r="119" spans="1:21" x14ac:dyDescent="0.25">
      <c r="A119" s="1">
        <v>44768</v>
      </c>
      <c r="B119">
        <f t="shared" si="15"/>
        <v>2</v>
      </c>
      <c r="C119">
        <f t="shared" si="20"/>
        <v>11</v>
      </c>
      <c r="D119">
        <f t="shared" si="20"/>
        <v>12</v>
      </c>
      <c r="E119">
        <f t="shared" si="21"/>
        <v>0</v>
      </c>
      <c r="F119">
        <f t="shared" si="16"/>
        <v>0</v>
      </c>
      <c r="G119">
        <f t="shared" si="22"/>
        <v>0</v>
      </c>
      <c r="H119">
        <f t="shared" si="23"/>
        <v>0</v>
      </c>
      <c r="I119">
        <f t="shared" si="24"/>
        <v>0</v>
      </c>
      <c r="J119">
        <f t="shared" si="17"/>
        <v>0</v>
      </c>
      <c r="K119">
        <f t="shared" si="18"/>
        <v>0</v>
      </c>
      <c r="L119">
        <f t="shared" si="25"/>
        <v>11</v>
      </c>
      <c r="M119">
        <f t="shared" si="26"/>
        <v>12</v>
      </c>
      <c r="N119">
        <f t="shared" si="27"/>
        <v>1</v>
      </c>
      <c r="O119">
        <f t="shared" si="28"/>
        <v>4</v>
      </c>
      <c r="P119">
        <f t="shared" si="19"/>
        <v>3</v>
      </c>
      <c r="Q119">
        <f t="shared" si="29"/>
        <v>7</v>
      </c>
      <c r="R119">
        <f t="shared" si="29"/>
        <v>9</v>
      </c>
      <c r="U119">
        <v>5</v>
      </c>
    </row>
    <row r="120" spans="1:21" x14ac:dyDescent="0.25">
      <c r="A120" s="1">
        <v>44769</v>
      </c>
      <c r="B120">
        <f t="shared" si="15"/>
        <v>3</v>
      </c>
      <c r="C120">
        <f t="shared" si="20"/>
        <v>7</v>
      </c>
      <c r="D120">
        <f t="shared" si="20"/>
        <v>9</v>
      </c>
      <c r="E120">
        <f t="shared" si="21"/>
        <v>0</v>
      </c>
      <c r="F120">
        <f t="shared" si="16"/>
        <v>0</v>
      </c>
      <c r="G120">
        <f t="shared" si="22"/>
        <v>0</v>
      </c>
      <c r="H120">
        <f t="shared" si="23"/>
        <v>0</v>
      </c>
      <c r="I120">
        <f t="shared" si="24"/>
        <v>0</v>
      </c>
      <c r="J120">
        <f t="shared" si="17"/>
        <v>0</v>
      </c>
      <c r="K120">
        <f t="shared" si="18"/>
        <v>0</v>
      </c>
      <c r="L120">
        <f t="shared" si="25"/>
        <v>7</v>
      </c>
      <c r="M120">
        <f t="shared" si="26"/>
        <v>9</v>
      </c>
      <c r="N120">
        <f t="shared" si="27"/>
        <v>1</v>
      </c>
      <c r="O120">
        <f t="shared" si="28"/>
        <v>3</v>
      </c>
      <c r="P120">
        <f t="shared" si="19"/>
        <v>2</v>
      </c>
      <c r="Q120">
        <f t="shared" si="29"/>
        <v>4</v>
      </c>
      <c r="R120">
        <f t="shared" si="29"/>
        <v>7</v>
      </c>
      <c r="U120">
        <v>5</v>
      </c>
    </row>
    <row r="121" spans="1:21" x14ac:dyDescent="0.25">
      <c r="A121" s="1">
        <v>44770</v>
      </c>
      <c r="B121">
        <f t="shared" si="15"/>
        <v>4</v>
      </c>
      <c r="C121">
        <f t="shared" si="20"/>
        <v>4</v>
      </c>
      <c r="D121">
        <f t="shared" si="20"/>
        <v>7</v>
      </c>
      <c r="E121">
        <f t="shared" si="21"/>
        <v>0</v>
      </c>
      <c r="F121">
        <f t="shared" si="16"/>
        <v>0</v>
      </c>
      <c r="G121">
        <f t="shared" si="22"/>
        <v>1</v>
      </c>
      <c r="H121">
        <f t="shared" si="23"/>
        <v>50</v>
      </c>
      <c r="I121">
        <f t="shared" si="24"/>
        <v>25</v>
      </c>
      <c r="J121">
        <f t="shared" si="17"/>
        <v>0</v>
      </c>
      <c r="K121">
        <f t="shared" si="18"/>
        <v>0</v>
      </c>
      <c r="L121">
        <f t="shared" si="25"/>
        <v>54</v>
      </c>
      <c r="M121">
        <f t="shared" si="26"/>
        <v>32</v>
      </c>
      <c r="N121">
        <f t="shared" si="27"/>
        <v>1</v>
      </c>
      <c r="O121">
        <f t="shared" si="28"/>
        <v>17</v>
      </c>
      <c r="P121">
        <f t="shared" si="19"/>
        <v>7</v>
      </c>
      <c r="Q121">
        <f t="shared" si="29"/>
        <v>37</v>
      </c>
      <c r="R121">
        <f t="shared" si="29"/>
        <v>25</v>
      </c>
      <c r="U121">
        <v>5</v>
      </c>
    </row>
    <row r="122" spans="1:21" x14ac:dyDescent="0.25">
      <c r="A122" s="1">
        <v>44771</v>
      </c>
      <c r="B122">
        <f t="shared" si="15"/>
        <v>5</v>
      </c>
      <c r="C122">
        <f t="shared" si="20"/>
        <v>37</v>
      </c>
      <c r="D122">
        <f t="shared" si="20"/>
        <v>25</v>
      </c>
      <c r="E122">
        <f t="shared" si="21"/>
        <v>0</v>
      </c>
      <c r="F122">
        <f t="shared" si="16"/>
        <v>0</v>
      </c>
      <c r="G122">
        <f t="shared" si="22"/>
        <v>0</v>
      </c>
      <c r="H122">
        <f t="shared" si="23"/>
        <v>0</v>
      </c>
      <c r="I122">
        <f t="shared" si="24"/>
        <v>0</v>
      </c>
      <c r="J122">
        <f t="shared" si="17"/>
        <v>0</v>
      </c>
      <c r="K122">
        <f t="shared" si="18"/>
        <v>0</v>
      </c>
      <c r="L122">
        <f t="shared" si="25"/>
        <v>37</v>
      </c>
      <c r="M122">
        <f t="shared" si="26"/>
        <v>25</v>
      </c>
      <c r="N122">
        <f t="shared" si="27"/>
        <v>1</v>
      </c>
      <c r="O122">
        <f t="shared" si="28"/>
        <v>12</v>
      </c>
      <c r="P122">
        <f t="shared" si="19"/>
        <v>5</v>
      </c>
      <c r="Q122">
        <f t="shared" si="29"/>
        <v>25</v>
      </c>
      <c r="R122">
        <f t="shared" si="29"/>
        <v>20</v>
      </c>
      <c r="U122">
        <v>5</v>
      </c>
    </row>
    <row r="123" spans="1:21" x14ac:dyDescent="0.25">
      <c r="A123" s="1">
        <v>44772</v>
      </c>
      <c r="B123">
        <f t="shared" si="15"/>
        <v>6</v>
      </c>
      <c r="C123">
        <f t="shared" si="20"/>
        <v>25</v>
      </c>
      <c r="D123">
        <f t="shared" si="20"/>
        <v>20</v>
      </c>
      <c r="E123">
        <f t="shared" si="21"/>
        <v>0</v>
      </c>
      <c r="F123">
        <f t="shared" si="16"/>
        <v>0</v>
      </c>
      <c r="G123">
        <f t="shared" si="22"/>
        <v>0</v>
      </c>
      <c r="H123">
        <f t="shared" si="23"/>
        <v>0</v>
      </c>
      <c r="I123">
        <f t="shared" si="24"/>
        <v>0</v>
      </c>
      <c r="J123">
        <f t="shared" si="17"/>
        <v>0</v>
      </c>
      <c r="K123">
        <f t="shared" si="18"/>
        <v>0</v>
      </c>
      <c r="L123">
        <f t="shared" si="25"/>
        <v>25</v>
      </c>
      <c r="M123">
        <f t="shared" si="26"/>
        <v>20</v>
      </c>
      <c r="N123">
        <f t="shared" si="27"/>
        <v>1</v>
      </c>
      <c r="O123">
        <f t="shared" si="28"/>
        <v>8</v>
      </c>
      <c r="P123">
        <f t="shared" si="19"/>
        <v>4</v>
      </c>
      <c r="Q123">
        <f t="shared" si="29"/>
        <v>17</v>
      </c>
      <c r="R123">
        <f t="shared" si="29"/>
        <v>16</v>
      </c>
      <c r="U123">
        <v>5</v>
      </c>
    </row>
    <row r="124" spans="1:21" x14ac:dyDescent="0.25">
      <c r="A124" s="1">
        <v>44773</v>
      </c>
      <c r="B124">
        <f t="shared" si="15"/>
        <v>7</v>
      </c>
      <c r="C124">
        <f t="shared" si="20"/>
        <v>17</v>
      </c>
      <c r="D124">
        <f t="shared" si="20"/>
        <v>16</v>
      </c>
      <c r="E124">
        <f t="shared" si="21"/>
        <v>0</v>
      </c>
      <c r="F124">
        <f t="shared" si="16"/>
        <v>0</v>
      </c>
      <c r="G124">
        <f t="shared" si="22"/>
        <v>0</v>
      </c>
      <c r="H124">
        <f t="shared" si="23"/>
        <v>0</v>
      </c>
      <c r="I124">
        <f t="shared" si="24"/>
        <v>0</v>
      </c>
      <c r="J124">
        <f t="shared" si="17"/>
        <v>0</v>
      </c>
      <c r="K124">
        <f t="shared" si="18"/>
        <v>0</v>
      </c>
      <c r="L124">
        <f t="shared" si="25"/>
        <v>17</v>
      </c>
      <c r="M124">
        <f t="shared" si="26"/>
        <v>16</v>
      </c>
      <c r="N124">
        <f t="shared" si="27"/>
        <v>0</v>
      </c>
      <c r="O124">
        <f t="shared" si="28"/>
        <v>0</v>
      </c>
      <c r="P124">
        <f t="shared" si="19"/>
        <v>0</v>
      </c>
      <c r="Q124">
        <f t="shared" si="29"/>
        <v>17</v>
      </c>
      <c r="R124">
        <f t="shared" si="29"/>
        <v>16</v>
      </c>
      <c r="U124">
        <v>5</v>
      </c>
    </row>
    <row r="125" spans="1:21" x14ac:dyDescent="0.25">
      <c r="A125" s="1">
        <v>44774</v>
      </c>
      <c r="B125">
        <f t="shared" si="15"/>
        <v>1</v>
      </c>
      <c r="C125">
        <f t="shared" si="20"/>
        <v>17</v>
      </c>
      <c r="D125">
        <f t="shared" si="20"/>
        <v>16</v>
      </c>
      <c r="E125">
        <f t="shared" si="21"/>
        <v>1</v>
      </c>
      <c r="F125">
        <f t="shared" si="16"/>
        <v>1</v>
      </c>
      <c r="G125">
        <f t="shared" si="22"/>
        <v>0</v>
      </c>
      <c r="H125">
        <f t="shared" si="23"/>
        <v>0</v>
      </c>
      <c r="I125">
        <f t="shared" si="24"/>
        <v>0</v>
      </c>
      <c r="J125">
        <f t="shared" si="17"/>
        <v>0</v>
      </c>
      <c r="K125">
        <f t="shared" si="18"/>
        <v>0</v>
      </c>
      <c r="L125">
        <f t="shared" si="25"/>
        <v>16</v>
      </c>
      <c r="M125">
        <f t="shared" si="26"/>
        <v>16</v>
      </c>
      <c r="N125">
        <f t="shared" si="27"/>
        <v>1</v>
      </c>
      <c r="O125">
        <f t="shared" si="28"/>
        <v>5</v>
      </c>
      <c r="P125">
        <f t="shared" si="19"/>
        <v>4</v>
      </c>
      <c r="Q125">
        <f t="shared" si="29"/>
        <v>11</v>
      </c>
      <c r="R125">
        <f t="shared" si="29"/>
        <v>12</v>
      </c>
      <c r="U125">
        <v>5</v>
      </c>
    </row>
    <row r="126" spans="1:21" x14ac:dyDescent="0.25">
      <c r="A126" s="1">
        <v>44775</v>
      </c>
      <c r="B126">
        <f t="shared" si="15"/>
        <v>2</v>
      </c>
      <c r="C126">
        <f t="shared" si="20"/>
        <v>11</v>
      </c>
      <c r="D126">
        <f t="shared" si="20"/>
        <v>12</v>
      </c>
      <c r="E126">
        <f t="shared" si="21"/>
        <v>0</v>
      </c>
      <c r="F126">
        <f t="shared" si="16"/>
        <v>0</v>
      </c>
      <c r="G126">
        <f t="shared" si="22"/>
        <v>0</v>
      </c>
      <c r="H126">
        <f t="shared" si="23"/>
        <v>0</v>
      </c>
      <c r="I126">
        <f t="shared" si="24"/>
        <v>0</v>
      </c>
      <c r="J126">
        <f t="shared" si="17"/>
        <v>0</v>
      </c>
      <c r="K126">
        <f t="shared" si="18"/>
        <v>0</v>
      </c>
      <c r="L126">
        <f t="shared" si="25"/>
        <v>11</v>
      </c>
      <c r="M126">
        <f t="shared" si="26"/>
        <v>12</v>
      </c>
      <c r="N126">
        <f t="shared" si="27"/>
        <v>1</v>
      </c>
      <c r="O126">
        <f t="shared" si="28"/>
        <v>4</v>
      </c>
      <c r="P126">
        <f t="shared" si="19"/>
        <v>3</v>
      </c>
      <c r="Q126">
        <f t="shared" si="29"/>
        <v>7</v>
      </c>
      <c r="R126">
        <f t="shared" si="29"/>
        <v>9</v>
      </c>
      <c r="U126">
        <v>5</v>
      </c>
    </row>
    <row r="127" spans="1:21" x14ac:dyDescent="0.25">
      <c r="A127" s="1">
        <v>44776</v>
      </c>
      <c r="B127">
        <f t="shared" si="15"/>
        <v>3</v>
      </c>
      <c r="C127">
        <f t="shared" si="20"/>
        <v>7</v>
      </c>
      <c r="D127">
        <f t="shared" si="20"/>
        <v>9</v>
      </c>
      <c r="E127">
        <f t="shared" si="21"/>
        <v>0</v>
      </c>
      <c r="F127">
        <f t="shared" si="16"/>
        <v>0</v>
      </c>
      <c r="G127">
        <f t="shared" si="22"/>
        <v>0</v>
      </c>
      <c r="H127">
        <f t="shared" si="23"/>
        <v>0</v>
      </c>
      <c r="I127">
        <f t="shared" si="24"/>
        <v>0</v>
      </c>
      <c r="J127">
        <f t="shared" si="17"/>
        <v>0</v>
      </c>
      <c r="K127">
        <f t="shared" si="18"/>
        <v>0</v>
      </c>
      <c r="L127">
        <f t="shared" si="25"/>
        <v>7</v>
      </c>
      <c r="M127">
        <f t="shared" si="26"/>
        <v>9</v>
      </c>
      <c r="N127">
        <f t="shared" si="27"/>
        <v>1</v>
      </c>
      <c r="O127">
        <f t="shared" si="28"/>
        <v>3</v>
      </c>
      <c r="P127">
        <f t="shared" si="19"/>
        <v>2</v>
      </c>
      <c r="Q127">
        <f t="shared" si="29"/>
        <v>4</v>
      </c>
      <c r="R127">
        <f t="shared" si="29"/>
        <v>7</v>
      </c>
      <c r="U127">
        <v>5</v>
      </c>
    </row>
    <row r="128" spans="1:21" x14ac:dyDescent="0.25">
      <c r="A128" s="1">
        <v>44777</v>
      </c>
      <c r="B128">
        <f t="shared" si="15"/>
        <v>4</v>
      </c>
      <c r="C128">
        <f t="shared" si="20"/>
        <v>4</v>
      </c>
      <c r="D128">
        <f t="shared" si="20"/>
        <v>7</v>
      </c>
      <c r="E128">
        <f t="shared" si="21"/>
        <v>0</v>
      </c>
      <c r="F128">
        <f t="shared" si="16"/>
        <v>0</v>
      </c>
      <c r="G128">
        <f t="shared" si="22"/>
        <v>1</v>
      </c>
      <c r="H128">
        <f t="shared" si="23"/>
        <v>50</v>
      </c>
      <c r="I128">
        <f t="shared" si="24"/>
        <v>25</v>
      </c>
      <c r="J128">
        <f t="shared" si="17"/>
        <v>0</v>
      </c>
      <c r="K128">
        <f t="shared" si="18"/>
        <v>0</v>
      </c>
      <c r="L128">
        <f t="shared" si="25"/>
        <v>54</v>
      </c>
      <c r="M128">
        <f t="shared" si="26"/>
        <v>32</v>
      </c>
      <c r="N128">
        <f t="shared" si="27"/>
        <v>1</v>
      </c>
      <c r="O128">
        <f t="shared" si="28"/>
        <v>17</v>
      </c>
      <c r="P128">
        <f t="shared" si="19"/>
        <v>7</v>
      </c>
      <c r="Q128">
        <f t="shared" si="29"/>
        <v>37</v>
      </c>
      <c r="R128">
        <f t="shared" si="29"/>
        <v>25</v>
      </c>
      <c r="U128">
        <v>5</v>
      </c>
    </row>
    <row r="129" spans="1:21" x14ac:dyDescent="0.25">
      <c r="A129" s="1">
        <v>44778</v>
      </c>
      <c r="B129">
        <f t="shared" si="15"/>
        <v>5</v>
      </c>
      <c r="C129">
        <f t="shared" si="20"/>
        <v>37</v>
      </c>
      <c r="D129">
        <f t="shared" si="20"/>
        <v>25</v>
      </c>
      <c r="E129">
        <f t="shared" si="21"/>
        <v>0</v>
      </c>
      <c r="F129">
        <f t="shared" si="16"/>
        <v>0</v>
      </c>
      <c r="G129">
        <f t="shared" si="22"/>
        <v>0</v>
      </c>
      <c r="H129">
        <f t="shared" si="23"/>
        <v>0</v>
      </c>
      <c r="I129">
        <f t="shared" si="24"/>
        <v>0</v>
      </c>
      <c r="J129">
        <f t="shared" si="17"/>
        <v>0</v>
      </c>
      <c r="K129">
        <f t="shared" si="18"/>
        <v>0</v>
      </c>
      <c r="L129">
        <f t="shared" si="25"/>
        <v>37</v>
      </c>
      <c r="M129">
        <f t="shared" si="26"/>
        <v>25</v>
      </c>
      <c r="N129">
        <f t="shared" si="27"/>
        <v>1</v>
      </c>
      <c r="O129">
        <f t="shared" si="28"/>
        <v>12</v>
      </c>
      <c r="P129">
        <f t="shared" si="19"/>
        <v>5</v>
      </c>
      <c r="Q129">
        <f t="shared" si="29"/>
        <v>25</v>
      </c>
      <c r="R129">
        <f t="shared" si="29"/>
        <v>20</v>
      </c>
      <c r="U129">
        <v>5</v>
      </c>
    </row>
    <row r="130" spans="1:21" x14ac:dyDescent="0.25">
      <c r="A130" s="1">
        <v>44779</v>
      </c>
      <c r="B130">
        <f t="shared" si="15"/>
        <v>6</v>
      </c>
      <c r="C130">
        <f t="shared" si="20"/>
        <v>25</v>
      </c>
      <c r="D130">
        <f t="shared" si="20"/>
        <v>20</v>
      </c>
      <c r="E130">
        <f t="shared" si="21"/>
        <v>0</v>
      </c>
      <c r="F130">
        <f t="shared" si="16"/>
        <v>0</v>
      </c>
      <c r="G130">
        <f t="shared" si="22"/>
        <v>0</v>
      </c>
      <c r="H130">
        <f t="shared" si="23"/>
        <v>0</v>
      </c>
      <c r="I130">
        <f t="shared" si="24"/>
        <v>0</v>
      </c>
      <c r="J130">
        <f t="shared" si="17"/>
        <v>0</v>
      </c>
      <c r="K130">
        <f t="shared" si="18"/>
        <v>0</v>
      </c>
      <c r="L130">
        <f t="shared" si="25"/>
        <v>25</v>
      </c>
      <c r="M130">
        <f t="shared" si="26"/>
        <v>20</v>
      </c>
      <c r="N130">
        <f t="shared" si="27"/>
        <v>1</v>
      </c>
      <c r="O130">
        <f t="shared" si="28"/>
        <v>8</v>
      </c>
      <c r="P130">
        <f t="shared" si="19"/>
        <v>4</v>
      </c>
      <c r="Q130">
        <f t="shared" si="29"/>
        <v>17</v>
      </c>
      <c r="R130">
        <f t="shared" si="29"/>
        <v>16</v>
      </c>
      <c r="U130">
        <v>5</v>
      </c>
    </row>
    <row r="131" spans="1:21" x14ac:dyDescent="0.25">
      <c r="A131" s="1">
        <v>44780</v>
      </c>
      <c r="B131">
        <f t="shared" si="15"/>
        <v>7</v>
      </c>
      <c r="C131">
        <f t="shared" si="20"/>
        <v>17</v>
      </c>
      <c r="D131">
        <f t="shared" si="20"/>
        <v>16</v>
      </c>
      <c r="E131">
        <f t="shared" si="21"/>
        <v>0</v>
      </c>
      <c r="F131">
        <f t="shared" si="16"/>
        <v>0</v>
      </c>
      <c r="G131">
        <f t="shared" si="22"/>
        <v>0</v>
      </c>
      <c r="H131">
        <f t="shared" si="23"/>
        <v>0</v>
      </c>
      <c r="I131">
        <f t="shared" si="24"/>
        <v>0</v>
      </c>
      <c r="J131">
        <f t="shared" si="17"/>
        <v>0</v>
      </c>
      <c r="K131">
        <f t="shared" si="18"/>
        <v>0</v>
      </c>
      <c r="L131">
        <f t="shared" si="25"/>
        <v>17</v>
      </c>
      <c r="M131">
        <f t="shared" si="26"/>
        <v>16</v>
      </c>
      <c r="N131">
        <f t="shared" si="27"/>
        <v>0</v>
      </c>
      <c r="O131">
        <f t="shared" si="28"/>
        <v>0</v>
      </c>
      <c r="P131">
        <f t="shared" si="19"/>
        <v>0</v>
      </c>
      <c r="Q131">
        <f t="shared" si="29"/>
        <v>17</v>
      </c>
      <c r="R131">
        <f t="shared" si="29"/>
        <v>16</v>
      </c>
      <c r="U131">
        <v>5</v>
      </c>
    </row>
    <row r="132" spans="1:21" x14ac:dyDescent="0.25">
      <c r="A132" s="1">
        <v>44781</v>
      </c>
      <c r="B132">
        <f t="shared" ref="B132:B195" si="30">WEEKDAY(A132, 2)</f>
        <v>1</v>
      </c>
      <c r="C132">
        <f t="shared" si="20"/>
        <v>17</v>
      </c>
      <c r="D132">
        <f t="shared" si="20"/>
        <v>16</v>
      </c>
      <c r="E132">
        <f t="shared" si="21"/>
        <v>1</v>
      </c>
      <c r="F132">
        <f t="shared" ref="F132:F195" si="31">IF(E132=1,ROUNDUP(5% * C132,0),0)</f>
        <v>1</v>
      </c>
      <c r="G132">
        <f t="shared" si="22"/>
        <v>0</v>
      </c>
      <c r="H132">
        <f t="shared" si="23"/>
        <v>0</v>
      </c>
      <c r="I132">
        <f t="shared" si="24"/>
        <v>0</v>
      </c>
      <c r="J132">
        <f t="shared" ref="J132:J195" si="32">IF(AND(B132=1,SUM(O129:O130)&gt;25),1,0)</f>
        <v>0</v>
      </c>
      <c r="K132">
        <f t="shared" ref="K132:K195" si="33">IF(J132=1,15,0)</f>
        <v>0</v>
      </c>
      <c r="L132">
        <f t="shared" si="25"/>
        <v>16</v>
      </c>
      <c r="M132">
        <f t="shared" si="26"/>
        <v>16</v>
      </c>
      <c r="N132">
        <f t="shared" si="27"/>
        <v>1</v>
      </c>
      <c r="O132">
        <f t="shared" si="28"/>
        <v>5</v>
      </c>
      <c r="P132">
        <f t="shared" ref="P132:P195" si="34">IF(N132=1,ROUNDUP(20% * M132,0),0)</f>
        <v>4</v>
      </c>
      <c r="Q132">
        <f t="shared" si="29"/>
        <v>11</v>
      </c>
      <c r="R132">
        <f t="shared" si="29"/>
        <v>12</v>
      </c>
      <c r="U132">
        <v>5</v>
      </c>
    </row>
    <row r="133" spans="1:21" x14ac:dyDescent="0.25">
      <c r="A133" s="1">
        <v>44782</v>
      </c>
      <c r="B133">
        <f t="shared" si="30"/>
        <v>2</v>
      </c>
      <c r="C133">
        <f t="shared" ref="C133:D196" si="35">Q132</f>
        <v>11</v>
      </c>
      <c r="D133">
        <f t="shared" si="35"/>
        <v>12</v>
      </c>
      <c r="E133">
        <f t="shared" ref="E133:E196" si="36">IF(B133=1,1,0)</f>
        <v>0</v>
      </c>
      <c r="F133">
        <f t="shared" si="31"/>
        <v>0</v>
      </c>
      <c r="G133">
        <f t="shared" ref="G133:G196" si="37">IF(B133=4,1,0)</f>
        <v>0</v>
      </c>
      <c r="H133">
        <f t="shared" ref="H133:H196" si="38">IF(G133=1,50,0)</f>
        <v>0</v>
      </c>
      <c r="I133">
        <f t="shared" ref="I133:I196" si="39">IF(G133=1,25,0)</f>
        <v>0</v>
      </c>
      <c r="J133">
        <f t="shared" si="32"/>
        <v>0</v>
      </c>
      <c r="K133">
        <f t="shared" si="33"/>
        <v>0</v>
      </c>
      <c r="L133">
        <f t="shared" ref="L133:L196" si="40">K133+H133+C133-F133</f>
        <v>11</v>
      </c>
      <c r="M133">
        <f t="shared" ref="M133:M196" si="41">I133+D133</f>
        <v>12</v>
      </c>
      <c r="N133">
        <f t="shared" ref="N133:N196" si="42">IF(B133&lt;&gt;7,1,0)</f>
        <v>1</v>
      </c>
      <c r="O133">
        <f t="shared" ref="O133:O196" si="43">IF(N133=1,ROUNDUP(30% * L133,0),0)</f>
        <v>4</v>
      </c>
      <c r="P133">
        <f t="shared" si="34"/>
        <v>3</v>
      </c>
      <c r="Q133">
        <f t="shared" ref="Q133:R196" si="44">L133-O133</f>
        <v>7</v>
      </c>
      <c r="R133">
        <f t="shared" si="44"/>
        <v>9</v>
      </c>
      <c r="U133">
        <v>5</v>
      </c>
    </row>
    <row r="134" spans="1:21" x14ac:dyDescent="0.25">
      <c r="A134" s="1">
        <v>44783</v>
      </c>
      <c r="B134">
        <f t="shared" si="30"/>
        <v>3</v>
      </c>
      <c r="C134">
        <f t="shared" si="35"/>
        <v>7</v>
      </c>
      <c r="D134">
        <f t="shared" si="35"/>
        <v>9</v>
      </c>
      <c r="E134">
        <f t="shared" si="36"/>
        <v>0</v>
      </c>
      <c r="F134">
        <f t="shared" si="31"/>
        <v>0</v>
      </c>
      <c r="G134">
        <f t="shared" si="37"/>
        <v>0</v>
      </c>
      <c r="H134">
        <f t="shared" si="38"/>
        <v>0</v>
      </c>
      <c r="I134">
        <f t="shared" si="39"/>
        <v>0</v>
      </c>
      <c r="J134">
        <f t="shared" si="32"/>
        <v>0</v>
      </c>
      <c r="K134">
        <f t="shared" si="33"/>
        <v>0</v>
      </c>
      <c r="L134">
        <f t="shared" si="40"/>
        <v>7</v>
      </c>
      <c r="M134">
        <f t="shared" si="41"/>
        <v>9</v>
      </c>
      <c r="N134">
        <f t="shared" si="42"/>
        <v>1</v>
      </c>
      <c r="O134">
        <f t="shared" si="43"/>
        <v>3</v>
      </c>
      <c r="P134">
        <f t="shared" si="34"/>
        <v>2</v>
      </c>
      <c r="Q134">
        <f t="shared" si="44"/>
        <v>4</v>
      </c>
      <c r="R134">
        <f t="shared" si="44"/>
        <v>7</v>
      </c>
      <c r="U134">
        <v>5</v>
      </c>
    </row>
    <row r="135" spans="1:21" x14ac:dyDescent="0.25">
      <c r="A135" s="1">
        <v>44784</v>
      </c>
      <c r="B135">
        <f t="shared" si="30"/>
        <v>4</v>
      </c>
      <c r="C135">
        <f t="shared" si="35"/>
        <v>4</v>
      </c>
      <c r="D135">
        <f t="shared" si="35"/>
        <v>7</v>
      </c>
      <c r="E135">
        <f t="shared" si="36"/>
        <v>0</v>
      </c>
      <c r="F135">
        <f t="shared" si="31"/>
        <v>0</v>
      </c>
      <c r="G135">
        <f t="shared" si="37"/>
        <v>1</v>
      </c>
      <c r="H135">
        <f t="shared" si="38"/>
        <v>50</v>
      </c>
      <c r="I135">
        <f t="shared" si="39"/>
        <v>25</v>
      </c>
      <c r="J135">
        <f t="shared" si="32"/>
        <v>0</v>
      </c>
      <c r="K135">
        <f t="shared" si="33"/>
        <v>0</v>
      </c>
      <c r="L135">
        <f t="shared" si="40"/>
        <v>54</v>
      </c>
      <c r="M135">
        <f t="shared" si="41"/>
        <v>32</v>
      </c>
      <c r="N135">
        <f t="shared" si="42"/>
        <v>1</v>
      </c>
      <c r="O135">
        <f t="shared" si="43"/>
        <v>17</v>
      </c>
      <c r="P135">
        <f t="shared" si="34"/>
        <v>7</v>
      </c>
      <c r="Q135">
        <f t="shared" si="44"/>
        <v>37</v>
      </c>
      <c r="R135">
        <f t="shared" si="44"/>
        <v>25</v>
      </c>
      <c r="U135">
        <v>5</v>
      </c>
    </row>
    <row r="136" spans="1:21" x14ac:dyDescent="0.25">
      <c r="A136" s="1">
        <v>44785</v>
      </c>
      <c r="B136">
        <f t="shared" si="30"/>
        <v>5</v>
      </c>
      <c r="C136">
        <f t="shared" si="35"/>
        <v>37</v>
      </c>
      <c r="D136">
        <f t="shared" si="35"/>
        <v>25</v>
      </c>
      <c r="E136">
        <f t="shared" si="36"/>
        <v>0</v>
      </c>
      <c r="F136">
        <f t="shared" si="31"/>
        <v>0</v>
      </c>
      <c r="G136">
        <f t="shared" si="37"/>
        <v>0</v>
      </c>
      <c r="H136">
        <f t="shared" si="38"/>
        <v>0</v>
      </c>
      <c r="I136">
        <f t="shared" si="39"/>
        <v>0</v>
      </c>
      <c r="J136">
        <f t="shared" si="32"/>
        <v>0</v>
      </c>
      <c r="K136">
        <f t="shared" si="33"/>
        <v>0</v>
      </c>
      <c r="L136">
        <f t="shared" si="40"/>
        <v>37</v>
      </c>
      <c r="M136">
        <f t="shared" si="41"/>
        <v>25</v>
      </c>
      <c r="N136">
        <f t="shared" si="42"/>
        <v>1</v>
      </c>
      <c r="O136">
        <f t="shared" si="43"/>
        <v>12</v>
      </c>
      <c r="P136">
        <f t="shared" si="34"/>
        <v>5</v>
      </c>
      <c r="Q136">
        <f t="shared" si="44"/>
        <v>25</v>
      </c>
      <c r="R136">
        <f t="shared" si="44"/>
        <v>20</v>
      </c>
      <c r="U136">
        <v>5</v>
      </c>
    </row>
    <row r="137" spans="1:21" x14ac:dyDescent="0.25">
      <c r="A137" s="1">
        <v>44786</v>
      </c>
      <c r="B137">
        <f t="shared" si="30"/>
        <v>6</v>
      </c>
      <c r="C137">
        <f t="shared" si="35"/>
        <v>25</v>
      </c>
      <c r="D137">
        <f t="shared" si="35"/>
        <v>20</v>
      </c>
      <c r="E137">
        <f t="shared" si="36"/>
        <v>0</v>
      </c>
      <c r="F137">
        <f t="shared" si="31"/>
        <v>0</v>
      </c>
      <c r="G137">
        <f t="shared" si="37"/>
        <v>0</v>
      </c>
      <c r="H137">
        <f t="shared" si="38"/>
        <v>0</v>
      </c>
      <c r="I137">
        <f t="shared" si="39"/>
        <v>0</v>
      </c>
      <c r="J137">
        <f t="shared" si="32"/>
        <v>0</v>
      </c>
      <c r="K137">
        <f t="shared" si="33"/>
        <v>0</v>
      </c>
      <c r="L137">
        <f t="shared" si="40"/>
        <v>25</v>
      </c>
      <c r="M137">
        <f t="shared" si="41"/>
        <v>20</v>
      </c>
      <c r="N137">
        <f t="shared" si="42"/>
        <v>1</v>
      </c>
      <c r="O137">
        <f t="shared" si="43"/>
        <v>8</v>
      </c>
      <c r="P137">
        <f t="shared" si="34"/>
        <v>4</v>
      </c>
      <c r="Q137">
        <f t="shared" si="44"/>
        <v>17</v>
      </c>
      <c r="R137">
        <f t="shared" si="44"/>
        <v>16</v>
      </c>
      <c r="U137">
        <v>5</v>
      </c>
    </row>
    <row r="138" spans="1:21" x14ac:dyDescent="0.25">
      <c r="A138" s="1">
        <v>44787</v>
      </c>
      <c r="B138">
        <f t="shared" si="30"/>
        <v>7</v>
      </c>
      <c r="C138">
        <f t="shared" si="35"/>
        <v>17</v>
      </c>
      <c r="D138">
        <f t="shared" si="35"/>
        <v>16</v>
      </c>
      <c r="E138">
        <f t="shared" si="36"/>
        <v>0</v>
      </c>
      <c r="F138">
        <f t="shared" si="31"/>
        <v>0</v>
      </c>
      <c r="G138">
        <f t="shared" si="37"/>
        <v>0</v>
      </c>
      <c r="H138">
        <f t="shared" si="38"/>
        <v>0</v>
      </c>
      <c r="I138">
        <f t="shared" si="39"/>
        <v>0</v>
      </c>
      <c r="J138">
        <f t="shared" si="32"/>
        <v>0</v>
      </c>
      <c r="K138">
        <f t="shared" si="33"/>
        <v>0</v>
      </c>
      <c r="L138">
        <f t="shared" si="40"/>
        <v>17</v>
      </c>
      <c r="M138">
        <f t="shared" si="41"/>
        <v>16</v>
      </c>
      <c r="N138">
        <f t="shared" si="42"/>
        <v>0</v>
      </c>
      <c r="O138">
        <f t="shared" si="43"/>
        <v>0</v>
      </c>
      <c r="P138">
        <f t="shared" si="34"/>
        <v>0</v>
      </c>
      <c r="Q138">
        <f t="shared" si="44"/>
        <v>17</v>
      </c>
      <c r="R138">
        <f t="shared" si="44"/>
        <v>16</v>
      </c>
      <c r="U138">
        <v>5</v>
      </c>
    </row>
    <row r="139" spans="1:21" x14ac:dyDescent="0.25">
      <c r="A139" s="1">
        <v>44788</v>
      </c>
      <c r="B139">
        <f t="shared" si="30"/>
        <v>1</v>
      </c>
      <c r="C139">
        <f t="shared" si="35"/>
        <v>17</v>
      </c>
      <c r="D139">
        <f t="shared" si="35"/>
        <v>16</v>
      </c>
      <c r="E139">
        <f t="shared" si="36"/>
        <v>1</v>
      </c>
      <c r="F139">
        <f t="shared" si="31"/>
        <v>1</v>
      </c>
      <c r="G139">
        <f t="shared" si="37"/>
        <v>0</v>
      </c>
      <c r="H139">
        <f t="shared" si="38"/>
        <v>0</v>
      </c>
      <c r="I139">
        <f t="shared" si="39"/>
        <v>0</v>
      </c>
      <c r="J139">
        <f t="shared" si="32"/>
        <v>0</v>
      </c>
      <c r="K139">
        <f t="shared" si="33"/>
        <v>0</v>
      </c>
      <c r="L139">
        <f t="shared" si="40"/>
        <v>16</v>
      </c>
      <c r="M139">
        <f t="shared" si="41"/>
        <v>16</v>
      </c>
      <c r="N139">
        <f t="shared" si="42"/>
        <v>1</v>
      </c>
      <c r="O139">
        <f t="shared" si="43"/>
        <v>5</v>
      </c>
      <c r="P139">
        <f t="shared" si="34"/>
        <v>4</v>
      </c>
      <c r="Q139">
        <f t="shared" si="44"/>
        <v>11</v>
      </c>
      <c r="R139">
        <f t="shared" si="44"/>
        <v>12</v>
      </c>
      <c r="U139">
        <v>5</v>
      </c>
    </row>
    <row r="140" spans="1:21" x14ac:dyDescent="0.25">
      <c r="A140" s="1">
        <v>44789</v>
      </c>
      <c r="B140">
        <f t="shared" si="30"/>
        <v>2</v>
      </c>
      <c r="C140">
        <f t="shared" si="35"/>
        <v>11</v>
      </c>
      <c r="D140">
        <f t="shared" si="35"/>
        <v>12</v>
      </c>
      <c r="E140">
        <f t="shared" si="36"/>
        <v>0</v>
      </c>
      <c r="F140">
        <f t="shared" si="31"/>
        <v>0</v>
      </c>
      <c r="G140">
        <f t="shared" si="37"/>
        <v>0</v>
      </c>
      <c r="H140">
        <f t="shared" si="38"/>
        <v>0</v>
      </c>
      <c r="I140">
        <f t="shared" si="39"/>
        <v>0</v>
      </c>
      <c r="J140">
        <f t="shared" si="32"/>
        <v>0</v>
      </c>
      <c r="K140">
        <f t="shared" si="33"/>
        <v>0</v>
      </c>
      <c r="L140">
        <f t="shared" si="40"/>
        <v>11</v>
      </c>
      <c r="M140">
        <f t="shared" si="41"/>
        <v>12</v>
      </c>
      <c r="N140">
        <f t="shared" si="42"/>
        <v>1</v>
      </c>
      <c r="O140">
        <f t="shared" si="43"/>
        <v>4</v>
      </c>
      <c r="P140">
        <f t="shared" si="34"/>
        <v>3</v>
      </c>
      <c r="Q140">
        <f t="shared" si="44"/>
        <v>7</v>
      </c>
      <c r="R140">
        <f t="shared" si="44"/>
        <v>9</v>
      </c>
      <c r="U140">
        <v>5</v>
      </c>
    </row>
    <row r="141" spans="1:21" x14ac:dyDescent="0.25">
      <c r="A141" s="1">
        <v>44790</v>
      </c>
      <c r="B141">
        <f t="shared" si="30"/>
        <v>3</v>
      </c>
      <c r="C141">
        <f t="shared" si="35"/>
        <v>7</v>
      </c>
      <c r="D141">
        <f t="shared" si="35"/>
        <v>9</v>
      </c>
      <c r="E141">
        <f t="shared" si="36"/>
        <v>0</v>
      </c>
      <c r="F141">
        <f t="shared" si="31"/>
        <v>0</v>
      </c>
      <c r="G141">
        <f t="shared" si="37"/>
        <v>0</v>
      </c>
      <c r="H141">
        <f t="shared" si="38"/>
        <v>0</v>
      </c>
      <c r="I141">
        <f t="shared" si="39"/>
        <v>0</v>
      </c>
      <c r="J141">
        <f t="shared" si="32"/>
        <v>0</v>
      </c>
      <c r="K141">
        <f t="shared" si="33"/>
        <v>0</v>
      </c>
      <c r="L141">
        <f t="shared" si="40"/>
        <v>7</v>
      </c>
      <c r="M141">
        <f t="shared" si="41"/>
        <v>9</v>
      </c>
      <c r="N141">
        <f t="shared" si="42"/>
        <v>1</v>
      </c>
      <c r="O141">
        <f t="shared" si="43"/>
        <v>3</v>
      </c>
      <c r="P141">
        <f t="shared" si="34"/>
        <v>2</v>
      </c>
      <c r="Q141">
        <f t="shared" si="44"/>
        <v>4</v>
      </c>
      <c r="R141">
        <f t="shared" si="44"/>
        <v>7</v>
      </c>
      <c r="U141">
        <v>5</v>
      </c>
    </row>
    <row r="142" spans="1:21" x14ac:dyDescent="0.25">
      <c r="A142" s="1">
        <v>44791</v>
      </c>
      <c r="B142">
        <f t="shared" si="30"/>
        <v>4</v>
      </c>
      <c r="C142">
        <f t="shared" si="35"/>
        <v>4</v>
      </c>
      <c r="D142">
        <f t="shared" si="35"/>
        <v>7</v>
      </c>
      <c r="E142">
        <f t="shared" si="36"/>
        <v>0</v>
      </c>
      <c r="F142">
        <f t="shared" si="31"/>
        <v>0</v>
      </c>
      <c r="G142">
        <f t="shared" si="37"/>
        <v>1</v>
      </c>
      <c r="H142">
        <f t="shared" si="38"/>
        <v>50</v>
      </c>
      <c r="I142">
        <f t="shared" si="39"/>
        <v>25</v>
      </c>
      <c r="J142">
        <f t="shared" si="32"/>
        <v>0</v>
      </c>
      <c r="K142">
        <f t="shared" si="33"/>
        <v>0</v>
      </c>
      <c r="L142">
        <f t="shared" si="40"/>
        <v>54</v>
      </c>
      <c r="M142">
        <f t="shared" si="41"/>
        <v>32</v>
      </c>
      <c r="N142">
        <f t="shared" si="42"/>
        <v>1</v>
      </c>
      <c r="O142">
        <f t="shared" si="43"/>
        <v>17</v>
      </c>
      <c r="P142">
        <f t="shared" si="34"/>
        <v>7</v>
      </c>
      <c r="Q142">
        <f t="shared" si="44"/>
        <v>37</v>
      </c>
      <c r="R142">
        <f t="shared" si="44"/>
        <v>25</v>
      </c>
      <c r="U142">
        <v>5</v>
      </c>
    </row>
    <row r="143" spans="1:21" x14ac:dyDescent="0.25">
      <c r="A143" s="1">
        <v>44792</v>
      </c>
      <c r="B143">
        <f t="shared" si="30"/>
        <v>5</v>
      </c>
      <c r="C143">
        <f t="shared" si="35"/>
        <v>37</v>
      </c>
      <c r="D143">
        <f t="shared" si="35"/>
        <v>25</v>
      </c>
      <c r="E143">
        <f t="shared" si="36"/>
        <v>0</v>
      </c>
      <c r="F143">
        <f t="shared" si="31"/>
        <v>0</v>
      </c>
      <c r="G143">
        <f t="shared" si="37"/>
        <v>0</v>
      </c>
      <c r="H143">
        <f t="shared" si="38"/>
        <v>0</v>
      </c>
      <c r="I143">
        <f t="shared" si="39"/>
        <v>0</v>
      </c>
      <c r="J143">
        <f t="shared" si="32"/>
        <v>0</v>
      </c>
      <c r="K143">
        <f t="shared" si="33"/>
        <v>0</v>
      </c>
      <c r="L143">
        <f t="shared" si="40"/>
        <v>37</v>
      </c>
      <c r="M143">
        <f t="shared" si="41"/>
        <v>25</v>
      </c>
      <c r="N143">
        <f t="shared" si="42"/>
        <v>1</v>
      </c>
      <c r="O143">
        <f t="shared" si="43"/>
        <v>12</v>
      </c>
      <c r="P143">
        <f t="shared" si="34"/>
        <v>5</v>
      </c>
      <c r="Q143">
        <f t="shared" si="44"/>
        <v>25</v>
      </c>
      <c r="R143">
        <f t="shared" si="44"/>
        <v>20</v>
      </c>
      <c r="U143">
        <v>6</v>
      </c>
    </row>
    <row r="144" spans="1:21" x14ac:dyDescent="0.25">
      <c r="A144" s="1">
        <v>44793</v>
      </c>
      <c r="B144">
        <f t="shared" si="30"/>
        <v>6</v>
      </c>
      <c r="C144">
        <f t="shared" si="35"/>
        <v>25</v>
      </c>
      <c r="D144">
        <f t="shared" si="35"/>
        <v>20</v>
      </c>
      <c r="E144">
        <f t="shared" si="36"/>
        <v>0</v>
      </c>
      <c r="F144">
        <f t="shared" si="31"/>
        <v>0</v>
      </c>
      <c r="G144">
        <f t="shared" si="37"/>
        <v>0</v>
      </c>
      <c r="H144">
        <f t="shared" si="38"/>
        <v>0</v>
      </c>
      <c r="I144">
        <f t="shared" si="39"/>
        <v>0</v>
      </c>
      <c r="J144">
        <f t="shared" si="32"/>
        <v>0</v>
      </c>
      <c r="K144">
        <f t="shared" si="33"/>
        <v>0</v>
      </c>
      <c r="L144">
        <f t="shared" si="40"/>
        <v>25</v>
      </c>
      <c r="M144">
        <f t="shared" si="41"/>
        <v>20</v>
      </c>
      <c r="N144">
        <f t="shared" si="42"/>
        <v>1</v>
      </c>
      <c r="O144">
        <f t="shared" si="43"/>
        <v>8</v>
      </c>
      <c r="P144">
        <f t="shared" si="34"/>
        <v>4</v>
      </c>
      <c r="Q144">
        <f t="shared" si="44"/>
        <v>17</v>
      </c>
      <c r="R144">
        <f t="shared" si="44"/>
        <v>16</v>
      </c>
      <c r="U144">
        <v>6</v>
      </c>
    </row>
    <row r="145" spans="1:21" x14ac:dyDescent="0.25">
      <c r="A145" s="1">
        <v>44794</v>
      </c>
      <c r="B145">
        <f t="shared" si="30"/>
        <v>7</v>
      </c>
      <c r="C145">
        <f t="shared" si="35"/>
        <v>17</v>
      </c>
      <c r="D145">
        <f t="shared" si="35"/>
        <v>16</v>
      </c>
      <c r="E145">
        <f t="shared" si="36"/>
        <v>0</v>
      </c>
      <c r="F145">
        <f t="shared" si="31"/>
        <v>0</v>
      </c>
      <c r="G145">
        <f t="shared" si="37"/>
        <v>0</v>
      </c>
      <c r="H145">
        <f t="shared" si="38"/>
        <v>0</v>
      </c>
      <c r="I145">
        <f t="shared" si="39"/>
        <v>0</v>
      </c>
      <c r="J145">
        <f t="shared" si="32"/>
        <v>0</v>
      </c>
      <c r="K145">
        <f t="shared" si="33"/>
        <v>0</v>
      </c>
      <c r="L145">
        <f t="shared" si="40"/>
        <v>17</v>
      </c>
      <c r="M145">
        <f t="shared" si="41"/>
        <v>16</v>
      </c>
      <c r="N145">
        <f t="shared" si="42"/>
        <v>0</v>
      </c>
      <c r="O145">
        <f t="shared" si="43"/>
        <v>0</v>
      </c>
      <c r="P145">
        <f t="shared" si="34"/>
        <v>0</v>
      </c>
      <c r="Q145">
        <f t="shared" si="44"/>
        <v>17</v>
      </c>
      <c r="R145">
        <f t="shared" si="44"/>
        <v>16</v>
      </c>
      <c r="U145">
        <v>6</v>
      </c>
    </row>
    <row r="146" spans="1:21" x14ac:dyDescent="0.25">
      <c r="A146" s="1">
        <v>44795</v>
      </c>
      <c r="B146">
        <f t="shared" si="30"/>
        <v>1</v>
      </c>
      <c r="C146">
        <f t="shared" si="35"/>
        <v>17</v>
      </c>
      <c r="D146">
        <f t="shared" si="35"/>
        <v>16</v>
      </c>
      <c r="E146">
        <f t="shared" si="36"/>
        <v>1</v>
      </c>
      <c r="F146">
        <f t="shared" si="31"/>
        <v>1</v>
      </c>
      <c r="G146">
        <f t="shared" si="37"/>
        <v>0</v>
      </c>
      <c r="H146">
        <f t="shared" si="38"/>
        <v>0</v>
      </c>
      <c r="I146">
        <f t="shared" si="39"/>
        <v>0</v>
      </c>
      <c r="J146">
        <f t="shared" si="32"/>
        <v>0</v>
      </c>
      <c r="K146">
        <f t="shared" si="33"/>
        <v>0</v>
      </c>
      <c r="L146">
        <f t="shared" si="40"/>
        <v>16</v>
      </c>
      <c r="M146">
        <f t="shared" si="41"/>
        <v>16</v>
      </c>
      <c r="N146">
        <f t="shared" si="42"/>
        <v>1</v>
      </c>
      <c r="O146">
        <f t="shared" si="43"/>
        <v>5</v>
      </c>
      <c r="P146">
        <f t="shared" si="34"/>
        <v>4</v>
      </c>
      <c r="Q146">
        <f t="shared" si="44"/>
        <v>11</v>
      </c>
      <c r="R146">
        <f t="shared" si="44"/>
        <v>12</v>
      </c>
      <c r="U146">
        <v>8</v>
      </c>
    </row>
    <row r="147" spans="1:21" x14ac:dyDescent="0.25">
      <c r="A147" s="1">
        <v>44796</v>
      </c>
      <c r="B147">
        <f t="shared" si="30"/>
        <v>2</v>
      </c>
      <c r="C147">
        <f t="shared" si="35"/>
        <v>11</v>
      </c>
      <c r="D147">
        <f t="shared" si="35"/>
        <v>12</v>
      </c>
      <c r="E147">
        <f t="shared" si="36"/>
        <v>0</v>
      </c>
      <c r="F147">
        <f t="shared" si="31"/>
        <v>0</v>
      </c>
      <c r="G147">
        <f t="shared" si="37"/>
        <v>0</v>
      </c>
      <c r="H147">
        <f t="shared" si="38"/>
        <v>0</v>
      </c>
      <c r="I147">
        <f t="shared" si="39"/>
        <v>0</v>
      </c>
      <c r="J147">
        <f t="shared" si="32"/>
        <v>0</v>
      </c>
      <c r="K147">
        <f t="shared" si="33"/>
        <v>0</v>
      </c>
      <c r="L147">
        <f t="shared" si="40"/>
        <v>11</v>
      </c>
      <c r="M147">
        <f t="shared" si="41"/>
        <v>12</v>
      </c>
      <c r="N147">
        <f t="shared" si="42"/>
        <v>1</v>
      </c>
      <c r="O147">
        <f t="shared" si="43"/>
        <v>4</v>
      </c>
      <c r="P147">
        <f t="shared" si="34"/>
        <v>3</v>
      </c>
      <c r="Q147">
        <f t="shared" si="44"/>
        <v>7</v>
      </c>
      <c r="R147">
        <f t="shared" si="44"/>
        <v>9</v>
      </c>
      <c r="U147">
        <v>8</v>
      </c>
    </row>
    <row r="148" spans="1:21" x14ac:dyDescent="0.25">
      <c r="A148" s="1">
        <v>44797</v>
      </c>
      <c r="B148">
        <f t="shared" si="30"/>
        <v>3</v>
      </c>
      <c r="C148">
        <f t="shared" si="35"/>
        <v>7</v>
      </c>
      <c r="D148">
        <f t="shared" si="35"/>
        <v>9</v>
      </c>
      <c r="E148">
        <f t="shared" si="36"/>
        <v>0</v>
      </c>
      <c r="F148">
        <f t="shared" si="31"/>
        <v>0</v>
      </c>
      <c r="G148">
        <f t="shared" si="37"/>
        <v>0</v>
      </c>
      <c r="H148">
        <f t="shared" si="38"/>
        <v>0</v>
      </c>
      <c r="I148">
        <f t="shared" si="39"/>
        <v>0</v>
      </c>
      <c r="J148">
        <f t="shared" si="32"/>
        <v>0</v>
      </c>
      <c r="K148">
        <f t="shared" si="33"/>
        <v>0</v>
      </c>
      <c r="L148">
        <f t="shared" si="40"/>
        <v>7</v>
      </c>
      <c r="M148">
        <f t="shared" si="41"/>
        <v>9</v>
      </c>
      <c r="N148">
        <f t="shared" si="42"/>
        <v>1</v>
      </c>
      <c r="O148">
        <f t="shared" si="43"/>
        <v>3</v>
      </c>
      <c r="P148">
        <f t="shared" si="34"/>
        <v>2</v>
      </c>
      <c r="Q148">
        <f t="shared" si="44"/>
        <v>4</v>
      </c>
      <c r="R148">
        <f t="shared" si="44"/>
        <v>7</v>
      </c>
      <c r="U148">
        <v>8</v>
      </c>
    </row>
    <row r="149" spans="1:21" x14ac:dyDescent="0.25">
      <c r="A149" s="1">
        <v>44798</v>
      </c>
      <c r="B149">
        <f t="shared" si="30"/>
        <v>4</v>
      </c>
      <c r="C149">
        <f t="shared" si="35"/>
        <v>4</v>
      </c>
      <c r="D149">
        <f t="shared" si="35"/>
        <v>7</v>
      </c>
      <c r="E149">
        <f t="shared" si="36"/>
        <v>0</v>
      </c>
      <c r="F149">
        <f t="shared" si="31"/>
        <v>0</v>
      </c>
      <c r="G149">
        <f t="shared" si="37"/>
        <v>1</v>
      </c>
      <c r="H149">
        <f t="shared" si="38"/>
        <v>50</v>
      </c>
      <c r="I149">
        <f t="shared" si="39"/>
        <v>25</v>
      </c>
      <c r="J149">
        <f t="shared" si="32"/>
        <v>0</v>
      </c>
      <c r="K149">
        <f t="shared" si="33"/>
        <v>0</v>
      </c>
      <c r="L149">
        <f t="shared" si="40"/>
        <v>54</v>
      </c>
      <c r="M149">
        <f t="shared" si="41"/>
        <v>32</v>
      </c>
      <c r="N149">
        <f t="shared" si="42"/>
        <v>1</v>
      </c>
      <c r="O149">
        <f t="shared" si="43"/>
        <v>17</v>
      </c>
      <c r="P149">
        <f t="shared" si="34"/>
        <v>7</v>
      </c>
      <c r="Q149">
        <f t="shared" si="44"/>
        <v>37</v>
      </c>
      <c r="R149">
        <f t="shared" si="44"/>
        <v>25</v>
      </c>
      <c r="U149">
        <v>8</v>
      </c>
    </row>
    <row r="150" spans="1:21" x14ac:dyDescent="0.25">
      <c r="A150" s="1">
        <v>44799</v>
      </c>
      <c r="B150">
        <f t="shared" si="30"/>
        <v>5</v>
      </c>
      <c r="C150">
        <f t="shared" si="35"/>
        <v>37</v>
      </c>
      <c r="D150">
        <f t="shared" si="35"/>
        <v>25</v>
      </c>
      <c r="E150">
        <f t="shared" si="36"/>
        <v>0</v>
      </c>
      <c r="F150">
        <f t="shared" si="31"/>
        <v>0</v>
      </c>
      <c r="G150">
        <f t="shared" si="37"/>
        <v>0</v>
      </c>
      <c r="H150">
        <f t="shared" si="38"/>
        <v>0</v>
      </c>
      <c r="I150">
        <f t="shared" si="39"/>
        <v>0</v>
      </c>
      <c r="J150">
        <f t="shared" si="32"/>
        <v>0</v>
      </c>
      <c r="K150">
        <f t="shared" si="33"/>
        <v>0</v>
      </c>
      <c r="L150">
        <f t="shared" si="40"/>
        <v>37</v>
      </c>
      <c r="M150">
        <f t="shared" si="41"/>
        <v>25</v>
      </c>
      <c r="N150">
        <f t="shared" si="42"/>
        <v>1</v>
      </c>
      <c r="O150">
        <f t="shared" si="43"/>
        <v>12</v>
      </c>
      <c r="P150">
        <f t="shared" si="34"/>
        <v>5</v>
      </c>
      <c r="Q150">
        <f t="shared" si="44"/>
        <v>25</v>
      </c>
      <c r="R150">
        <f t="shared" si="44"/>
        <v>20</v>
      </c>
      <c r="U150">
        <v>8</v>
      </c>
    </row>
    <row r="151" spans="1:21" x14ac:dyDescent="0.25">
      <c r="A151" s="1">
        <v>44800</v>
      </c>
      <c r="B151">
        <f t="shared" si="30"/>
        <v>6</v>
      </c>
      <c r="C151">
        <f t="shared" si="35"/>
        <v>25</v>
      </c>
      <c r="D151">
        <f t="shared" si="35"/>
        <v>20</v>
      </c>
      <c r="E151">
        <f t="shared" si="36"/>
        <v>0</v>
      </c>
      <c r="F151">
        <f t="shared" si="31"/>
        <v>0</v>
      </c>
      <c r="G151">
        <f t="shared" si="37"/>
        <v>0</v>
      </c>
      <c r="H151">
        <f t="shared" si="38"/>
        <v>0</v>
      </c>
      <c r="I151">
        <f t="shared" si="39"/>
        <v>0</v>
      </c>
      <c r="J151">
        <f t="shared" si="32"/>
        <v>0</v>
      </c>
      <c r="K151">
        <f t="shared" si="33"/>
        <v>0</v>
      </c>
      <c r="L151">
        <f t="shared" si="40"/>
        <v>25</v>
      </c>
      <c r="M151">
        <f t="shared" si="41"/>
        <v>20</v>
      </c>
      <c r="N151">
        <f t="shared" si="42"/>
        <v>1</v>
      </c>
      <c r="O151">
        <f t="shared" si="43"/>
        <v>8</v>
      </c>
      <c r="P151">
        <f t="shared" si="34"/>
        <v>4</v>
      </c>
      <c r="Q151">
        <f t="shared" si="44"/>
        <v>17</v>
      </c>
      <c r="R151">
        <f t="shared" si="44"/>
        <v>16</v>
      </c>
      <c r="U151">
        <v>8</v>
      </c>
    </row>
    <row r="152" spans="1:21" x14ac:dyDescent="0.25">
      <c r="A152" s="1">
        <v>44801</v>
      </c>
      <c r="B152">
        <f t="shared" si="30"/>
        <v>7</v>
      </c>
      <c r="C152">
        <f t="shared" si="35"/>
        <v>17</v>
      </c>
      <c r="D152">
        <f t="shared" si="35"/>
        <v>16</v>
      </c>
      <c r="E152">
        <f t="shared" si="36"/>
        <v>0</v>
      </c>
      <c r="F152">
        <f t="shared" si="31"/>
        <v>0</v>
      </c>
      <c r="G152">
        <f t="shared" si="37"/>
        <v>0</v>
      </c>
      <c r="H152">
        <f t="shared" si="38"/>
        <v>0</v>
      </c>
      <c r="I152">
        <f t="shared" si="39"/>
        <v>0</v>
      </c>
      <c r="J152">
        <f t="shared" si="32"/>
        <v>0</v>
      </c>
      <c r="K152">
        <f t="shared" si="33"/>
        <v>0</v>
      </c>
      <c r="L152">
        <f t="shared" si="40"/>
        <v>17</v>
      </c>
      <c r="M152">
        <f t="shared" si="41"/>
        <v>16</v>
      </c>
      <c r="N152">
        <f t="shared" si="42"/>
        <v>0</v>
      </c>
      <c r="O152">
        <f t="shared" si="43"/>
        <v>0</v>
      </c>
      <c r="P152">
        <f t="shared" si="34"/>
        <v>0</v>
      </c>
      <c r="Q152">
        <f t="shared" si="44"/>
        <v>17</v>
      </c>
      <c r="R152">
        <f t="shared" si="44"/>
        <v>16</v>
      </c>
      <c r="U152">
        <v>8</v>
      </c>
    </row>
    <row r="153" spans="1:21" x14ac:dyDescent="0.25">
      <c r="A153" s="1">
        <v>44802</v>
      </c>
      <c r="B153">
        <f t="shared" si="30"/>
        <v>1</v>
      </c>
      <c r="C153">
        <f t="shared" si="35"/>
        <v>17</v>
      </c>
      <c r="D153">
        <f t="shared" si="35"/>
        <v>16</v>
      </c>
      <c r="E153">
        <f t="shared" si="36"/>
        <v>1</v>
      </c>
      <c r="F153">
        <f t="shared" si="31"/>
        <v>1</v>
      </c>
      <c r="G153">
        <f t="shared" si="37"/>
        <v>0</v>
      </c>
      <c r="H153">
        <f t="shared" si="38"/>
        <v>0</v>
      </c>
      <c r="I153">
        <f t="shared" si="39"/>
        <v>0</v>
      </c>
      <c r="J153">
        <f t="shared" si="32"/>
        <v>0</v>
      </c>
      <c r="K153">
        <f t="shared" si="33"/>
        <v>0</v>
      </c>
      <c r="L153">
        <f t="shared" si="40"/>
        <v>16</v>
      </c>
      <c r="M153">
        <f t="shared" si="41"/>
        <v>16</v>
      </c>
      <c r="N153">
        <f t="shared" si="42"/>
        <v>1</v>
      </c>
      <c r="O153">
        <f t="shared" si="43"/>
        <v>5</v>
      </c>
      <c r="P153">
        <f t="shared" si="34"/>
        <v>4</v>
      </c>
      <c r="Q153">
        <f t="shared" si="44"/>
        <v>11</v>
      </c>
      <c r="R153">
        <f t="shared" si="44"/>
        <v>12</v>
      </c>
      <c r="U153">
        <v>8</v>
      </c>
    </row>
    <row r="154" spans="1:21" x14ac:dyDescent="0.25">
      <c r="A154" s="1">
        <v>44803</v>
      </c>
      <c r="B154">
        <f t="shared" si="30"/>
        <v>2</v>
      </c>
      <c r="C154">
        <f t="shared" si="35"/>
        <v>11</v>
      </c>
      <c r="D154">
        <f t="shared" si="35"/>
        <v>12</v>
      </c>
      <c r="E154">
        <f t="shared" si="36"/>
        <v>0</v>
      </c>
      <c r="F154">
        <f t="shared" si="31"/>
        <v>0</v>
      </c>
      <c r="G154">
        <f t="shared" si="37"/>
        <v>0</v>
      </c>
      <c r="H154">
        <f t="shared" si="38"/>
        <v>0</v>
      </c>
      <c r="I154">
        <f t="shared" si="39"/>
        <v>0</v>
      </c>
      <c r="J154">
        <f t="shared" si="32"/>
        <v>0</v>
      </c>
      <c r="K154">
        <f t="shared" si="33"/>
        <v>0</v>
      </c>
      <c r="L154">
        <f t="shared" si="40"/>
        <v>11</v>
      </c>
      <c r="M154">
        <f t="shared" si="41"/>
        <v>12</v>
      </c>
      <c r="N154">
        <f t="shared" si="42"/>
        <v>1</v>
      </c>
      <c r="O154">
        <f t="shared" si="43"/>
        <v>4</v>
      </c>
      <c r="P154">
        <f t="shared" si="34"/>
        <v>3</v>
      </c>
      <c r="Q154">
        <f t="shared" si="44"/>
        <v>7</v>
      </c>
      <c r="R154">
        <f t="shared" si="44"/>
        <v>9</v>
      </c>
      <c r="U154">
        <v>8</v>
      </c>
    </row>
    <row r="155" spans="1:21" x14ac:dyDescent="0.25">
      <c r="A155" s="1">
        <v>44804</v>
      </c>
      <c r="B155">
        <f t="shared" si="30"/>
        <v>3</v>
      </c>
      <c r="C155">
        <f t="shared" si="35"/>
        <v>7</v>
      </c>
      <c r="D155">
        <f t="shared" si="35"/>
        <v>9</v>
      </c>
      <c r="E155">
        <f t="shared" si="36"/>
        <v>0</v>
      </c>
      <c r="F155">
        <f t="shared" si="31"/>
        <v>0</v>
      </c>
      <c r="G155">
        <f t="shared" si="37"/>
        <v>0</v>
      </c>
      <c r="H155">
        <f t="shared" si="38"/>
        <v>0</v>
      </c>
      <c r="I155">
        <f t="shared" si="39"/>
        <v>0</v>
      </c>
      <c r="J155">
        <f t="shared" si="32"/>
        <v>0</v>
      </c>
      <c r="K155">
        <f t="shared" si="33"/>
        <v>0</v>
      </c>
      <c r="L155">
        <f t="shared" si="40"/>
        <v>7</v>
      </c>
      <c r="M155">
        <f t="shared" si="41"/>
        <v>9</v>
      </c>
      <c r="N155">
        <f t="shared" si="42"/>
        <v>1</v>
      </c>
      <c r="O155">
        <f t="shared" si="43"/>
        <v>3</v>
      </c>
      <c r="P155">
        <f t="shared" si="34"/>
        <v>2</v>
      </c>
      <c r="Q155">
        <f t="shared" si="44"/>
        <v>4</v>
      </c>
      <c r="R155">
        <f t="shared" si="44"/>
        <v>7</v>
      </c>
      <c r="U155">
        <v>8</v>
      </c>
    </row>
    <row r="156" spans="1:21" x14ac:dyDescent="0.25">
      <c r="A156" s="1">
        <v>44805</v>
      </c>
      <c r="B156">
        <f t="shared" si="30"/>
        <v>4</v>
      </c>
      <c r="C156">
        <f t="shared" si="35"/>
        <v>4</v>
      </c>
      <c r="D156">
        <f t="shared" si="35"/>
        <v>7</v>
      </c>
      <c r="E156">
        <f t="shared" si="36"/>
        <v>0</v>
      </c>
      <c r="F156">
        <f t="shared" si="31"/>
        <v>0</v>
      </c>
      <c r="G156">
        <f t="shared" si="37"/>
        <v>1</v>
      </c>
      <c r="H156">
        <f t="shared" si="38"/>
        <v>50</v>
      </c>
      <c r="I156">
        <f t="shared" si="39"/>
        <v>25</v>
      </c>
      <c r="J156">
        <f t="shared" si="32"/>
        <v>0</v>
      </c>
      <c r="K156">
        <f t="shared" si="33"/>
        <v>0</v>
      </c>
      <c r="L156">
        <f t="shared" si="40"/>
        <v>54</v>
      </c>
      <c r="M156">
        <f t="shared" si="41"/>
        <v>32</v>
      </c>
      <c r="N156">
        <f t="shared" si="42"/>
        <v>1</v>
      </c>
      <c r="O156">
        <f t="shared" si="43"/>
        <v>17</v>
      </c>
      <c r="P156">
        <f t="shared" si="34"/>
        <v>7</v>
      </c>
      <c r="Q156">
        <f t="shared" si="44"/>
        <v>37</v>
      </c>
      <c r="R156">
        <f t="shared" si="44"/>
        <v>25</v>
      </c>
      <c r="U156">
        <v>8</v>
      </c>
    </row>
    <row r="157" spans="1:21" x14ac:dyDescent="0.25">
      <c r="A157" s="1">
        <v>44806</v>
      </c>
      <c r="B157">
        <f t="shared" si="30"/>
        <v>5</v>
      </c>
      <c r="C157">
        <f t="shared" si="35"/>
        <v>37</v>
      </c>
      <c r="D157">
        <f t="shared" si="35"/>
        <v>25</v>
      </c>
      <c r="E157">
        <f t="shared" si="36"/>
        <v>0</v>
      </c>
      <c r="F157">
        <f t="shared" si="31"/>
        <v>0</v>
      </c>
      <c r="G157">
        <f t="shared" si="37"/>
        <v>0</v>
      </c>
      <c r="H157">
        <f t="shared" si="38"/>
        <v>0</v>
      </c>
      <c r="I157">
        <f t="shared" si="39"/>
        <v>0</v>
      </c>
      <c r="J157">
        <f t="shared" si="32"/>
        <v>0</v>
      </c>
      <c r="K157">
        <f t="shared" si="33"/>
        <v>0</v>
      </c>
      <c r="L157">
        <f t="shared" si="40"/>
        <v>37</v>
      </c>
      <c r="M157">
        <f t="shared" si="41"/>
        <v>25</v>
      </c>
      <c r="N157">
        <f t="shared" si="42"/>
        <v>1</v>
      </c>
      <c r="O157">
        <f t="shared" si="43"/>
        <v>12</v>
      </c>
      <c r="P157">
        <f t="shared" si="34"/>
        <v>5</v>
      </c>
      <c r="Q157">
        <f t="shared" si="44"/>
        <v>25</v>
      </c>
      <c r="R157">
        <f t="shared" si="44"/>
        <v>20</v>
      </c>
      <c r="U157">
        <v>8</v>
      </c>
    </row>
    <row r="158" spans="1:21" x14ac:dyDescent="0.25">
      <c r="A158" s="1">
        <v>44807</v>
      </c>
      <c r="B158">
        <f t="shared" si="30"/>
        <v>6</v>
      </c>
      <c r="C158">
        <f t="shared" si="35"/>
        <v>25</v>
      </c>
      <c r="D158">
        <f t="shared" si="35"/>
        <v>20</v>
      </c>
      <c r="E158">
        <f t="shared" si="36"/>
        <v>0</v>
      </c>
      <c r="F158">
        <f t="shared" si="31"/>
        <v>0</v>
      </c>
      <c r="G158">
        <f t="shared" si="37"/>
        <v>0</v>
      </c>
      <c r="H158">
        <f t="shared" si="38"/>
        <v>0</v>
      </c>
      <c r="I158">
        <f t="shared" si="39"/>
        <v>0</v>
      </c>
      <c r="J158">
        <f t="shared" si="32"/>
        <v>0</v>
      </c>
      <c r="K158">
        <f t="shared" si="33"/>
        <v>0</v>
      </c>
      <c r="L158">
        <f t="shared" si="40"/>
        <v>25</v>
      </c>
      <c r="M158">
        <f t="shared" si="41"/>
        <v>20</v>
      </c>
      <c r="N158">
        <f t="shared" si="42"/>
        <v>1</v>
      </c>
      <c r="O158">
        <f t="shared" si="43"/>
        <v>8</v>
      </c>
      <c r="P158">
        <f t="shared" si="34"/>
        <v>4</v>
      </c>
      <c r="Q158">
        <f t="shared" si="44"/>
        <v>17</v>
      </c>
      <c r="R158">
        <f t="shared" si="44"/>
        <v>16</v>
      </c>
      <c r="U158">
        <v>8</v>
      </c>
    </row>
    <row r="159" spans="1:21" x14ac:dyDescent="0.25">
      <c r="A159" s="1">
        <v>44808</v>
      </c>
      <c r="B159">
        <f t="shared" si="30"/>
        <v>7</v>
      </c>
      <c r="C159">
        <f t="shared" si="35"/>
        <v>17</v>
      </c>
      <c r="D159">
        <f t="shared" si="35"/>
        <v>16</v>
      </c>
      <c r="E159">
        <f t="shared" si="36"/>
        <v>0</v>
      </c>
      <c r="F159">
        <f t="shared" si="31"/>
        <v>0</v>
      </c>
      <c r="G159">
        <f t="shared" si="37"/>
        <v>0</v>
      </c>
      <c r="H159">
        <f t="shared" si="38"/>
        <v>0</v>
      </c>
      <c r="I159">
        <f t="shared" si="39"/>
        <v>0</v>
      </c>
      <c r="J159">
        <f t="shared" si="32"/>
        <v>0</v>
      </c>
      <c r="K159">
        <f t="shared" si="33"/>
        <v>0</v>
      </c>
      <c r="L159">
        <f t="shared" si="40"/>
        <v>17</v>
      </c>
      <c r="M159">
        <f t="shared" si="41"/>
        <v>16</v>
      </c>
      <c r="N159">
        <f t="shared" si="42"/>
        <v>0</v>
      </c>
      <c r="O159">
        <f t="shared" si="43"/>
        <v>0</v>
      </c>
      <c r="P159">
        <f t="shared" si="34"/>
        <v>0</v>
      </c>
      <c r="Q159">
        <f t="shared" si="44"/>
        <v>17</v>
      </c>
      <c r="R159">
        <f t="shared" si="44"/>
        <v>16</v>
      </c>
      <c r="U159">
        <v>8</v>
      </c>
    </row>
    <row r="160" spans="1:21" x14ac:dyDescent="0.25">
      <c r="A160" s="1">
        <v>44809</v>
      </c>
      <c r="B160">
        <f t="shared" si="30"/>
        <v>1</v>
      </c>
      <c r="C160">
        <f t="shared" si="35"/>
        <v>17</v>
      </c>
      <c r="D160">
        <f t="shared" si="35"/>
        <v>16</v>
      </c>
      <c r="E160">
        <f t="shared" si="36"/>
        <v>1</v>
      </c>
      <c r="F160">
        <f t="shared" si="31"/>
        <v>1</v>
      </c>
      <c r="G160">
        <f t="shared" si="37"/>
        <v>0</v>
      </c>
      <c r="H160">
        <f t="shared" si="38"/>
        <v>0</v>
      </c>
      <c r="I160">
        <f t="shared" si="39"/>
        <v>0</v>
      </c>
      <c r="J160">
        <f t="shared" si="32"/>
        <v>0</v>
      </c>
      <c r="K160">
        <f t="shared" si="33"/>
        <v>0</v>
      </c>
      <c r="L160">
        <f t="shared" si="40"/>
        <v>16</v>
      </c>
      <c r="M160">
        <f t="shared" si="41"/>
        <v>16</v>
      </c>
      <c r="N160">
        <f t="shared" si="42"/>
        <v>1</v>
      </c>
      <c r="O160">
        <f t="shared" si="43"/>
        <v>5</v>
      </c>
      <c r="P160">
        <f t="shared" si="34"/>
        <v>4</v>
      </c>
      <c r="Q160">
        <f t="shared" si="44"/>
        <v>11</v>
      </c>
      <c r="R160">
        <f t="shared" si="44"/>
        <v>12</v>
      </c>
      <c r="U160">
        <v>8</v>
      </c>
    </row>
    <row r="161" spans="1:21" x14ac:dyDescent="0.25">
      <c r="A161" s="1">
        <v>44810</v>
      </c>
      <c r="B161">
        <f t="shared" si="30"/>
        <v>2</v>
      </c>
      <c r="C161">
        <f t="shared" si="35"/>
        <v>11</v>
      </c>
      <c r="D161">
        <f t="shared" si="35"/>
        <v>12</v>
      </c>
      <c r="E161">
        <f t="shared" si="36"/>
        <v>0</v>
      </c>
      <c r="F161">
        <f t="shared" si="31"/>
        <v>0</v>
      </c>
      <c r="G161">
        <f t="shared" si="37"/>
        <v>0</v>
      </c>
      <c r="H161">
        <f t="shared" si="38"/>
        <v>0</v>
      </c>
      <c r="I161">
        <f t="shared" si="39"/>
        <v>0</v>
      </c>
      <c r="J161">
        <f t="shared" si="32"/>
        <v>0</v>
      </c>
      <c r="K161">
        <f t="shared" si="33"/>
        <v>0</v>
      </c>
      <c r="L161">
        <f t="shared" si="40"/>
        <v>11</v>
      </c>
      <c r="M161">
        <f t="shared" si="41"/>
        <v>12</v>
      </c>
      <c r="N161">
        <f t="shared" si="42"/>
        <v>1</v>
      </c>
      <c r="O161">
        <f t="shared" si="43"/>
        <v>4</v>
      </c>
      <c r="P161">
        <f t="shared" si="34"/>
        <v>3</v>
      </c>
      <c r="Q161">
        <f t="shared" si="44"/>
        <v>7</v>
      </c>
      <c r="R161">
        <f t="shared" si="44"/>
        <v>9</v>
      </c>
      <c r="U161">
        <v>8</v>
      </c>
    </row>
    <row r="162" spans="1:21" x14ac:dyDescent="0.25">
      <c r="A162" s="1">
        <v>44811</v>
      </c>
      <c r="B162">
        <f t="shared" si="30"/>
        <v>3</v>
      </c>
      <c r="C162">
        <f t="shared" si="35"/>
        <v>7</v>
      </c>
      <c r="D162">
        <f t="shared" si="35"/>
        <v>9</v>
      </c>
      <c r="E162">
        <f t="shared" si="36"/>
        <v>0</v>
      </c>
      <c r="F162">
        <f t="shared" si="31"/>
        <v>0</v>
      </c>
      <c r="G162">
        <f t="shared" si="37"/>
        <v>0</v>
      </c>
      <c r="H162">
        <f t="shared" si="38"/>
        <v>0</v>
      </c>
      <c r="I162">
        <f t="shared" si="39"/>
        <v>0</v>
      </c>
      <c r="J162">
        <f t="shared" si="32"/>
        <v>0</v>
      </c>
      <c r="K162">
        <f t="shared" si="33"/>
        <v>0</v>
      </c>
      <c r="L162">
        <f t="shared" si="40"/>
        <v>7</v>
      </c>
      <c r="M162">
        <f t="shared" si="41"/>
        <v>9</v>
      </c>
      <c r="N162">
        <f t="shared" si="42"/>
        <v>1</v>
      </c>
      <c r="O162">
        <f t="shared" si="43"/>
        <v>3</v>
      </c>
      <c r="P162">
        <f t="shared" si="34"/>
        <v>2</v>
      </c>
      <c r="Q162">
        <f t="shared" si="44"/>
        <v>4</v>
      </c>
      <c r="R162">
        <f t="shared" si="44"/>
        <v>7</v>
      </c>
      <c r="U162">
        <v>8</v>
      </c>
    </row>
    <row r="163" spans="1:21" x14ac:dyDescent="0.25">
      <c r="A163" s="1">
        <v>44812</v>
      </c>
      <c r="B163">
        <f t="shared" si="30"/>
        <v>4</v>
      </c>
      <c r="C163">
        <f t="shared" si="35"/>
        <v>4</v>
      </c>
      <c r="D163">
        <f t="shared" si="35"/>
        <v>7</v>
      </c>
      <c r="E163">
        <f t="shared" si="36"/>
        <v>0</v>
      </c>
      <c r="F163">
        <f t="shared" si="31"/>
        <v>0</v>
      </c>
      <c r="G163">
        <f t="shared" si="37"/>
        <v>1</v>
      </c>
      <c r="H163">
        <f t="shared" si="38"/>
        <v>50</v>
      </c>
      <c r="I163">
        <f t="shared" si="39"/>
        <v>25</v>
      </c>
      <c r="J163">
        <f t="shared" si="32"/>
        <v>0</v>
      </c>
      <c r="K163">
        <f t="shared" si="33"/>
        <v>0</v>
      </c>
      <c r="L163">
        <f t="shared" si="40"/>
        <v>54</v>
      </c>
      <c r="M163">
        <f t="shared" si="41"/>
        <v>32</v>
      </c>
      <c r="N163">
        <f t="shared" si="42"/>
        <v>1</v>
      </c>
      <c r="O163">
        <f t="shared" si="43"/>
        <v>17</v>
      </c>
      <c r="P163">
        <f t="shared" si="34"/>
        <v>7</v>
      </c>
      <c r="Q163">
        <f t="shared" si="44"/>
        <v>37</v>
      </c>
      <c r="R163">
        <f t="shared" si="44"/>
        <v>25</v>
      </c>
      <c r="U163">
        <v>8</v>
      </c>
    </row>
    <row r="164" spans="1:21" x14ac:dyDescent="0.25">
      <c r="A164" s="1">
        <v>44813</v>
      </c>
      <c r="B164">
        <f t="shared" si="30"/>
        <v>5</v>
      </c>
      <c r="C164">
        <f t="shared" si="35"/>
        <v>37</v>
      </c>
      <c r="D164">
        <f t="shared" si="35"/>
        <v>25</v>
      </c>
      <c r="E164">
        <f t="shared" si="36"/>
        <v>0</v>
      </c>
      <c r="F164">
        <f t="shared" si="31"/>
        <v>0</v>
      </c>
      <c r="G164">
        <f t="shared" si="37"/>
        <v>0</v>
      </c>
      <c r="H164">
        <f t="shared" si="38"/>
        <v>0</v>
      </c>
      <c r="I164">
        <f t="shared" si="39"/>
        <v>0</v>
      </c>
      <c r="J164">
        <f t="shared" si="32"/>
        <v>0</v>
      </c>
      <c r="K164">
        <f t="shared" si="33"/>
        <v>0</v>
      </c>
      <c r="L164">
        <f t="shared" si="40"/>
        <v>37</v>
      </c>
      <c r="M164">
        <f t="shared" si="41"/>
        <v>25</v>
      </c>
      <c r="N164">
        <f t="shared" si="42"/>
        <v>1</v>
      </c>
      <c r="O164">
        <f t="shared" si="43"/>
        <v>12</v>
      </c>
      <c r="P164">
        <f t="shared" si="34"/>
        <v>5</v>
      </c>
      <c r="Q164">
        <f t="shared" si="44"/>
        <v>25</v>
      </c>
      <c r="R164">
        <f t="shared" si="44"/>
        <v>20</v>
      </c>
      <c r="U164">
        <v>8</v>
      </c>
    </row>
    <row r="165" spans="1:21" x14ac:dyDescent="0.25">
      <c r="A165" s="1">
        <v>44814</v>
      </c>
      <c r="B165">
        <f t="shared" si="30"/>
        <v>6</v>
      </c>
      <c r="C165">
        <f t="shared" si="35"/>
        <v>25</v>
      </c>
      <c r="D165">
        <f t="shared" si="35"/>
        <v>20</v>
      </c>
      <c r="E165">
        <f t="shared" si="36"/>
        <v>0</v>
      </c>
      <c r="F165">
        <f t="shared" si="31"/>
        <v>0</v>
      </c>
      <c r="G165">
        <f t="shared" si="37"/>
        <v>0</v>
      </c>
      <c r="H165">
        <f t="shared" si="38"/>
        <v>0</v>
      </c>
      <c r="I165">
        <f t="shared" si="39"/>
        <v>0</v>
      </c>
      <c r="J165">
        <f t="shared" si="32"/>
        <v>0</v>
      </c>
      <c r="K165">
        <f t="shared" si="33"/>
        <v>0</v>
      </c>
      <c r="L165">
        <f t="shared" si="40"/>
        <v>25</v>
      </c>
      <c r="M165">
        <f t="shared" si="41"/>
        <v>20</v>
      </c>
      <c r="N165">
        <f t="shared" si="42"/>
        <v>1</v>
      </c>
      <c r="O165">
        <f t="shared" si="43"/>
        <v>8</v>
      </c>
      <c r="P165">
        <f t="shared" si="34"/>
        <v>4</v>
      </c>
      <c r="Q165">
        <f t="shared" si="44"/>
        <v>17</v>
      </c>
      <c r="R165">
        <f t="shared" si="44"/>
        <v>16</v>
      </c>
      <c r="U165">
        <v>8</v>
      </c>
    </row>
    <row r="166" spans="1:21" x14ac:dyDescent="0.25">
      <c r="A166" s="1">
        <v>44815</v>
      </c>
      <c r="B166">
        <f t="shared" si="30"/>
        <v>7</v>
      </c>
      <c r="C166">
        <f t="shared" si="35"/>
        <v>17</v>
      </c>
      <c r="D166">
        <f t="shared" si="35"/>
        <v>16</v>
      </c>
      <c r="E166">
        <f t="shared" si="36"/>
        <v>0</v>
      </c>
      <c r="F166">
        <f t="shared" si="31"/>
        <v>0</v>
      </c>
      <c r="G166">
        <f t="shared" si="37"/>
        <v>0</v>
      </c>
      <c r="H166">
        <f t="shared" si="38"/>
        <v>0</v>
      </c>
      <c r="I166">
        <f t="shared" si="39"/>
        <v>0</v>
      </c>
      <c r="J166">
        <f t="shared" si="32"/>
        <v>0</v>
      </c>
      <c r="K166">
        <f t="shared" si="33"/>
        <v>0</v>
      </c>
      <c r="L166">
        <f t="shared" si="40"/>
        <v>17</v>
      </c>
      <c r="M166">
        <f t="shared" si="41"/>
        <v>16</v>
      </c>
      <c r="N166">
        <f t="shared" si="42"/>
        <v>0</v>
      </c>
      <c r="O166">
        <f t="shared" si="43"/>
        <v>0</v>
      </c>
      <c r="P166">
        <f t="shared" si="34"/>
        <v>0</v>
      </c>
      <c r="Q166">
        <f t="shared" si="44"/>
        <v>17</v>
      </c>
      <c r="R166">
        <f t="shared" si="44"/>
        <v>16</v>
      </c>
      <c r="U166">
        <v>8</v>
      </c>
    </row>
    <row r="167" spans="1:21" x14ac:dyDescent="0.25">
      <c r="A167" s="1">
        <v>44816</v>
      </c>
      <c r="B167">
        <f t="shared" si="30"/>
        <v>1</v>
      </c>
      <c r="C167">
        <f t="shared" si="35"/>
        <v>17</v>
      </c>
      <c r="D167">
        <f t="shared" si="35"/>
        <v>16</v>
      </c>
      <c r="E167">
        <f t="shared" si="36"/>
        <v>1</v>
      </c>
      <c r="F167">
        <f t="shared" si="31"/>
        <v>1</v>
      </c>
      <c r="G167">
        <f t="shared" si="37"/>
        <v>0</v>
      </c>
      <c r="H167">
        <f t="shared" si="38"/>
        <v>0</v>
      </c>
      <c r="I167">
        <f t="shared" si="39"/>
        <v>0</v>
      </c>
      <c r="J167">
        <f t="shared" si="32"/>
        <v>0</v>
      </c>
      <c r="K167">
        <f t="shared" si="33"/>
        <v>0</v>
      </c>
      <c r="L167">
        <f t="shared" si="40"/>
        <v>16</v>
      </c>
      <c r="M167">
        <f t="shared" si="41"/>
        <v>16</v>
      </c>
      <c r="N167">
        <f t="shared" si="42"/>
        <v>1</v>
      </c>
      <c r="O167">
        <f t="shared" si="43"/>
        <v>5</v>
      </c>
      <c r="P167">
        <f t="shared" si="34"/>
        <v>4</v>
      </c>
      <c r="Q167">
        <f t="shared" si="44"/>
        <v>11</v>
      </c>
      <c r="R167">
        <f t="shared" si="44"/>
        <v>12</v>
      </c>
      <c r="U167">
        <v>8</v>
      </c>
    </row>
    <row r="168" spans="1:21" x14ac:dyDescent="0.25">
      <c r="A168" s="1">
        <v>44817</v>
      </c>
      <c r="B168">
        <f t="shared" si="30"/>
        <v>2</v>
      </c>
      <c r="C168">
        <f t="shared" si="35"/>
        <v>11</v>
      </c>
      <c r="D168">
        <f t="shared" si="35"/>
        <v>12</v>
      </c>
      <c r="E168">
        <f t="shared" si="36"/>
        <v>0</v>
      </c>
      <c r="F168">
        <f t="shared" si="31"/>
        <v>0</v>
      </c>
      <c r="G168">
        <f t="shared" si="37"/>
        <v>0</v>
      </c>
      <c r="H168">
        <f t="shared" si="38"/>
        <v>0</v>
      </c>
      <c r="I168">
        <f t="shared" si="39"/>
        <v>0</v>
      </c>
      <c r="J168">
        <f t="shared" si="32"/>
        <v>0</v>
      </c>
      <c r="K168">
        <f t="shared" si="33"/>
        <v>0</v>
      </c>
      <c r="L168">
        <f t="shared" si="40"/>
        <v>11</v>
      </c>
      <c r="M168">
        <f t="shared" si="41"/>
        <v>12</v>
      </c>
      <c r="N168">
        <f t="shared" si="42"/>
        <v>1</v>
      </c>
      <c r="O168">
        <f t="shared" si="43"/>
        <v>4</v>
      </c>
      <c r="P168">
        <f t="shared" si="34"/>
        <v>3</v>
      </c>
      <c r="Q168">
        <f t="shared" si="44"/>
        <v>7</v>
      </c>
      <c r="R168">
        <f t="shared" si="44"/>
        <v>9</v>
      </c>
      <c r="U168">
        <v>8</v>
      </c>
    </row>
    <row r="169" spans="1:21" x14ac:dyDescent="0.25">
      <c r="A169" s="1">
        <v>44818</v>
      </c>
      <c r="B169">
        <f t="shared" si="30"/>
        <v>3</v>
      </c>
      <c r="C169">
        <f t="shared" si="35"/>
        <v>7</v>
      </c>
      <c r="D169">
        <f t="shared" si="35"/>
        <v>9</v>
      </c>
      <c r="E169">
        <f t="shared" si="36"/>
        <v>0</v>
      </c>
      <c r="F169">
        <f t="shared" si="31"/>
        <v>0</v>
      </c>
      <c r="G169">
        <f t="shared" si="37"/>
        <v>0</v>
      </c>
      <c r="H169">
        <f t="shared" si="38"/>
        <v>0</v>
      </c>
      <c r="I169">
        <f t="shared" si="39"/>
        <v>0</v>
      </c>
      <c r="J169">
        <f t="shared" si="32"/>
        <v>0</v>
      </c>
      <c r="K169">
        <f t="shared" si="33"/>
        <v>0</v>
      </c>
      <c r="L169">
        <f t="shared" si="40"/>
        <v>7</v>
      </c>
      <c r="M169">
        <f t="shared" si="41"/>
        <v>9</v>
      </c>
      <c r="N169">
        <f t="shared" si="42"/>
        <v>1</v>
      </c>
      <c r="O169">
        <f t="shared" si="43"/>
        <v>3</v>
      </c>
      <c r="P169">
        <f t="shared" si="34"/>
        <v>2</v>
      </c>
      <c r="Q169">
        <f t="shared" si="44"/>
        <v>4</v>
      </c>
      <c r="R169">
        <f t="shared" si="44"/>
        <v>7</v>
      </c>
      <c r="U169">
        <v>8</v>
      </c>
    </row>
    <row r="170" spans="1:21" x14ac:dyDescent="0.25">
      <c r="A170" s="1">
        <v>44819</v>
      </c>
      <c r="B170">
        <f t="shared" si="30"/>
        <v>4</v>
      </c>
      <c r="C170">
        <f t="shared" si="35"/>
        <v>4</v>
      </c>
      <c r="D170">
        <f t="shared" si="35"/>
        <v>7</v>
      </c>
      <c r="E170">
        <f t="shared" si="36"/>
        <v>0</v>
      </c>
      <c r="F170">
        <f t="shared" si="31"/>
        <v>0</v>
      </c>
      <c r="G170">
        <f t="shared" si="37"/>
        <v>1</v>
      </c>
      <c r="H170">
        <f t="shared" si="38"/>
        <v>50</v>
      </c>
      <c r="I170">
        <f t="shared" si="39"/>
        <v>25</v>
      </c>
      <c r="J170">
        <f t="shared" si="32"/>
        <v>0</v>
      </c>
      <c r="K170">
        <f t="shared" si="33"/>
        <v>0</v>
      </c>
      <c r="L170">
        <f t="shared" si="40"/>
        <v>54</v>
      </c>
      <c r="M170">
        <f t="shared" si="41"/>
        <v>32</v>
      </c>
      <c r="N170">
        <f t="shared" si="42"/>
        <v>1</v>
      </c>
      <c r="O170">
        <f t="shared" si="43"/>
        <v>17</v>
      </c>
      <c r="P170">
        <f t="shared" si="34"/>
        <v>7</v>
      </c>
      <c r="Q170">
        <f t="shared" si="44"/>
        <v>37</v>
      </c>
      <c r="R170">
        <f t="shared" si="44"/>
        <v>25</v>
      </c>
      <c r="U170">
        <v>8</v>
      </c>
    </row>
    <row r="171" spans="1:21" x14ac:dyDescent="0.25">
      <c r="A171" s="1">
        <v>44820</v>
      </c>
      <c r="B171">
        <f t="shared" si="30"/>
        <v>5</v>
      </c>
      <c r="C171">
        <f t="shared" si="35"/>
        <v>37</v>
      </c>
      <c r="D171">
        <f t="shared" si="35"/>
        <v>25</v>
      </c>
      <c r="E171">
        <f t="shared" si="36"/>
        <v>0</v>
      </c>
      <c r="F171">
        <f t="shared" si="31"/>
        <v>0</v>
      </c>
      <c r="G171">
        <f t="shared" si="37"/>
        <v>0</v>
      </c>
      <c r="H171">
        <f t="shared" si="38"/>
        <v>0</v>
      </c>
      <c r="I171">
        <f t="shared" si="39"/>
        <v>0</v>
      </c>
      <c r="J171">
        <f t="shared" si="32"/>
        <v>0</v>
      </c>
      <c r="K171">
        <f t="shared" si="33"/>
        <v>0</v>
      </c>
      <c r="L171">
        <f t="shared" si="40"/>
        <v>37</v>
      </c>
      <c r="M171">
        <f t="shared" si="41"/>
        <v>25</v>
      </c>
      <c r="N171">
        <f t="shared" si="42"/>
        <v>1</v>
      </c>
      <c r="O171">
        <f t="shared" si="43"/>
        <v>12</v>
      </c>
      <c r="P171">
        <f t="shared" si="34"/>
        <v>5</v>
      </c>
      <c r="Q171">
        <f t="shared" si="44"/>
        <v>25</v>
      </c>
      <c r="R171">
        <f t="shared" si="44"/>
        <v>20</v>
      </c>
      <c r="U171">
        <v>8</v>
      </c>
    </row>
    <row r="172" spans="1:21" x14ac:dyDescent="0.25">
      <c r="A172" s="1">
        <v>44821</v>
      </c>
      <c r="B172">
        <f t="shared" si="30"/>
        <v>6</v>
      </c>
      <c r="C172">
        <f t="shared" si="35"/>
        <v>25</v>
      </c>
      <c r="D172">
        <f t="shared" si="35"/>
        <v>20</v>
      </c>
      <c r="E172">
        <f t="shared" si="36"/>
        <v>0</v>
      </c>
      <c r="F172">
        <f t="shared" si="31"/>
        <v>0</v>
      </c>
      <c r="G172">
        <f t="shared" si="37"/>
        <v>0</v>
      </c>
      <c r="H172">
        <f t="shared" si="38"/>
        <v>0</v>
      </c>
      <c r="I172">
        <f t="shared" si="39"/>
        <v>0</v>
      </c>
      <c r="J172">
        <f t="shared" si="32"/>
        <v>0</v>
      </c>
      <c r="K172">
        <f t="shared" si="33"/>
        <v>0</v>
      </c>
      <c r="L172">
        <f t="shared" si="40"/>
        <v>25</v>
      </c>
      <c r="M172">
        <f t="shared" si="41"/>
        <v>20</v>
      </c>
      <c r="N172">
        <f t="shared" si="42"/>
        <v>1</v>
      </c>
      <c r="O172">
        <f t="shared" si="43"/>
        <v>8</v>
      </c>
      <c r="P172">
        <f t="shared" si="34"/>
        <v>4</v>
      </c>
      <c r="Q172">
        <f t="shared" si="44"/>
        <v>17</v>
      </c>
      <c r="R172">
        <f t="shared" si="44"/>
        <v>16</v>
      </c>
      <c r="U172">
        <v>8</v>
      </c>
    </row>
    <row r="173" spans="1:21" x14ac:dyDescent="0.25">
      <c r="A173" s="1">
        <v>44822</v>
      </c>
      <c r="B173">
        <f t="shared" si="30"/>
        <v>7</v>
      </c>
      <c r="C173">
        <f t="shared" si="35"/>
        <v>17</v>
      </c>
      <c r="D173">
        <f t="shared" si="35"/>
        <v>16</v>
      </c>
      <c r="E173">
        <f t="shared" si="36"/>
        <v>0</v>
      </c>
      <c r="F173">
        <f t="shared" si="31"/>
        <v>0</v>
      </c>
      <c r="G173">
        <f t="shared" si="37"/>
        <v>0</v>
      </c>
      <c r="H173">
        <f t="shared" si="38"/>
        <v>0</v>
      </c>
      <c r="I173">
        <f t="shared" si="39"/>
        <v>0</v>
      </c>
      <c r="J173">
        <f t="shared" si="32"/>
        <v>0</v>
      </c>
      <c r="K173">
        <f t="shared" si="33"/>
        <v>0</v>
      </c>
      <c r="L173">
        <f t="shared" si="40"/>
        <v>17</v>
      </c>
      <c r="M173">
        <f t="shared" si="41"/>
        <v>16</v>
      </c>
      <c r="N173">
        <f t="shared" si="42"/>
        <v>0</v>
      </c>
      <c r="O173">
        <f t="shared" si="43"/>
        <v>0</v>
      </c>
      <c r="P173">
        <f t="shared" si="34"/>
        <v>0</v>
      </c>
      <c r="Q173">
        <f t="shared" si="44"/>
        <v>17</v>
      </c>
      <c r="R173">
        <f t="shared" si="44"/>
        <v>16</v>
      </c>
      <c r="U173">
        <v>8</v>
      </c>
    </row>
    <row r="174" spans="1:21" x14ac:dyDescent="0.25">
      <c r="A174" s="1">
        <v>44823</v>
      </c>
      <c r="B174">
        <f t="shared" si="30"/>
        <v>1</v>
      </c>
      <c r="C174">
        <f t="shared" si="35"/>
        <v>17</v>
      </c>
      <c r="D174">
        <f t="shared" si="35"/>
        <v>16</v>
      </c>
      <c r="E174">
        <f t="shared" si="36"/>
        <v>1</v>
      </c>
      <c r="F174">
        <f t="shared" si="31"/>
        <v>1</v>
      </c>
      <c r="G174">
        <f t="shared" si="37"/>
        <v>0</v>
      </c>
      <c r="H174">
        <f t="shared" si="38"/>
        <v>0</v>
      </c>
      <c r="I174">
        <f t="shared" si="39"/>
        <v>0</v>
      </c>
      <c r="J174">
        <f t="shared" si="32"/>
        <v>0</v>
      </c>
      <c r="K174">
        <f t="shared" si="33"/>
        <v>0</v>
      </c>
      <c r="L174">
        <f t="shared" si="40"/>
        <v>16</v>
      </c>
      <c r="M174">
        <f t="shared" si="41"/>
        <v>16</v>
      </c>
      <c r="N174">
        <f t="shared" si="42"/>
        <v>1</v>
      </c>
      <c r="O174">
        <f t="shared" si="43"/>
        <v>5</v>
      </c>
      <c r="P174">
        <f t="shared" si="34"/>
        <v>4</v>
      </c>
      <c r="Q174">
        <f t="shared" si="44"/>
        <v>11</v>
      </c>
      <c r="R174">
        <f t="shared" si="44"/>
        <v>12</v>
      </c>
      <c r="U174">
        <v>9</v>
      </c>
    </row>
    <row r="175" spans="1:21" x14ac:dyDescent="0.25">
      <c r="A175" s="1">
        <v>44824</v>
      </c>
      <c r="B175">
        <f t="shared" si="30"/>
        <v>2</v>
      </c>
      <c r="C175">
        <f t="shared" si="35"/>
        <v>11</v>
      </c>
      <c r="D175">
        <f t="shared" si="35"/>
        <v>12</v>
      </c>
      <c r="E175">
        <f t="shared" si="36"/>
        <v>0</v>
      </c>
      <c r="F175">
        <f t="shared" si="31"/>
        <v>0</v>
      </c>
      <c r="G175">
        <f t="shared" si="37"/>
        <v>0</v>
      </c>
      <c r="H175">
        <f t="shared" si="38"/>
        <v>0</v>
      </c>
      <c r="I175">
        <f t="shared" si="39"/>
        <v>0</v>
      </c>
      <c r="J175">
        <f t="shared" si="32"/>
        <v>0</v>
      </c>
      <c r="K175">
        <f t="shared" si="33"/>
        <v>0</v>
      </c>
      <c r="L175">
        <f t="shared" si="40"/>
        <v>11</v>
      </c>
      <c r="M175">
        <f t="shared" si="41"/>
        <v>12</v>
      </c>
      <c r="N175">
        <f t="shared" si="42"/>
        <v>1</v>
      </c>
      <c r="O175">
        <f t="shared" si="43"/>
        <v>4</v>
      </c>
      <c r="P175">
        <f t="shared" si="34"/>
        <v>3</v>
      </c>
      <c r="Q175">
        <f t="shared" si="44"/>
        <v>7</v>
      </c>
      <c r="R175">
        <f t="shared" si="44"/>
        <v>9</v>
      </c>
      <c r="U175">
        <v>9</v>
      </c>
    </row>
    <row r="176" spans="1:21" x14ac:dyDescent="0.25">
      <c r="A176" s="1">
        <v>44825</v>
      </c>
      <c r="B176">
        <f t="shared" si="30"/>
        <v>3</v>
      </c>
      <c r="C176">
        <f t="shared" si="35"/>
        <v>7</v>
      </c>
      <c r="D176">
        <f t="shared" si="35"/>
        <v>9</v>
      </c>
      <c r="E176">
        <f t="shared" si="36"/>
        <v>0</v>
      </c>
      <c r="F176">
        <f t="shared" si="31"/>
        <v>0</v>
      </c>
      <c r="G176">
        <f t="shared" si="37"/>
        <v>0</v>
      </c>
      <c r="H176">
        <f t="shared" si="38"/>
        <v>0</v>
      </c>
      <c r="I176">
        <f t="shared" si="39"/>
        <v>0</v>
      </c>
      <c r="J176">
        <f t="shared" si="32"/>
        <v>0</v>
      </c>
      <c r="K176">
        <f t="shared" si="33"/>
        <v>0</v>
      </c>
      <c r="L176">
        <f t="shared" si="40"/>
        <v>7</v>
      </c>
      <c r="M176">
        <f t="shared" si="41"/>
        <v>9</v>
      </c>
      <c r="N176">
        <f t="shared" si="42"/>
        <v>1</v>
      </c>
      <c r="O176">
        <f t="shared" si="43"/>
        <v>3</v>
      </c>
      <c r="P176">
        <f t="shared" si="34"/>
        <v>2</v>
      </c>
      <c r="Q176">
        <f t="shared" si="44"/>
        <v>4</v>
      </c>
      <c r="R176">
        <f t="shared" si="44"/>
        <v>7</v>
      </c>
      <c r="U176">
        <v>9</v>
      </c>
    </row>
    <row r="177" spans="1:21" x14ac:dyDescent="0.25">
      <c r="A177" s="1">
        <v>44826</v>
      </c>
      <c r="B177">
        <f t="shared" si="30"/>
        <v>4</v>
      </c>
      <c r="C177">
        <f t="shared" si="35"/>
        <v>4</v>
      </c>
      <c r="D177">
        <f t="shared" si="35"/>
        <v>7</v>
      </c>
      <c r="E177">
        <f t="shared" si="36"/>
        <v>0</v>
      </c>
      <c r="F177">
        <f t="shared" si="31"/>
        <v>0</v>
      </c>
      <c r="G177">
        <f t="shared" si="37"/>
        <v>1</v>
      </c>
      <c r="H177">
        <f t="shared" si="38"/>
        <v>50</v>
      </c>
      <c r="I177">
        <f t="shared" si="39"/>
        <v>25</v>
      </c>
      <c r="J177">
        <f t="shared" si="32"/>
        <v>0</v>
      </c>
      <c r="K177">
        <f t="shared" si="33"/>
        <v>0</v>
      </c>
      <c r="L177">
        <f t="shared" si="40"/>
        <v>54</v>
      </c>
      <c r="M177">
        <f t="shared" si="41"/>
        <v>32</v>
      </c>
      <c r="N177">
        <f t="shared" si="42"/>
        <v>1</v>
      </c>
      <c r="O177">
        <f t="shared" si="43"/>
        <v>17</v>
      </c>
      <c r="P177">
        <f t="shared" si="34"/>
        <v>7</v>
      </c>
      <c r="Q177">
        <f t="shared" si="44"/>
        <v>37</v>
      </c>
      <c r="R177">
        <f t="shared" si="44"/>
        <v>25</v>
      </c>
      <c r="U177">
        <v>11</v>
      </c>
    </row>
    <row r="178" spans="1:21" x14ac:dyDescent="0.25">
      <c r="A178" s="1">
        <v>44827</v>
      </c>
      <c r="B178">
        <f t="shared" si="30"/>
        <v>5</v>
      </c>
      <c r="C178">
        <f t="shared" si="35"/>
        <v>37</v>
      </c>
      <c r="D178">
        <f t="shared" si="35"/>
        <v>25</v>
      </c>
      <c r="E178">
        <f t="shared" si="36"/>
        <v>0</v>
      </c>
      <c r="F178">
        <f t="shared" si="31"/>
        <v>0</v>
      </c>
      <c r="G178">
        <f t="shared" si="37"/>
        <v>0</v>
      </c>
      <c r="H178">
        <f t="shared" si="38"/>
        <v>0</v>
      </c>
      <c r="I178">
        <f t="shared" si="39"/>
        <v>0</v>
      </c>
      <c r="J178">
        <f t="shared" si="32"/>
        <v>0</v>
      </c>
      <c r="K178">
        <f t="shared" si="33"/>
        <v>0</v>
      </c>
      <c r="L178">
        <f t="shared" si="40"/>
        <v>37</v>
      </c>
      <c r="M178">
        <f t="shared" si="41"/>
        <v>25</v>
      </c>
      <c r="N178">
        <f t="shared" si="42"/>
        <v>1</v>
      </c>
      <c r="O178">
        <f t="shared" si="43"/>
        <v>12</v>
      </c>
      <c r="P178">
        <f t="shared" si="34"/>
        <v>5</v>
      </c>
      <c r="Q178">
        <f t="shared" si="44"/>
        <v>25</v>
      </c>
      <c r="R178">
        <f t="shared" si="44"/>
        <v>20</v>
      </c>
      <c r="U178">
        <v>11</v>
      </c>
    </row>
    <row r="179" spans="1:21" x14ac:dyDescent="0.25">
      <c r="A179" s="1">
        <v>44828</v>
      </c>
      <c r="B179">
        <f t="shared" si="30"/>
        <v>6</v>
      </c>
      <c r="C179">
        <f t="shared" si="35"/>
        <v>25</v>
      </c>
      <c r="D179">
        <f t="shared" si="35"/>
        <v>20</v>
      </c>
      <c r="E179">
        <f t="shared" si="36"/>
        <v>0</v>
      </c>
      <c r="F179">
        <f t="shared" si="31"/>
        <v>0</v>
      </c>
      <c r="G179">
        <f t="shared" si="37"/>
        <v>0</v>
      </c>
      <c r="H179">
        <f t="shared" si="38"/>
        <v>0</v>
      </c>
      <c r="I179">
        <f t="shared" si="39"/>
        <v>0</v>
      </c>
      <c r="J179">
        <f t="shared" si="32"/>
        <v>0</v>
      </c>
      <c r="K179">
        <f t="shared" si="33"/>
        <v>0</v>
      </c>
      <c r="L179">
        <f t="shared" si="40"/>
        <v>25</v>
      </c>
      <c r="M179">
        <f t="shared" si="41"/>
        <v>20</v>
      </c>
      <c r="N179">
        <f t="shared" si="42"/>
        <v>1</v>
      </c>
      <c r="O179">
        <f t="shared" si="43"/>
        <v>8</v>
      </c>
      <c r="P179">
        <f t="shared" si="34"/>
        <v>4</v>
      </c>
      <c r="Q179">
        <f t="shared" si="44"/>
        <v>17</v>
      </c>
      <c r="R179">
        <f t="shared" si="44"/>
        <v>16</v>
      </c>
      <c r="U179">
        <v>12</v>
      </c>
    </row>
    <row r="180" spans="1:21" x14ac:dyDescent="0.25">
      <c r="A180" s="1">
        <v>44829</v>
      </c>
      <c r="B180">
        <f t="shared" si="30"/>
        <v>7</v>
      </c>
      <c r="C180">
        <f t="shared" si="35"/>
        <v>17</v>
      </c>
      <c r="D180">
        <f t="shared" si="35"/>
        <v>16</v>
      </c>
      <c r="E180">
        <f t="shared" si="36"/>
        <v>0</v>
      </c>
      <c r="F180">
        <f t="shared" si="31"/>
        <v>0</v>
      </c>
      <c r="G180">
        <f t="shared" si="37"/>
        <v>0</v>
      </c>
      <c r="H180">
        <f t="shared" si="38"/>
        <v>0</v>
      </c>
      <c r="I180">
        <f t="shared" si="39"/>
        <v>0</v>
      </c>
      <c r="J180">
        <f t="shared" si="32"/>
        <v>0</v>
      </c>
      <c r="K180">
        <f t="shared" si="33"/>
        <v>0</v>
      </c>
      <c r="L180">
        <f t="shared" si="40"/>
        <v>17</v>
      </c>
      <c r="M180">
        <f t="shared" si="41"/>
        <v>16</v>
      </c>
      <c r="N180">
        <f t="shared" si="42"/>
        <v>0</v>
      </c>
      <c r="O180">
        <f t="shared" si="43"/>
        <v>0</v>
      </c>
      <c r="P180">
        <f t="shared" si="34"/>
        <v>0</v>
      </c>
      <c r="Q180">
        <f t="shared" si="44"/>
        <v>17</v>
      </c>
      <c r="R180">
        <f t="shared" si="44"/>
        <v>16</v>
      </c>
      <c r="U180">
        <v>12</v>
      </c>
    </row>
    <row r="181" spans="1:21" x14ac:dyDescent="0.25">
      <c r="A181" s="1">
        <v>44830</v>
      </c>
      <c r="B181">
        <f t="shared" si="30"/>
        <v>1</v>
      </c>
      <c r="C181">
        <f t="shared" si="35"/>
        <v>17</v>
      </c>
      <c r="D181">
        <f t="shared" si="35"/>
        <v>16</v>
      </c>
      <c r="E181">
        <f t="shared" si="36"/>
        <v>1</v>
      </c>
      <c r="F181">
        <f t="shared" si="31"/>
        <v>1</v>
      </c>
      <c r="G181">
        <f t="shared" si="37"/>
        <v>0</v>
      </c>
      <c r="H181">
        <f t="shared" si="38"/>
        <v>0</v>
      </c>
      <c r="I181">
        <f t="shared" si="39"/>
        <v>0</v>
      </c>
      <c r="J181">
        <f t="shared" si="32"/>
        <v>0</v>
      </c>
      <c r="K181">
        <f t="shared" si="33"/>
        <v>0</v>
      </c>
      <c r="L181">
        <f t="shared" si="40"/>
        <v>16</v>
      </c>
      <c r="M181">
        <f t="shared" si="41"/>
        <v>16</v>
      </c>
      <c r="N181">
        <f t="shared" si="42"/>
        <v>1</v>
      </c>
      <c r="O181">
        <f t="shared" si="43"/>
        <v>5</v>
      </c>
      <c r="P181">
        <f t="shared" si="34"/>
        <v>4</v>
      </c>
      <c r="Q181">
        <f t="shared" si="44"/>
        <v>11</v>
      </c>
      <c r="R181">
        <f t="shared" si="44"/>
        <v>12</v>
      </c>
      <c r="U181">
        <v>12</v>
      </c>
    </row>
    <row r="182" spans="1:21" x14ac:dyDescent="0.25">
      <c r="A182" s="1">
        <v>44831</v>
      </c>
      <c r="B182">
        <f t="shared" si="30"/>
        <v>2</v>
      </c>
      <c r="C182">
        <f t="shared" si="35"/>
        <v>11</v>
      </c>
      <c r="D182">
        <f t="shared" si="35"/>
        <v>12</v>
      </c>
      <c r="E182">
        <f t="shared" si="36"/>
        <v>0</v>
      </c>
      <c r="F182">
        <f t="shared" si="31"/>
        <v>0</v>
      </c>
      <c r="G182">
        <f t="shared" si="37"/>
        <v>0</v>
      </c>
      <c r="H182">
        <f t="shared" si="38"/>
        <v>0</v>
      </c>
      <c r="I182">
        <f t="shared" si="39"/>
        <v>0</v>
      </c>
      <c r="J182">
        <f t="shared" si="32"/>
        <v>0</v>
      </c>
      <c r="K182">
        <f t="shared" si="33"/>
        <v>0</v>
      </c>
      <c r="L182">
        <f t="shared" si="40"/>
        <v>11</v>
      </c>
      <c r="M182">
        <f t="shared" si="41"/>
        <v>12</v>
      </c>
      <c r="N182">
        <f t="shared" si="42"/>
        <v>1</v>
      </c>
      <c r="O182">
        <f t="shared" si="43"/>
        <v>4</v>
      </c>
      <c r="P182">
        <f t="shared" si="34"/>
        <v>3</v>
      </c>
      <c r="Q182">
        <f t="shared" si="44"/>
        <v>7</v>
      </c>
      <c r="R182">
        <f t="shared" si="44"/>
        <v>9</v>
      </c>
      <c r="U182">
        <v>12</v>
      </c>
    </row>
    <row r="183" spans="1:21" x14ac:dyDescent="0.25">
      <c r="A183" s="1">
        <v>44832</v>
      </c>
      <c r="B183">
        <f t="shared" si="30"/>
        <v>3</v>
      </c>
      <c r="C183">
        <f t="shared" si="35"/>
        <v>7</v>
      </c>
      <c r="D183">
        <f t="shared" si="35"/>
        <v>9</v>
      </c>
      <c r="E183">
        <f t="shared" si="36"/>
        <v>0</v>
      </c>
      <c r="F183">
        <f t="shared" si="31"/>
        <v>0</v>
      </c>
      <c r="G183">
        <f t="shared" si="37"/>
        <v>0</v>
      </c>
      <c r="H183">
        <f t="shared" si="38"/>
        <v>0</v>
      </c>
      <c r="I183">
        <f t="shared" si="39"/>
        <v>0</v>
      </c>
      <c r="J183">
        <f t="shared" si="32"/>
        <v>0</v>
      </c>
      <c r="K183">
        <f t="shared" si="33"/>
        <v>0</v>
      </c>
      <c r="L183">
        <f t="shared" si="40"/>
        <v>7</v>
      </c>
      <c r="M183">
        <f t="shared" si="41"/>
        <v>9</v>
      </c>
      <c r="N183">
        <f t="shared" si="42"/>
        <v>1</v>
      </c>
      <c r="O183">
        <f t="shared" si="43"/>
        <v>3</v>
      </c>
      <c r="P183">
        <f t="shared" si="34"/>
        <v>2</v>
      </c>
      <c r="Q183">
        <f t="shared" si="44"/>
        <v>4</v>
      </c>
      <c r="R183">
        <f t="shared" si="44"/>
        <v>7</v>
      </c>
      <c r="U183">
        <v>12</v>
      </c>
    </row>
    <row r="184" spans="1:21" x14ac:dyDescent="0.25">
      <c r="A184" s="1">
        <v>44833</v>
      </c>
      <c r="B184">
        <f t="shared" si="30"/>
        <v>4</v>
      </c>
      <c r="C184">
        <f t="shared" si="35"/>
        <v>4</v>
      </c>
      <c r="D184">
        <f t="shared" si="35"/>
        <v>7</v>
      </c>
      <c r="E184">
        <f t="shared" si="36"/>
        <v>0</v>
      </c>
      <c r="F184">
        <f t="shared" si="31"/>
        <v>0</v>
      </c>
      <c r="G184">
        <f t="shared" si="37"/>
        <v>1</v>
      </c>
      <c r="H184">
        <f t="shared" si="38"/>
        <v>50</v>
      </c>
      <c r="I184">
        <f t="shared" si="39"/>
        <v>25</v>
      </c>
      <c r="J184">
        <f t="shared" si="32"/>
        <v>0</v>
      </c>
      <c r="K184">
        <f t="shared" si="33"/>
        <v>0</v>
      </c>
      <c r="L184">
        <f t="shared" si="40"/>
        <v>54</v>
      </c>
      <c r="M184">
        <f t="shared" si="41"/>
        <v>32</v>
      </c>
      <c r="N184">
        <f t="shared" si="42"/>
        <v>1</v>
      </c>
      <c r="O184">
        <f t="shared" si="43"/>
        <v>17</v>
      </c>
      <c r="P184">
        <f t="shared" si="34"/>
        <v>7</v>
      </c>
      <c r="Q184">
        <f t="shared" si="44"/>
        <v>37</v>
      </c>
      <c r="R184">
        <f t="shared" si="44"/>
        <v>25</v>
      </c>
      <c r="U184">
        <v>12</v>
      </c>
    </row>
    <row r="185" spans="1:21" x14ac:dyDescent="0.25">
      <c r="A185" s="1">
        <v>44834</v>
      </c>
      <c r="B185">
        <f t="shared" si="30"/>
        <v>5</v>
      </c>
      <c r="C185">
        <f t="shared" si="35"/>
        <v>37</v>
      </c>
      <c r="D185">
        <f t="shared" si="35"/>
        <v>25</v>
      </c>
      <c r="E185">
        <f t="shared" si="36"/>
        <v>0</v>
      </c>
      <c r="F185">
        <f t="shared" si="31"/>
        <v>0</v>
      </c>
      <c r="G185">
        <f t="shared" si="37"/>
        <v>0</v>
      </c>
      <c r="H185">
        <f t="shared" si="38"/>
        <v>0</v>
      </c>
      <c r="I185">
        <f t="shared" si="39"/>
        <v>0</v>
      </c>
      <c r="J185">
        <f t="shared" si="32"/>
        <v>0</v>
      </c>
      <c r="K185">
        <f t="shared" si="33"/>
        <v>0</v>
      </c>
      <c r="L185">
        <f t="shared" si="40"/>
        <v>37</v>
      </c>
      <c r="M185">
        <f t="shared" si="41"/>
        <v>25</v>
      </c>
      <c r="N185">
        <f t="shared" si="42"/>
        <v>1</v>
      </c>
      <c r="O185">
        <f t="shared" si="43"/>
        <v>12</v>
      </c>
      <c r="P185">
        <f t="shared" si="34"/>
        <v>5</v>
      </c>
      <c r="Q185">
        <f t="shared" si="44"/>
        <v>25</v>
      </c>
      <c r="R185">
        <f t="shared" si="44"/>
        <v>20</v>
      </c>
      <c r="U185">
        <v>12</v>
      </c>
    </row>
    <row r="186" spans="1:21" x14ac:dyDescent="0.25">
      <c r="A186" s="1">
        <v>44835</v>
      </c>
      <c r="B186">
        <f t="shared" si="30"/>
        <v>6</v>
      </c>
      <c r="C186">
        <f t="shared" si="35"/>
        <v>25</v>
      </c>
      <c r="D186">
        <f t="shared" si="35"/>
        <v>20</v>
      </c>
      <c r="E186">
        <f t="shared" si="36"/>
        <v>0</v>
      </c>
      <c r="F186">
        <f t="shared" si="31"/>
        <v>0</v>
      </c>
      <c r="G186">
        <f t="shared" si="37"/>
        <v>0</v>
      </c>
      <c r="H186">
        <f t="shared" si="38"/>
        <v>0</v>
      </c>
      <c r="I186">
        <f t="shared" si="39"/>
        <v>0</v>
      </c>
      <c r="J186">
        <f t="shared" si="32"/>
        <v>0</v>
      </c>
      <c r="K186">
        <f t="shared" si="33"/>
        <v>0</v>
      </c>
      <c r="L186">
        <f t="shared" si="40"/>
        <v>25</v>
      </c>
      <c r="M186">
        <f t="shared" si="41"/>
        <v>20</v>
      </c>
      <c r="N186">
        <f t="shared" si="42"/>
        <v>1</v>
      </c>
      <c r="O186">
        <f t="shared" si="43"/>
        <v>8</v>
      </c>
      <c r="P186">
        <f t="shared" si="34"/>
        <v>4</v>
      </c>
      <c r="Q186">
        <f t="shared" si="44"/>
        <v>17</v>
      </c>
      <c r="R186">
        <f t="shared" si="44"/>
        <v>16</v>
      </c>
      <c r="U186">
        <v>12</v>
      </c>
    </row>
    <row r="187" spans="1:21" x14ac:dyDescent="0.25">
      <c r="A187" s="1">
        <v>44836</v>
      </c>
      <c r="B187">
        <f t="shared" si="30"/>
        <v>7</v>
      </c>
      <c r="C187">
        <f t="shared" si="35"/>
        <v>17</v>
      </c>
      <c r="D187">
        <f t="shared" si="35"/>
        <v>16</v>
      </c>
      <c r="E187">
        <f t="shared" si="36"/>
        <v>0</v>
      </c>
      <c r="F187">
        <f t="shared" si="31"/>
        <v>0</v>
      </c>
      <c r="G187">
        <f t="shared" si="37"/>
        <v>0</v>
      </c>
      <c r="H187">
        <f t="shared" si="38"/>
        <v>0</v>
      </c>
      <c r="I187">
        <f t="shared" si="39"/>
        <v>0</v>
      </c>
      <c r="J187">
        <f t="shared" si="32"/>
        <v>0</v>
      </c>
      <c r="K187">
        <f t="shared" si="33"/>
        <v>0</v>
      </c>
      <c r="L187">
        <f t="shared" si="40"/>
        <v>17</v>
      </c>
      <c r="M187">
        <f t="shared" si="41"/>
        <v>16</v>
      </c>
      <c r="N187">
        <f t="shared" si="42"/>
        <v>0</v>
      </c>
      <c r="O187">
        <f t="shared" si="43"/>
        <v>0</v>
      </c>
      <c r="P187">
        <f t="shared" si="34"/>
        <v>0</v>
      </c>
      <c r="Q187">
        <f t="shared" si="44"/>
        <v>17</v>
      </c>
      <c r="R187">
        <f t="shared" si="44"/>
        <v>16</v>
      </c>
      <c r="U187">
        <v>12</v>
      </c>
    </row>
    <row r="188" spans="1:21" x14ac:dyDescent="0.25">
      <c r="A188" s="1">
        <v>44837</v>
      </c>
      <c r="B188">
        <f t="shared" si="30"/>
        <v>1</v>
      </c>
      <c r="C188">
        <f t="shared" si="35"/>
        <v>17</v>
      </c>
      <c r="D188">
        <f t="shared" si="35"/>
        <v>16</v>
      </c>
      <c r="E188">
        <f t="shared" si="36"/>
        <v>1</v>
      </c>
      <c r="F188">
        <f t="shared" si="31"/>
        <v>1</v>
      </c>
      <c r="G188">
        <f t="shared" si="37"/>
        <v>0</v>
      </c>
      <c r="H188">
        <f t="shared" si="38"/>
        <v>0</v>
      </c>
      <c r="I188">
        <f t="shared" si="39"/>
        <v>0</v>
      </c>
      <c r="J188">
        <f t="shared" si="32"/>
        <v>0</v>
      </c>
      <c r="K188">
        <f t="shared" si="33"/>
        <v>0</v>
      </c>
      <c r="L188">
        <f t="shared" si="40"/>
        <v>16</v>
      </c>
      <c r="M188">
        <f t="shared" si="41"/>
        <v>16</v>
      </c>
      <c r="N188">
        <f t="shared" si="42"/>
        <v>1</v>
      </c>
      <c r="O188">
        <f t="shared" si="43"/>
        <v>5</v>
      </c>
      <c r="P188">
        <f t="shared" si="34"/>
        <v>4</v>
      </c>
      <c r="Q188">
        <f t="shared" si="44"/>
        <v>11</v>
      </c>
      <c r="R188">
        <f t="shared" si="44"/>
        <v>12</v>
      </c>
      <c r="U188">
        <v>12</v>
      </c>
    </row>
    <row r="189" spans="1:21" x14ac:dyDescent="0.25">
      <c r="A189" s="1">
        <v>44838</v>
      </c>
      <c r="B189">
        <f t="shared" si="30"/>
        <v>2</v>
      </c>
      <c r="C189">
        <f t="shared" si="35"/>
        <v>11</v>
      </c>
      <c r="D189">
        <f t="shared" si="35"/>
        <v>12</v>
      </c>
      <c r="E189">
        <f t="shared" si="36"/>
        <v>0</v>
      </c>
      <c r="F189">
        <f t="shared" si="31"/>
        <v>0</v>
      </c>
      <c r="G189">
        <f t="shared" si="37"/>
        <v>0</v>
      </c>
      <c r="H189">
        <f t="shared" si="38"/>
        <v>0</v>
      </c>
      <c r="I189">
        <f t="shared" si="39"/>
        <v>0</v>
      </c>
      <c r="J189">
        <f t="shared" si="32"/>
        <v>0</v>
      </c>
      <c r="K189">
        <f t="shared" si="33"/>
        <v>0</v>
      </c>
      <c r="L189">
        <f t="shared" si="40"/>
        <v>11</v>
      </c>
      <c r="M189">
        <f t="shared" si="41"/>
        <v>12</v>
      </c>
      <c r="N189">
        <f t="shared" si="42"/>
        <v>1</v>
      </c>
      <c r="O189">
        <f t="shared" si="43"/>
        <v>4</v>
      </c>
      <c r="P189">
        <f t="shared" si="34"/>
        <v>3</v>
      </c>
      <c r="Q189">
        <f t="shared" si="44"/>
        <v>7</v>
      </c>
      <c r="R189">
        <f t="shared" si="44"/>
        <v>9</v>
      </c>
      <c r="U189">
        <v>12</v>
      </c>
    </row>
    <row r="190" spans="1:21" x14ac:dyDescent="0.25">
      <c r="A190" s="1">
        <v>44839</v>
      </c>
      <c r="B190">
        <f t="shared" si="30"/>
        <v>3</v>
      </c>
      <c r="C190">
        <f t="shared" si="35"/>
        <v>7</v>
      </c>
      <c r="D190">
        <f t="shared" si="35"/>
        <v>9</v>
      </c>
      <c r="E190">
        <f t="shared" si="36"/>
        <v>0</v>
      </c>
      <c r="F190">
        <f t="shared" si="31"/>
        <v>0</v>
      </c>
      <c r="G190">
        <f t="shared" si="37"/>
        <v>0</v>
      </c>
      <c r="H190">
        <f t="shared" si="38"/>
        <v>0</v>
      </c>
      <c r="I190">
        <f t="shared" si="39"/>
        <v>0</v>
      </c>
      <c r="J190">
        <f t="shared" si="32"/>
        <v>0</v>
      </c>
      <c r="K190">
        <f t="shared" si="33"/>
        <v>0</v>
      </c>
      <c r="L190">
        <f t="shared" si="40"/>
        <v>7</v>
      </c>
      <c r="M190">
        <f t="shared" si="41"/>
        <v>9</v>
      </c>
      <c r="N190">
        <f t="shared" si="42"/>
        <v>1</v>
      </c>
      <c r="O190">
        <f t="shared" si="43"/>
        <v>3</v>
      </c>
      <c r="P190">
        <f t="shared" si="34"/>
        <v>2</v>
      </c>
      <c r="Q190">
        <f t="shared" si="44"/>
        <v>4</v>
      </c>
      <c r="R190">
        <f t="shared" si="44"/>
        <v>7</v>
      </c>
      <c r="U190">
        <v>12</v>
      </c>
    </row>
    <row r="191" spans="1:21" x14ac:dyDescent="0.25">
      <c r="A191" s="1">
        <v>44840</v>
      </c>
      <c r="B191">
        <f t="shared" si="30"/>
        <v>4</v>
      </c>
      <c r="C191">
        <f t="shared" si="35"/>
        <v>4</v>
      </c>
      <c r="D191">
        <f t="shared" si="35"/>
        <v>7</v>
      </c>
      <c r="E191">
        <f t="shared" si="36"/>
        <v>0</v>
      </c>
      <c r="F191">
        <f t="shared" si="31"/>
        <v>0</v>
      </c>
      <c r="G191">
        <f t="shared" si="37"/>
        <v>1</v>
      </c>
      <c r="H191">
        <f t="shared" si="38"/>
        <v>50</v>
      </c>
      <c r="I191">
        <f t="shared" si="39"/>
        <v>25</v>
      </c>
      <c r="J191">
        <f t="shared" si="32"/>
        <v>0</v>
      </c>
      <c r="K191">
        <f t="shared" si="33"/>
        <v>0</v>
      </c>
      <c r="L191">
        <f t="shared" si="40"/>
        <v>54</v>
      </c>
      <c r="M191">
        <f t="shared" si="41"/>
        <v>32</v>
      </c>
      <c r="N191">
        <f t="shared" si="42"/>
        <v>1</v>
      </c>
      <c r="O191">
        <f t="shared" si="43"/>
        <v>17</v>
      </c>
      <c r="P191">
        <f t="shared" si="34"/>
        <v>7</v>
      </c>
      <c r="Q191">
        <f t="shared" si="44"/>
        <v>37</v>
      </c>
      <c r="R191">
        <f t="shared" si="44"/>
        <v>25</v>
      </c>
      <c r="U191">
        <v>12</v>
      </c>
    </row>
    <row r="192" spans="1:21" x14ac:dyDescent="0.25">
      <c r="A192" s="1">
        <v>44841</v>
      </c>
      <c r="B192">
        <f t="shared" si="30"/>
        <v>5</v>
      </c>
      <c r="C192">
        <f t="shared" si="35"/>
        <v>37</v>
      </c>
      <c r="D192">
        <f t="shared" si="35"/>
        <v>25</v>
      </c>
      <c r="E192">
        <f t="shared" si="36"/>
        <v>0</v>
      </c>
      <c r="F192">
        <f t="shared" si="31"/>
        <v>0</v>
      </c>
      <c r="G192">
        <f t="shared" si="37"/>
        <v>0</v>
      </c>
      <c r="H192">
        <f t="shared" si="38"/>
        <v>0</v>
      </c>
      <c r="I192">
        <f t="shared" si="39"/>
        <v>0</v>
      </c>
      <c r="J192">
        <f t="shared" si="32"/>
        <v>0</v>
      </c>
      <c r="K192">
        <f t="shared" si="33"/>
        <v>0</v>
      </c>
      <c r="L192">
        <f t="shared" si="40"/>
        <v>37</v>
      </c>
      <c r="M192">
        <f t="shared" si="41"/>
        <v>25</v>
      </c>
      <c r="N192">
        <f t="shared" si="42"/>
        <v>1</v>
      </c>
      <c r="O192">
        <f t="shared" si="43"/>
        <v>12</v>
      </c>
      <c r="P192">
        <f t="shared" si="34"/>
        <v>5</v>
      </c>
      <c r="Q192">
        <f t="shared" si="44"/>
        <v>25</v>
      </c>
      <c r="R192">
        <f t="shared" si="44"/>
        <v>20</v>
      </c>
      <c r="U192">
        <v>12</v>
      </c>
    </row>
    <row r="193" spans="1:21" x14ac:dyDescent="0.25">
      <c r="A193" s="1">
        <v>44842</v>
      </c>
      <c r="B193">
        <f t="shared" si="30"/>
        <v>6</v>
      </c>
      <c r="C193">
        <f t="shared" si="35"/>
        <v>25</v>
      </c>
      <c r="D193">
        <f t="shared" si="35"/>
        <v>20</v>
      </c>
      <c r="E193">
        <f t="shared" si="36"/>
        <v>0</v>
      </c>
      <c r="F193">
        <f t="shared" si="31"/>
        <v>0</v>
      </c>
      <c r="G193">
        <f t="shared" si="37"/>
        <v>0</v>
      </c>
      <c r="H193">
        <f t="shared" si="38"/>
        <v>0</v>
      </c>
      <c r="I193">
        <f t="shared" si="39"/>
        <v>0</v>
      </c>
      <c r="J193">
        <f t="shared" si="32"/>
        <v>0</v>
      </c>
      <c r="K193">
        <f t="shared" si="33"/>
        <v>0</v>
      </c>
      <c r="L193">
        <f t="shared" si="40"/>
        <v>25</v>
      </c>
      <c r="M193">
        <f t="shared" si="41"/>
        <v>20</v>
      </c>
      <c r="N193">
        <f t="shared" si="42"/>
        <v>1</v>
      </c>
      <c r="O193">
        <f t="shared" si="43"/>
        <v>8</v>
      </c>
      <c r="P193">
        <f t="shared" si="34"/>
        <v>4</v>
      </c>
      <c r="Q193">
        <f t="shared" si="44"/>
        <v>17</v>
      </c>
      <c r="R193">
        <f t="shared" si="44"/>
        <v>16</v>
      </c>
      <c r="U193">
        <v>12</v>
      </c>
    </row>
    <row r="194" spans="1:21" x14ac:dyDescent="0.25">
      <c r="A194" s="1">
        <v>44843</v>
      </c>
      <c r="B194">
        <f t="shared" si="30"/>
        <v>7</v>
      </c>
      <c r="C194">
        <f t="shared" si="35"/>
        <v>17</v>
      </c>
      <c r="D194">
        <f t="shared" si="35"/>
        <v>16</v>
      </c>
      <c r="E194">
        <f t="shared" si="36"/>
        <v>0</v>
      </c>
      <c r="F194">
        <f t="shared" si="31"/>
        <v>0</v>
      </c>
      <c r="G194">
        <f t="shared" si="37"/>
        <v>0</v>
      </c>
      <c r="H194">
        <f t="shared" si="38"/>
        <v>0</v>
      </c>
      <c r="I194">
        <f t="shared" si="39"/>
        <v>0</v>
      </c>
      <c r="J194">
        <f t="shared" si="32"/>
        <v>0</v>
      </c>
      <c r="K194">
        <f t="shared" si="33"/>
        <v>0</v>
      </c>
      <c r="L194">
        <f t="shared" si="40"/>
        <v>17</v>
      </c>
      <c r="M194">
        <f t="shared" si="41"/>
        <v>16</v>
      </c>
      <c r="N194">
        <f t="shared" si="42"/>
        <v>0</v>
      </c>
      <c r="O194">
        <f t="shared" si="43"/>
        <v>0</v>
      </c>
      <c r="P194">
        <f t="shared" si="34"/>
        <v>0</v>
      </c>
      <c r="Q194">
        <f t="shared" si="44"/>
        <v>17</v>
      </c>
      <c r="R194">
        <f t="shared" si="44"/>
        <v>16</v>
      </c>
      <c r="U194">
        <v>12</v>
      </c>
    </row>
    <row r="195" spans="1:21" x14ac:dyDescent="0.25">
      <c r="A195" s="1">
        <v>44844</v>
      </c>
      <c r="B195">
        <f t="shared" si="30"/>
        <v>1</v>
      </c>
      <c r="C195">
        <f t="shared" si="35"/>
        <v>17</v>
      </c>
      <c r="D195">
        <f t="shared" si="35"/>
        <v>16</v>
      </c>
      <c r="E195">
        <f t="shared" si="36"/>
        <v>1</v>
      </c>
      <c r="F195">
        <f t="shared" si="31"/>
        <v>1</v>
      </c>
      <c r="G195">
        <f t="shared" si="37"/>
        <v>0</v>
      </c>
      <c r="H195">
        <f t="shared" si="38"/>
        <v>0</v>
      </c>
      <c r="I195">
        <f t="shared" si="39"/>
        <v>0</v>
      </c>
      <c r="J195">
        <f t="shared" si="32"/>
        <v>0</v>
      </c>
      <c r="K195">
        <f t="shared" si="33"/>
        <v>0</v>
      </c>
      <c r="L195">
        <f t="shared" si="40"/>
        <v>16</v>
      </c>
      <c r="M195">
        <f t="shared" si="41"/>
        <v>16</v>
      </c>
      <c r="N195">
        <f t="shared" si="42"/>
        <v>1</v>
      </c>
      <c r="O195">
        <f t="shared" si="43"/>
        <v>5</v>
      </c>
      <c r="P195">
        <f t="shared" si="34"/>
        <v>4</v>
      </c>
      <c r="Q195">
        <f t="shared" si="44"/>
        <v>11</v>
      </c>
      <c r="R195">
        <f t="shared" si="44"/>
        <v>12</v>
      </c>
      <c r="U195">
        <v>12</v>
      </c>
    </row>
    <row r="196" spans="1:21" x14ac:dyDescent="0.25">
      <c r="A196" s="1">
        <v>44845</v>
      </c>
      <c r="B196">
        <f t="shared" ref="B196:B216" si="45">WEEKDAY(A196, 2)</f>
        <v>2</v>
      </c>
      <c r="C196">
        <f t="shared" si="35"/>
        <v>11</v>
      </c>
      <c r="D196">
        <f t="shared" si="35"/>
        <v>12</v>
      </c>
      <c r="E196">
        <f t="shared" si="36"/>
        <v>0</v>
      </c>
      <c r="F196">
        <f t="shared" ref="F196:F216" si="46">IF(E196=1,ROUNDUP(5% * C196,0),0)</f>
        <v>0</v>
      </c>
      <c r="G196">
        <f t="shared" si="37"/>
        <v>0</v>
      </c>
      <c r="H196">
        <f t="shared" si="38"/>
        <v>0</v>
      </c>
      <c r="I196">
        <f t="shared" si="39"/>
        <v>0</v>
      </c>
      <c r="J196">
        <f t="shared" ref="J196:J216" si="47">IF(AND(B196=1,SUM(O193:O194)&gt;25),1,0)</f>
        <v>0</v>
      </c>
      <c r="K196">
        <f t="shared" ref="K196:K216" si="48">IF(J196=1,15,0)</f>
        <v>0</v>
      </c>
      <c r="L196">
        <f t="shared" si="40"/>
        <v>11</v>
      </c>
      <c r="M196">
        <f t="shared" si="41"/>
        <v>12</v>
      </c>
      <c r="N196">
        <f t="shared" si="42"/>
        <v>1</v>
      </c>
      <c r="O196">
        <f t="shared" si="43"/>
        <v>4</v>
      </c>
      <c r="P196">
        <f t="shared" ref="P196:P216" si="49">IF(N196=1,ROUNDUP(20% * M196,0),0)</f>
        <v>3</v>
      </c>
      <c r="Q196">
        <f t="shared" si="44"/>
        <v>7</v>
      </c>
      <c r="R196">
        <f t="shared" si="44"/>
        <v>9</v>
      </c>
      <c r="U196">
        <v>12</v>
      </c>
    </row>
    <row r="197" spans="1:21" x14ac:dyDescent="0.25">
      <c r="A197" s="1">
        <v>44846</v>
      </c>
      <c r="B197">
        <f t="shared" si="45"/>
        <v>3</v>
      </c>
      <c r="C197">
        <f t="shared" ref="C197:D216" si="50">Q196</f>
        <v>7</v>
      </c>
      <c r="D197">
        <f t="shared" si="50"/>
        <v>9</v>
      </c>
      <c r="E197">
        <f t="shared" ref="E197:E216" si="51">IF(B197=1,1,0)</f>
        <v>0</v>
      </c>
      <c r="F197">
        <f t="shared" si="46"/>
        <v>0</v>
      </c>
      <c r="G197">
        <f t="shared" ref="G197:G216" si="52">IF(B197=4,1,0)</f>
        <v>0</v>
      </c>
      <c r="H197">
        <f t="shared" ref="H197:H216" si="53">IF(G197=1,50,0)</f>
        <v>0</v>
      </c>
      <c r="I197">
        <f t="shared" ref="I197:I216" si="54">IF(G197=1,25,0)</f>
        <v>0</v>
      </c>
      <c r="J197">
        <f t="shared" si="47"/>
        <v>0</v>
      </c>
      <c r="K197">
        <f t="shared" si="48"/>
        <v>0</v>
      </c>
      <c r="L197">
        <f t="shared" ref="L197:L216" si="55">K197+H197+C197-F197</f>
        <v>7</v>
      </c>
      <c r="M197">
        <f t="shared" ref="M197:M216" si="56">I197+D197</f>
        <v>9</v>
      </c>
      <c r="N197">
        <f t="shared" ref="N197:N216" si="57">IF(B197&lt;&gt;7,1,0)</f>
        <v>1</v>
      </c>
      <c r="O197">
        <f t="shared" ref="O197:O216" si="58">IF(N197=1,ROUNDUP(30% * L197,0),0)</f>
        <v>3</v>
      </c>
      <c r="P197">
        <f t="shared" si="49"/>
        <v>2</v>
      </c>
      <c r="Q197">
        <f t="shared" ref="Q197:R216" si="59">L197-O197</f>
        <v>4</v>
      </c>
      <c r="R197">
        <f t="shared" si="59"/>
        <v>7</v>
      </c>
      <c r="U197">
        <v>12</v>
      </c>
    </row>
    <row r="198" spans="1:21" x14ac:dyDescent="0.25">
      <c r="A198" s="1">
        <v>44847</v>
      </c>
      <c r="B198">
        <f t="shared" si="45"/>
        <v>4</v>
      </c>
      <c r="C198">
        <f t="shared" si="50"/>
        <v>4</v>
      </c>
      <c r="D198">
        <f t="shared" si="50"/>
        <v>7</v>
      </c>
      <c r="E198">
        <f t="shared" si="51"/>
        <v>0</v>
      </c>
      <c r="F198">
        <f t="shared" si="46"/>
        <v>0</v>
      </c>
      <c r="G198">
        <f t="shared" si="52"/>
        <v>1</v>
      </c>
      <c r="H198">
        <f t="shared" si="53"/>
        <v>50</v>
      </c>
      <c r="I198">
        <f t="shared" si="54"/>
        <v>25</v>
      </c>
      <c r="J198">
        <f t="shared" si="47"/>
        <v>0</v>
      </c>
      <c r="K198">
        <f t="shared" si="48"/>
        <v>0</v>
      </c>
      <c r="L198">
        <f t="shared" si="55"/>
        <v>54</v>
      </c>
      <c r="M198">
        <f t="shared" si="56"/>
        <v>32</v>
      </c>
      <c r="N198">
        <f t="shared" si="57"/>
        <v>1</v>
      </c>
      <c r="O198">
        <f t="shared" si="58"/>
        <v>17</v>
      </c>
      <c r="P198">
        <f t="shared" si="49"/>
        <v>7</v>
      </c>
      <c r="Q198">
        <f t="shared" si="59"/>
        <v>37</v>
      </c>
      <c r="R198">
        <f t="shared" si="59"/>
        <v>25</v>
      </c>
      <c r="U198">
        <v>12</v>
      </c>
    </row>
    <row r="199" spans="1:21" x14ac:dyDescent="0.25">
      <c r="A199" s="1">
        <v>44848</v>
      </c>
      <c r="B199">
        <f t="shared" si="45"/>
        <v>5</v>
      </c>
      <c r="C199">
        <f t="shared" si="50"/>
        <v>37</v>
      </c>
      <c r="D199">
        <f t="shared" si="50"/>
        <v>25</v>
      </c>
      <c r="E199">
        <f t="shared" si="51"/>
        <v>0</v>
      </c>
      <c r="F199">
        <f t="shared" si="46"/>
        <v>0</v>
      </c>
      <c r="G199">
        <f t="shared" si="52"/>
        <v>0</v>
      </c>
      <c r="H199">
        <f t="shared" si="53"/>
        <v>0</v>
      </c>
      <c r="I199">
        <f t="shared" si="54"/>
        <v>0</v>
      </c>
      <c r="J199">
        <f t="shared" si="47"/>
        <v>0</v>
      </c>
      <c r="K199">
        <f t="shared" si="48"/>
        <v>0</v>
      </c>
      <c r="L199">
        <f t="shared" si="55"/>
        <v>37</v>
      </c>
      <c r="M199">
        <f t="shared" si="56"/>
        <v>25</v>
      </c>
      <c r="N199">
        <f t="shared" si="57"/>
        <v>1</v>
      </c>
      <c r="O199">
        <f t="shared" si="58"/>
        <v>12</v>
      </c>
      <c r="P199">
        <f t="shared" si="49"/>
        <v>5</v>
      </c>
      <c r="Q199">
        <f t="shared" si="59"/>
        <v>25</v>
      </c>
      <c r="R199">
        <f t="shared" si="59"/>
        <v>20</v>
      </c>
      <c r="U199">
        <v>12</v>
      </c>
    </row>
    <row r="200" spans="1:21" x14ac:dyDescent="0.25">
      <c r="A200" s="1">
        <v>44849</v>
      </c>
      <c r="B200">
        <f t="shared" si="45"/>
        <v>6</v>
      </c>
      <c r="C200">
        <f t="shared" si="50"/>
        <v>25</v>
      </c>
      <c r="D200">
        <f t="shared" si="50"/>
        <v>20</v>
      </c>
      <c r="E200">
        <f t="shared" si="51"/>
        <v>0</v>
      </c>
      <c r="F200">
        <f t="shared" si="46"/>
        <v>0</v>
      </c>
      <c r="G200">
        <f t="shared" si="52"/>
        <v>0</v>
      </c>
      <c r="H200">
        <f t="shared" si="53"/>
        <v>0</v>
      </c>
      <c r="I200">
        <f t="shared" si="54"/>
        <v>0</v>
      </c>
      <c r="J200">
        <f t="shared" si="47"/>
        <v>0</v>
      </c>
      <c r="K200">
        <f t="shared" si="48"/>
        <v>0</v>
      </c>
      <c r="L200">
        <f t="shared" si="55"/>
        <v>25</v>
      </c>
      <c r="M200">
        <f t="shared" si="56"/>
        <v>20</v>
      </c>
      <c r="N200">
        <f t="shared" si="57"/>
        <v>1</v>
      </c>
      <c r="O200">
        <f t="shared" si="58"/>
        <v>8</v>
      </c>
      <c r="P200">
        <f t="shared" si="49"/>
        <v>4</v>
      </c>
      <c r="Q200">
        <f t="shared" si="59"/>
        <v>17</v>
      </c>
      <c r="R200">
        <f t="shared" si="59"/>
        <v>16</v>
      </c>
      <c r="U200">
        <v>12</v>
      </c>
    </row>
    <row r="201" spans="1:21" x14ac:dyDescent="0.25">
      <c r="A201" s="1">
        <v>44850</v>
      </c>
      <c r="B201">
        <f t="shared" si="45"/>
        <v>7</v>
      </c>
      <c r="C201">
        <f t="shared" si="50"/>
        <v>17</v>
      </c>
      <c r="D201">
        <f t="shared" si="50"/>
        <v>16</v>
      </c>
      <c r="E201">
        <f t="shared" si="51"/>
        <v>0</v>
      </c>
      <c r="F201">
        <f t="shared" si="46"/>
        <v>0</v>
      </c>
      <c r="G201">
        <f t="shared" si="52"/>
        <v>0</v>
      </c>
      <c r="H201">
        <f t="shared" si="53"/>
        <v>0</v>
      </c>
      <c r="I201">
        <f t="shared" si="54"/>
        <v>0</v>
      </c>
      <c r="J201">
        <f t="shared" si="47"/>
        <v>0</v>
      </c>
      <c r="K201">
        <f t="shared" si="48"/>
        <v>0</v>
      </c>
      <c r="L201">
        <f t="shared" si="55"/>
        <v>17</v>
      </c>
      <c r="M201">
        <f t="shared" si="56"/>
        <v>16</v>
      </c>
      <c r="N201">
        <f t="shared" si="57"/>
        <v>0</v>
      </c>
      <c r="O201">
        <f t="shared" si="58"/>
        <v>0</v>
      </c>
      <c r="P201">
        <f t="shared" si="49"/>
        <v>0</v>
      </c>
      <c r="Q201">
        <f t="shared" si="59"/>
        <v>17</v>
      </c>
      <c r="R201">
        <f t="shared" si="59"/>
        <v>16</v>
      </c>
      <c r="U201">
        <v>12</v>
      </c>
    </row>
    <row r="202" spans="1:21" x14ac:dyDescent="0.25">
      <c r="A202" s="1">
        <v>44851</v>
      </c>
      <c r="B202">
        <f t="shared" si="45"/>
        <v>1</v>
      </c>
      <c r="C202">
        <f t="shared" si="50"/>
        <v>17</v>
      </c>
      <c r="D202">
        <f t="shared" si="50"/>
        <v>16</v>
      </c>
      <c r="E202">
        <f t="shared" si="51"/>
        <v>1</v>
      </c>
      <c r="F202">
        <f t="shared" si="46"/>
        <v>1</v>
      </c>
      <c r="G202">
        <f t="shared" si="52"/>
        <v>0</v>
      </c>
      <c r="H202">
        <f t="shared" si="53"/>
        <v>0</v>
      </c>
      <c r="I202">
        <f t="shared" si="54"/>
        <v>0</v>
      </c>
      <c r="J202">
        <f t="shared" si="47"/>
        <v>0</v>
      </c>
      <c r="K202">
        <f t="shared" si="48"/>
        <v>0</v>
      </c>
      <c r="L202">
        <f t="shared" si="55"/>
        <v>16</v>
      </c>
      <c r="M202">
        <f t="shared" si="56"/>
        <v>16</v>
      </c>
      <c r="N202">
        <f t="shared" si="57"/>
        <v>1</v>
      </c>
      <c r="O202">
        <f t="shared" si="58"/>
        <v>5</v>
      </c>
      <c r="P202">
        <f t="shared" si="49"/>
        <v>4</v>
      </c>
      <c r="Q202">
        <f t="shared" si="59"/>
        <v>11</v>
      </c>
      <c r="R202">
        <f t="shared" si="59"/>
        <v>12</v>
      </c>
      <c r="U202">
        <v>12</v>
      </c>
    </row>
    <row r="203" spans="1:21" x14ac:dyDescent="0.25">
      <c r="A203" s="1">
        <v>44852</v>
      </c>
      <c r="B203">
        <f t="shared" si="45"/>
        <v>2</v>
      </c>
      <c r="C203">
        <f t="shared" si="50"/>
        <v>11</v>
      </c>
      <c r="D203">
        <f t="shared" si="50"/>
        <v>12</v>
      </c>
      <c r="E203">
        <f t="shared" si="51"/>
        <v>0</v>
      </c>
      <c r="F203">
        <f t="shared" si="46"/>
        <v>0</v>
      </c>
      <c r="G203">
        <f t="shared" si="52"/>
        <v>0</v>
      </c>
      <c r="H203">
        <f t="shared" si="53"/>
        <v>0</v>
      </c>
      <c r="I203">
        <f t="shared" si="54"/>
        <v>0</v>
      </c>
      <c r="J203">
        <f t="shared" si="47"/>
        <v>0</v>
      </c>
      <c r="K203">
        <f t="shared" si="48"/>
        <v>0</v>
      </c>
      <c r="L203">
        <f t="shared" si="55"/>
        <v>11</v>
      </c>
      <c r="M203">
        <f t="shared" si="56"/>
        <v>12</v>
      </c>
      <c r="N203">
        <f t="shared" si="57"/>
        <v>1</v>
      </c>
      <c r="O203">
        <f t="shared" si="58"/>
        <v>4</v>
      </c>
      <c r="P203">
        <f t="shared" si="49"/>
        <v>3</v>
      </c>
      <c r="Q203">
        <f t="shared" si="59"/>
        <v>7</v>
      </c>
      <c r="R203">
        <f t="shared" si="59"/>
        <v>9</v>
      </c>
      <c r="U203">
        <v>12</v>
      </c>
    </row>
    <row r="204" spans="1:21" x14ac:dyDescent="0.25">
      <c r="A204" s="1">
        <v>44853</v>
      </c>
      <c r="B204">
        <f t="shared" si="45"/>
        <v>3</v>
      </c>
      <c r="C204">
        <f t="shared" si="50"/>
        <v>7</v>
      </c>
      <c r="D204">
        <f t="shared" si="50"/>
        <v>9</v>
      </c>
      <c r="E204">
        <f t="shared" si="51"/>
        <v>0</v>
      </c>
      <c r="F204">
        <f t="shared" si="46"/>
        <v>0</v>
      </c>
      <c r="G204">
        <f t="shared" si="52"/>
        <v>0</v>
      </c>
      <c r="H204">
        <f t="shared" si="53"/>
        <v>0</v>
      </c>
      <c r="I204">
        <f t="shared" si="54"/>
        <v>0</v>
      </c>
      <c r="J204">
        <f t="shared" si="47"/>
        <v>0</v>
      </c>
      <c r="K204">
        <f t="shared" si="48"/>
        <v>0</v>
      </c>
      <c r="L204">
        <f t="shared" si="55"/>
        <v>7</v>
      </c>
      <c r="M204">
        <f t="shared" si="56"/>
        <v>9</v>
      </c>
      <c r="N204">
        <f t="shared" si="57"/>
        <v>1</v>
      </c>
      <c r="O204">
        <f t="shared" si="58"/>
        <v>3</v>
      </c>
      <c r="P204">
        <f t="shared" si="49"/>
        <v>2</v>
      </c>
      <c r="Q204">
        <f t="shared" si="59"/>
        <v>4</v>
      </c>
      <c r="R204">
        <f t="shared" si="59"/>
        <v>7</v>
      </c>
      <c r="U204">
        <v>12</v>
      </c>
    </row>
    <row r="205" spans="1:21" x14ac:dyDescent="0.25">
      <c r="A205" s="1">
        <v>44854</v>
      </c>
      <c r="B205">
        <f t="shared" si="45"/>
        <v>4</v>
      </c>
      <c r="C205">
        <f t="shared" si="50"/>
        <v>4</v>
      </c>
      <c r="D205">
        <f t="shared" si="50"/>
        <v>7</v>
      </c>
      <c r="E205">
        <f t="shared" si="51"/>
        <v>0</v>
      </c>
      <c r="F205">
        <f t="shared" si="46"/>
        <v>0</v>
      </c>
      <c r="G205">
        <f t="shared" si="52"/>
        <v>1</v>
      </c>
      <c r="H205">
        <f t="shared" si="53"/>
        <v>50</v>
      </c>
      <c r="I205">
        <f t="shared" si="54"/>
        <v>25</v>
      </c>
      <c r="J205">
        <f t="shared" si="47"/>
        <v>0</v>
      </c>
      <c r="K205">
        <f t="shared" si="48"/>
        <v>0</v>
      </c>
      <c r="L205">
        <f t="shared" si="55"/>
        <v>54</v>
      </c>
      <c r="M205">
        <f t="shared" si="56"/>
        <v>32</v>
      </c>
      <c r="N205">
        <f t="shared" si="57"/>
        <v>1</v>
      </c>
      <c r="O205">
        <f t="shared" si="58"/>
        <v>17</v>
      </c>
      <c r="P205">
        <f t="shared" si="49"/>
        <v>7</v>
      </c>
      <c r="Q205">
        <f t="shared" si="59"/>
        <v>37</v>
      </c>
      <c r="R205">
        <f t="shared" si="59"/>
        <v>25</v>
      </c>
      <c r="U205">
        <v>12</v>
      </c>
    </row>
    <row r="206" spans="1:21" x14ac:dyDescent="0.25">
      <c r="A206" s="1">
        <v>44855</v>
      </c>
      <c r="B206">
        <f t="shared" si="45"/>
        <v>5</v>
      </c>
      <c r="C206">
        <f t="shared" si="50"/>
        <v>37</v>
      </c>
      <c r="D206">
        <f t="shared" si="50"/>
        <v>25</v>
      </c>
      <c r="E206">
        <f t="shared" si="51"/>
        <v>0</v>
      </c>
      <c r="F206">
        <f t="shared" si="46"/>
        <v>0</v>
      </c>
      <c r="G206">
        <f t="shared" si="52"/>
        <v>0</v>
      </c>
      <c r="H206">
        <f t="shared" si="53"/>
        <v>0</v>
      </c>
      <c r="I206">
        <f t="shared" si="54"/>
        <v>0</v>
      </c>
      <c r="J206">
        <f t="shared" si="47"/>
        <v>0</v>
      </c>
      <c r="K206">
        <f t="shared" si="48"/>
        <v>0</v>
      </c>
      <c r="L206">
        <f t="shared" si="55"/>
        <v>37</v>
      </c>
      <c r="M206">
        <f t="shared" si="56"/>
        <v>25</v>
      </c>
      <c r="N206">
        <f t="shared" si="57"/>
        <v>1</v>
      </c>
      <c r="O206">
        <f t="shared" si="58"/>
        <v>12</v>
      </c>
      <c r="P206">
        <f t="shared" si="49"/>
        <v>5</v>
      </c>
      <c r="Q206">
        <f t="shared" si="59"/>
        <v>25</v>
      </c>
      <c r="R206">
        <f t="shared" si="59"/>
        <v>20</v>
      </c>
      <c r="U206">
        <v>12</v>
      </c>
    </row>
    <row r="207" spans="1:21" x14ac:dyDescent="0.25">
      <c r="A207" s="1">
        <v>44856</v>
      </c>
      <c r="B207">
        <f t="shared" si="45"/>
        <v>6</v>
      </c>
      <c r="C207">
        <f t="shared" si="50"/>
        <v>25</v>
      </c>
      <c r="D207">
        <f t="shared" si="50"/>
        <v>20</v>
      </c>
      <c r="E207">
        <f t="shared" si="51"/>
        <v>0</v>
      </c>
      <c r="F207">
        <f t="shared" si="46"/>
        <v>0</v>
      </c>
      <c r="G207">
        <f t="shared" si="52"/>
        <v>0</v>
      </c>
      <c r="H207">
        <f t="shared" si="53"/>
        <v>0</v>
      </c>
      <c r="I207">
        <f t="shared" si="54"/>
        <v>0</v>
      </c>
      <c r="J207">
        <f t="shared" si="47"/>
        <v>0</v>
      </c>
      <c r="K207">
        <f t="shared" si="48"/>
        <v>0</v>
      </c>
      <c r="L207">
        <f t="shared" si="55"/>
        <v>25</v>
      </c>
      <c r="M207">
        <f t="shared" si="56"/>
        <v>20</v>
      </c>
      <c r="N207">
        <f t="shared" si="57"/>
        <v>1</v>
      </c>
      <c r="O207">
        <f t="shared" si="58"/>
        <v>8</v>
      </c>
      <c r="P207">
        <f t="shared" si="49"/>
        <v>4</v>
      </c>
      <c r="Q207">
        <f t="shared" si="59"/>
        <v>17</v>
      </c>
      <c r="R207">
        <f t="shared" si="59"/>
        <v>16</v>
      </c>
      <c r="U207">
        <v>13</v>
      </c>
    </row>
    <row r="208" spans="1:21" x14ac:dyDescent="0.25">
      <c r="A208" s="1">
        <v>44857</v>
      </c>
      <c r="B208">
        <f t="shared" si="45"/>
        <v>7</v>
      </c>
      <c r="C208">
        <f t="shared" si="50"/>
        <v>17</v>
      </c>
      <c r="D208">
        <f t="shared" si="50"/>
        <v>16</v>
      </c>
      <c r="E208">
        <f t="shared" si="51"/>
        <v>0</v>
      </c>
      <c r="F208">
        <f t="shared" si="46"/>
        <v>0</v>
      </c>
      <c r="G208">
        <f t="shared" si="52"/>
        <v>0</v>
      </c>
      <c r="H208">
        <f t="shared" si="53"/>
        <v>0</v>
      </c>
      <c r="I208">
        <f t="shared" si="54"/>
        <v>0</v>
      </c>
      <c r="J208">
        <f t="shared" si="47"/>
        <v>0</v>
      </c>
      <c r="K208">
        <f t="shared" si="48"/>
        <v>0</v>
      </c>
      <c r="L208">
        <f t="shared" si="55"/>
        <v>17</v>
      </c>
      <c r="M208">
        <f t="shared" si="56"/>
        <v>16</v>
      </c>
      <c r="N208">
        <f t="shared" si="57"/>
        <v>0</v>
      </c>
      <c r="O208">
        <f t="shared" si="58"/>
        <v>0</v>
      </c>
      <c r="P208">
        <f t="shared" si="49"/>
        <v>0</v>
      </c>
      <c r="Q208">
        <f t="shared" si="59"/>
        <v>17</v>
      </c>
      <c r="R208">
        <f t="shared" si="59"/>
        <v>16</v>
      </c>
      <c r="U208">
        <v>13</v>
      </c>
    </row>
    <row r="209" spans="1:21" x14ac:dyDescent="0.25">
      <c r="A209" s="1">
        <v>44858</v>
      </c>
      <c r="B209">
        <f t="shared" si="45"/>
        <v>1</v>
      </c>
      <c r="C209">
        <f t="shared" si="50"/>
        <v>17</v>
      </c>
      <c r="D209">
        <f t="shared" si="50"/>
        <v>16</v>
      </c>
      <c r="E209">
        <f t="shared" si="51"/>
        <v>1</v>
      </c>
      <c r="F209">
        <f t="shared" si="46"/>
        <v>1</v>
      </c>
      <c r="G209">
        <f t="shared" si="52"/>
        <v>0</v>
      </c>
      <c r="H209">
        <f t="shared" si="53"/>
        <v>0</v>
      </c>
      <c r="I209">
        <f t="shared" si="54"/>
        <v>0</v>
      </c>
      <c r="J209">
        <f t="shared" si="47"/>
        <v>0</v>
      </c>
      <c r="K209">
        <f t="shared" si="48"/>
        <v>0</v>
      </c>
      <c r="L209">
        <f t="shared" si="55"/>
        <v>16</v>
      </c>
      <c r="M209">
        <f t="shared" si="56"/>
        <v>16</v>
      </c>
      <c r="N209">
        <f t="shared" si="57"/>
        <v>1</v>
      </c>
      <c r="O209">
        <f t="shared" si="58"/>
        <v>5</v>
      </c>
      <c r="P209">
        <f t="shared" si="49"/>
        <v>4</v>
      </c>
      <c r="Q209">
        <f t="shared" si="59"/>
        <v>11</v>
      </c>
      <c r="R209">
        <f t="shared" si="59"/>
        <v>12</v>
      </c>
      <c r="U209">
        <v>15</v>
      </c>
    </row>
    <row r="210" spans="1:21" x14ac:dyDescent="0.25">
      <c r="A210" s="1">
        <v>44859</v>
      </c>
      <c r="B210">
        <f t="shared" si="45"/>
        <v>2</v>
      </c>
      <c r="C210">
        <f t="shared" si="50"/>
        <v>11</v>
      </c>
      <c r="D210">
        <f t="shared" si="50"/>
        <v>12</v>
      </c>
      <c r="E210">
        <f t="shared" si="51"/>
        <v>0</v>
      </c>
      <c r="F210">
        <f t="shared" si="46"/>
        <v>0</v>
      </c>
      <c r="G210">
        <f t="shared" si="52"/>
        <v>0</v>
      </c>
      <c r="H210">
        <f t="shared" si="53"/>
        <v>0</v>
      </c>
      <c r="I210">
        <f t="shared" si="54"/>
        <v>0</v>
      </c>
      <c r="J210">
        <f t="shared" si="47"/>
        <v>0</v>
      </c>
      <c r="K210">
        <f t="shared" si="48"/>
        <v>0</v>
      </c>
      <c r="L210">
        <f t="shared" si="55"/>
        <v>11</v>
      </c>
      <c r="M210">
        <f t="shared" si="56"/>
        <v>12</v>
      </c>
      <c r="N210">
        <f t="shared" si="57"/>
        <v>1</v>
      </c>
      <c r="O210">
        <f t="shared" si="58"/>
        <v>4</v>
      </c>
      <c r="P210">
        <f t="shared" si="49"/>
        <v>3</v>
      </c>
      <c r="Q210">
        <f t="shared" si="59"/>
        <v>7</v>
      </c>
      <c r="R210">
        <f t="shared" si="59"/>
        <v>9</v>
      </c>
      <c r="U210">
        <v>17</v>
      </c>
    </row>
    <row r="211" spans="1:21" x14ac:dyDescent="0.25">
      <c r="A211" s="1">
        <v>44860</v>
      </c>
      <c r="B211">
        <f t="shared" si="45"/>
        <v>3</v>
      </c>
      <c r="C211">
        <f t="shared" si="50"/>
        <v>7</v>
      </c>
      <c r="D211">
        <f t="shared" si="50"/>
        <v>9</v>
      </c>
      <c r="E211">
        <f t="shared" si="51"/>
        <v>0</v>
      </c>
      <c r="F211">
        <f t="shared" si="46"/>
        <v>0</v>
      </c>
      <c r="G211">
        <f t="shared" si="52"/>
        <v>0</v>
      </c>
      <c r="H211">
        <f t="shared" si="53"/>
        <v>0</v>
      </c>
      <c r="I211">
        <f t="shared" si="54"/>
        <v>0</v>
      </c>
      <c r="J211">
        <f t="shared" si="47"/>
        <v>0</v>
      </c>
      <c r="K211">
        <f t="shared" si="48"/>
        <v>0</v>
      </c>
      <c r="L211">
        <f t="shared" si="55"/>
        <v>7</v>
      </c>
      <c r="M211">
        <f t="shared" si="56"/>
        <v>9</v>
      </c>
      <c r="N211">
        <f t="shared" si="57"/>
        <v>1</v>
      </c>
      <c r="O211">
        <f t="shared" si="58"/>
        <v>3</v>
      </c>
      <c r="P211">
        <f t="shared" si="49"/>
        <v>2</v>
      </c>
      <c r="Q211">
        <f t="shared" si="59"/>
        <v>4</v>
      </c>
      <c r="R211">
        <f t="shared" si="59"/>
        <v>7</v>
      </c>
      <c r="U211">
        <v>17</v>
      </c>
    </row>
    <row r="212" spans="1:21" x14ac:dyDescent="0.25">
      <c r="A212" s="1">
        <v>44861</v>
      </c>
      <c r="B212">
        <f t="shared" si="45"/>
        <v>4</v>
      </c>
      <c r="C212">
        <f t="shared" si="50"/>
        <v>4</v>
      </c>
      <c r="D212">
        <f t="shared" si="50"/>
        <v>7</v>
      </c>
      <c r="E212">
        <f t="shared" si="51"/>
        <v>0</v>
      </c>
      <c r="F212">
        <f t="shared" si="46"/>
        <v>0</v>
      </c>
      <c r="G212">
        <f t="shared" si="52"/>
        <v>1</v>
      </c>
      <c r="H212">
        <f t="shared" si="53"/>
        <v>50</v>
      </c>
      <c r="I212">
        <f t="shared" si="54"/>
        <v>25</v>
      </c>
      <c r="J212">
        <f t="shared" si="47"/>
        <v>0</v>
      </c>
      <c r="K212">
        <f t="shared" si="48"/>
        <v>0</v>
      </c>
      <c r="L212">
        <f t="shared" si="55"/>
        <v>54</v>
      </c>
      <c r="M212">
        <f t="shared" si="56"/>
        <v>32</v>
      </c>
      <c r="N212">
        <f t="shared" si="57"/>
        <v>1</v>
      </c>
      <c r="O212">
        <f t="shared" si="58"/>
        <v>17</v>
      </c>
      <c r="P212">
        <f t="shared" si="49"/>
        <v>7</v>
      </c>
      <c r="Q212">
        <f t="shared" si="59"/>
        <v>37</v>
      </c>
      <c r="R212">
        <f t="shared" si="59"/>
        <v>25</v>
      </c>
      <c r="U212">
        <v>17</v>
      </c>
    </row>
    <row r="213" spans="1:21" x14ac:dyDescent="0.25">
      <c r="A213" s="1">
        <v>44862</v>
      </c>
      <c r="B213">
        <f t="shared" si="45"/>
        <v>5</v>
      </c>
      <c r="C213">
        <f t="shared" si="50"/>
        <v>37</v>
      </c>
      <c r="D213">
        <f t="shared" si="50"/>
        <v>25</v>
      </c>
      <c r="E213">
        <f t="shared" si="51"/>
        <v>0</v>
      </c>
      <c r="F213">
        <f t="shared" si="46"/>
        <v>0</v>
      </c>
      <c r="G213">
        <f t="shared" si="52"/>
        <v>0</v>
      </c>
      <c r="H213">
        <f t="shared" si="53"/>
        <v>0</v>
      </c>
      <c r="I213">
        <f t="shared" si="54"/>
        <v>0</v>
      </c>
      <c r="J213">
        <f t="shared" si="47"/>
        <v>0</v>
      </c>
      <c r="K213">
        <f t="shared" si="48"/>
        <v>0</v>
      </c>
      <c r="L213">
        <f t="shared" si="55"/>
        <v>37</v>
      </c>
      <c r="M213">
        <f t="shared" si="56"/>
        <v>25</v>
      </c>
      <c r="N213">
        <f t="shared" si="57"/>
        <v>1</v>
      </c>
      <c r="O213">
        <f t="shared" si="58"/>
        <v>12</v>
      </c>
      <c r="P213">
        <f t="shared" si="49"/>
        <v>5</v>
      </c>
      <c r="Q213">
        <f t="shared" si="59"/>
        <v>25</v>
      </c>
      <c r="R213">
        <f t="shared" si="59"/>
        <v>20</v>
      </c>
      <c r="U213">
        <v>17</v>
      </c>
    </row>
    <row r="214" spans="1:21" x14ac:dyDescent="0.25">
      <c r="A214" s="1">
        <v>44863</v>
      </c>
      <c r="B214">
        <f t="shared" si="45"/>
        <v>6</v>
      </c>
      <c r="C214">
        <f t="shared" si="50"/>
        <v>25</v>
      </c>
      <c r="D214">
        <f t="shared" si="50"/>
        <v>20</v>
      </c>
      <c r="E214">
        <f t="shared" si="51"/>
        <v>0</v>
      </c>
      <c r="F214">
        <f t="shared" si="46"/>
        <v>0</v>
      </c>
      <c r="G214">
        <f t="shared" si="52"/>
        <v>0</v>
      </c>
      <c r="H214">
        <f t="shared" si="53"/>
        <v>0</v>
      </c>
      <c r="I214">
        <f t="shared" si="54"/>
        <v>0</v>
      </c>
      <c r="J214">
        <f t="shared" si="47"/>
        <v>0</v>
      </c>
      <c r="K214">
        <f t="shared" si="48"/>
        <v>0</v>
      </c>
      <c r="L214">
        <f t="shared" si="55"/>
        <v>25</v>
      </c>
      <c r="M214">
        <f t="shared" si="56"/>
        <v>20</v>
      </c>
      <c r="N214">
        <f t="shared" si="57"/>
        <v>1</v>
      </c>
      <c r="O214">
        <f t="shared" si="58"/>
        <v>8</v>
      </c>
      <c r="P214">
        <f t="shared" si="49"/>
        <v>4</v>
      </c>
      <c r="Q214">
        <f t="shared" si="59"/>
        <v>17</v>
      </c>
      <c r="R214">
        <f t="shared" si="59"/>
        <v>16</v>
      </c>
      <c r="U214">
        <v>17</v>
      </c>
    </row>
    <row r="215" spans="1:21" x14ac:dyDescent="0.25">
      <c r="A215" s="1">
        <v>44864</v>
      </c>
      <c r="B215">
        <f t="shared" si="45"/>
        <v>7</v>
      </c>
      <c r="C215">
        <f t="shared" si="50"/>
        <v>17</v>
      </c>
      <c r="D215">
        <f t="shared" si="50"/>
        <v>16</v>
      </c>
      <c r="E215">
        <f t="shared" si="51"/>
        <v>0</v>
      </c>
      <c r="F215">
        <f t="shared" si="46"/>
        <v>0</v>
      </c>
      <c r="G215">
        <f t="shared" si="52"/>
        <v>0</v>
      </c>
      <c r="H215">
        <f t="shared" si="53"/>
        <v>0</v>
      </c>
      <c r="I215">
        <f t="shared" si="54"/>
        <v>0</v>
      </c>
      <c r="J215">
        <f t="shared" si="47"/>
        <v>0</v>
      </c>
      <c r="K215">
        <f t="shared" si="48"/>
        <v>0</v>
      </c>
      <c r="L215">
        <f t="shared" si="55"/>
        <v>17</v>
      </c>
      <c r="M215">
        <f t="shared" si="56"/>
        <v>16</v>
      </c>
      <c r="N215">
        <f t="shared" si="57"/>
        <v>0</v>
      </c>
      <c r="O215">
        <f t="shared" si="58"/>
        <v>0</v>
      </c>
      <c r="P215">
        <f t="shared" si="49"/>
        <v>0</v>
      </c>
      <c r="Q215">
        <f t="shared" si="59"/>
        <v>17</v>
      </c>
      <c r="R215">
        <f t="shared" si="59"/>
        <v>16</v>
      </c>
      <c r="U215">
        <v>17</v>
      </c>
    </row>
    <row r="216" spans="1:21" x14ac:dyDescent="0.25">
      <c r="A216" s="1">
        <v>44865</v>
      </c>
      <c r="B216">
        <f t="shared" si="45"/>
        <v>1</v>
      </c>
      <c r="C216">
        <f t="shared" si="50"/>
        <v>17</v>
      </c>
      <c r="D216">
        <f t="shared" si="50"/>
        <v>16</v>
      </c>
      <c r="E216">
        <f t="shared" si="51"/>
        <v>1</v>
      </c>
      <c r="F216">
        <f t="shared" si="46"/>
        <v>1</v>
      </c>
      <c r="G216">
        <f t="shared" si="52"/>
        <v>0</v>
      </c>
      <c r="H216">
        <f t="shared" si="53"/>
        <v>0</v>
      </c>
      <c r="I216">
        <f t="shared" si="54"/>
        <v>0</v>
      </c>
      <c r="J216">
        <f t="shared" si="47"/>
        <v>0</v>
      </c>
      <c r="K216">
        <f t="shared" si="48"/>
        <v>0</v>
      </c>
      <c r="L216">
        <f t="shared" si="55"/>
        <v>16</v>
      </c>
      <c r="M216">
        <f t="shared" si="56"/>
        <v>16</v>
      </c>
      <c r="N216">
        <f t="shared" si="57"/>
        <v>1</v>
      </c>
      <c r="O216">
        <f t="shared" si="58"/>
        <v>5</v>
      </c>
      <c r="P216">
        <f t="shared" si="49"/>
        <v>4</v>
      </c>
      <c r="Q216">
        <f t="shared" si="59"/>
        <v>11</v>
      </c>
      <c r="R216">
        <f t="shared" si="59"/>
        <v>12</v>
      </c>
      <c r="U216">
        <v>17</v>
      </c>
    </row>
    <row r="217" spans="1:21" x14ac:dyDescent="0.25">
      <c r="U217">
        <v>17</v>
      </c>
    </row>
    <row r="218" spans="1:21" x14ac:dyDescent="0.25">
      <c r="U218">
        <v>17</v>
      </c>
    </row>
    <row r="219" spans="1:21" x14ac:dyDescent="0.25">
      <c r="U219">
        <v>17</v>
      </c>
    </row>
    <row r="220" spans="1:21" x14ac:dyDescent="0.25">
      <c r="U220">
        <v>17</v>
      </c>
    </row>
    <row r="221" spans="1:21" x14ac:dyDescent="0.25">
      <c r="U221">
        <v>17</v>
      </c>
    </row>
    <row r="222" spans="1:21" x14ac:dyDescent="0.25">
      <c r="U222">
        <v>17</v>
      </c>
    </row>
    <row r="223" spans="1:21" x14ac:dyDescent="0.25">
      <c r="U223">
        <v>17</v>
      </c>
    </row>
    <row r="224" spans="1:21" x14ac:dyDescent="0.25">
      <c r="U224">
        <v>17</v>
      </c>
    </row>
    <row r="225" spans="21:21" x14ac:dyDescent="0.25">
      <c r="U225">
        <v>17</v>
      </c>
    </row>
    <row r="226" spans="21:21" x14ac:dyDescent="0.25">
      <c r="U226">
        <v>17</v>
      </c>
    </row>
    <row r="227" spans="21:21" x14ac:dyDescent="0.25">
      <c r="U227">
        <v>17</v>
      </c>
    </row>
    <row r="228" spans="21:21" x14ac:dyDescent="0.25">
      <c r="U228">
        <v>17</v>
      </c>
    </row>
    <row r="229" spans="21:21" x14ac:dyDescent="0.25">
      <c r="U229">
        <v>17</v>
      </c>
    </row>
    <row r="230" spans="21:21" x14ac:dyDescent="0.25">
      <c r="U230">
        <v>17</v>
      </c>
    </row>
    <row r="231" spans="21:21" x14ac:dyDescent="0.25">
      <c r="U231">
        <v>17</v>
      </c>
    </row>
    <row r="232" spans="21:21" x14ac:dyDescent="0.25">
      <c r="U232">
        <v>17</v>
      </c>
    </row>
    <row r="233" spans="21:21" x14ac:dyDescent="0.25">
      <c r="U233">
        <v>17</v>
      </c>
    </row>
    <row r="234" spans="21:21" x14ac:dyDescent="0.25">
      <c r="U234">
        <v>17</v>
      </c>
    </row>
    <row r="235" spans="21:21" x14ac:dyDescent="0.25">
      <c r="U235">
        <v>17</v>
      </c>
    </row>
    <row r="236" spans="21:21" x14ac:dyDescent="0.25">
      <c r="U236">
        <v>17</v>
      </c>
    </row>
    <row r="237" spans="21:21" x14ac:dyDescent="0.25">
      <c r="U237">
        <v>17</v>
      </c>
    </row>
    <row r="238" spans="21:21" x14ac:dyDescent="0.25">
      <c r="U238">
        <v>19</v>
      </c>
    </row>
    <row r="239" spans="21:21" x14ac:dyDescent="0.25">
      <c r="U239">
        <v>19</v>
      </c>
    </row>
    <row r="240" spans="21:21" x14ac:dyDescent="0.25">
      <c r="U240">
        <v>21</v>
      </c>
    </row>
    <row r="241" spans="21:21" x14ac:dyDescent="0.25">
      <c r="U241">
        <v>21</v>
      </c>
    </row>
    <row r="242" spans="21:21" x14ac:dyDescent="0.25">
      <c r="U242">
        <v>30</v>
      </c>
    </row>
  </sheetData>
  <sortState xmlns:xlrd2="http://schemas.microsoft.com/office/spreadsheetml/2017/richdata2" ref="U29:U242">
    <sortCondition ref="U29:U24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B31CC-1100-48FB-AB48-D4E8D1A72DF5}">
  <dimension ref="A2:U216"/>
  <sheetViews>
    <sheetView tabSelected="1" workbookViewId="0">
      <selection activeCell="C4" sqref="C4"/>
    </sheetView>
  </sheetViews>
  <sheetFormatPr defaultRowHeight="15" x14ac:dyDescent="0.25"/>
  <cols>
    <col min="1" max="1" width="10.140625" bestFit="1" customWidth="1"/>
    <col min="2" max="2" width="14.140625" bestFit="1" customWidth="1"/>
    <col min="3" max="3" width="11.28515625" bestFit="1" customWidth="1"/>
    <col min="4" max="4" width="9.85546875" bestFit="1" customWidth="1"/>
    <col min="5" max="5" width="11.7109375" bestFit="1" customWidth="1"/>
    <col min="6" max="6" width="11.7109375" customWidth="1"/>
    <col min="7" max="7" width="11.5703125" bestFit="1" customWidth="1"/>
    <col min="9" max="9" width="8.42578125" bestFit="1" customWidth="1"/>
    <col min="10" max="10" width="14.28515625" bestFit="1" customWidth="1"/>
    <col min="11" max="11" width="19.85546875" bestFit="1" customWidth="1"/>
    <col min="12" max="12" width="11.7109375" bestFit="1" customWidth="1"/>
    <col min="13" max="13" width="9.85546875" bestFit="1" customWidth="1"/>
    <col min="14" max="14" width="11.85546875" bestFit="1" customWidth="1"/>
    <col min="15" max="15" width="20" bestFit="1" customWidth="1"/>
    <col min="16" max="16" width="19.28515625" bestFit="1" customWidth="1"/>
    <col min="17" max="17" width="10.5703125" bestFit="1" customWidth="1"/>
    <col min="18" max="18" width="9.85546875" bestFit="1" customWidth="1"/>
  </cols>
  <sheetData>
    <row r="2" spans="1:21" x14ac:dyDescent="0.25">
      <c r="A2" t="s">
        <v>0</v>
      </c>
      <c r="B2" t="s">
        <v>1</v>
      </c>
      <c r="C2" t="s">
        <v>2</v>
      </c>
      <c r="D2" t="s">
        <v>3</v>
      </c>
      <c r="E2" t="s">
        <v>14</v>
      </c>
      <c r="F2" t="s">
        <v>15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3</v>
      </c>
      <c r="N2" t="s">
        <v>10</v>
      </c>
      <c r="O2" t="s">
        <v>11</v>
      </c>
      <c r="P2" t="s">
        <v>12</v>
      </c>
      <c r="Q2" t="s">
        <v>13</v>
      </c>
      <c r="R2" t="s">
        <v>3</v>
      </c>
    </row>
    <row r="3" spans="1:21" x14ac:dyDescent="0.25">
      <c r="A3" s="1">
        <v>44652</v>
      </c>
      <c r="B3">
        <f>WEEKDAY(A3, 2)</f>
        <v>5</v>
      </c>
      <c r="C3">
        <v>48</v>
      </c>
      <c r="D3">
        <v>75</v>
      </c>
      <c r="E3">
        <f>IF(B3=1,1,0)</f>
        <v>0</v>
      </c>
      <c r="F3">
        <f>IF(E3=1,ROUNDUP(5% * C3,0),0)</f>
        <v>0</v>
      </c>
      <c r="G3">
        <f>IF(B3=4,1,0)</f>
        <v>0</v>
      </c>
      <c r="H3">
        <f>IF(G3=1,50,0)</f>
        <v>0</v>
      </c>
      <c r="I3">
        <f>IF(G3=1,25,0)</f>
        <v>0</v>
      </c>
      <c r="J3">
        <v>0</v>
      </c>
      <c r="K3">
        <f>IF(J3=1,15,0)</f>
        <v>0</v>
      </c>
      <c r="L3">
        <f>K3+H3+C3-F3</f>
        <v>48</v>
      </c>
      <c r="M3">
        <f>I3+D3</f>
        <v>75</v>
      </c>
      <c r="N3">
        <f>IF(B3&lt;&gt;7,1,0)</f>
        <v>1</v>
      </c>
      <c r="O3">
        <f>IF(N3=1,ROUNDUP(30% * L3,0),0)</f>
        <v>15</v>
      </c>
      <c r="P3">
        <f>IF(N3=1,ROUNDUP(20% * M3,0),0)</f>
        <v>15</v>
      </c>
      <c r="Q3">
        <f>L3-O3</f>
        <v>33</v>
      </c>
      <c r="R3">
        <f>M3-P3</f>
        <v>60</v>
      </c>
    </row>
    <row r="4" spans="1:21" x14ac:dyDescent="0.25">
      <c r="A4" s="1">
        <v>44653</v>
      </c>
      <c r="B4">
        <f t="shared" ref="B4:B67" si="0">WEEKDAY(A4, 2)</f>
        <v>6</v>
      </c>
      <c r="C4">
        <f>Q3</f>
        <v>33</v>
      </c>
      <c r="D4">
        <f>R3</f>
        <v>60</v>
      </c>
      <c r="E4">
        <f>IF(B4=1,1,0)</f>
        <v>0</v>
      </c>
      <c r="F4">
        <f t="shared" ref="F4:F67" si="1">IF(E4=1,ROUNDUP(5% * C4,0),0)</f>
        <v>0</v>
      </c>
      <c r="G4">
        <f>IF(B4=4,1,0)</f>
        <v>0</v>
      </c>
      <c r="H4">
        <f>IF(G4=1,50,0)</f>
        <v>0</v>
      </c>
      <c r="I4">
        <f>IF(G4=1,25,0)</f>
        <v>0</v>
      </c>
      <c r="J4">
        <f t="shared" ref="J4:J67" si="2">IF(AND(B4=1,SUM(O1:O2)&gt;25),1,0)</f>
        <v>0</v>
      </c>
      <c r="K4">
        <f t="shared" ref="K4:K67" si="3">IF(J4=1,15,0)</f>
        <v>0</v>
      </c>
      <c r="L4">
        <f>K4+H4+C4-F4</f>
        <v>33</v>
      </c>
      <c r="M4">
        <f>I4+D4</f>
        <v>60</v>
      </c>
      <c r="N4">
        <f>IF(B4&lt;&gt;7,1,0)</f>
        <v>1</v>
      </c>
      <c r="O4">
        <f>IF(N4=1,ROUNDUP(30% * L4,0),0)</f>
        <v>10</v>
      </c>
      <c r="P4">
        <f t="shared" ref="P4:P67" si="4">IF(N4=1,ROUNDUP(20% * M4,0),0)</f>
        <v>12</v>
      </c>
      <c r="Q4">
        <f>L4-O4</f>
        <v>23</v>
      </c>
      <c r="R4">
        <f>M4-P4</f>
        <v>48</v>
      </c>
      <c r="U4">
        <f>MIN(Q3:Q216)</f>
        <v>4</v>
      </c>
    </row>
    <row r="5" spans="1:21" x14ac:dyDescent="0.25">
      <c r="A5" s="1">
        <v>44654</v>
      </c>
      <c r="B5">
        <f t="shared" si="0"/>
        <v>7</v>
      </c>
      <c r="C5">
        <f t="shared" ref="C5:D68" si="5">Q4</f>
        <v>23</v>
      </c>
      <c r="D5">
        <f t="shared" si="5"/>
        <v>48</v>
      </c>
      <c r="E5">
        <f t="shared" ref="E5:E68" si="6">IF(B5=1,1,0)</f>
        <v>0</v>
      </c>
      <c r="F5">
        <f t="shared" si="1"/>
        <v>0</v>
      </c>
      <c r="G5">
        <f t="shared" ref="G5:G68" si="7">IF(B5=4,1,0)</f>
        <v>0</v>
      </c>
      <c r="H5">
        <f t="shared" ref="H5:H68" si="8">IF(G5=1,50,0)</f>
        <v>0</v>
      </c>
      <c r="I5">
        <f t="shared" ref="I5:I68" si="9">IF(G5=1,25,0)</f>
        <v>0</v>
      </c>
      <c r="J5">
        <f t="shared" si="2"/>
        <v>0</v>
      </c>
      <c r="K5">
        <f t="shared" si="3"/>
        <v>0</v>
      </c>
      <c r="L5">
        <f t="shared" ref="L5:L68" si="10">K5+H5+C5-F5</f>
        <v>23</v>
      </c>
      <c r="M5">
        <f t="shared" ref="M5:M68" si="11">I5+D5</f>
        <v>48</v>
      </c>
      <c r="N5">
        <f t="shared" ref="N5:N68" si="12">IF(B5&lt;&gt;7,1,0)</f>
        <v>0</v>
      </c>
      <c r="O5">
        <f t="shared" ref="O5:O68" si="13">IF(N5=1,ROUNDUP(30% * L5,0),0)</f>
        <v>0</v>
      </c>
      <c r="P5">
        <f t="shared" si="4"/>
        <v>0</v>
      </c>
      <c r="Q5">
        <f t="shared" ref="Q5:R68" si="14">L5-O5</f>
        <v>23</v>
      </c>
      <c r="R5">
        <f t="shared" si="14"/>
        <v>48</v>
      </c>
      <c r="U5">
        <f>MIN(C3:C216)</f>
        <v>4</v>
      </c>
    </row>
    <row r="6" spans="1:21" x14ac:dyDescent="0.25">
      <c r="A6" s="1">
        <v>44655</v>
      </c>
      <c r="B6">
        <f t="shared" si="0"/>
        <v>1</v>
      </c>
      <c r="C6">
        <f t="shared" si="5"/>
        <v>23</v>
      </c>
      <c r="D6">
        <f t="shared" si="5"/>
        <v>48</v>
      </c>
      <c r="E6">
        <f t="shared" si="6"/>
        <v>1</v>
      </c>
      <c r="F6">
        <f t="shared" si="1"/>
        <v>2</v>
      </c>
      <c r="G6">
        <f t="shared" si="7"/>
        <v>0</v>
      </c>
      <c r="H6">
        <f t="shared" si="8"/>
        <v>0</v>
      </c>
      <c r="I6">
        <f t="shared" si="9"/>
        <v>0</v>
      </c>
      <c r="J6">
        <f t="shared" si="2"/>
        <v>0</v>
      </c>
      <c r="K6">
        <f t="shared" si="3"/>
        <v>0</v>
      </c>
      <c r="L6">
        <f t="shared" si="10"/>
        <v>21</v>
      </c>
      <c r="M6">
        <f t="shared" si="11"/>
        <v>48</v>
      </c>
      <c r="N6">
        <f t="shared" si="12"/>
        <v>1</v>
      </c>
      <c r="O6">
        <f t="shared" si="13"/>
        <v>7</v>
      </c>
      <c r="P6">
        <f t="shared" si="4"/>
        <v>10</v>
      </c>
      <c r="Q6">
        <f t="shared" si="14"/>
        <v>14</v>
      </c>
      <c r="R6">
        <f t="shared" si="14"/>
        <v>38</v>
      </c>
      <c r="U6">
        <f>MIN(L3:L216)</f>
        <v>7</v>
      </c>
    </row>
    <row r="7" spans="1:21" x14ac:dyDescent="0.25">
      <c r="A7" s="1">
        <v>44656</v>
      </c>
      <c r="B7">
        <f t="shared" si="0"/>
        <v>2</v>
      </c>
      <c r="C7">
        <f t="shared" si="5"/>
        <v>14</v>
      </c>
      <c r="D7">
        <f t="shared" si="5"/>
        <v>38</v>
      </c>
      <c r="E7">
        <f t="shared" si="6"/>
        <v>0</v>
      </c>
      <c r="F7">
        <f t="shared" si="1"/>
        <v>0</v>
      </c>
      <c r="G7">
        <f t="shared" si="7"/>
        <v>0</v>
      </c>
      <c r="H7">
        <f t="shared" si="8"/>
        <v>0</v>
      </c>
      <c r="I7">
        <f t="shared" si="9"/>
        <v>0</v>
      </c>
      <c r="J7">
        <f t="shared" si="2"/>
        <v>0</v>
      </c>
      <c r="K7">
        <f t="shared" si="3"/>
        <v>0</v>
      </c>
      <c r="L7">
        <f t="shared" si="10"/>
        <v>14</v>
      </c>
      <c r="M7">
        <f t="shared" si="11"/>
        <v>38</v>
      </c>
      <c r="N7">
        <f t="shared" si="12"/>
        <v>1</v>
      </c>
      <c r="O7">
        <f t="shared" si="13"/>
        <v>5</v>
      </c>
      <c r="P7">
        <f t="shared" si="4"/>
        <v>8</v>
      </c>
      <c r="Q7">
        <f t="shared" si="14"/>
        <v>9</v>
      </c>
      <c r="R7">
        <f t="shared" si="14"/>
        <v>30</v>
      </c>
    </row>
    <row r="8" spans="1:21" x14ac:dyDescent="0.25">
      <c r="A8" s="1">
        <v>44657</v>
      </c>
      <c r="B8">
        <f t="shared" si="0"/>
        <v>3</v>
      </c>
      <c r="C8">
        <f t="shared" si="5"/>
        <v>9</v>
      </c>
      <c r="D8">
        <f t="shared" si="5"/>
        <v>30</v>
      </c>
      <c r="E8">
        <f t="shared" si="6"/>
        <v>0</v>
      </c>
      <c r="F8">
        <f t="shared" si="1"/>
        <v>0</v>
      </c>
      <c r="G8">
        <f t="shared" si="7"/>
        <v>0</v>
      </c>
      <c r="H8">
        <f t="shared" si="8"/>
        <v>0</v>
      </c>
      <c r="I8">
        <f t="shared" si="9"/>
        <v>0</v>
      </c>
      <c r="J8">
        <f t="shared" si="2"/>
        <v>0</v>
      </c>
      <c r="K8">
        <f t="shared" si="3"/>
        <v>0</v>
      </c>
      <c r="L8">
        <f t="shared" si="10"/>
        <v>9</v>
      </c>
      <c r="M8">
        <f t="shared" si="11"/>
        <v>30</v>
      </c>
      <c r="N8">
        <f t="shared" si="12"/>
        <v>1</v>
      </c>
      <c r="O8">
        <f t="shared" si="13"/>
        <v>3</v>
      </c>
      <c r="P8">
        <f t="shared" si="4"/>
        <v>6</v>
      </c>
      <c r="Q8">
        <f t="shared" si="14"/>
        <v>6</v>
      </c>
      <c r="R8">
        <f t="shared" si="14"/>
        <v>24</v>
      </c>
    </row>
    <row r="9" spans="1:21" x14ac:dyDescent="0.25">
      <c r="A9" s="1">
        <v>44658</v>
      </c>
      <c r="B9">
        <f t="shared" si="0"/>
        <v>4</v>
      </c>
      <c r="C9">
        <f t="shared" si="5"/>
        <v>6</v>
      </c>
      <c r="D9">
        <f t="shared" si="5"/>
        <v>24</v>
      </c>
      <c r="E9">
        <f t="shared" si="6"/>
        <v>0</v>
      </c>
      <c r="F9">
        <f t="shared" si="1"/>
        <v>0</v>
      </c>
      <c r="G9">
        <f t="shared" si="7"/>
        <v>1</v>
      </c>
      <c r="H9">
        <f t="shared" si="8"/>
        <v>50</v>
      </c>
      <c r="I9">
        <f t="shared" si="9"/>
        <v>25</v>
      </c>
      <c r="J9">
        <f t="shared" si="2"/>
        <v>0</v>
      </c>
      <c r="K9">
        <f t="shared" si="3"/>
        <v>0</v>
      </c>
      <c r="L9">
        <f t="shared" si="10"/>
        <v>56</v>
      </c>
      <c r="M9">
        <f t="shared" si="11"/>
        <v>49</v>
      </c>
      <c r="N9">
        <f t="shared" si="12"/>
        <v>1</v>
      </c>
      <c r="O9">
        <f t="shared" si="13"/>
        <v>17</v>
      </c>
      <c r="P9">
        <f t="shared" si="4"/>
        <v>10</v>
      </c>
      <c r="Q9">
        <f t="shared" si="14"/>
        <v>39</v>
      </c>
      <c r="R9">
        <f t="shared" si="14"/>
        <v>39</v>
      </c>
    </row>
    <row r="10" spans="1:21" x14ac:dyDescent="0.25">
      <c r="A10" s="1">
        <v>44659</v>
      </c>
      <c r="B10">
        <f t="shared" si="0"/>
        <v>5</v>
      </c>
      <c r="C10">
        <f t="shared" si="5"/>
        <v>39</v>
      </c>
      <c r="D10">
        <f t="shared" si="5"/>
        <v>39</v>
      </c>
      <c r="E10">
        <f t="shared" si="6"/>
        <v>0</v>
      </c>
      <c r="F10">
        <f t="shared" si="1"/>
        <v>0</v>
      </c>
      <c r="G10">
        <f t="shared" si="7"/>
        <v>0</v>
      </c>
      <c r="H10">
        <f t="shared" si="8"/>
        <v>0</v>
      </c>
      <c r="I10">
        <f t="shared" si="9"/>
        <v>0</v>
      </c>
      <c r="J10">
        <f t="shared" si="2"/>
        <v>0</v>
      </c>
      <c r="K10">
        <f t="shared" si="3"/>
        <v>0</v>
      </c>
      <c r="L10">
        <f t="shared" si="10"/>
        <v>39</v>
      </c>
      <c r="M10">
        <f t="shared" si="11"/>
        <v>39</v>
      </c>
      <c r="N10">
        <f t="shared" si="12"/>
        <v>1</v>
      </c>
      <c r="O10">
        <f t="shared" si="13"/>
        <v>12</v>
      </c>
      <c r="P10">
        <f t="shared" si="4"/>
        <v>8</v>
      </c>
      <c r="Q10">
        <f t="shared" si="14"/>
        <v>27</v>
      </c>
      <c r="R10">
        <f t="shared" si="14"/>
        <v>31</v>
      </c>
    </row>
    <row r="11" spans="1:21" x14ac:dyDescent="0.25">
      <c r="A11" s="1">
        <v>44660</v>
      </c>
      <c r="B11">
        <f t="shared" si="0"/>
        <v>6</v>
      </c>
      <c r="C11">
        <f t="shared" si="5"/>
        <v>27</v>
      </c>
      <c r="D11">
        <f t="shared" si="5"/>
        <v>31</v>
      </c>
      <c r="E11">
        <f t="shared" si="6"/>
        <v>0</v>
      </c>
      <c r="F11">
        <f t="shared" si="1"/>
        <v>0</v>
      </c>
      <c r="G11">
        <f t="shared" si="7"/>
        <v>0</v>
      </c>
      <c r="H11">
        <f t="shared" si="8"/>
        <v>0</v>
      </c>
      <c r="I11">
        <f t="shared" si="9"/>
        <v>0</v>
      </c>
      <c r="J11">
        <f t="shared" si="2"/>
        <v>0</v>
      </c>
      <c r="K11">
        <f t="shared" si="3"/>
        <v>0</v>
      </c>
      <c r="L11">
        <f t="shared" si="10"/>
        <v>27</v>
      </c>
      <c r="M11">
        <f t="shared" si="11"/>
        <v>31</v>
      </c>
      <c r="N11">
        <f t="shared" si="12"/>
        <v>1</v>
      </c>
      <c r="O11">
        <f t="shared" si="13"/>
        <v>9</v>
      </c>
      <c r="P11">
        <f t="shared" si="4"/>
        <v>7</v>
      </c>
      <c r="Q11">
        <f t="shared" si="14"/>
        <v>18</v>
      </c>
      <c r="R11">
        <f t="shared" si="14"/>
        <v>24</v>
      </c>
    </row>
    <row r="12" spans="1:21" x14ac:dyDescent="0.25">
      <c r="A12" s="1">
        <v>44661</v>
      </c>
      <c r="B12">
        <f t="shared" si="0"/>
        <v>7</v>
      </c>
      <c r="C12">
        <f t="shared" si="5"/>
        <v>18</v>
      </c>
      <c r="D12">
        <f t="shared" si="5"/>
        <v>24</v>
      </c>
      <c r="E12">
        <f t="shared" si="6"/>
        <v>0</v>
      </c>
      <c r="F12">
        <f t="shared" si="1"/>
        <v>0</v>
      </c>
      <c r="G12">
        <f t="shared" si="7"/>
        <v>0</v>
      </c>
      <c r="H12">
        <f t="shared" si="8"/>
        <v>0</v>
      </c>
      <c r="I12">
        <f t="shared" si="9"/>
        <v>0</v>
      </c>
      <c r="J12">
        <f t="shared" si="2"/>
        <v>0</v>
      </c>
      <c r="K12">
        <f t="shared" si="3"/>
        <v>0</v>
      </c>
      <c r="L12">
        <f t="shared" si="10"/>
        <v>18</v>
      </c>
      <c r="M12">
        <f t="shared" si="11"/>
        <v>24</v>
      </c>
      <c r="N12">
        <f t="shared" si="12"/>
        <v>0</v>
      </c>
      <c r="O12">
        <f t="shared" si="13"/>
        <v>0</v>
      </c>
      <c r="P12">
        <f t="shared" si="4"/>
        <v>0</v>
      </c>
      <c r="Q12">
        <f t="shared" si="14"/>
        <v>18</v>
      </c>
      <c r="R12">
        <f t="shared" si="14"/>
        <v>24</v>
      </c>
      <c r="U12">
        <f>COUNTIF(J3:J216,1)</f>
        <v>0</v>
      </c>
    </row>
    <row r="13" spans="1:21" x14ac:dyDescent="0.25">
      <c r="A13" s="1">
        <v>44662</v>
      </c>
      <c r="B13">
        <f t="shared" si="0"/>
        <v>1</v>
      </c>
      <c r="C13">
        <f t="shared" si="5"/>
        <v>18</v>
      </c>
      <c r="D13">
        <f t="shared" si="5"/>
        <v>24</v>
      </c>
      <c r="E13">
        <f t="shared" si="6"/>
        <v>1</v>
      </c>
      <c r="F13">
        <f t="shared" si="1"/>
        <v>1</v>
      </c>
      <c r="G13">
        <f t="shared" si="7"/>
        <v>0</v>
      </c>
      <c r="H13">
        <f t="shared" si="8"/>
        <v>0</v>
      </c>
      <c r="I13">
        <f t="shared" si="9"/>
        <v>0</v>
      </c>
      <c r="J13">
        <f t="shared" si="2"/>
        <v>0</v>
      </c>
      <c r="K13">
        <f t="shared" si="3"/>
        <v>0</v>
      </c>
      <c r="L13">
        <f t="shared" si="10"/>
        <v>17</v>
      </c>
      <c r="M13">
        <f t="shared" si="11"/>
        <v>24</v>
      </c>
      <c r="N13">
        <f t="shared" si="12"/>
        <v>1</v>
      </c>
      <c r="O13">
        <f t="shared" si="13"/>
        <v>6</v>
      </c>
      <c r="P13">
        <f t="shared" si="4"/>
        <v>5</v>
      </c>
      <c r="Q13">
        <f t="shared" si="14"/>
        <v>11</v>
      </c>
      <c r="R13">
        <f t="shared" si="14"/>
        <v>19</v>
      </c>
    </row>
    <row r="14" spans="1:21" x14ac:dyDescent="0.25">
      <c r="A14" s="1">
        <v>44663</v>
      </c>
      <c r="B14">
        <f t="shared" si="0"/>
        <v>2</v>
      </c>
      <c r="C14">
        <f t="shared" si="5"/>
        <v>11</v>
      </c>
      <c r="D14">
        <f t="shared" si="5"/>
        <v>19</v>
      </c>
      <c r="E14">
        <f t="shared" si="6"/>
        <v>0</v>
      </c>
      <c r="F14">
        <f t="shared" si="1"/>
        <v>0</v>
      </c>
      <c r="G14">
        <f t="shared" si="7"/>
        <v>0</v>
      </c>
      <c r="H14">
        <f t="shared" si="8"/>
        <v>0</v>
      </c>
      <c r="I14">
        <f t="shared" si="9"/>
        <v>0</v>
      </c>
      <c r="J14">
        <f t="shared" si="2"/>
        <v>0</v>
      </c>
      <c r="K14">
        <f t="shared" si="3"/>
        <v>0</v>
      </c>
      <c r="L14">
        <f t="shared" si="10"/>
        <v>11</v>
      </c>
      <c r="M14">
        <f t="shared" si="11"/>
        <v>19</v>
      </c>
      <c r="N14">
        <f t="shared" si="12"/>
        <v>1</v>
      </c>
      <c r="O14">
        <f t="shared" si="13"/>
        <v>4</v>
      </c>
      <c r="P14">
        <f t="shared" si="4"/>
        <v>4</v>
      </c>
      <c r="Q14">
        <f t="shared" si="14"/>
        <v>7</v>
      </c>
      <c r="R14">
        <f t="shared" si="14"/>
        <v>15</v>
      </c>
    </row>
    <row r="15" spans="1:21" x14ac:dyDescent="0.25">
      <c r="A15" s="1">
        <v>44664</v>
      </c>
      <c r="B15">
        <f t="shared" si="0"/>
        <v>3</v>
      </c>
      <c r="C15">
        <f t="shared" si="5"/>
        <v>7</v>
      </c>
      <c r="D15">
        <f t="shared" si="5"/>
        <v>15</v>
      </c>
      <c r="E15">
        <f t="shared" si="6"/>
        <v>0</v>
      </c>
      <c r="F15">
        <f t="shared" si="1"/>
        <v>0</v>
      </c>
      <c r="G15">
        <f t="shared" si="7"/>
        <v>0</v>
      </c>
      <c r="H15">
        <f t="shared" si="8"/>
        <v>0</v>
      </c>
      <c r="I15">
        <f t="shared" si="9"/>
        <v>0</v>
      </c>
      <c r="J15">
        <f t="shared" si="2"/>
        <v>0</v>
      </c>
      <c r="K15">
        <f t="shared" si="3"/>
        <v>0</v>
      </c>
      <c r="L15">
        <f t="shared" si="10"/>
        <v>7</v>
      </c>
      <c r="M15">
        <f t="shared" si="11"/>
        <v>15</v>
      </c>
      <c r="N15">
        <f t="shared" si="12"/>
        <v>1</v>
      </c>
      <c r="O15">
        <f t="shared" si="13"/>
        <v>3</v>
      </c>
      <c r="P15">
        <f t="shared" si="4"/>
        <v>3</v>
      </c>
      <c r="Q15">
        <f t="shared" si="14"/>
        <v>4</v>
      </c>
      <c r="R15">
        <f t="shared" si="14"/>
        <v>12</v>
      </c>
    </row>
    <row r="16" spans="1:21" x14ac:dyDescent="0.25">
      <c r="A16" s="1">
        <v>44665</v>
      </c>
      <c r="B16">
        <f t="shared" si="0"/>
        <v>4</v>
      </c>
      <c r="C16">
        <f t="shared" si="5"/>
        <v>4</v>
      </c>
      <c r="D16">
        <f t="shared" si="5"/>
        <v>12</v>
      </c>
      <c r="E16">
        <f t="shared" si="6"/>
        <v>0</v>
      </c>
      <c r="F16">
        <f t="shared" si="1"/>
        <v>0</v>
      </c>
      <c r="G16">
        <f t="shared" si="7"/>
        <v>1</v>
      </c>
      <c r="H16">
        <f t="shared" si="8"/>
        <v>50</v>
      </c>
      <c r="I16">
        <f t="shared" si="9"/>
        <v>25</v>
      </c>
      <c r="J16">
        <f t="shared" si="2"/>
        <v>0</v>
      </c>
      <c r="K16">
        <f t="shared" si="3"/>
        <v>0</v>
      </c>
      <c r="L16">
        <f t="shared" si="10"/>
        <v>54</v>
      </c>
      <c r="M16">
        <f t="shared" si="11"/>
        <v>37</v>
      </c>
      <c r="N16">
        <f t="shared" si="12"/>
        <v>1</v>
      </c>
      <c r="O16">
        <f t="shared" si="13"/>
        <v>17</v>
      </c>
      <c r="P16">
        <f t="shared" si="4"/>
        <v>8</v>
      </c>
      <c r="Q16">
        <f t="shared" si="14"/>
        <v>37</v>
      </c>
      <c r="R16">
        <f t="shared" si="14"/>
        <v>29</v>
      </c>
    </row>
    <row r="17" spans="1:18" x14ac:dyDescent="0.25">
      <c r="A17" s="1">
        <v>44666</v>
      </c>
      <c r="B17">
        <f t="shared" si="0"/>
        <v>5</v>
      </c>
      <c r="C17">
        <f t="shared" si="5"/>
        <v>37</v>
      </c>
      <c r="D17">
        <f t="shared" si="5"/>
        <v>29</v>
      </c>
      <c r="E17">
        <f t="shared" si="6"/>
        <v>0</v>
      </c>
      <c r="F17">
        <f t="shared" si="1"/>
        <v>0</v>
      </c>
      <c r="G17">
        <f t="shared" si="7"/>
        <v>0</v>
      </c>
      <c r="H17">
        <f t="shared" si="8"/>
        <v>0</v>
      </c>
      <c r="I17">
        <f t="shared" si="9"/>
        <v>0</v>
      </c>
      <c r="J17">
        <f t="shared" si="2"/>
        <v>0</v>
      </c>
      <c r="K17">
        <f t="shared" si="3"/>
        <v>0</v>
      </c>
      <c r="L17">
        <f t="shared" si="10"/>
        <v>37</v>
      </c>
      <c r="M17">
        <f t="shared" si="11"/>
        <v>29</v>
      </c>
      <c r="N17">
        <f t="shared" si="12"/>
        <v>1</v>
      </c>
      <c r="O17">
        <f t="shared" si="13"/>
        <v>12</v>
      </c>
      <c r="P17">
        <f t="shared" si="4"/>
        <v>6</v>
      </c>
      <c r="Q17">
        <f t="shared" si="14"/>
        <v>25</v>
      </c>
      <c r="R17">
        <f t="shared" si="14"/>
        <v>23</v>
      </c>
    </row>
    <row r="18" spans="1:18" x14ac:dyDescent="0.25">
      <c r="A18" s="1">
        <v>44667</v>
      </c>
      <c r="B18">
        <f t="shared" si="0"/>
        <v>6</v>
      </c>
      <c r="C18">
        <f t="shared" si="5"/>
        <v>25</v>
      </c>
      <c r="D18">
        <f t="shared" si="5"/>
        <v>23</v>
      </c>
      <c r="E18">
        <f t="shared" si="6"/>
        <v>0</v>
      </c>
      <c r="F18">
        <f t="shared" si="1"/>
        <v>0</v>
      </c>
      <c r="G18">
        <f t="shared" si="7"/>
        <v>0</v>
      </c>
      <c r="H18">
        <f t="shared" si="8"/>
        <v>0</v>
      </c>
      <c r="I18">
        <f t="shared" si="9"/>
        <v>0</v>
      </c>
      <c r="J18">
        <f t="shared" si="2"/>
        <v>0</v>
      </c>
      <c r="K18">
        <f t="shared" si="3"/>
        <v>0</v>
      </c>
      <c r="L18">
        <f t="shared" si="10"/>
        <v>25</v>
      </c>
      <c r="M18">
        <f t="shared" si="11"/>
        <v>23</v>
      </c>
      <c r="N18">
        <f t="shared" si="12"/>
        <v>1</v>
      </c>
      <c r="O18">
        <f t="shared" si="13"/>
        <v>8</v>
      </c>
      <c r="P18">
        <f t="shared" si="4"/>
        <v>5</v>
      </c>
      <c r="Q18">
        <f t="shared" si="14"/>
        <v>17</v>
      </c>
      <c r="R18">
        <f t="shared" si="14"/>
        <v>18</v>
      </c>
    </row>
    <row r="19" spans="1:18" x14ac:dyDescent="0.25">
      <c r="A19" s="1">
        <v>44668</v>
      </c>
      <c r="B19">
        <f t="shared" si="0"/>
        <v>7</v>
      </c>
      <c r="C19">
        <f t="shared" si="5"/>
        <v>17</v>
      </c>
      <c r="D19">
        <f t="shared" si="5"/>
        <v>18</v>
      </c>
      <c r="E19">
        <f t="shared" si="6"/>
        <v>0</v>
      </c>
      <c r="F19">
        <f t="shared" si="1"/>
        <v>0</v>
      </c>
      <c r="G19">
        <f t="shared" si="7"/>
        <v>0</v>
      </c>
      <c r="H19">
        <f t="shared" si="8"/>
        <v>0</v>
      </c>
      <c r="I19">
        <f t="shared" si="9"/>
        <v>0</v>
      </c>
      <c r="J19">
        <f t="shared" si="2"/>
        <v>0</v>
      </c>
      <c r="K19">
        <f t="shared" si="3"/>
        <v>0</v>
      </c>
      <c r="L19">
        <f t="shared" si="10"/>
        <v>17</v>
      </c>
      <c r="M19">
        <f t="shared" si="11"/>
        <v>18</v>
      </c>
      <c r="N19">
        <f t="shared" si="12"/>
        <v>0</v>
      </c>
      <c r="O19">
        <f t="shared" si="13"/>
        <v>0</v>
      </c>
      <c r="P19">
        <f t="shared" si="4"/>
        <v>0</v>
      </c>
      <c r="Q19">
        <f t="shared" si="14"/>
        <v>17</v>
      </c>
      <c r="R19">
        <f t="shared" si="14"/>
        <v>18</v>
      </c>
    </row>
    <row r="20" spans="1:18" x14ac:dyDescent="0.25">
      <c r="A20" s="1">
        <v>44669</v>
      </c>
      <c r="B20">
        <f t="shared" si="0"/>
        <v>1</v>
      </c>
      <c r="C20">
        <f t="shared" si="5"/>
        <v>17</v>
      </c>
      <c r="D20">
        <f t="shared" si="5"/>
        <v>18</v>
      </c>
      <c r="E20">
        <f t="shared" si="6"/>
        <v>1</v>
      </c>
      <c r="F20">
        <f t="shared" si="1"/>
        <v>1</v>
      </c>
      <c r="G20">
        <f t="shared" si="7"/>
        <v>0</v>
      </c>
      <c r="H20">
        <f t="shared" si="8"/>
        <v>0</v>
      </c>
      <c r="I20">
        <f t="shared" si="9"/>
        <v>0</v>
      </c>
      <c r="J20">
        <f t="shared" si="2"/>
        <v>0</v>
      </c>
      <c r="K20">
        <f t="shared" si="3"/>
        <v>0</v>
      </c>
      <c r="L20">
        <f t="shared" si="10"/>
        <v>16</v>
      </c>
      <c r="M20">
        <f t="shared" si="11"/>
        <v>18</v>
      </c>
      <c r="N20">
        <f t="shared" si="12"/>
        <v>1</v>
      </c>
      <c r="O20">
        <f t="shared" si="13"/>
        <v>5</v>
      </c>
      <c r="P20">
        <f t="shared" si="4"/>
        <v>4</v>
      </c>
      <c r="Q20">
        <f t="shared" si="14"/>
        <v>11</v>
      </c>
      <c r="R20">
        <f t="shared" si="14"/>
        <v>14</v>
      </c>
    </row>
    <row r="21" spans="1:18" x14ac:dyDescent="0.25">
      <c r="A21" s="1">
        <v>44670</v>
      </c>
      <c r="B21">
        <f t="shared" si="0"/>
        <v>2</v>
      </c>
      <c r="C21">
        <f t="shared" si="5"/>
        <v>11</v>
      </c>
      <c r="D21">
        <f t="shared" si="5"/>
        <v>14</v>
      </c>
      <c r="E21">
        <f t="shared" si="6"/>
        <v>0</v>
      </c>
      <c r="F21">
        <f t="shared" si="1"/>
        <v>0</v>
      </c>
      <c r="G21">
        <f t="shared" si="7"/>
        <v>0</v>
      </c>
      <c r="H21">
        <f t="shared" si="8"/>
        <v>0</v>
      </c>
      <c r="I21">
        <f t="shared" si="9"/>
        <v>0</v>
      </c>
      <c r="J21">
        <f t="shared" si="2"/>
        <v>0</v>
      </c>
      <c r="K21">
        <f t="shared" si="3"/>
        <v>0</v>
      </c>
      <c r="L21">
        <f t="shared" si="10"/>
        <v>11</v>
      </c>
      <c r="M21">
        <f t="shared" si="11"/>
        <v>14</v>
      </c>
      <c r="N21">
        <f t="shared" si="12"/>
        <v>1</v>
      </c>
      <c r="O21">
        <f t="shared" si="13"/>
        <v>4</v>
      </c>
      <c r="P21">
        <f t="shared" si="4"/>
        <v>3</v>
      </c>
      <c r="Q21">
        <f t="shared" si="14"/>
        <v>7</v>
      </c>
      <c r="R21">
        <f t="shared" si="14"/>
        <v>11</v>
      </c>
    </row>
    <row r="22" spans="1:18" x14ac:dyDescent="0.25">
      <c r="A22" s="1">
        <v>44671</v>
      </c>
      <c r="B22">
        <f t="shared" si="0"/>
        <v>3</v>
      </c>
      <c r="C22">
        <f t="shared" si="5"/>
        <v>7</v>
      </c>
      <c r="D22">
        <f t="shared" si="5"/>
        <v>11</v>
      </c>
      <c r="E22">
        <f t="shared" si="6"/>
        <v>0</v>
      </c>
      <c r="F22">
        <f t="shared" si="1"/>
        <v>0</v>
      </c>
      <c r="G22">
        <f t="shared" si="7"/>
        <v>0</v>
      </c>
      <c r="H22">
        <f t="shared" si="8"/>
        <v>0</v>
      </c>
      <c r="I22">
        <f t="shared" si="9"/>
        <v>0</v>
      </c>
      <c r="J22">
        <f t="shared" si="2"/>
        <v>0</v>
      </c>
      <c r="K22">
        <f t="shared" si="3"/>
        <v>0</v>
      </c>
      <c r="L22">
        <f t="shared" si="10"/>
        <v>7</v>
      </c>
      <c r="M22">
        <f t="shared" si="11"/>
        <v>11</v>
      </c>
      <c r="N22">
        <f t="shared" si="12"/>
        <v>1</v>
      </c>
      <c r="O22">
        <f t="shared" si="13"/>
        <v>3</v>
      </c>
      <c r="P22">
        <f t="shared" si="4"/>
        <v>3</v>
      </c>
      <c r="Q22">
        <f t="shared" si="14"/>
        <v>4</v>
      </c>
      <c r="R22">
        <f t="shared" si="14"/>
        <v>8</v>
      </c>
    </row>
    <row r="23" spans="1:18" x14ac:dyDescent="0.25">
      <c r="A23" s="1">
        <v>44672</v>
      </c>
      <c r="B23">
        <f t="shared" si="0"/>
        <v>4</v>
      </c>
      <c r="C23">
        <f t="shared" si="5"/>
        <v>4</v>
      </c>
      <c r="D23">
        <f t="shared" si="5"/>
        <v>8</v>
      </c>
      <c r="E23">
        <f t="shared" si="6"/>
        <v>0</v>
      </c>
      <c r="F23">
        <f t="shared" si="1"/>
        <v>0</v>
      </c>
      <c r="G23">
        <f t="shared" si="7"/>
        <v>1</v>
      </c>
      <c r="H23">
        <f t="shared" si="8"/>
        <v>50</v>
      </c>
      <c r="I23">
        <f t="shared" si="9"/>
        <v>25</v>
      </c>
      <c r="J23">
        <f t="shared" si="2"/>
        <v>0</v>
      </c>
      <c r="K23">
        <f t="shared" si="3"/>
        <v>0</v>
      </c>
      <c r="L23">
        <f t="shared" si="10"/>
        <v>54</v>
      </c>
      <c r="M23">
        <f t="shared" si="11"/>
        <v>33</v>
      </c>
      <c r="N23">
        <f t="shared" si="12"/>
        <v>1</v>
      </c>
      <c r="O23">
        <f t="shared" si="13"/>
        <v>17</v>
      </c>
      <c r="P23">
        <f t="shared" si="4"/>
        <v>7</v>
      </c>
      <c r="Q23">
        <f t="shared" si="14"/>
        <v>37</v>
      </c>
      <c r="R23">
        <f t="shared" si="14"/>
        <v>26</v>
      </c>
    </row>
    <row r="24" spans="1:18" x14ac:dyDescent="0.25">
      <c r="A24" s="1">
        <v>44673</v>
      </c>
      <c r="B24">
        <f t="shared" si="0"/>
        <v>5</v>
      </c>
      <c r="C24">
        <f t="shared" si="5"/>
        <v>37</v>
      </c>
      <c r="D24">
        <f t="shared" si="5"/>
        <v>26</v>
      </c>
      <c r="E24">
        <f t="shared" si="6"/>
        <v>0</v>
      </c>
      <c r="F24">
        <f t="shared" si="1"/>
        <v>0</v>
      </c>
      <c r="G24">
        <f t="shared" si="7"/>
        <v>0</v>
      </c>
      <c r="H24">
        <f t="shared" si="8"/>
        <v>0</v>
      </c>
      <c r="I24">
        <f t="shared" si="9"/>
        <v>0</v>
      </c>
      <c r="J24">
        <f t="shared" si="2"/>
        <v>0</v>
      </c>
      <c r="K24">
        <f t="shared" si="3"/>
        <v>0</v>
      </c>
      <c r="L24">
        <f t="shared" si="10"/>
        <v>37</v>
      </c>
      <c r="M24">
        <f t="shared" si="11"/>
        <v>26</v>
      </c>
      <c r="N24">
        <f t="shared" si="12"/>
        <v>1</v>
      </c>
      <c r="O24">
        <f t="shared" si="13"/>
        <v>12</v>
      </c>
      <c r="P24">
        <f t="shared" si="4"/>
        <v>6</v>
      </c>
      <c r="Q24">
        <f t="shared" si="14"/>
        <v>25</v>
      </c>
      <c r="R24">
        <f t="shared" si="14"/>
        <v>20</v>
      </c>
    </row>
    <row r="25" spans="1:18" x14ac:dyDescent="0.25">
      <c r="A25" s="1">
        <v>44674</v>
      </c>
      <c r="B25">
        <f t="shared" si="0"/>
        <v>6</v>
      </c>
      <c r="C25">
        <f t="shared" si="5"/>
        <v>25</v>
      </c>
      <c r="D25">
        <f t="shared" si="5"/>
        <v>20</v>
      </c>
      <c r="E25">
        <f t="shared" si="6"/>
        <v>0</v>
      </c>
      <c r="F25">
        <f t="shared" si="1"/>
        <v>0</v>
      </c>
      <c r="G25">
        <f t="shared" si="7"/>
        <v>0</v>
      </c>
      <c r="H25">
        <f t="shared" si="8"/>
        <v>0</v>
      </c>
      <c r="I25">
        <f t="shared" si="9"/>
        <v>0</v>
      </c>
      <c r="J25">
        <f t="shared" si="2"/>
        <v>0</v>
      </c>
      <c r="K25">
        <f t="shared" si="3"/>
        <v>0</v>
      </c>
      <c r="L25">
        <f t="shared" si="10"/>
        <v>25</v>
      </c>
      <c r="M25">
        <f t="shared" si="11"/>
        <v>20</v>
      </c>
      <c r="N25">
        <f t="shared" si="12"/>
        <v>1</v>
      </c>
      <c r="O25">
        <f t="shared" si="13"/>
        <v>8</v>
      </c>
      <c r="P25">
        <f t="shared" si="4"/>
        <v>4</v>
      </c>
      <c r="Q25">
        <f t="shared" si="14"/>
        <v>17</v>
      </c>
      <c r="R25">
        <f t="shared" si="14"/>
        <v>16</v>
      </c>
    </row>
    <row r="26" spans="1:18" x14ac:dyDescent="0.25">
      <c r="A26" s="1">
        <v>44675</v>
      </c>
      <c r="B26">
        <f t="shared" si="0"/>
        <v>7</v>
      </c>
      <c r="C26">
        <f t="shared" si="5"/>
        <v>17</v>
      </c>
      <c r="D26">
        <f t="shared" si="5"/>
        <v>16</v>
      </c>
      <c r="E26">
        <f t="shared" si="6"/>
        <v>0</v>
      </c>
      <c r="F26">
        <f t="shared" si="1"/>
        <v>0</v>
      </c>
      <c r="G26">
        <f t="shared" si="7"/>
        <v>0</v>
      </c>
      <c r="H26">
        <f t="shared" si="8"/>
        <v>0</v>
      </c>
      <c r="I26">
        <f t="shared" si="9"/>
        <v>0</v>
      </c>
      <c r="J26">
        <f t="shared" si="2"/>
        <v>0</v>
      </c>
      <c r="K26">
        <f t="shared" si="3"/>
        <v>0</v>
      </c>
      <c r="L26">
        <f t="shared" si="10"/>
        <v>17</v>
      </c>
      <c r="M26">
        <f t="shared" si="11"/>
        <v>16</v>
      </c>
      <c r="N26">
        <f t="shared" si="12"/>
        <v>0</v>
      </c>
      <c r="O26">
        <f t="shared" si="13"/>
        <v>0</v>
      </c>
      <c r="P26">
        <f t="shared" si="4"/>
        <v>0</v>
      </c>
      <c r="Q26">
        <f t="shared" si="14"/>
        <v>17</v>
      </c>
      <c r="R26">
        <f t="shared" si="14"/>
        <v>16</v>
      </c>
    </row>
    <row r="27" spans="1:18" x14ac:dyDescent="0.25">
      <c r="A27" s="1">
        <v>44676</v>
      </c>
      <c r="B27">
        <f t="shared" si="0"/>
        <v>1</v>
      </c>
      <c r="C27">
        <f t="shared" si="5"/>
        <v>17</v>
      </c>
      <c r="D27">
        <f t="shared" si="5"/>
        <v>16</v>
      </c>
      <c r="E27">
        <f t="shared" si="6"/>
        <v>1</v>
      </c>
      <c r="F27">
        <f t="shared" si="1"/>
        <v>1</v>
      </c>
      <c r="G27">
        <f t="shared" si="7"/>
        <v>0</v>
      </c>
      <c r="H27">
        <f t="shared" si="8"/>
        <v>0</v>
      </c>
      <c r="I27">
        <f t="shared" si="9"/>
        <v>0</v>
      </c>
      <c r="J27">
        <f t="shared" si="2"/>
        <v>0</v>
      </c>
      <c r="K27">
        <f t="shared" si="3"/>
        <v>0</v>
      </c>
      <c r="L27">
        <f t="shared" si="10"/>
        <v>16</v>
      </c>
      <c r="M27">
        <f t="shared" si="11"/>
        <v>16</v>
      </c>
      <c r="N27">
        <f t="shared" si="12"/>
        <v>1</v>
      </c>
      <c r="O27">
        <f t="shared" si="13"/>
        <v>5</v>
      </c>
      <c r="P27">
        <f t="shared" si="4"/>
        <v>4</v>
      </c>
      <c r="Q27">
        <f t="shared" si="14"/>
        <v>11</v>
      </c>
      <c r="R27">
        <f t="shared" si="14"/>
        <v>12</v>
      </c>
    </row>
    <row r="28" spans="1:18" x14ac:dyDescent="0.25">
      <c r="A28" s="1">
        <v>44677</v>
      </c>
      <c r="B28">
        <f t="shared" si="0"/>
        <v>2</v>
      </c>
      <c r="C28">
        <f t="shared" si="5"/>
        <v>11</v>
      </c>
      <c r="D28">
        <f t="shared" si="5"/>
        <v>12</v>
      </c>
      <c r="E28">
        <f t="shared" si="6"/>
        <v>0</v>
      </c>
      <c r="F28">
        <f t="shared" si="1"/>
        <v>0</v>
      </c>
      <c r="G28">
        <f t="shared" si="7"/>
        <v>0</v>
      </c>
      <c r="H28">
        <f t="shared" si="8"/>
        <v>0</v>
      </c>
      <c r="I28">
        <f t="shared" si="9"/>
        <v>0</v>
      </c>
      <c r="J28">
        <f t="shared" si="2"/>
        <v>0</v>
      </c>
      <c r="K28">
        <f t="shared" si="3"/>
        <v>0</v>
      </c>
      <c r="L28">
        <f t="shared" si="10"/>
        <v>11</v>
      </c>
      <c r="M28">
        <f t="shared" si="11"/>
        <v>12</v>
      </c>
      <c r="N28">
        <f t="shared" si="12"/>
        <v>1</v>
      </c>
      <c r="O28">
        <f t="shared" si="13"/>
        <v>4</v>
      </c>
      <c r="P28">
        <f t="shared" si="4"/>
        <v>3</v>
      </c>
      <c r="Q28">
        <f t="shared" si="14"/>
        <v>7</v>
      </c>
      <c r="R28">
        <f t="shared" si="14"/>
        <v>9</v>
      </c>
    </row>
    <row r="29" spans="1:18" x14ac:dyDescent="0.25">
      <c r="A29" s="1">
        <v>44678</v>
      </c>
      <c r="B29">
        <f t="shared" si="0"/>
        <v>3</v>
      </c>
      <c r="C29">
        <f t="shared" si="5"/>
        <v>7</v>
      </c>
      <c r="D29">
        <f t="shared" si="5"/>
        <v>9</v>
      </c>
      <c r="E29">
        <f t="shared" si="6"/>
        <v>0</v>
      </c>
      <c r="F29">
        <f t="shared" si="1"/>
        <v>0</v>
      </c>
      <c r="G29">
        <f t="shared" si="7"/>
        <v>0</v>
      </c>
      <c r="H29">
        <f t="shared" si="8"/>
        <v>0</v>
      </c>
      <c r="I29">
        <f t="shared" si="9"/>
        <v>0</v>
      </c>
      <c r="J29">
        <f t="shared" si="2"/>
        <v>0</v>
      </c>
      <c r="K29">
        <f t="shared" si="3"/>
        <v>0</v>
      </c>
      <c r="L29">
        <f t="shared" si="10"/>
        <v>7</v>
      </c>
      <c r="M29">
        <f t="shared" si="11"/>
        <v>9</v>
      </c>
      <c r="N29">
        <f t="shared" si="12"/>
        <v>1</v>
      </c>
      <c r="O29">
        <f t="shared" si="13"/>
        <v>3</v>
      </c>
      <c r="P29">
        <f t="shared" si="4"/>
        <v>2</v>
      </c>
      <c r="Q29">
        <f t="shared" si="14"/>
        <v>4</v>
      </c>
      <c r="R29">
        <f t="shared" si="14"/>
        <v>7</v>
      </c>
    </row>
    <row r="30" spans="1:18" x14ac:dyDescent="0.25">
      <c r="A30" s="1">
        <v>44679</v>
      </c>
      <c r="B30">
        <f t="shared" si="0"/>
        <v>4</v>
      </c>
      <c r="C30">
        <f t="shared" si="5"/>
        <v>4</v>
      </c>
      <c r="D30">
        <f t="shared" si="5"/>
        <v>7</v>
      </c>
      <c r="E30">
        <f t="shared" si="6"/>
        <v>0</v>
      </c>
      <c r="F30">
        <f t="shared" si="1"/>
        <v>0</v>
      </c>
      <c r="G30">
        <f t="shared" si="7"/>
        <v>1</v>
      </c>
      <c r="H30">
        <f t="shared" si="8"/>
        <v>50</v>
      </c>
      <c r="I30">
        <f t="shared" si="9"/>
        <v>25</v>
      </c>
      <c r="J30">
        <f t="shared" si="2"/>
        <v>0</v>
      </c>
      <c r="K30">
        <f t="shared" si="3"/>
        <v>0</v>
      </c>
      <c r="L30">
        <f t="shared" si="10"/>
        <v>54</v>
      </c>
      <c r="M30">
        <f t="shared" si="11"/>
        <v>32</v>
      </c>
      <c r="N30">
        <f t="shared" si="12"/>
        <v>1</v>
      </c>
      <c r="O30">
        <f t="shared" si="13"/>
        <v>17</v>
      </c>
      <c r="P30">
        <f t="shared" si="4"/>
        <v>7</v>
      </c>
      <c r="Q30">
        <f t="shared" si="14"/>
        <v>37</v>
      </c>
      <c r="R30">
        <f t="shared" si="14"/>
        <v>25</v>
      </c>
    </row>
    <row r="31" spans="1:18" x14ac:dyDescent="0.25">
      <c r="A31" s="1">
        <v>44680</v>
      </c>
      <c r="B31">
        <f t="shared" si="0"/>
        <v>5</v>
      </c>
      <c r="C31">
        <f t="shared" si="5"/>
        <v>37</v>
      </c>
      <c r="D31">
        <f t="shared" si="5"/>
        <v>25</v>
      </c>
      <c r="E31">
        <f t="shared" si="6"/>
        <v>0</v>
      </c>
      <c r="F31">
        <f t="shared" si="1"/>
        <v>0</v>
      </c>
      <c r="G31">
        <f t="shared" si="7"/>
        <v>0</v>
      </c>
      <c r="H31">
        <f t="shared" si="8"/>
        <v>0</v>
      </c>
      <c r="I31">
        <f t="shared" si="9"/>
        <v>0</v>
      </c>
      <c r="J31">
        <f t="shared" si="2"/>
        <v>0</v>
      </c>
      <c r="K31">
        <f t="shared" si="3"/>
        <v>0</v>
      </c>
      <c r="L31">
        <f t="shared" si="10"/>
        <v>37</v>
      </c>
      <c r="M31">
        <f t="shared" si="11"/>
        <v>25</v>
      </c>
      <c r="N31">
        <f t="shared" si="12"/>
        <v>1</v>
      </c>
      <c r="O31">
        <f t="shared" si="13"/>
        <v>12</v>
      </c>
      <c r="P31">
        <f t="shared" si="4"/>
        <v>5</v>
      </c>
      <c r="Q31">
        <f t="shared" si="14"/>
        <v>25</v>
      </c>
      <c r="R31">
        <f t="shared" si="14"/>
        <v>20</v>
      </c>
    </row>
    <row r="32" spans="1:18" x14ac:dyDescent="0.25">
      <c r="A32" s="1">
        <v>44681</v>
      </c>
      <c r="B32">
        <f t="shared" si="0"/>
        <v>6</v>
      </c>
      <c r="C32">
        <f t="shared" si="5"/>
        <v>25</v>
      </c>
      <c r="D32">
        <f t="shared" si="5"/>
        <v>20</v>
      </c>
      <c r="E32">
        <f t="shared" si="6"/>
        <v>0</v>
      </c>
      <c r="F32">
        <f t="shared" si="1"/>
        <v>0</v>
      </c>
      <c r="G32">
        <f t="shared" si="7"/>
        <v>0</v>
      </c>
      <c r="H32">
        <f t="shared" si="8"/>
        <v>0</v>
      </c>
      <c r="I32">
        <f t="shared" si="9"/>
        <v>0</v>
      </c>
      <c r="J32">
        <f t="shared" si="2"/>
        <v>0</v>
      </c>
      <c r="K32">
        <f t="shared" si="3"/>
        <v>0</v>
      </c>
      <c r="L32">
        <f t="shared" si="10"/>
        <v>25</v>
      </c>
      <c r="M32">
        <f t="shared" si="11"/>
        <v>20</v>
      </c>
      <c r="N32">
        <f t="shared" si="12"/>
        <v>1</v>
      </c>
      <c r="O32">
        <f t="shared" si="13"/>
        <v>8</v>
      </c>
      <c r="P32">
        <f t="shared" si="4"/>
        <v>4</v>
      </c>
      <c r="Q32">
        <f t="shared" si="14"/>
        <v>17</v>
      </c>
      <c r="R32">
        <f t="shared" si="14"/>
        <v>16</v>
      </c>
    </row>
    <row r="33" spans="1:18" x14ac:dyDescent="0.25">
      <c r="A33" s="1">
        <v>44682</v>
      </c>
      <c r="B33">
        <f t="shared" si="0"/>
        <v>7</v>
      </c>
      <c r="C33">
        <f t="shared" si="5"/>
        <v>17</v>
      </c>
      <c r="D33">
        <f t="shared" si="5"/>
        <v>16</v>
      </c>
      <c r="E33">
        <f t="shared" si="6"/>
        <v>0</v>
      </c>
      <c r="F33">
        <f t="shared" si="1"/>
        <v>0</v>
      </c>
      <c r="G33">
        <f t="shared" si="7"/>
        <v>0</v>
      </c>
      <c r="H33">
        <f t="shared" si="8"/>
        <v>0</v>
      </c>
      <c r="I33">
        <f t="shared" si="9"/>
        <v>0</v>
      </c>
      <c r="J33">
        <f t="shared" si="2"/>
        <v>0</v>
      </c>
      <c r="K33">
        <f t="shared" si="3"/>
        <v>0</v>
      </c>
      <c r="L33">
        <f t="shared" si="10"/>
        <v>17</v>
      </c>
      <c r="M33">
        <f t="shared" si="11"/>
        <v>16</v>
      </c>
      <c r="N33">
        <f t="shared" si="12"/>
        <v>0</v>
      </c>
      <c r="O33">
        <f t="shared" si="13"/>
        <v>0</v>
      </c>
      <c r="P33">
        <f t="shared" si="4"/>
        <v>0</v>
      </c>
      <c r="Q33">
        <f t="shared" si="14"/>
        <v>17</v>
      </c>
      <c r="R33">
        <f t="shared" si="14"/>
        <v>16</v>
      </c>
    </row>
    <row r="34" spans="1:18" x14ac:dyDescent="0.25">
      <c r="A34" s="1">
        <v>44683</v>
      </c>
      <c r="B34">
        <f t="shared" si="0"/>
        <v>1</v>
      </c>
      <c r="C34">
        <f t="shared" si="5"/>
        <v>17</v>
      </c>
      <c r="D34">
        <f t="shared" si="5"/>
        <v>16</v>
      </c>
      <c r="E34">
        <f t="shared" si="6"/>
        <v>1</v>
      </c>
      <c r="F34">
        <f t="shared" si="1"/>
        <v>1</v>
      </c>
      <c r="G34">
        <f t="shared" si="7"/>
        <v>0</v>
      </c>
      <c r="H34">
        <f t="shared" si="8"/>
        <v>0</v>
      </c>
      <c r="I34">
        <f t="shared" si="9"/>
        <v>0</v>
      </c>
      <c r="J34">
        <f t="shared" si="2"/>
        <v>0</v>
      </c>
      <c r="K34">
        <f t="shared" si="3"/>
        <v>0</v>
      </c>
      <c r="L34">
        <f t="shared" si="10"/>
        <v>16</v>
      </c>
      <c r="M34">
        <f t="shared" si="11"/>
        <v>16</v>
      </c>
      <c r="N34">
        <f t="shared" si="12"/>
        <v>1</v>
      </c>
      <c r="O34">
        <f t="shared" si="13"/>
        <v>5</v>
      </c>
      <c r="P34">
        <f t="shared" si="4"/>
        <v>4</v>
      </c>
      <c r="Q34">
        <f t="shared" si="14"/>
        <v>11</v>
      </c>
      <c r="R34">
        <f t="shared" si="14"/>
        <v>12</v>
      </c>
    </row>
    <row r="35" spans="1:18" x14ac:dyDescent="0.25">
      <c r="A35" s="1">
        <v>44684</v>
      </c>
      <c r="B35">
        <f t="shared" si="0"/>
        <v>2</v>
      </c>
      <c r="C35">
        <f t="shared" si="5"/>
        <v>11</v>
      </c>
      <c r="D35">
        <f t="shared" si="5"/>
        <v>12</v>
      </c>
      <c r="E35">
        <f t="shared" si="6"/>
        <v>0</v>
      </c>
      <c r="F35">
        <f t="shared" si="1"/>
        <v>0</v>
      </c>
      <c r="G35">
        <f t="shared" si="7"/>
        <v>0</v>
      </c>
      <c r="H35">
        <f t="shared" si="8"/>
        <v>0</v>
      </c>
      <c r="I35">
        <f t="shared" si="9"/>
        <v>0</v>
      </c>
      <c r="J35">
        <f t="shared" si="2"/>
        <v>0</v>
      </c>
      <c r="K35">
        <f t="shared" si="3"/>
        <v>0</v>
      </c>
      <c r="L35">
        <f t="shared" si="10"/>
        <v>11</v>
      </c>
      <c r="M35">
        <f t="shared" si="11"/>
        <v>12</v>
      </c>
      <c r="N35">
        <f t="shared" si="12"/>
        <v>1</v>
      </c>
      <c r="O35">
        <f t="shared" si="13"/>
        <v>4</v>
      </c>
      <c r="P35">
        <f t="shared" si="4"/>
        <v>3</v>
      </c>
      <c r="Q35">
        <f t="shared" si="14"/>
        <v>7</v>
      </c>
      <c r="R35">
        <f t="shared" si="14"/>
        <v>9</v>
      </c>
    </row>
    <row r="36" spans="1:18" x14ac:dyDescent="0.25">
      <c r="A36" s="1">
        <v>44685</v>
      </c>
      <c r="B36">
        <f t="shared" si="0"/>
        <v>3</v>
      </c>
      <c r="C36">
        <f t="shared" si="5"/>
        <v>7</v>
      </c>
      <c r="D36">
        <f t="shared" si="5"/>
        <v>9</v>
      </c>
      <c r="E36">
        <f t="shared" si="6"/>
        <v>0</v>
      </c>
      <c r="F36">
        <f t="shared" si="1"/>
        <v>0</v>
      </c>
      <c r="G36">
        <f t="shared" si="7"/>
        <v>0</v>
      </c>
      <c r="H36">
        <f t="shared" si="8"/>
        <v>0</v>
      </c>
      <c r="I36">
        <f t="shared" si="9"/>
        <v>0</v>
      </c>
      <c r="J36">
        <f t="shared" si="2"/>
        <v>0</v>
      </c>
      <c r="K36">
        <f t="shared" si="3"/>
        <v>0</v>
      </c>
      <c r="L36">
        <f t="shared" si="10"/>
        <v>7</v>
      </c>
      <c r="M36">
        <f t="shared" si="11"/>
        <v>9</v>
      </c>
      <c r="N36">
        <f t="shared" si="12"/>
        <v>1</v>
      </c>
      <c r="O36">
        <f t="shared" si="13"/>
        <v>3</v>
      </c>
      <c r="P36">
        <f t="shared" si="4"/>
        <v>2</v>
      </c>
      <c r="Q36">
        <f t="shared" si="14"/>
        <v>4</v>
      </c>
      <c r="R36">
        <f t="shared" si="14"/>
        <v>7</v>
      </c>
    </row>
    <row r="37" spans="1:18" x14ac:dyDescent="0.25">
      <c r="A37" s="1">
        <v>44686</v>
      </c>
      <c r="B37">
        <f t="shared" si="0"/>
        <v>4</v>
      </c>
      <c r="C37">
        <f t="shared" si="5"/>
        <v>4</v>
      </c>
      <c r="D37">
        <f t="shared" si="5"/>
        <v>7</v>
      </c>
      <c r="E37">
        <f t="shared" si="6"/>
        <v>0</v>
      </c>
      <c r="F37">
        <f t="shared" si="1"/>
        <v>0</v>
      </c>
      <c r="G37">
        <f t="shared" si="7"/>
        <v>1</v>
      </c>
      <c r="H37">
        <f t="shared" si="8"/>
        <v>50</v>
      </c>
      <c r="I37">
        <f t="shared" si="9"/>
        <v>25</v>
      </c>
      <c r="J37">
        <f t="shared" si="2"/>
        <v>0</v>
      </c>
      <c r="K37">
        <f t="shared" si="3"/>
        <v>0</v>
      </c>
      <c r="L37">
        <f t="shared" si="10"/>
        <v>54</v>
      </c>
      <c r="M37">
        <f t="shared" si="11"/>
        <v>32</v>
      </c>
      <c r="N37">
        <f t="shared" si="12"/>
        <v>1</v>
      </c>
      <c r="O37">
        <f t="shared" si="13"/>
        <v>17</v>
      </c>
      <c r="P37">
        <f t="shared" si="4"/>
        <v>7</v>
      </c>
      <c r="Q37">
        <f t="shared" si="14"/>
        <v>37</v>
      </c>
      <c r="R37">
        <f t="shared" si="14"/>
        <v>25</v>
      </c>
    </row>
    <row r="38" spans="1:18" x14ac:dyDescent="0.25">
      <c r="A38" s="1">
        <v>44687</v>
      </c>
      <c r="B38">
        <f t="shared" si="0"/>
        <v>5</v>
      </c>
      <c r="C38">
        <f t="shared" si="5"/>
        <v>37</v>
      </c>
      <c r="D38">
        <f t="shared" si="5"/>
        <v>25</v>
      </c>
      <c r="E38">
        <f t="shared" si="6"/>
        <v>0</v>
      </c>
      <c r="F38">
        <f t="shared" si="1"/>
        <v>0</v>
      </c>
      <c r="G38">
        <f t="shared" si="7"/>
        <v>0</v>
      </c>
      <c r="H38">
        <f t="shared" si="8"/>
        <v>0</v>
      </c>
      <c r="I38">
        <f t="shared" si="9"/>
        <v>0</v>
      </c>
      <c r="J38">
        <f t="shared" si="2"/>
        <v>0</v>
      </c>
      <c r="K38">
        <f t="shared" si="3"/>
        <v>0</v>
      </c>
      <c r="L38">
        <f t="shared" si="10"/>
        <v>37</v>
      </c>
      <c r="M38">
        <f t="shared" si="11"/>
        <v>25</v>
      </c>
      <c r="N38">
        <f t="shared" si="12"/>
        <v>1</v>
      </c>
      <c r="O38">
        <f t="shared" si="13"/>
        <v>12</v>
      </c>
      <c r="P38">
        <f t="shared" si="4"/>
        <v>5</v>
      </c>
      <c r="Q38">
        <f t="shared" si="14"/>
        <v>25</v>
      </c>
      <c r="R38">
        <f t="shared" si="14"/>
        <v>20</v>
      </c>
    </row>
    <row r="39" spans="1:18" x14ac:dyDescent="0.25">
      <c r="A39" s="1">
        <v>44688</v>
      </c>
      <c r="B39">
        <f t="shared" si="0"/>
        <v>6</v>
      </c>
      <c r="C39">
        <f t="shared" si="5"/>
        <v>25</v>
      </c>
      <c r="D39">
        <f t="shared" si="5"/>
        <v>20</v>
      </c>
      <c r="E39">
        <f t="shared" si="6"/>
        <v>0</v>
      </c>
      <c r="F39">
        <f t="shared" si="1"/>
        <v>0</v>
      </c>
      <c r="G39">
        <f t="shared" si="7"/>
        <v>0</v>
      </c>
      <c r="H39">
        <f t="shared" si="8"/>
        <v>0</v>
      </c>
      <c r="I39">
        <f t="shared" si="9"/>
        <v>0</v>
      </c>
      <c r="J39">
        <f t="shared" si="2"/>
        <v>0</v>
      </c>
      <c r="K39">
        <f t="shared" si="3"/>
        <v>0</v>
      </c>
      <c r="L39">
        <f t="shared" si="10"/>
        <v>25</v>
      </c>
      <c r="M39">
        <f t="shared" si="11"/>
        <v>20</v>
      </c>
      <c r="N39">
        <f t="shared" si="12"/>
        <v>1</v>
      </c>
      <c r="O39">
        <f t="shared" si="13"/>
        <v>8</v>
      </c>
      <c r="P39">
        <f t="shared" si="4"/>
        <v>4</v>
      </c>
      <c r="Q39">
        <f t="shared" si="14"/>
        <v>17</v>
      </c>
      <c r="R39">
        <f t="shared" si="14"/>
        <v>16</v>
      </c>
    </row>
    <row r="40" spans="1:18" x14ac:dyDescent="0.25">
      <c r="A40" s="1">
        <v>44689</v>
      </c>
      <c r="B40">
        <f t="shared" si="0"/>
        <v>7</v>
      </c>
      <c r="C40">
        <f t="shared" si="5"/>
        <v>17</v>
      </c>
      <c r="D40">
        <f t="shared" si="5"/>
        <v>16</v>
      </c>
      <c r="E40">
        <f t="shared" si="6"/>
        <v>0</v>
      </c>
      <c r="F40">
        <f t="shared" si="1"/>
        <v>0</v>
      </c>
      <c r="G40">
        <f t="shared" si="7"/>
        <v>0</v>
      </c>
      <c r="H40">
        <f t="shared" si="8"/>
        <v>0</v>
      </c>
      <c r="I40">
        <f t="shared" si="9"/>
        <v>0</v>
      </c>
      <c r="J40">
        <f t="shared" si="2"/>
        <v>0</v>
      </c>
      <c r="K40">
        <f t="shared" si="3"/>
        <v>0</v>
      </c>
      <c r="L40">
        <f t="shared" si="10"/>
        <v>17</v>
      </c>
      <c r="M40">
        <f t="shared" si="11"/>
        <v>16</v>
      </c>
      <c r="N40">
        <f t="shared" si="12"/>
        <v>0</v>
      </c>
      <c r="O40">
        <f t="shared" si="13"/>
        <v>0</v>
      </c>
      <c r="P40">
        <f t="shared" si="4"/>
        <v>0</v>
      </c>
      <c r="Q40">
        <f t="shared" si="14"/>
        <v>17</v>
      </c>
      <c r="R40">
        <f t="shared" si="14"/>
        <v>16</v>
      </c>
    </row>
    <row r="41" spans="1:18" x14ac:dyDescent="0.25">
      <c r="A41" s="1">
        <v>44690</v>
      </c>
      <c r="B41">
        <f t="shared" si="0"/>
        <v>1</v>
      </c>
      <c r="C41">
        <f t="shared" si="5"/>
        <v>17</v>
      </c>
      <c r="D41">
        <f t="shared" si="5"/>
        <v>16</v>
      </c>
      <c r="E41">
        <f t="shared" si="6"/>
        <v>1</v>
      </c>
      <c r="F41">
        <f t="shared" si="1"/>
        <v>1</v>
      </c>
      <c r="G41">
        <f t="shared" si="7"/>
        <v>0</v>
      </c>
      <c r="H41">
        <f t="shared" si="8"/>
        <v>0</v>
      </c>
      <c r="I41">
        <f t="shared" si="9"/>
        <v>0</v>
      </c>
      <c r="J41">
        <f t="shared" si="2"/>
        <v>0</v>
      </c>
      <c r="K41">
        <f t="shared" si="3"/>
        <v>0</v>
      </c>
      <c r="L41">
        <f t="shared" si="10"/>
        <v>16</v>
      </c>
      <c r="M41">
        <f t="shared" si="11"/>
        <v>16</v>
      </c>
      <c r="N41">
        <f t="shared" si="12"/>
        <v>1</v>
      </c>
      <c r="O41">
        <f t="shared" si="13"/>
        <v>5</v>
      </c>
      <c r="P41">
        <f t="shared" si="4"/>
        <v>4</v>
      </c>
      <c r="Q41">
        <f t="shared" si="14"/>
        <v>11</v>
      </c>
      <c r="R41">
        <f t="shared" si="14"/>
        <v>12</v>
      </c>
    </row>
    <row r="42" spans="1:18" x14ac:dyDescent="0.25">
      <c r="A42" s="1">
        <v>44691</v>
      </c>
      <c r="B42">
        <f t="shared" si="0"/>
        <v>2</v>
      </c>
      <c r="C42">
        <f t="shared" si="5"/>
        <v>11</v>
      </c>
      <c r="D42">
        <f t="shared" si="5"/>
        <v>12</v>
      </c>
      <c r="E42">
        <f t="shared" si="6"/>
        <v>0</v>
      </c>
      <c r="F42">
        <f t="shared" si="1"/>
        <v>0</v>
      </c>
      <c r="G42">
        <f t="shared" si="7"/>
        <v>0</v>
      </c>
      <c r="H42">
        <f t="shared" si="8"/>
        <v>0</v>
      </c>
      <c r="I42">
        <f t="shared" si="9"/>
        <v>0</v>
      </c>
      <c r="J42">
        <f t="shared" si="2"/>
        <v>0</v>
      </c>
      <c r="K42">
        <f t="shared" si="3"/>
        <v>0</v>
      </c>
      <c r="L42">
        <f t="shared" si="10"/>
        <v>11</v>
      </c>
      <c r="M42">
        <f t="shared" si="11"/>
        <v>12</v>
      </c>
      <c r="N42">
        <f t="shared" si="12"/>
        <v>1</v>
      </c>
      <c r="O42">
        <f t="shared" si="13"/>
        <v>4</v>
      </c>
      <c r="P42">
        <f t="shared" si="4"/>
        <v>3</v>
      </c>
      <c r="Q42">
        <f t="shared" si="14"/>
        <v>7</v>
      </c>
      <c r="R42">
        <f t="shared" si="14"/>
        <v>9</v>
      </c>
    </row>
    <row r="43" spans="1:18" x14ac:dyDescent="0.25">
      <c r="A43" s="1">
        <v>44692</v>
      </c>
      <c r="B43">
        <f t="shared" si="0"/>
        <v>3</v>
      </c>
      <c r="C43">
        <f t="shared" si="5"/>
        <v>7</v>
      </c>
      <c r="D43">
        <f t="shared" si="5"/>
        <v>9</v>
      </c>
      <c r="E43">
        <f t="shared" si="6"/>
        <v>0</v>
      </c>
      <c r="F43">
        <f t="shared" si="1"/>
        <v>0</v>
      </c>
      <c r="G43">
        <f t="shared" si="7"/>
        <v>0</v>
      </c>
      <c r="H43">
        <f t="shared" si="8"/>
        <v>0</v>
      </c>
      <c r="I43">
        <f t="shared" si="9"/>
        <v>0</v>
      </c>
      <c r="J43">
        <f t="shared" si="2"/>
        <v>0</v>
      </c>
      <c r="K43">
        <f t="shared" si="3"/>
        <v>0</v>
      </c>
      <c r="L43">
        <f t="shared" si="10"/>
        <v>7</v>
      </c>
      <c r="M43">
        <f t="shared" si="11"/>
        <v>9</v>
      </c>
      <c r="N43">
        <f t="shared" si="12"/>
        <v>1</v>
      </c>
      <c r="O43">
        <f t="shared" si="13"/>
        <v>3</v>
      </c>
      <c r="P43">
        <f t="shared" si="4"/>
        <v>2</v>
      </c>
      <c r="Q43">
        <f t="shared" si="14"/>
        <v>4</v>
      </c>
      <c r="R43">
        <f t="shared" si="14"/>
        <v>7</v>
      </c>
    </row>
    <row r="44" spans="1:18" x14ac:dyDescent="0.25">
      <c r="A44" s="1">
        <v>44693</v>
      </c>
      <c r="B44">
        <f t="shared" si="0"/>
        <v>4</v>
      </c>
      <c r="C44">
        <f t="shared" si="5"/>
        <v>4</v>
      </c>
      <c r="D44">
        <f t="shared" si="5"/>
        <v>7</v>
      </c>
      <c r="E44">
        <f t="shared" si="6"/>
        <v>0</v>
      </c>
      <c r="F44">
        <f t="shared" si="1"/>
        <v>0</v>
      </c>
      <c r="G44">
        <f t="shared" si="7"/>
        <v>1</v>
      </c>
      <c r="H44">
        <f t="shared" si="8"/>
        <v>50</v>
      </c>
      <c r="I44">
        <f t="shared" si="9"/>
        <v>25</v>
      </c>
      <c r="J44">
        <f t="shared" si="2"/>
        <v>0</v>
      </c>
      <c r="K44">
        <f t="shared" si="3"/>
        <v>0</v>
      </c>
      <c r="L44">
        <f t="shared" si="10"/>
        <v>54</v>
      </c>
      <c r="M44">
        <f t="shared" si="11"/>
        <v>32</v>
      </c>
      <c r="N44">
        <f t="shared" si="12"/>
        <v>1</v>
      </c>
      <c r="O44">
        <f t="shared" si="13"/>
        <v>17</v>
      </c>
      <c r="P44">
        <f t="shared" si="4"/>
        <v>7</v>
      </c>
      <c r="Q44">
        <f t="shared" si="14"/>
        <v>37</v>
      </c>
      <c r="R44">
        <f t="shared" si="14"/>
        <v>25</v>
      </c>
    </row>
    <row r="45" spans="1:18" x14ac:dyDescent="0.25">
      <c r="A45" s="1">
        <v>44694</v>
      </c>
      <c r="B45">
        <f t="shared" si="0"/>
        <v>5</v>
      </c>
      <c r="C45">
        <f t="shared" si="5"/>
        <v>37</v>
      </c>
      <c r="D45">
        <f t="shared" si="5"/>
        <v>25</v>
      </c>
      <c r="E45">
        <f t="shared" si="6"/>
        <v>0</v>
      </c>
      <c r="F45">
        <f t="shared" si="1"/>
        <v>0</v>
      </c>
      <c r="G45">
        <f t="shared" si="7"/>
        <v>0</v>
      </c>
      <c r="H45">
        <f t="shared" si="8"/>
        <v>0</v>
      </c>
      <c r="I45">
        <f t="shared" si="9"/>
        <v>0</v>
      </c>
      <c r="J45">
        <f t="shared" si="2"/>
        <v>0</v>
      </c>
      <c r="K45">
        <f t="shared" si="3"/>
        <v>0</v>
      </c>
      <c r="L45">
        <f t="shared" si="10"/>
        <v>37</v>
      </c>
      <c r="M45">
        <f t="shared" si="11"/>
        <v>25</v>
      </c>
      <c r="N45">
        <f t="shared" si="12"/>
        <v>1</v>
      </c>
      <c r="O45">
        <f t="shared" si="13"/>
        <v>12</v>
      </c>
      <c r="P45">
        <f t="shared" si="4"/>
        <v>5</v>
      </c>
      <c r="Q45">
        <f t="shared" si="14"/>
        <v>25</v>
      </c>
      <c r="R45">
        <f t="shared" si="14"/>
        <v>20</v>
      </c>
    </row>
    <row r="46" spans="1:18" x14ac:dyDescent="0.25">
      <c r="A46" s="1">
        <v>44695</v>
      </c>
      <c r="B46">
        <f t="shared" si="0"/>
        <v>6</v>
      </c>
      <c r="C46">
        <f t="shared" si="5"/>
        <v>25</v>
      </c>
      <c r="D46">
        <f t="shared" si="5"/>
        <v>20</v>
      </c>
      <c r="E46">
        <f t="shared" si="6"/>
        <v>0</v>
      </c>
      <c r="F46">
        <f t="shared" si="1"/>
        <v>0</v>
      </c>
      <c r="G46">
        <f t="shared" si="7"/>
        <v>0</v>
      </c>
      <c r="H46">
        <f t="shared" si="8"/>
        <v>0</v>
      </c>
      <c r="I46">
        <f t="shared" si="9"/>
        <v>0</v>
      </c>
      <c r="J46">
        <f t="shared" si="2"/>
        <v>0</v>
      </c>
      <c r="K46">
        <f t="shared" si="3"/>
        <v>0</v>
      </c>
      <c r="L46">
        <f t="shared" si="10"/>
        <v>25</v>
      </c>
      <c r="M46">
        <f t="shared" si="11"/>
        <v>20</v>
      </c>
      <c r="N46">
        <f t="shared" si="12"/>
        <v>1</v>
      </c>
      <c r="O46">
        <f t="shared" si="13"/>
        <v>8</v>
      </c>
      <c r="P46">
        <f t="shared" si="4"/>
        <v>4</v>
      </c>
      <c r="Q46">
        <f t="shared" si="14"/>
        <v>17</v>
      </c>
      <c r="R46">
        <f t="shared" si="14"/>
        <v>16</v>
      </c>
    </row>
    <row r="47" spans="1:18" x14ac:dyDescent="0.25">
      <c r="A47" s="1">
        <v>44696</v>
      </c>
      <c r="B47">
        <f t="shared" si="0"/>
        <v>7</v>
      </c>
      <c r="C47">
        <f t="shared" si="5"/>
        <v>17</v>
      </c>
      <c r="D47">
        <f t="shared" si="5"/>
        <v>16</v>
      </c>
      <c r="E47">
        <f t="shared" si="6"/>
        <v>0</v>
      </c>
      <c r="F47">
        <f t="shared" si="1"/>
        <v>0</v>
      </c>
      <c r="G47">
        <f t="shared" si="7"/>
        <v>0</v>
      </c>
      <c r="H47">
        <f t="shared" si="8"/>
        <v>0</v>
      </c>
      <c r="I47">
        <f t="shared" si="9"/>
        <v>0</v>
      </c>
      <c r="J47">
        <f t="shared" si="2"/>
        <v>0</v>
      </c>
      <c r="K47">
        <f t="shared" si="3"/>
        <v>0</v>
      </c>
      <c r="L47">
        <f t="shared" si="10"/>
        <v>17</v>
      </c>
      <c r="M47">
        <f t="shared" si="11"/>
        <v>16</v>
      </c>
      <c r="N47">
        <f t="shared" si="12"/>
        <v>0</v>
      </c>
      <c r="O47">
        <f t="shared" si="13"/>
        <v>0</v>
      </c>
      <c r="P47">
        <f t="shared" si="4"/>
        <v>0</v>
      </c>
      <c r="Q47">
        <f t="shared" si="14"/>
        <v>17</v>
      </c>
      <c r="R47">
        <f t="shared" si="14"/>
        <v>16</v>
      </c>
    </row>
    <row r="48" spans="1:18" x14ac:dyDescent="0.25">
      <c r="A48" s="1">
        <v>44697</v>
      </c>
      <c r="B48">
        <f t="shared" si="0"/>
        <v>1</v>
      </c>
      <c r="C48">
        <f t="shared" si="5"/>
        <v>17</v>
      </c>
      <c r="D48">
        <f t="shared" si="5"/>
        <v>16</v>
      </c>
      <c r="E48">
        <f t="shared" si="6"/>
        <v>1</v>
      </c>
      <c r="F48">
        <f t="shared" si="1"/>
        <v>1</v>
      </c>
      <c r="G48">
        <f t="shared" si="7"/>
        <v>0</v>
      </c>
      <c r="H48">
        <f t="shared" si="8"/>
        <v>0</v>
      </c>
      <c r="I48">
        <f t="shared" si="9"/>
        <v>0</v>
      </c>
      <c r="J48">
        <f t="shared" si="2"/>
        <v>0</v>
      </c>
      <c r="K48">
        <f t="shared" si="3"/>
        <v>0</v>
      </c>
      <c r="L48">
        <f t="shared" si="10"/>
        <v>16</v>
      </c>
      <c r="M48">
        <f t="shared" si="11"/>
        <v>16</v>
      </c>
      <c r="N48">
        <f t="shared" si="12"/>
        <v>1</v>
      </c>
      <c r="O48">
        <f t="shared" si="13"/>
        <v>5</v>
      </c>
      <c r="P48">
        <f t="shared" si="4"/>
        <v>4</v>
      </c>
      <c r="Q48">
        <f t="shared" si="14"/>
        <v>11</v>
      </c>
      <c r="R48">
        <f t="shared" si="14"/>
        <v>12</v>
      </c>
    </row>
    <row r="49" spans="1:18" x14ac:dyDescent="0.25">
      <c r="A49" s="1">
        <v>44698</v>
      </c>
      <c r="B49">
        <f t="shared" si="0"/>
        <v>2</v>
      </c>
      <c r="C49">
        <f t="shared" si="5"/>
        <v>11</v>
      </c>
      <c r="D49">
        <f t="shared" si="5"/>
        <v>12</v>
      </c>
      <c r="E49">
        <f t="shared" si="6"/>
        <v>0</v>
      </c>
      <c r="F49">
        <f t="shared" si="1"/>
        <v>0</v>
      </c>
      <c r="G49">
        <f t="shared" si="7"/>
        <v>0</v>
      </c>
      <c r="H49">
        <f t="shared" si="8"/>
        <v>0</v>
      </c>
      <c r="I49">
        <f t="shared" si="9"/>
        <v>0</v>
      </c>
      <c r="J49">
        <f t="shared" si="2"/>
        <v>0</v>
      </c>
      <c r="K49">
        <f t="shared" si="3"/>
        <v>0</v>
      </c>
      <c r="L49">
        <f t="shared" si="10"/>
        <v>11</v>
      </c>
      <c r="M49">
        <f t="shared" si="11"/>
        <v>12</v>
      </c>
      <c r="N49">
        <f t="shared" si="12"/>
        <v>1</v>
      </c>
      <c r="O49">
        <f t="shared" si="13"/>
        <v>4</v>
      </c>
      <c r="P49">
        <f t="shared" si="4"/>
        <v>3</v>
      </c>
      <c r="Q49">
        <f t="shared" si="14"/>
        <v>7</v>
      </c>
      <c r="R49">
        <f t="shared" si="14"/>
        <v>9</v>
      </c>
    </row>
    <row r="50" spans="1:18" x14ac:dyDescent="0.25">
      <c r="A50" s="1">
        <v>44699</v>
      </c>
      <c r="B50">
        <f t="shared" si="0"/>
        <v>3</v>
      </c>
      <c r="C50">
        <f t="shared" si="5"/>
        <v>7</v>
      </c>
      <c r="D50">
        <f t="shared" si="5"/>
        <v>9</v>
      </c>
      <c r="E50">
        <f t="shared" si="6"/>
        <v>0</v>
      </c>
      <c r="F50">
        <f t="shared" si="1"/>
        <v>0</v>
      </c>
      <c r="G50">
        <f t="shared" si="7"/>
        <v>0</v>
      </c>
      <c r="H50">
        <f t="shared" si="8"/>
        <v>0</v>
      </c>
      <c r="I50">
        <f t="shared" si="9"/>
        <v>0</v>
      </c>
      <c r="J50">
        <f t="shared" si="2"/>
        <v>0</v>
      </c>
      <c r="K50">
        <f t="shared" si="3"/>
        <v>0</v>
      </c>
      <c r="L50">
        <f t="shared" si="10"/>
        <v>7</v>
      </c>
      <c r="M50">
        <f t="shared" si="11"/>
        <v>9</v>
      </c>
      <c r="N50">
        <f t="shared" si="12"/>
        <v>1</v>
      </c>
      <c r="O50">
        <f t="shared" si="13"/>
        <v>3</v>
      </c>
      <c r="P50">
        <f t="shared" si="4"/>
        <v>2</v>
      </c>
      <c r="Q50">
        <f t="shared" si="14"/>
        <v>4</v>
      </c>
      <c r="R50">
        <f t="shared" si="14"/>
        <v>7</v>
      </c>
    </row>
    <row r="51" spans="1:18" x14ac:dyDescent="0.25">
      <c r="A51" s="1">
        <v>44700</v>
      </c>
      <c r="B51">
        <f t="shared" si="0"/>
        <v>4</v>
      </c>
      <c r="C51">
        <f t="shared" si="5"/>
        <v>4</v>
      </c>
      <c r="D51">
        <f t="shared" si="5"/>
        <v>7</v>
      </c>
      <c r="E51">
        <f t="shared" si="6"/>
        <v>0</v>
      </c>
      <c r="F51">
        <f t="shared" si="1"/>
        <v>0</v>
      </c>
      <c r="G51">
        <f t="shared" si="7"/>
        <v>1</v>
      </c>
      <c r="H51">
        <f t="shared" si="8"/>
        <v>50</v>
      </c>
      <c r="I51">
        <f t="shared" si="9"/>
        <v>25</v>
      </c>
      <c r="J51">
        <f t="shared" si="2"/>
        <v>0</v>
      </c>
      <c r="K51">
        <f t="shared" si="3"/>
        <v>0</v>
      </c>
      <c r="L51">
        <f t="shared" si="10"/>
        <v>54</v>
      </c>
      <c r="M51">
        <f t="shared" si="11"/>
        <v>32</v>
      </c>
      <c r="N51">
        <f t="shared" si="12"/>
        <v>1</v>
      </c>
      <c r="O51">
        <f t="shared" si="13"/>
        <v>17</v>
      </c>
      <c r="P51">
        <f t="shared" si="4"/>
        <v>7</v>
      </c>
      <c r="Q51">
        <f t="shared" si="14"/>
        <v>37</v>
      </c>
      <c r="R51">
        <f t="shared" si="14"/>
        <v>25</v>
      </c>
    </row>
    <row r="52" spans="1:18" x14ac:dyDescent="0.25">
      <c r="A52" s="1">
        <v>44701</v>
      </c>
      <c r="B52">
        <f t="shared" si="0"/>
        <v>5</v>
      </c>
      <c r="C52">
        <f t="shared" si="5"/>
        <v>37</v>
      </c>
      <c r="D52">
        <f t="shared" si="5"/>
        <v>25</v>
      </c>
      <c r="E52">
        <f t="shared" si="6"/>
        <v>0</v>
      </c>
      <c r="F52">
        <f t="shared" si="1"/>
        <v>0</v>
      </c>
      <c r="G52">
        <f t="shared" si="7"/>
        <v>0</v>
      </c>
      <c r="H52">
        <f t="shared" si="8"/>
        <v>0</v>
      </c>
      <c r="I52">
        <f t="shared" si="9"/>
        <v>0</v>
      </c>
      <c r="J52">
        <f t="shared" si="2"/>
        <v>0</v>
      </c>
      <c r="K52">
        <f t="shared" si="3"/>
        <v>0</v>
      </c>
      <c r="L52">
        <f t="shared" si="10"/>
        <v>37</v>
      </c>
      <c r="M52">
        <f t="shared" si="11"/>
        <v>25</v>
      </c>
      <c r="N52">
        <f t="shared" si="12"/>
        <v>1</v>
      </c>
      <c r="O52">
        <f t="shared" si="13"/>
        <v>12</v>
      </c>
      <c r="P52">
        <f t="shared" si="4"/>
        <v>5</v>
      </c>
      <c r="Q52">
        <f t="shared" si="14"/>
        <v>25</v>
      </c>
      <c r="R52">
        <f t="shared" si="14"/>
        <v>20</v>
      </c>
    </row>
    <row r="53" spans="1:18" x14ac:dyDescent="0.25">
      <c r="A53" s="1">
        <v>44702</v>
      </c>
      <c r="B53">
        <f t="shared" si="0"/>
        <v>6</v>
      </c>
      <c r="C53">
        <f t="shared" si="5"/>
        <v>25</v>
      </c>
      <c r="D53">
        <f t="shared" si="5"/>
        <v>20</v>
      </c>
      <c r="E53">
        <f t="shared" si="6"/>
        <v>0</v>
      </c>
      <c r="F53">
        <f t="shared" si="1"/>
        <v>0</v>
      </c>
      <c r="G53">
        <f t="shared" si="7"/>
        <v>0</v>
      </c>
      <c r="H53">
        <f t="shared" si="8"/>
        <v>0</v>
      </c>
      <c r="I53">
        <f t="shared" si="9"/>
        <v>0</v>
      </c>
      <c r="J53">
        <f t="shared" si="2"/>
        <v>0</v>
      </c>
      <c r="K53">
        <f t="shared" si="3"/>
        <v>0</v>
      </c>
      <c r="L53">
        <f t="shared" si="10"/>
        <v>25</v>
      </c>
      <c r="M53">
        <f t="shared" si="11"/>
        <v>20</v>
      </c>
      <c r="N53">
        <f t="shared" si="12"/>
        <v>1</v>
      </c>
      <c r="O53">
        <f t="shared" si="13"/>
        <v>8</v>
      </c>
      <c r="P53">
        <f t="shared" si="4"/>
        <v>4</v>
      </c>
      <c r="Q53">
        <f t="shared" si="14"/>
        <v>17</v>
      </c>
      <c r="R53">
        <f t="shared" si="14"/>
        <v>16</v>
      </c>
    </row>
    <row r="54" spans="1:18" x14ac:dyDescent="0.25">
      <c r="A54" s="1">
        <v>44703</v>
      </c>
      <c r="B54">
        <f t="shared" si="0"/>
        <v>7</v>
      </c>
      <c r="C54">
        <f t="shared" si="5"/>
        <v>17</v>
      </c>
      <c r="D54">
        <f t="shared" si="5"/>
        <v>16</v>
      </c>
      <c r="E54">
        <f t="shared" si="6"/>
        <v>0</v>
      </c>
      <c r="F54">
        <f t="shared" si="1"/>
        <v>0</v>
      </c>
      <c r="G54">
        <f t="shared" si="7"/>
        <v>0</v>
      </c>
      <c r="H54">
        <f t="shared" si="8"/>
        <v>0</v>
      </c>
      <c r="I54">
        <f t="shared" si="9"/>
        <v>0</v>
      </c>
      <c r="J54">
        <f t="shared" si="2"/>
        <v>0</v>
      </c>
      <c r="K54">
        <f t="shared" si="3"/>
        <v>0</v>
      </c>
      <c r="L54">
        <f t="shared" si="10"/>
        <v>17</v>
      </c>
      <c r="M54">
        <f t="shared" si="11"/>
        <v>16</v>
      </c>
      <c r="N54">
        <f t="shared" si="12"/>
        <v>0</v>
      </c>
      <c r="O54">
        <f t="shared" si="13"/>
        <v>0</v>
      </c>
      <c r="P54">
        <f t="shared" si="4"/>
        <v>0</v>
      </c>
      <c r="Q54">
        <f t="shared" si="14"/>
        <v>17</v>
      </c>
      <c r="R54">
        <f t="shared" si="14"/>
        <v>16</v>
      </c>
    </row>
    <row r="55" spans="1:18" x14ac:dyDescent="0.25">
      <c r="A55" s="1">
        <v>44704</v>
      </c>
      <c r="B55">
        <f t="shared" si="0"/>
        <v>1</v>
      </c>
      <c r="C55">
        <f t="shared" si="5"/>
        <v>17</v>
      </c>
      <c r="D55">
        <f t="shared" si="5"/>
        <v>16</v>
      </c>
      <c r="E55">
        <f t="shared" si="6"/>
        <v>1</v>
      </c>
      <c r="F55">
        <f t="shared" si="1"/>
        <v>1</v>
      </c>
      <c r="G55">
        <f t="shared" si="7"/>
        <v>0</v>
      </c>
      <c r="H55">
        <f t="shared" si="8"/>
        <v>0</v>
      </c>
      <c r="I55">
        <f t="shared" si="9"/>
        <v>0</v>
      </c>
      <c r="J55">
        <f t="shared" si="2"/>
        <v>0</v>
      </c>
      <c r="K55">
        <f t="shared" si="3"/>
        <v>0</v>
      </c>
      <c r="L55">
        <f t="shared" si="10"/>
        <v>16</v>
      </c>
      <c r="M55">
        <f t="shared" si="11"/>
        <v>16</v>
      </c>
      <c r="N55">
        <f t="shared" si="12"/>
        <v>1</v>
      </c>
      <c r="O55">
        <f t="shared" si="13"/>
        <v>5</v>
      </c>
      <c r="P55">
        <f t="shared" si="4"/>
        <v>4</v>
      </c>
      <c r="Q55">
        <f t="shared" si="14"/>
        <v>11</v>
      </c>
      <c r="R55">
        <f t="shared" si="14"/>
        <v>12</v>
      </c>
    </row>
    <row r="56" spans="1:18" x14ac:dyDescent="0.25">
      <c r="A56" s="1">
        <v>44705</v>
      </c>
      <c r="B56">
        <f t="shared" si="0"/>
        <v>2</v>
      </c>
      <c r="C56">
        <f t="shared" si="5"/>
        <v>11</v>
      </c>
      <c r="D56">
        <f t="shared" si="5"/>
        <v>12</v>
      </c>
      <c r="E56">
        <f t="shared" si="6"/>
        <v>0</v>
      </c>
      <c r="F56">
        <f t="shared" si="1"/>
        <v>0</v>
      </c>
      <c r="G56">
        <f t="shared" si="7"/>
        <v>0</v>
      </c>
      <c r="H56">
        <f t="shared" si="8"/>
        <v>0</v>
      </c>
      <c r="I56">
        <f t="shared" si="9"/>
        <v>0</v>
      </c>
      <c r="J56">
        <f t="shared" si="2"/>
        <v>0</v>
      </c>
      <c r="K56">
        <f t="shared" si="3"/>
        <v>0</v>
      </c>
      <c r="L56">
        <f t="shared" si="10"/>
        <v>11</v>
      </c>
      <c r="M56">
        <f t="shared" si="11"/>
        <v>12</v>
      </c>
      <c r="N56">
        <f t="shared" si="12"/>
        <v>1</v>
      </c>
      <c r="O56">
        <f t="shared" si="13"/>
        <v>4</v>
      </c>
      <c r="P56">
        <f t="shared" si="4"/>
        <v>3</v>
      </c>
      <c r="Q56">
        <f t="shared" si="14"/>
        <v>7</v>
      </c>
      <c r="R56">
        <f t="shared" si="14"/>
        <v>9</v>
      </c>
    </row>
    <row r="57" spans="1:18" x14ac:dyDescent="0.25">
      <c r="A57" s="1">
        <v>44706</v>
      </c>
      <c r="B57">
        <f t="shared" si="0"/>
        <v>3</v>
      </c>
      <c r="C57">
        <f t="shared" si="5"/>
        <v>7</v>
      </c>
      <c r="D57">
        <f t="shared" si="5"/>
        <v>9</v>
      </c>
      <c r="E57">
        <f t="shared" si="6"/>
        <v>0</v>
      </c>
      <c r="F57">
        <f t="shared" si="1"/>
        <v>0</v>
      </c>
      <c r="G57">
        <f t="shared" si="7"/>
        <v>0</v>
      </c>
      <c r="H57">
        <f t="shared" si="8"/>
        <v>0</v>
      </c>
      <c r="I57">
        <f t="shared" si="9"/>
        <v>0</v>
      </c>
      <c r="J57">
        <f t="shared" si="2"/>
        <v>0</v>
      </c>
      <c r="K57">
        <f t="shared" si="3"/>
        <v>0</v>
      </c>
      <c r="L57">
        <f t="shared" si="10"/>
        <v>7</v>
      </c>
      <c r="M57">
        <f t="shared" si="11"/>
        <v>9</v>
      </c>
      <c r="N57">
        <f t="shared" si="12"/>
        <v>1</v>
      </c>
      <c r="O57">
        <f t="shared" si="13"/>
        <v>3</v>
      </c>
      <c r="P57">
        <f t="shared" si="4"/>
        <v>2</v>
      </c>
      <c r="Q57">
        <f t="shared" si="14"/>
        <v>4</v>
      </c>
      <c r="R57">
        <f t="shared" si="14"/>
        <v>7</v>
      </c>
    </row>
    <row r="58" spans="1:18" x14ac:dyDescent="0.25">
      <c r="A58" s="1">
        <v>44707</v>
      </c>
      <c r="B58">
        <f t="shared" si="0"/>
        <v>4</v>
      </c>
      <c r="C58">
        <f t="shared" si="5"/>
        <v>4</v>
      </c>
      <c r="D58">
        <f t="shared" si="5"/>
        <v>7</v>
      </c>
      <c r="E58">
        <f t="shared" si="6"/>
        <v>0</v>
      </c>
      <c r="F58">
        <f t="shared" si="1"/>
        <v>0</v>
      </c>
      <c r="G58">
        <f t="shared" si="7"/>
        <v>1</v>
      </c>
      <c r="H58">
        <f t="shared" si="8"/>
        <v>50</v>
      </c>
      <c r="I58">
        <f t="shared" si="9"/>
        <v>25</v>
      </c>
      <c r="J58">
        <f t="shared" si="2"/>
        <v>0</v>
      </c>
      <c r="K58">
        <f t="shared" si="3"/>
        <v>0</v>
      </c>
      <c r="L58">
        <f t="shared" si="10"/>
        <v>54</v>
      </c>
      <c r="M58">
        <f t="shared" si="11"/>
        <v>32</v>
      </c>
      <c r="N58">
        <f t="shared" si="12"/>
        <v>1</v>
      </c>
      <c r="O58">
        <f t="shared" si="13"/>
        <v>17</v>
      </c>
      <c r="P58">
        <f t="shared" si="4"/>
        <v>7</v>
      </c>
      <c r="Q58">
        <f t="shared" si="14"/>
        <v>37</v>
      </c>
      <c r="R58">
        <f t="shared" si="14"/>
        <v>25</v>
      </c>
    </row>
    <row r="59" spans="1:18" x14ac:dyDescent="0.25">
      <c r="A59" s="1">
        <v>44708</v>
      </c>
      <c r="B59">
        <f t="shared" si="0"/>
        <v>5</v>
      </c>
      <c r="C59">
        <f t="shared" si="5"/>
        <v>37</v>
      </c>
      <c r="D59">
        <f t="shared" si="5"/>
        <v>25</v>
      </c>
      <c r="E59">
        <f t="shared" si="6"/>
        <v>0</v>
      </c>
      <c r="F59">
        <f t="shared" si="1"/>
        <v>0</v>
      </c>
      <c r="G59">
        <f t="shared" si="7"/>
        <v>0</v>
      </c>
      <c r="H59">
        <f t="shared" si="8"/>
        <v>0</v>
      </c>
      <c r="I59">
        <f t="shared" si="9"/>
        <v>0</v>
      </c>
      <c r="J59">
        <f t="shared" si="2"/>
        <v>0</v>
      </c>
      <c r="K59">
        <f t="shared" si="3"/>
        <v>0</v>
      </c>
      <c r="L59">
        <f t="shared" si="10"/>
        <v>37</v>
      </c>
      <c r="M59">
        <f t="shared" si="11"/>
        <v>25</v>
      </c>
      <c r="N59">
        <f t="shared" si="12"/>
        <v>1</v>
      </c>
      <c r="O59">
        <f t="shared" si="13"/>
        <v>12</v>
      </c>
      <c r="P59">
        <f t="shared" si="4"/>
        <v>5</v>
      </c>
      <c r="Q59">
        <f t="shared" si="14"/>
        <v>25</v>
      </c>
      <c r="R59">
        <f t="shared" si="14"/>
        <v>20</v>
      </c>
    </row>
    <row r="60" spans="1:18" x14ac:dyDescent="0.25">
      <c r="A60" s="1">
        <v>44709</v>
      </c>
      <c r="B60">
        <f t="shared" si="0"/>
        <v>6</v>
      </c>
      <c r="C60">
        <f t="shared" si="5"/>
        <v>25</v>
      </c>
      <c r="D60">
        <f t="shared" si="5"/>
        <v>20</v>
      </c>
      <c r="E60">
        <f t="shared" si="6"/>
        <v>0</v>
      </c>
      <c r="F60">
        <f t="shared" si="1"/>
        <v>0</v>
      </c>
      <c r="G60">
        <f t="shared" si="7"/>
        <v>0</v>
      </c>
      <c r="H60">
        <f t="shared" si="8"/>
        <v>0</v>
      </c>
      <c r="I60">
        <f t="shared" si="9"/>
        <v>0</v>
      </c>
      <c r="J60">
        <f t="shared" si="2"/>
        <v>0</v>
      </c>
      <c r="K60">
        <f t="shared" si="3"/>
        <v>0</v>
      </c>
      <c r="L60">
        <f t="shared" si="10"/>
        <v>25</v>
      </c>
      <c r="M60">
        <f t="shared" si="11"/>
        <v>20</v>
      </c>
      <c r="N60">
        <f t="shared" si="12"/>
        <v>1</v>
      </c>
      <c r="O60">
        <f t="shared" si="13"/>
        <v>8</v>
      </c>
      <c r="P60">
        <f t="shared" si="4"/>
        <v>4</v>
      </c>
      <c r="Q60">
        <f t="shared" si="14"/>
        <v>17</v>
      </c>
      <c r="R60">
        <f t="shared" si="14"/>
        <v>16</v>
      </c>
    </row>
    <row r="61" spans="1:18" x14ac:dyDescent="0.25">
      <c r="A61" s="1">
        <v>44710</v>
      </c>
      <c r="B61">
        <f t="shared" si="0"/>
        <v>7</v>
      </c>
      <c r="C61">
        <f t="shared" si="5"/>
        <v>17</v>
      </c>
      <c r="D61">
        <f t="shared" si="5"/>
        <v>16</v>
      </c>
      <c r="E61">
        <f t="shared" si="6"/>
        <v>0</v>
      </c>
      <c r="F61">
        <f t="shared" si="1"/>
        <v>0</v>
      </c>
      <c r="G61">
        <f t="shared" si="7"/>
        <v>0</v>
      </c>
      <c r="H61">
        <f t="shared" si="8"/>
        <v>0</v>
      </c>
      <c r="I61">
        <f t="shared" si="9"/>
        <v>0</v>
      </c>
      <c r="J61">
        <f t="shared" si="2"/>
        <v>0</v>
      </c>
      <c r="K61">
        <f t="shared" si="3"/>
        <v>0</v>
      </c>
      <c r="L61">
        <f t="shared" si="10"/>
        <v>17</v>
      </c>
      <c r="M61">
        <f t="shared" si="11"/>
        <v>16</v>
      </c>
      <c r="N61">
        <f t="shared" si="12"/>
        <v>0</v>
      </c>
      <c r="O61">
        <f t="shared" si="13"/>
        <v>0</v>
      </c>
      <c r="P61">
        <f t="shared" si="4"/>
        <v>0</v>
      </c>
      <c r="Q61">
        <f t="shared" si="14"/>
        <v>17</v>
      </c>
      <c r="R61">
        <f t="shared" si="14"/>
        <v>16</v>
      </c>
    </row>
    <row r="62" spans="1:18" x14ac:dyDescent="0.25">
      <c r="A62" s="1">
        <v>44711</v>
      </c>
      <c r="B62">
        <f t="shared" si="0"/>
        <v>1</v>
      </c>
      <c r="C62">
        <f t="shared" si="5"/>
        <v>17</v>
      </c>
      <c r="D62">
        <f t="shared" si="5"/>
        <v>16</v>
      </c>
      <c r="E62">
        <f t="shared" si="6"/>
        <v>1</v>
      </c>
      <c r="F62">
        <f t="shared" si="1"/>
        <v>1</v>
      </c>
      <c r="G62">
        <f t="shared" si="7"/>
        <v>0</v>
      </c>
      <c r="H62">
        <f t="shared" si="8"/>
        <v>0</v>
      </c>
      <c r="I62">
        <f t="shared" si="9"/>
        <v>0</v>
      </c>
      <c r="J62">
        <f t="shared" si="2"/>
        <v>0</v>
      </c>
      <c r="K62">
        <f t="shared" si="3"/>
        <v>0</v>
      </c>
      <c r="L62">
        <f t="shared" si="10"/>
        <v>16</v>
      </c>
      <c r="M62">
        <f t="shared" si="11"/>
        <v>16</v>
      </c>
      <c r="N62">
        <f t="shared" si="12"/>
        <v>1</v>
      </c>
      <c r="O62">
        <f t="shared" si="13"/>
        <v>5</v>
      </c>
      <c r="P62">
        <f t="shared" si="4"/>
        <v>4</v>
      </c>
      <c r="Q62">
        <f t="shared" si="14"/>
        <v>11</v>
      </c>
      <c r="R62">
        <f t="shared" si="14"/>
        <v>12</v>
      </c>
    </row>
    <row r="63" spans="1:18" x14ac:dyDescent="0.25">
      <c r="A63" s="1">
        <v>44712</v>
      </c>
      <c r="B63">
        <f t="shared" si="0"/>
        <v>2</v>
      </c>
      <c r="C63">
        <f t="shared" si="5"/>
        <v>11</v>
      </c>
      <c r="D63">
        <f t="shared" si="5"/>
        <v>12</v>
      </c>
      <c r="E63">
        <f t="shared" si="6"/>
        <v>0</v>
      </c>
      <c r="F63">
        <f t="shared" si="1"/>
        <v>0</v>
      </c>
      <c r="G63">
        <f t="shared" si="7"/>
        <v>0</v>
      </c>
      <c r="H63">
        <f t="shared" si="8"/>
        <v>0</v>
      </c>
      <c r="I63">
        <f t="shared" si="9"/>
        <v>0</v>
      </c>
      <c r="J63">
        <f t="shared" si="2"/>
        <v>0</v>
      </c>
      <c r="K63">
        <f t="shared" si="3"/>
        <v>0</v>
      </c>
      <c r="L63">
        <f t="shared" si="10"/>
        <v>11</v>
      </c>
      <c r="M63">
        <f t="shared" si="11"/>
        <v>12</v>
      </c>
      <c r="N63">
        <f t="shared" si="12"/>
        <v>1</v>
      </c>
      <c r="O63">
        <f t="shared" si="13"/>
        <v>4</v>
      </c>
      <c r="P63">
        <f t="shared" si="4"/>
        <v>3</v>
      </c>
      <c r="Q63">
        <f t="shared" si="14"/>
        <v>7</v>
      </c>
      <c r="R63">
        <f t="shared" si="14"/>
        <v>9</v>
      </c>
    </row>
    <row r="64" spans="1:18" x14ac:dyDescent="0.25">
      <c r="A64" s="1">
        <v>44713</v>
      </c>
      <c r="B64">
        <f t="shared" si="0"/>
        <v>3</v>
      </c>
      <c r="C64">
        <f t="shared" si="5"/>
        <v>7</v>
      </c>
      <c r="D64">
        <f t="shared" si="5"/>
        <v>9</v>
      </c>
      <c r="E64">
        <f t="shared" si="6"/>
        <v>0</v>
      </c>
      <c r="F64">
        <f t="shared" si="1"/>
        <v>0</v>
      </c>
      <c r="G64">
        <f t="shared" si="7"/>
        <v>0</v>
      </c>
      <c r="H64">
        <f t="shared" si="8"/>
        <v>0</v>
      </c>
      <c r="I64">
        <f t="shared" si="9"/>
        <v>0</v>
      </c>
      <c r="J64">
        <f t="shared" si="2"/>
        <v>0</v>
      </c>
      <c r="K64">
        <f t="shared" si="3"/>
        <v>0</v>
      </c>
      <c r="L64">
        <f t="shared" si="10"/>
        <v>7</v>
      </c>
      <c r="M64">
        <f t="shared" si="11"/>
        <v>9</v>
      </c>
      <c r="N64">
        <f t="shared" si="12"/>
        <v>1</v>
      </c>
      <c r="O64">
        <f t="shared" si="13"/>
        <v>3</v>
      </c>
      <c r="P64">
        <f t="shared" si="4"/>
        <v>2</v>
      </c>
      <c r="Q64">
        <f t="shared" si="14"/>
        <v>4</v>
      </c>
      <c r="R64">
        <f t="shared" si="14"/>
        <v>7</v>
      </c>
    </row>
    <row r="65" spans="1:18" x14ac:dyDescent="0.25">
      <c r="A65" s="1">
        <v>44714</v>
      </c>
      <c r="B65">
        <f t="shared" si="0"/>
        <v>4</v>
      </c>
      <c r="C65">
        <f t="shared" si="5"/>
        <v>4</v>
      </c>
      <c r="D65">
        <f t="shared" si="5"/>
        <v>7</v>
      </c>
      <c r="E65">
        <f t="shared" si="6"/>
        <v>0</v>
      </c>
      <c r="F65">
        <f t="shared" si="1"/>
        <v>0</v>
      </c>
      <c r="G65">
        <f t="shared" si="7"/>
        <v>1</v>
      </c>
      <c r="H65">
        <f t="shared" si="8"/>
        <v>50</v>
      </c>
      <c r="I65">
        <f t="shared" si="9"/>
        <v>25</v>
      </c>
      <c r="J65">
        <f t="shared" si="2"/>
        <v>0</v>
      </c>
      <c r="K65">
        <f t="shared" si="3"/>
        <v>0</v>
      </c>
      <c r="L65">
        <f t="shared" si="10"/>
        <v>54</v>
      </c>
      <c r="M65">
        <f t="shared" si="11"/>
        <v>32</v>
      </c>
      <c r="N65">
        <f t="shared" si="12"/>
        <v>1</v>
      </c>
      <c r="O65">
        <f t="shared" si="13"/>
        <v>17</v>
      </c>
      <c r="P65">
        <f t="shared" si="4"/>
        <v>7</v>
      </c>
      <c r="Q65">
        <f t="shared" si="14"/>
        <v>37</v>
      </c>
      <c r="R65">
        <f t="shared" si="14"/>
        <v>25</v>
      </c>
    </row>
    <row r="66" spans="1:18" x14ac:dyDescent="0.25">
      <c r="A66" s="1">
        <v>44715</v>
      </c>
      <c r="B66">
        <f t="shared" si="0"/>
        <v>5</v>
      </c>
      <c r="C66">
        <f t="shared" si="5"/>
        <v>37</v>
      </c>
      <c r="D66">
        <f t="shared" si="5"/>
        <v>25</v>
      </c>
      <c r="E66">
        <f t="shared" si="6"/>
        <v>0</v>
      </c>
      <c r="F66">
        <f t="shared" si="1"/>
        <v>0</v>
      </c>
      <c r="G66">
        <f t="shared" si="7"/>
        <v>0</v>
      </c>
      <c r="H66">
        <f t="shared" si="8"/>
        <v>0</v>
      </c>
      <c r="I66">
        <f t="shared" si="9"/>
        <v>0</v>
      </c>
      <c r="J66">
        <f t="shared" si="2"/>
        <v>0</v>
      </c>
      <c r="K66">
        <f t="shared" si="3"/>
        <v>0</v>
      </c>
      <c r="L66">
        <f t="shared" si="10"/>
        <v>37</v>
      </c>
      <c r="M66">
        <f t="shared" si="11"/>
        <v>25</v>
      </c>
      <c r="N66">
        <f t="shared" si="12"/>
        <v>1</v>
      </c>
      <c r="O66">
        <f t="shared" si="13"/>
        <v>12</v>
      </c>
      <c r="P66">
        <f t="shared" si="4"/>
        <v>5</v>
      </c>
      <c r="Q66">
        <f t="shared" si="14"/>
        <v>25</v>
      </c>
      <c r="R66">
        <f t="shared" si="14"/>
        <v>20</v>
      </c>
    </row>
    <row r="67" spans="1:18" x14ac:dyDescent="0.25">
      <c r="A67" s="1">
        <v>44716</v>
      </c>
      <c r="B67">
        <f t="shared" si="0"/>
        <v>6</v>
      </c>
      <c r="C67">
        <f t="shared" si="5"/>
        <v>25</v>
      </c>
      <c r="D67">
        <f t="shared" si="5"/>
        <v>20</v>
      </c>
      <c r="E67">
        <f t="shared" si="6"/>
        <v>0</v>
      </c>
      <c r="F67">
        <f t="shared" si="1"/>
        <v>0</v>
      </c>
      <c r="G67">
        <f t="shared" si="7"/>
        <v>0</v>
      </c>
      <c r="H67">
        <f t="shared" si="8"/>
        <v>0</v>
      </c>
      <c r="I67">
        <f t="shared" si="9"/>
        <v>0</v>
      </c>
      <c r="J67">
        <f t="shared" si="2"/>
        <v>0</v>
      </c>
      <c r="K67">
        <f t="shared" si="3"/>
        <v>0</v>
      </c>
      <c r="L67">
        <f t="shared" si="10"/>
        <v>25</v>
      </c>
      <c r="M67">
        <f t="shared" si="11"/>
        <v>20</v>
      </c>
      <c r="N67">
        <f t="shared" si="12"/>
        <v>1</v>
      </c>
      <c r="O67">
        <f t="shared" si="13"/>
        <v>8</v>
      </c>
      <c r="P67">
        <f t="shared" si="4"/>
        <v>4</v>
      </c>
      <c r="Q67">
        <f t="shared" si="14"/>
        <v>17</v>
      </c>
      <c r="R67">
        <f t="shared" si="14"/>
        <v>16</v>
      </c>
    </row>
    <row r="68" spans="1:18" x14ac:dyDescent="0.25">
      <c r="A68" s="1">
        <v>44717</v>
      </c>
      <c r="B68">
        <f t="shared" ref="B68:B131" si="15">WEEKDAY(A68, 2)</f>
        <v>7</v>
      </c>
      <c r="C68">
        <f t="shared" si="5"/>
        <v>17</v>
      </c>
      <c r="D68">
        <f t="shared" si="5"/>
        <v>16</v>
      </c>
      <c r="E68">
        <f t="shared" si="6"/>
        <v>0</v>
      </c>
      <c r="F68">
        <f t="shared" ref="F68:F131" si="16">IF(E68=1,ROUNDUP(5% * C68,0),0)</f>
        <v>0</v>
      </c>
      <c r="G68">
        <f t="shared" si="7"/>
        <v>0</v>
      </c>
      <c r="H68">
        <f t="shared" si="8"/>
        <v>0</v>
      </c>
      <c r="I68">
        <f t="shared" si="9"/>
        <v>0</v>
      </c>
      <c r="J68">
        <f t="shared" ref="J68:J131" si="17">IF(AND(B68=1,SUM(O65:O66)&gt;25),1,0)</f>
        <v>0</v>
      </c>
      <c r="K68">
        <f t="shared" ref="K68:K131" si="18">IF(J68=1,15,0)</f>
        <v>0</v>
      </c>
      <c r="L68">
        <f t="shared" si="10"/>
        <v>17</v>
      </c>
      <c r="M68">
        <f t="shared" si="11"/>
        <v>16</v>
      </c>
      <c r="N68">
        <f t="shared" si="12"/>
        <v>0</v>
      </c>
      <c r="O68">
        <f t="shared" si="13"/>
        <v>0</v>
      </c>
      <c r="P68">
        <f t="shared" ref="P68:P131" si="19">IF(N68=1,ROUNDUP(20% * M68,0),0)</f>
        <v>0</v>
      </c>
      <c r="Q68">
        <f t="shared" si="14"/>
        <v>17</v>
      </c>
      <c r="R68">
        <f t="shared" si="14"/>
        <v>16</v>
      </c>
    </row>
    <row r="69" spans="1:18" x14ac:dyDescent="0.25">
      <c r="A69" s="1">
        <v>44718</v>
      </c>
      <c r="B69">
        <f t="shared" si="15"/>
        <v>1</v>
      </c>
      <c r="C69">
        <f t="shared" ref="C69:D132" si="20">Q68</f>
        <v>17</v>
      </c>
      <c r="D69">
        <f t="shared" si="20"/>
        <v>16</v>
      </c>
      <c r="E69">
        <f t="shared" ref="E69:E132" si="21">IF(B69=1,1,0)</f>
        <v>1</v>
      </c>
      <c r="F69">
        <f t="shared" si="16"/>
        <v>1</v>
      </c>
      <c r="G69">
        <f t="shared" ref="G69:G132" si="22">IF(B69=4,1,0)</f>
        <v>0</v>
      </c>
      <c r="H69">
        <f t="shared" ref="H69:H132" si="23">IF(G69=1,50,0)</f>
        <v>0</v>
      </c>
      <c r="I69">
        <f t="shared" ref="I69:I132" si="24">IF(G69=1,25,0)</f>
        <v>0</v>
      </c>
      <c r="J69">
        <f t="shared" si="17"/>
        <v>0</v>
      </c>
      <c r="K69">
        <f t="shared" si="18"/>
        <v>0</v>
      </c>
      <c r="L69">
        <f t="shared" ref="L69:L132" si="25">K69+H69+C69-F69</f>
        <v>16</v>
      </c>
      <c r="M69">
        <f t="shared" ref="M69:M132" si="26">I69+D69</f>
        <v>16</v>
      </c>
      <c r="N69">
        <f t="shared" ref="N69:N132" si="27">IF(B69&lt;&gt;7,1,0)</f>
        <v>1</v>
      </c>
      <c r="O69">
        <f t="shared" ref="O69:O132" si="28">IF(N69=1,ROUNDUP(30% * L69,0),0)</f>
        <v>5</v>
      </c>
      <c r="P69">
        <f t="shared" si="19"/>
        <v>4</v>
      </c>
      <c r="Q69">
        <f t="shared" ref="Q69:R132" si="29">L69-O69</f>
        <v>11</v>
      </c>
      <c r="R69">
        <f t="shared" si="29"/>
        <v>12</v>
      </c>
    </row>
    <row r="70" spans="1:18" x14ac:dyDescent="0.25">
      <c r="A70" s="1">
        <v>44719</v>
      </c>
      <c r="B70">
        <f t="shared" si="15"/>
        <v>2</v>
      </c>
      <c r="C70">
        <f t="shared" si="20"/>
        <v>11</v>
      </c>
      <c r="D70">
        <f t="shared" si="20"/>
        <v>12</v>
      </c>
      <c r="E70">
        <f t="shared" si="21"/>
        <v>0</v>
      </c>
      <c r="F70">
        <f t="shared" si="16"/>
        <v>0</v>
      </c>
      <c r="G70">
        <f t="shared" si="22"/>
        <v>0</v>
      </c>
      <c r="H70">
        <f t="shared" si="23"/>
        <v>0</v>
      </c>
      <c r="I70">
        <f t="shared" si="24"/>
        <v>0</v>
      </c>
      <c r="J70">
        <f t="shared" si="17"/>
        <v>0</v>
      </c>
      <c r="K70">
        <f t="shared" si="18"/>
        <v>0</v>
      </c>
      <c r="L70">
        <f t="shared" si="25"/>
        <v>11</v>
      </c>
      <c r="M70">
        <f t="shared" si="26"/>
        <v>12</v>
      </c>
      <c r="N70">
        <f t="shared" si="27"/>
        <v>1</v>
      </c>
      <c r="O70">
        <f t="shared" si="28"/>
        <v>4</v>
      </c>
      <c r="P70">
        <f t="shared" si="19"/>
        <v>3</v>
      </c>
      <c r="Q70">
        <f t="shared" si="29"/>
        <v>7</v>
      </c>
      <c r="R70">
        <f t="shared" si="29"/>
        <v>9</v>
      </c>
    </row>
    <row r="71" spans="1:18" x14ac:dyDescent="0.25">
      <c r="A71" s="1">
        <v>44720</v>
      </c>
      <c r="B71">
        <f t="shared" si="15"/>
        <v>3</v>
      </c>
      <c r="C71">
        <f t="shared" si="20"/>
        <v>7</v>
      </c>
      <c r="D71">
        <f t="shared" si="20"/>
        <v>9</v>
      </c>
      <c r="E71">
        <f t="shared" si="21"/>
        <v>0</v>
      </c>
      <c r="F71">
        <f t="shared" si="16"/>
        <v>0</v>
      </c>
      <c r="G71">
        <f t="shared" si="22"/>
        <v>0</v>
      </c>
      <c r="H71">
        <f t="shared" si="23"/>
        <v>0</v>
      </c>
      <c r="I71">
        <f t="shared" si="24"/>
        <v>0</v>
      </c>
      <c r="J71">
        <f t="shared" si="17"/>
        <v>0</v>
      </c>
      <c r="K71">
        <f t="shared" si="18"/>
        <v>0</v>
      </c>
      <c r="L71">
        <f t="shared" si="25"/>
        <v>7</v>
      </c>
      <c r="M71">
        <f t="shared" si="26"/>
        <v>9</v>
      </c>
      <c r="N71">
        <f t="shared" si="27"/>
        <v>1</v>
      </c>
      <c r="O71">
        <f t="shared" si="28"/>
        <v>3</v>
      </c>
      <c r="P71">
        <f t="shared" si="19"/>
        <v>2</v>
      </c>
      <c r="Q71">
        <f t="shared" si="29"/>
        <v>4</v>
      </c>
      <c r="R71">
        <f t="shared" si="29"/>
        <v>7</v>
      </c>
    </row>
    <row r="72" spans="1:18" x14ac:dyDescent="0.25">
      <c r="A72" s="1">
        <v>44721</v>
      </c>
      <c r="B72">
        <f t="shared" si="15"/>
        <v>4</v>
      </c>
      <c r="C72">
        <f t="shared" si="20"/>
        <v>4</v>
      </c>
      <c r="D72">
        <f t="shared" si="20"/>
        <v>7</v>
      </c>
      <c r="E72">
        <f t="shared" si="21"/>
        <v>0</v>
      </c>
      <c r="F72">
        <f t="shared" si="16"/>
        <v>0</v>
      </c>
      <c r="G72">
        <f t="shared" si="22"/>
        <v>1</v>
      </c>
      <c r="H72">
        <f t="shared" si="23"/>
        <v>50</v>
      </c>
      <c r="I72">
        <f t="shared" si="24"/>
        <v>25</v>
      </c>
      <c r="J72">
        <f t="shared" si="17"/>
        <v>0</v>
      </c>
      <c r="K72">
        <f t="shared" si="18"/>
        <v>0</v>
      </c>
      <c r="L72">
        <f t="shared" si="25"/>
        <v>54</v>
      </c>
      <c r="M72">
        <f t="shared" si="26"/>
        <v>32</v>
      </c>
      <c r="N72">
        <f t="shared" si="27"/>
        <v>1</v>
      </c>
      <c r="O72">
        <f t="shared" si="28"/>
        <v>17</v>
      </c>
      <c r="P72">
        <f t="shared" si="19"/>
        <v>7</v>
      </c>
      <c r="Q72">
        <f t="shared" si="29"/>
        <v>37</v>
      </c>
      <c r="R72">
        <f t="shared" si="29"/>
        <v>25</v>
      </c>
    </row>
    <row r="73" spans="1:18" x14ac:dyDescent="0.25">
      <c r="A73" s="1">
        <v>44722</v>
      </c>
      <c r="B73">
        <f t="shared" si="15"/>
        <v>5</v>
      </c>
      <c r="C73">
        <f t="shared" si="20"/>
        <v>37</v>
      </c>
      <c r="D73">
        <f t="shared" si="20"/>
        <v>25</v>
      </c>
      <c r="E73">
        <f t="shared" si="21"/>
        <v>0</v>
      </c>
      <c r="F73">
        <f t="shared" si="16"/>
        <v>0</v>
      </c>
      <c r="G73">
        <f t="shared" si="22"/>
        <v>0</v>
      </c>
      <c r="H73">
        <f t="shared" si="23"/>
        <v>0</v>
      </c>
      <c r="I73">
        <f t="shared" si="24"/>
        <v>0</v>
      </c>
      <c r="J73">
        <f t="shared" si="17"/>
        <v>0</v>
      </c>
      <c r="K73">
        <f t="shared" si="18"/>
        <v>0</v>
      </c>
      <c r="L73">
        <f t="shared" si="25"/>
        <v>37</v>
      </c>
      <c r="M73">
        <f t="shared" si="26"/>
        <v>25</v>
      </c>
      <c r="N73">
        <f t="shared" si="27"/>
        <v>1</v>
      </c>
      <c r="O73">
        <f t="shared" si="28"/>
        <v>12</v>
      </c>
      <c r="P73">
        <f t="shared" si="19"/>
        <v>5</v>
      </c>
      <c r="Q73">
        <f t="shared" si="29"/>
        <v>25</v>
      </c>
      <c r="R73">
        <f t="shared" si="29"/>
        <v>20</v>
      </c>
    </row>
    <row r="74" spans="1:18" x14ac:dyDescent="0.25">
      <c r="A74" s="1">
        <v>44723</v>
      </c>
      <c r="B74">
        <f t="shared" si="15"/>
        <v>6</v>
      </c>
      <c r="C74">
        <f t="shared" si="20"/>
        <v>25</v>
      </c>
      <c r="D74">
        <f t="shared" si="20"/>
        <v>20</v>
      </c>
      <c r="E74">
        <f t="shared" si="21"/>
        <v>0</v>
      </c>
      <c r="F74">
        <f t="shared" si="16"/>
        <v>0</v>
      </c>
      <c r="G74">
        <f t="shared" si="22"/>
        <v>0</v>
      </c>
      <c r="H74">
        <f t="shared" si="23"/>
        <v>0</v>
      </c>
      <c r="I74">
        <f t="shared" si="24"/>
        <v>0</v>
      </c>
      <c r="J74">
        <f t="shared" si="17"/>
        <v>0</v>
      </c>
      <c r="K74">
        <f t="shared" si="18"/>
        <v>0</v>
      </c>
      <c r="L74">
        <f t="shared" si="25"/>
        <v>25</v>
      </c>
      <c r="M74">
        <f t="shared" si="26"/>
        <v>20</v>
      </c>
      <c r="N74">
        <f t="shared" si="27"/>
        <v>1</v>
      </c>
      <c r="O74">
        <f t="shared" si="28"/>
        <v>8</v>
      </c>
      <c r="P74">
        <f t="shared" si="19"/>
        <v>4</v>
      </c>
      <c r="Q74">
        <f t="shared" si="29"/>
        <v>17</v>
      </c>
      <c r="R74">
        <f t="shared" si="29"/>
        <v>16</v>
      </c>
    </row>
    <row r="75" spans="1:18" x14ac:dyDescent="0.25">
      <c r="A75" s="1">
        <v>44724</v>
      </c>
      <c r="B75">
        <f t="shared" si="15"/>
        <v>7</v>
      </c>
      <c r="C75">
        <f t="shared" si="20"/>
        <v>17</v>
      </c>
      <c r="D75">
        <f t="shared" si="20"/>
        <v>16</v>
      </c>
      <c r="E75">
        <f t="shared" si="21"/>
        <v>0</v>
      </c>
      <c r="F75">
        <f t="shared" si="16"/>
        <v>0</v>
      </c>
      <c r="G75">
        <f t="shared" si="22"/>
        <v>0</v>
      </c>
      <c r="H75">
        <f t="shared" si="23"/>
        <v>0</v>
      </c>
      <c r="I75">
        <f t="shared" si="24"/>
        <v>0</v>
      </c>
      <c r="J75">
        <f t="shared" si="17"/>
        <v>0</v>
      </c>
      <c r="K75">
        <f t="shared" si="18"/>
        <v>0</v>
      </c>
      <c r="L75">
        <f t="shared" si="25"/>
        <v>17</v>
      </c>
      <c r="M75">
        <f t="shared" si="26"/>
        <v>16</v>
      </c>
      <c r="N75">
        <f t="shared" si="27"/>
        <v>0</v>
      </c>
      <c r="O75">
        <f t="shared" si="28"/>
        <v>0</v>
      </c>
      <c r="P75">
        <f t="shared" si="19"/>
        <v>0</v>
      </c>
      <c r="Q75">
        <f t="shared" si="29"/>
        <v>17</v>
      </c>
      <c r="R75">
        <f t="shared" si="29"/>
        <v>16</v>
      </c>
    </row>
    <row r="76" spans="1:18" x14ac:dyDescent="0.25">
      <c r="A76" s="1">
        <v>44725</v>
      </c>
      <c r="B76">
        <f t="shared" si="15"/>
        <v>1</v>
      </c>
      <c r="C76">
        <f t="shared" si="20"/>
        <v>17</v>
      </c>
      <c r="D76">
        <f t="shared" si="20"/>
        <v>16</v>
      </c>
      <c r="E76">
        <f t="shared" si="21"/>
        <v>1</v>
      </c>
      <c r="F76">
        <f t="shared" si="16"/>
        <v>1</v>
      </c>
      <c r="G76">
        <f t="shared" si="22"/>
        <v>0</v>
      </c>
      <c r="H76">
        <f t="shared" si="23"/>
        <v>0</v>
      </c>
      <c r="I76">
        <f t="shared" si="24"/>
        <v>0</v>
      </c>
      <c r="J76">
        <f t="shared" si="17"/>
        <v>0</v>
      </c>
      <c r="K76">
        <f t="shared" si="18"/>
        <v>0</v>
      </c>
      <c r="L76">
        <f t="shared" si="25"/>
        <v>16</v>
      </c>
      <c r="M76">
        <f t="shared" si="26"/>
        <v>16</v>
      </c>
      <c r="N76">
        <f t="shared" si="27"/>
        <v>1</v>
      </c>
      <c r="O76">
        <f t="shared" si="28"/>
        <v>5</v>
      </c>
      <c r="P76">
        <f t="shared" si="19"/>
        <v>4</v>
      </c>
      <c r="Q76">
        <f t="shared" si="29"/>
        <v>11</v>
      </c>
      <c r="R76">
        <f t="shared" si="29"/>
        <v>12</v>
      </c>
    </row>
    <row r="77" spans="1:18" x14ac:dyDescent="0.25">
      <c r="A77" s="1">
        <v>44726</v>
      </c>
      <c r="B77">
        <f t="shared" si="15"/>
        <v>2</v>
      </c>
      <c r="C77">
        <f t="shared" si="20"/>
        <v>11</v>
      </c>
      <c r="D77">
        <f t="shared" si="20"/>
        <v>12</v>
      </c>
      <c r="E77">
        <f t="shared" si="21"/>
        <v>0</v>
      </c>
      <c r="F77">
        <f t="shared" si="16"/>
        <v>0</v>
      </c>
      <c r="G77">
        <f t="shared" si="22"/>
        <v>0</v>
      </c>
      <c r="H77">
        <f t="shared" si="23"/>
        <v>0</v>
      </c>
      <c r="I77">
        <f t="shared" si="24"/>
        <v>0</v>
      </c>
      <c r="J77">
        <f t="shared" si="17"/>
        <v>0</v>
      </c>
      <c r="K77">
        <f t="shared" si="18"/>
        <v>0</v>
      </c>
      <c r="L77">
        <f t="shared" si="25"/>
        <v>11</v>
      </c>
      <c r="M77">
        <f t="shared" si="26"/>
        <v>12</v>
      </c>
      <c r="N77">
        <f t="shared" si="27"/>
        <v>1</v>
      </c>
      <c r="O77">
        <f t="shared" si="28"/>
        <v>4</v>
      </c>
      <c r="P77">
        <f t="shared" si="19"/>
        <v>3</v>
      </c>
      <c r="Q77">
        <f t="shared" si="29"/>
        <v>7</v>
      </c>
      <c r="R77">
        <f t="shared" si="29"/>
        <v>9</v>
      </c>
    </row>
    <row r="78" spans="1:18" x14ac:dyDescent="0.25">
      <c r="A78" s="1">
        <v>44727</v>
      </c>
      <c r="B78">
        <f t="shared" si="15"/>
        <v>3</v>
      </c>
      <c r="C78">
        <f t="shared" si="20"/>
        <v>7</v>
      </c>
      <c r="D78">
        <f t="shared" si="20"/>
        <v>9</v>
      </c>
      <c r="E78">
        <f t="shared" si="21"/>
        <v>0</v>
      </c>
      <c r="F78">
        <f t="shared" si="16"/>
        <v>0</v>
      </c>
      <c r="G78">
        <f t="shared" si="22"/>
        <v>0</v>
      </c>
      <c r="H78">
        <f t="shared" si="23"/>
        <v>0</v>
      </c>
      <c r="I78">
        <f t="shared" si="24"/>
        <v>0</v>
      </c>
      <c r="J78">
        <f t="shared" si="17"/>
        <v>0</v>
      </c>
      <c r="K78">
        <f t="shared" si="18"/>
        <v>0</v>
      </c>
      <c r="L78">
        <f t="shared" si="25"/>
        <v>7</v>
      </c>
      <c r="M78">
        <f t="shared" si="26"/>
        <v>9</v>
      </c>
      <c r="N78">
        <f t="shared" si="27"/>
        <v>1</v>
      </c>
      <c r="O78">
        <f t="shared" si="28"/>
        <v>3</v>
      </c>
      <c r="P78">
        <f t="shared" si="19"/>
        <v>2</v>
      </c>
      <c r="Q78">
        <f t="shared" si="29"/>
        <v>4</v>
      </c>
      <c r="R78">
        <f t="shared" si="29"/>
        <v>7</v>
      </c>
    </row>
    <row r="79" spans="1:18" x14ac:dyDescent="0.25">
      <c r="A79" s="1">
        <v>44728</v>
      </c>
      <c r="B79">
        <f t="shared" si="15"/>
        <v>4</v>
      </c>
      <c r="C79">
        <f t="shared" si="20"/>
        <v>4</v>
      </c>
      <c r="D79">
        <f t="shared" si="20"/>
        <v>7</v>
      </c>
      <c r="E79">
        <f t="shared" si="21"/>
        <v>0</v>
      </c>
      <c r="F79">
        <f t="shared" si="16"/>
        <v>0</v>
      </c>
      <c r="G79">
        <f t="shared" si="22"/>
        <v>1</v>
      </c>
      <c r="H79">
        <f t="shared" si="23"/>
        <v>50</v>
      </c>
      <c r="I79">
        <f t="shared" si="24"/>
        <v>25</v>
      </c>
      <c r="J79">
        <f t="shared" si="17"/>
        <v>0</v>
      </c>
      <c r="K79">
        <f t="shared" si="18"/>
        <v>0</v>
      </c>
      <c r="L79">
        <f t="shared" si="25"/>
        <v>54</v>
      </c>
      <c r="M79">
        <f t="shared" si="26"/>
        <v>32</v>
      </c>
      <c r="N79">
        <f t="shared" si="27"/>
        <v>1</v>
      </c>
      <c r="O79">
        <f t="shared" si="28"/>
        <v>17</v>
      </c>
      <c r="P79">
        <f t="shared" si="19"/>
        <v>7</v>
      </c>
      <c r="Q79">
        <f t="shared" si="29"/>
        <v>37</v>
      </c>
      <c r="R79">
        <f t="shared" si="29"/>
        <v>25</v>
      </c>
    </row>
    <row r="80" spans="1:18" x14ac:dyDescent="0.25">
      <c r="A80" s="1">
        <v>44729</v>
      </c>
      <c r="B80">
        <f t="shared" si="15"/>
        <v>5</v>
      </c>
      <c r="C80">
        <f t="shared" si="20"/>
        <v>37</v>
      </c>
      <c r="D80">
        <f t="shared" si="20"/>
        <v>25</v>
      </c>
      <c r="E80">
        <f t="shared" si="21"/>
        <v>0</v>
      </c>
      <c r="F80">
        <f t="shared" si="16"/>
        <v>0</v>
      </c>
      <c r="G80">
        <f t="shared" si="22"/>
        <v>0</v>
      </c>
      <c r="H80">
        <f t="shared" si="23"/>
        <v>0</v>
      </c>
      <c r="I80">
        <f t="shared" si="24"/>
        <v>0</v>
      </c>
      <c r="J80">
        <f t="shared" si="17"/>
        <v>0</v>
      </c>
      <c r="K80">
        <f t="shared" si="18"/>
        <v>0</v>
      </c>
      <c r="L80">
        <f t="shared" si="25"/>
        <v>37</v>
      </c>
      <c r="M80">
        <f t="shared" si="26"/>
        <v>25</v>
      </c>
      <c r="N80">
        <f t="shared" si="27"/>
        <v>1</v>
      </c>
      <c r="O80">
        <f t="shared" si="28"/>
        <v>12</v>
      </c>
      <c r="P80">
        <f t="shared" si="19"/>
        <v>5</v>
      </c>
      <c r="Q80">
        <f t="shared" si="29"/>
        <v>25</v>
      </c>
      <c r="R80">
        <f t="shared" si="29"/>
        <v>20</v>
      </c>
    </row>
    <row r="81" spans="1:18" x14ac:dyDescent="0.25">
      <c r="A81" s="1">
        <v>44730</v>
      </c>
      <c r="B81">
        <f t="shared" si="15"/>
        <v>6</v>
      </c>
      <c r="C81">
        <f t="shared" si="20"/>
        <v>25</v>
      </c>
      <c r="D81">
        <f t="shared" si="20"/>
        <v>20</v>
      </c>
      <c r="E81">
        <f t="shared" si="21"/>
        <v>0</v>
      </c>
      <c r="F81">
        <f t="shared" si="16"/>
        <v>0</v>
      </c>
      <c r="G81">
        <f t="shared" si="22"/>
        <v>0</v>
      </c>
      <c r="H81">
        <f t="shared" si="23"/>
        <v>0</v>
      </c>
      <c r="I81">
        <f t="shared" si="24"/>
        <v>0</v>
      </c>
      <c r="J81">
        <f t="shared" si="17"/>
        <v>0</v>
      </c>
      <c r="K81">
        <f t="shared" si="18"/>
        <v>0</v>
      </c>
      <c r="L81">
        <f t="shared" si="25"/>
        <v>25</v>
      </c>
      <c r="M81">
        <f t="shared" si="26"/>
        <v>20</v>
      </c>
      <c r="N81">
        <f t="shared" si="27"/>
        <v>1</v>
      </c>
      <c r="O81">
        <f t="shared" si="28"/>
        <v>8</v>
      </c>
      <c r="P81">
        <f t="shared" si="19"/>
        <v>4</v>
      </c>
      <c r="Q81">
        <f t="shared" si="29"/>
        <v>17</v>
      </c>
      <c r="R81">
        <f t="shared" si="29"/>
        <v>16</v>
      </c>
    </row>
    <row r="82" spans="1:18" x14ac:dyDescent="0.25">
      <c r="A82" s="1">
        <v>44731</v>
      </c>
      <c r="B82">
        <f t="shared" si="15"/>
        <v>7</v>
      </c>
      <c r="C82">
        <f t="shared" si="20"/>
        <v>17</v>
      </c>
      <c r="D82">
        <f t="shared" si="20"/>
        <v>16</v>
      </c>
      <c r="E82">
        <f t="shared" si="21"/>
        <v>0</v>
      </c>
      <c r="F82">
        <f t="shared" si="16"/>
        <v>0</v>
      </c>
      <c r="G82">
        <f t="shared" si="22"/>
        <v>0</v>
      </c>
      <c r="H82">
        <f t="shared" si="23"/>
        <v>0</v>
      </c>
      <c r="I82">
        <f t="shared" si="24"/>
        <v>0</v>
      </c>
      <c r="J82">
        <f t="shared" si="17"/>
        <v>0</v>
      </c>
      <c r="K82">
        <f t="shared" si="18"/>
        <v>0</v>
      </c>
      <c r="L82">
        <f t="shared" si="25"/>
        <v>17</v>
      </c>
      <c r="M82">
        <f t="shared" si="26"/>
        <v>16</v>
      </c>
      <c r="N82">
        <f t="shared" si="27"/>
        <v>0</v>
      </c>
      <c r="O82">
        <f t="shared" si="28"/>
        <v>0</v>
      </c>
      <c r="P82">
        <f t="shared" si="19"/>
        <v>0</v>
      </c>
      <c r="Q82">
        <f t="shared" si="29"/>
        <v>17</v>
      </c>
      <c r="R82">
        <f t="shared" si="29"/>
        <v>16</v>
      </c>
    </row>
    <row r="83" spans="1:18" x14ac:dyDescent="0.25">
      <c r="A83" s="1">
        <v>44732</v>
      </c>
      <c r="B83">
        <f t="shared" si="15"/>
        <v>1</v>
      </c>
      <c r="C83">
        <f t="shared" si="20"/>
        <v>17</v>
      </c>
      <c r="D83">
        <f t="shared" si="20"/>
        <v>16</v>
      </c>
      <c r="E83">
        <f t="shared" si="21"/>
        <v>1</v>
      </c>
      <c r="F83">
        <f t="shared" si="16"/>
        <v>1</v>
      </c>
      <c r="G83">
        <f t="shared" si="22"/>
        <v>0</v>
      </c>
      <c r="H83">
        <f t="shared" si="23"/>
        <v>0</v>
      </c>
      <c r="I83">
        <f t="shared" si="24"/>
        <v>0</v>
      </c>
      <c r="J83">
        <f t="shared" si="17"/>
        <v>0</v>
      </c>
      <c r="K83">
        <f t="shared" si="18"/>
        <v>0</v>
      </c>
      <c r="L83">
        <f t="shared" si="25"/>
        <v>16</v>
      </c>
      <c r="M83">
        <f t="shared" si="26"/>
        <v>16</v>
      </c>
      <c r="N83">
        <f t="shared" si="27"/>
        <v>1</v>
      </c>
      <c r="O83">
        <f t="shared" si="28"/>
        <v>5</v>
      </c>
      <c r="P83">
        <f t="shared" si="19"/>
        <v>4</v>
      </c>
      <c r="Q83">
        <f t="shared" si="29"/>
        <v>11</v>
      </c>
      <c r="R83">
        <f t="shared" si="29"/>
        <v>12</v>
      </c>
    </row>
    <row r="84" spans="1:18" x14ac:dyDescent="0.25">
      <c r="A84" s="1">
        <v>44733</v>
      </c>
      <c r="B84">
        <f t="shared" si="15"/>
        <v>2</v>
      </c>
      <c r="C84">
        <f t="shared" si="20"/>
        <v>11</v>
      </c>
      <c r="D84">
        <f t="shared" si="20"/>
        <v>12</v>
      </c>
      <c r="E84">
        <f t="shared" si="21"/>
        <v>0</v>
      </c>
      <c r="F84">
        <f t="shared" si="16"/>
        <v>0</v>
      </c>
      <c r="G84">
        <f t="shared" si="22"/>
        <v>0</v>
      </c>
      <c r="H84">
        <f t="shared" si="23"/>
        <v>0</v>
      </c>
      <c r="I84">
        <f t="shared" si="24"/>
        <v>0</v>
      </c>
      <c r="J84">
        <f t="shared" si="17"/>
        <v>0</v>
      </c>
      <c r="K84">
        <f t="shared" si="18"/>
        <v>0</v>
      </c>
      <c r="L84">
        <f t="shared" si="25"/>
        <v>11</v>
      </c>
      <c r="M84">
        <f t="shared" si="26"/>
        <v>12</v>
      </c>
      <c r="N84">
        <f t="shared" si="27"/>
        <v>1</v>
      </c>
      <c r="O84">
        <f t="shared" si="28"/>
        <v>4</v>
      </c>
      <c r="P84">
        <f t="shared" si="19"/>
        <v>3</v>
      </c>
      <c r="Q84">
        <f t="shared" si="29"/>
        <v>7</v>
      </c>
      <c r="R84">
        <f t="shared" si="29"/>
        <v>9</v>
      </c>
    </row>
    <row r="85" spans="1:18" x14ac:dyDescent="0.25">
      <c r="A85" s="1">
        <v>44734</v>
      </c>
      <c r="B85">
        <f t="shared" si="15"/>
        <v>3</v>
      </c>
      <c r="C85">
        <f t="shared" si="20"/>
        <v>7</v>
      </c>
      <c r="D85">
        <f t="shared" si="20"/>
        <v>9</v>
      </c>
      <c r="E85">
        <f t="shared" si="21"/>
        <v>0</v>
      </c>
      <c r="F85">
        <f t="shared" si="16"/>
        <v>0</v>
      </c>
      <c r="G85">
        <f t="shared" si="22"/>
        <v>0</v>
      </c>
      <c r="H85">
        <f t="shared" si="23"/>
        <v>0</v>
      </c>
      <c r="I85">
        <f t="shared" si="24"/>
        <v>0</v>
      </c>
      <c r="J85">
        <f t="shared" si="17"/>
        <v>0</v>
      </c>
      <c r="K85">
        <f t="shared" si="18"/>
        <v>0</v>
      </c>
      <c r="L85">
        <f t="shared" si="25"/>
        <v>7</v>
      </c>
      <c r="M85">
        <f t="shared" si="26"/>
        <v>9</v>
      </c>
      <c r="N85">
        <f t="shared" si="27"/>
        <v>1</v>
      </c>
      <c r="O85">
        <f t="shared" si="28"/>
        <v>3</v>
      </c>
      <c r="P85">
        <f t="shared" si="19"/>
        <v>2</v>
      </c>
      <c r="Q85">
        <f t="shared" si="29"/>
        <v>4</v>
      </c>
      <c r="R85">
        <f t="shared" si="29"/>
        <v>7</v>
      </c>
    </row>
    <row r="86" spans="1:18" x14ac:dyDescent="0.25">
      <c r="A86" s="1">
        <v>44735</v>
      </c>
      <c r="B86">
        <f t="shared" si="15"/>
        <v>4</v>
      </c>
      <c r="C86">
        <f t="shared" si="20"/>
        <v>4</v>
      </c>
      <c r="D86">
        <f t="shared" si="20"/>
        <v>7</v>
      </c>
      <c r="E86">
        <f t="shared" si="21"/>
        <v>0</v>
      </c>
      <c r="F86">
        <f t="shared" si="16"/>
        <v>0</v>
      </c>
      <c r="G86">
        <f t="shared" si="22"/>
        <v>1</v>
      </c>
      <c r="H86">
        <f t="shared" si="23"/>
        <v>50</v>
      </c>
      <c r="I86">
        <f t="shared" si="24"/>
        <v>25</v>
      </c>
      <c r="J86">
        <f t="shared" si="17"/>
        <v>0</v>
      </c>
      <c r="K86">
        <f t="shared" si="18"/>
        <v>0</v>
      </c>
      <c r="L86">
        <f t="shared" si="25"/>
        <v>54</v>
      </c>
      <c r="M86">
        <f t="shared" si="26"/>
        <v>32</v>
      </c>
      <c r="N86">
        <f t="shared" si="27"/>
        <v>1</v>
      </c>
      <c r="O86">
        <f t="shared" si="28"/>
        <v>17</v>
      </c>
      <c r="P86">
        <f t="shared" si="19"/>
        <v>7</v>
      </c>
      <c r="Q86">
        <f t="shared" si="29"/>
        <v>37</v>
      </c>
      <c r="R86">
        <f t="shared" si="29"/>
        <v>25</v>
      </c>
    </row>
    <row r="87" spans="1:18" x14ac:dyDescent="0.25">
      <c r="A87" s="1">
        <v>44736</v>
      </c>
      <c r="B87">
        <f t="shared" si="15"/>
        <v>5</v>
      </c>
      <c r="C87">
        <f t="shared" si="20"/>
        <v>37</v>
      </c>
      <c r="D87">
        <f t="shared" si="20"/>
        <v>25</v>
      </c>
      <c r="E87">
        <f t="shared" si="21"/>
        <v>0</v>
      </c>
      <c r="F87">
        <f t="shared" si="16"/>
        <v>0</v>
      </c>
      <c r="G87">
        <f t="shared" si="22"/>
        <v>0</v>
      </c>
      <c r="H87">
        <f t="shared" si="23"/>
        <v>0</v>
      </c>
      <c r="I87">
        <f t="shared" si="24"/>
        <v>0</v>
      </c>
      <c r="J87">
        <f t="shared" si="17"/>
        <v>0</v>
      </c>
      <c r="K87">
        <f t="shared" si="18"/>
        <v>0</v>
      </c>
      <c r="L87">
        <f t="shared" si="25"/>
        <v>37</v>
      </c>
      <c r="M87">
        <f t="shared" si="26"/>
        <v>25</v>
      </c>
      <c r="N87">
        <f t="shared" si="27"/>
        <v>1</v>
      </c>
      <c r="O87">
        <f t="shared" si="28"/>
        <v>12</v>
      </c>
      <c r="P87">
        <f t="shared" si="19"/>
        <v>5</v>
      </c>
      <c r="Q87">
        <f t="shared" si="29"/>
        <v>25</v>
      </c>
      <c r="R87">
        <f t="shared" si="29"/>
        <v>20</v>
      </c>
    </row>
    <row r="88" spans="1:18" x14ac:dyDescent="0.25">
      <c r="A88" s="1">
        <v>44737</v>
      </c>
      <c r="B88">
        <f t="shared" si="15"/>
        <v>6</v>
      </c>
      <c r="C88">
        <f t="shared" si="20"/>
        <v>25</v>
      </c>
      <c r="D88">
        <f t="shared" si="20"/>
        <v>20</v>
      </c>
      <c r="E88">
        <f t="shared" si="21"/>
        <v>0</v>
      </c>
      <c r="F88">
        <f t="shared" si="16"/>
        <v>0</v>
      </c>
      <c r="G88">
        <f t="shared" si="22"/>
        <v>0</v>
      </c>
      <c r="H88">
        <f t="shared" si="23"/>
        <v>0</v>
      </c>
      <c r="I88">
        <f t="shared" si="24"/>
        <v>0</v>
      </c>
      <c r="J88">
        <f t="shared" si="17"/>
        <v>0</v>
      </c>
      <c r="K88">
        <f t="shared" si="18"/>
        <v>0</v>
      </c>
      <c r="L88">
        <f t="shared" si="25"/>
        <v>25</v>
      </c>
      <c r="M88">
        <f t="shared" si="26"/>
        <v>20</v>
      </c>
      <c r="N88">
        <f t="shared" si="27"/>
        <v>1</v>
      </c>
      <c r="O88">
        <f t="shared" si="28"/>
        <v>8</v>
      </c>
      <c r="P88">
        <f t="shared" si="19"/>
        <v>4</v>
      </c>
      <c r="Q88">
        <f t="shared" si="29"/>
        <v>17</v>
      </c>
      <c r="R88">
        <f t="shared" si="29"/>
        <v>16</v>
      </c>
    </row>
    <row r="89" spans="1:18" x14ac:dyDescent="0.25">
      <c r="A89" s="1">
        <v>44738</v>
      </c>
      <c r="B89">
        <f t="shared" si="15"/>
        <v>7</v>
      </c>
      <c r="C89">
        <f t="shared" si="20"/>
        <v>17</v>
      </c>
      <c r="D89">
        <f t="shared" si="20"/>
        <v>16</v>
      </c>
      <c r="E89">
        <f t="shared" si="21"/>
        <v>0</v>
      </c>
      <c r="F89">
        <f t="shared" si="16"/>
        <v>0</v>
      </c>
      <c r="G89">
        <f t="shared" si="22"/>
        <v>0</v>
      </c>
      <c r="H89">
        <f t="shared" si="23"/>
        <v>0</v>
      </c>
      <c r="I89">
        <f t="shared" si="24"/>
        <v>0</v>
      </c>
      <c r="J89">
        <f t="shared" si="17"/>
        <v>0</v>
      </c>
      <c r="K89">
        <f t="shared" si="18"/>
        <v>0</v>
      </c>
      <c r="L89">
        <f t="shared" si="25"/>
        <v>17</v>
      </c>
      <c r="M89">
        <f t="shared" si="26"/>
        <v>16</v>
      </c>
      <c r="N89">
        <f t="shared" si="27"/>
        <v>0</v>
      </c>
      <c r="O89">
        <f t="shared" si="28"/>
        <v>0</v>
      </c>
      <c r="P89">
        <f t="shared" si="19"/>
        <v>0</v>
      </c>
      <c r="Q89">
        <f t="shared" si="29"/>
        <v>17</v>
      </c>
      <c r="R89">
        <f t="shared" si="29"/>
        <v>16</v>
      </c>
    </row>
    <row r="90" spans="1:18" x14ac:dyDescent="0.25">
      <c r="A90" s="1">
        <v>44739</v>
      </c>
      <c r="B90">
        <f t="shared" si="15"/>
        <v>1</v>
      </c>
      <c r="C90">
        <f t="shared" si="20"/>
        <v>17</v>
      </c>
      <c r="D90">
        <f t="shared" si="20"/>
        <v>16</v>
      </c>
      <c r="E90">
        <f t="shared" si="21"/>
        <v>1</v>
      </c>
      <c r="F90">
        <f t="shared" si="16"/>
        <v>1</v>
      </c>
      <c r="G90">
        <f t="shared" si="22"/>
        <v>0</v>
      </c>
      <c r="H90">
        <f t="shared" si="23"/>
        <v>0</v>
      </c>
      <c r="I90">
        <f t="shared" si="24"/>
        <v>0</v>
      </c>
      <c r="J90">
        <f t="shared" si="17"/>
        <v>0</v>
      </c>
      <c r="K90">
        <f t="shared" si="18"/>
        <v>0</v>
      </c>
      <c r="L90">
        <f t="shared" si="25"/>
        <v>16</v>
      </c>
      <c r="M90">
        <f t="shared" si="26"/>
        <v>16</v>
      </c>
      <c r="N90">
        <f t="shared" si="27"/>
        <v>1</v>
      </c>
      <c r="O90">
        <f t="shared" si="28"/>
        <v>5</v>
      </c>
      <c r="P90">
        <f t="shared" si="19"/>
        <v>4</v>
      </c>
      <c r="Q90">
        <f t="shared" si="29"/>
        <v>11</v>
      </c>
      <c r="R90">
        <f t="shared" si="29"/>
        <v>12</v>
      </c>
    </row>
    <row r="91" spans="1:18" x14ac:dyDescent="0.25">
      <c r="A91" s="1">
        <v>44740</v>
      </c>
      <c r="B91">
        <f t="shared" si="15"/>
        <v>2</v>
      </c>
      <c r="C91">
        <f t="shared" si="20"/>
        <v>11</v>
      </c>
      <c r="D91">
        <f t="shared" si="20"/>
        <v>12</v>
      </c>
      <c r="E91">
        <f t="shared" si="21"/>
        <v>0</v>
      </c>
      <c r="F91">
        <f t="shared" si="16"/>
        <v>0</v>
      </c>
      <c r="G91">
        <f t="shared" si="22"/>
        <v>0</v>
      </c>
      <c r="H91">
        <f t="shared" si="23"/>
        <v>0</v>
      </c>
      <c r="I91">
        <f t="shared" si="24"/>
        <v>0</v>
      </c>
      <c r="J91">
        <f t="shared" si="17"/>
        <v>0</v>
      </c>
      <c r="K91">
        <f t="shared" si="18"/>
        <v>0</v>
      </c>
      <c r="L91">
        <f t="shared" si="25"/>
        <v>11</v>
      </c>
      <c r="M91">
        <f t="shared" si="26"/>
        <v>12</v>
      </c>
      <c r="N91">
        <f t="shared" si="27"/>
        <v>1</v>
      </c>
      <c r="O91">
        <f t="shared" si="28"/>
        <v>4</v>
      </c>
      <c r="P91">
        <f t="shared" si="19"/>
        <v>3</v>
      </c>
      <c r="Q91">
        <f t="shared" si="29"/>
        <v>7</v>
      </c>
      <c r="R91">
        <f t="shared" si="29"/>
        <v>9</v>
      </c>
    </row>
    <row r="92" spans="1:18" x14ac:dyDescent="0.25">
      <c r="A92" s="1">
        <v>44741</v>
      </c>
      <c r="B92">
        <f t="shared" si="15"/>
        <v>3</v>
      </c>
      <c r="C92">
        <f t="shared" si="20"/>
        <v>7</v>
      </c>
      <c r="D92">
        <f t="shared" si="20"/>
        <v>9</v>
      </c>
      <c r="E92">
        <f t="shared" si="21"/>
        <v>0</v>
      </c>
      <c r="F92">
        <f t="shared" si="16"/>
        <v>0</v>
      </c>
      <c r="G92">
        <f t="shared" si="22"/>
        <v>0</v>
      </c>
      <c r="H92">
        <f t="shared" si="23"/>
        <v>0</v>
      </c>
      <c r="I92">
        <f t="shared" si="24"/>
        <v>0</v>
      </c>
      <c r="J92">
        <f t="shared" si="17"/>
        <v>0</v>
      </c>
      <c r="K92">
        <f t="shared" si="18"/>
        <v>0</v>
      </c>
      <c r="L92">
        <f t="shared" si="25"/>
        <v>7</v>
      </c>
      <c r="M92">
        <f t="shared" si="26"/>
        <v>9</v>
      </c>
      <c r="N92">
        <f t="shared" si="27"/>
        <v>1</v>
      </c>
      <c r="O92">
        <f t="shared" si="28"/>
        <v>3</v>
      </c>
      <c r="P92">
        <f t="shared" si="19"/>
        <v>2</v>
      </c>
      <c r="Q92">
        <f t="shared" si="29"/>
        <v>4</v>
      </c>
      <c r="R92">
        <f t="shared" si="29"/>
        <v>7</v>
      </c>
    </row>
    <row r="93" spans="1:18" x14ac:dyDescent="0.25">
      <c r="A93" s="1">
        <v>44742</v>
      </c>
      <c r="B93">
        <f t="shared" si="15"/>
        <v>4</v>
      </c>
      <c r="C93">
        <f t="shared" si="20"/>
        <v>4</v>
      </c>
      <c r="D93">
        <f t="shared" si="20"/>
        <v>7</v>
      </c>
      <c r="E93">
        <f t="shared" si="21"/>
        <v>0</v>
      </c>
      <c r="F93">
        <f t="shared" si="16"/>
        <v>0</v>
      </c>
      <c r="G93">
        <f t="shared" si="22"/>
        <v>1</v>
      </c>
      <c r="H93">
        <f t="shared" si="23"/>
        <v>50</v>
      </c>
      <c r="I93">
        <f t="shared" si="24"/>
        <v>25</v>
      </c>
      <c r="J93">
        <f t="shared" si="17"/>
        <v>0</v>
      </c>
      <c r="K93">
        <f t="shared" si="18"/>
        <v>0</v>
      </c>
      <c r="L93">
        <f t="shared" si="25"/>
        <v>54</v>
      </c>
      <c r="M93">
        <f t="shared" si="26"/>
        <v>32</v>
      </c>
      <c r="N93">
        <f t="shared" si="27"/>
        <v>1</v>
      </c>
      <c r="O93">
        <f t="shared" si="28"/>
        <v>17</v>
      </c>
      <c r="P93">
        <f t="shared" si="19"/>
        <v>7</v>
      </c>
      <c r="Q93">
        <f t="shared" si="29"/>
        <v>37</v>
      </c>
      <c r="R93">
        <f t="shared" si="29"/>
        <v>25</v>
      </c>
    </row>
    <row r="94" spans="1:18" x14ac:dyDescent="0.25">
      <c r="A94" s="1">
        <v>44743</v>
      </c>
      <c r="B94">
        <f t="shared" si="15"/>
        <v>5</v>
      </c>
      <c r="C94">
        <f t="shared" si="20"/>
        <v>37</v>
      </c>
      <c r="D94">
        <f t="shared" si="20"/>
        <v>25</v>
      </c>
      <c r="E94">
        <f t="shared" si="21"/>
        <v>0</v>
      </c>
      <c r="F94">
        <f t="shared" si="16"/>
        <v>0</v>
      </c>
      <c r="G94">
        <f t="shared" si="22"/>
        <v>0</v>
      </c>
      <c r="H94">
        <f t="shared" si="23"/>
        <v>0</v>
      </c>
      <c r="I94">
        <f t="shared" si="24"/>
        <v>0</v>
      </c>
      <c r="J94">
        <f t="shared" si="17"/>
        <v>0</v>
      </c>
      <c r="K94">
        <f t="shared" si="18"/>
        <v>0</v>
      </c>
      <c r="L94">
        <f t="shared" si="25"/>
        <v>37</v>
      </c>
      <c r="M94">
        <f t="shared" si="26"/>
        <v>25</v>
      </c>
      <c r="N94">
        <f t="shared" si="27"/>
        <v>1</v>
      </c>
      <c r="O94">
        <f t="shared" si="28"/>
        <v>12</v>
      </c>
      <c r="P94">
        <f t="shared" si="19"/>
        <v>5</v>
      </c>
      <c r="Q94">
        <f t="shared" si="29"/>
        <v>25</v>
      </c>
      <c r="R94">
        <f t="shared" si="29"/>
        <v>20</v>
      </c>
    </row>
    <row r="95" spans="1:18" x14ac:dyDescent="0.25">
      <c r="A95" s="1">
        <v>44744</v>
      </c>
      <c r="B95">
        <f t="shared" si="15"/>
        <v>6</v>
      </c>
      <c r="C95">
        <f t="shared" si="20"/>
        <v>25</v>
      </c>
      <c r="D95">
        <f t="shared" si="20"/>
        <v>20</v>
      </c>
      <c r="E95">
        <f t="shared" si="21"/>
        <v>0</v>
      </c>
      <c r="F95">
        <f t="shared" si="16"/>
        <v>0</v>
      </c>
      <c r="G95">
        <f t="shared" si="22"/>
        <v>0</v>
      </c>
      <c r="H95">
        <f t="shared" si="23"/>
        <v>0</v>
      </c>
      <c r="I95">
        <f t="shared" si="24"/>
        <v>0</v>
      </c>
      <c r="J95">
        <f t="shared" si="17"/>
        <v>0</v>
      </c>
      <c r="K95">
        <f t="shared" si="18"/>
        <v>0</v>
      </c>
      <c r="L95">
        <f t="shared" si="25"/>
        <v>25</v>
      </c>
      <c r="M95">
        <f t="shared" si="26"/>
        <v>20</v>
      </c>
      <c r="N95">
        <f t="shared" si="27"/>
        <v>1</v>
      </c>
      <c r="O95">
        <f t="shared" si="28"/>
        <v>8</v>
      </c>
      <c r="P95">
        <f t="shared" si="19"/>
        <v>4</v>
      </c>
      <c r="Q95">
        <f t="shared" si="29"/>
        <v>17</v>
      </c>
      <c r="R95">
        <f t="shared" si="29"/>
        <v>16</v>
      </c>
    </row>
    <row r="96" spans="1:18" x14ac:dyDescent="0.25">
      <c r="A96" s="1">
        <v>44745</v>
      </c>
      <c r="B96">
        <f t="shared" si="15"/>
        <v>7</v>
      </c>
      <c r="C96">
        <f t="shared" si="20"/>
        <v>17</v>
      </c>
      <c r="D96">
        <f t="shared" si="20"/>
        <v>16</v>
      </c>
      <c r="E96">
        <f t="shared" si="21"/>
        <v>0</v>
      </c>
      <c r="F96">
        <f t="shared" si="16"/>
        <v>0</v>
      </c>
      <c r="G96">
        <f t="shared" si="22"/>
        <v>0</v>
      </c>
      <c r="H96">
        <f t="shared" si="23"/>
        <v>0</v>
      </c>
      <c r="I96">
        <f t="shared" si="24"/>
        <v>0</v>
      </c>
      <c r="J96">
        <f t="shared" si="17"/>
        <v>0</v>
      </c>
      <c r="K96">
        <f t="shared" si="18"/>
        <v>0</v>
      </c>
      <c r="L96">
        <f t="shared" si="25"/>
        <v>17</v>
      </c>
      <c r="M96">
        <f t="shared" si="26"/>
        <v>16</v>
      </c>
      <c r="N96">
        <f t="shared" si="27"/>
        <v>0</v>
      </c>
      <c r="O96">
        <f t="shared" si="28"/>
        <v>0</v>
      </c>
      <c r="P96">
        <f t="shared" si="19"/>
        <v>0</v>
      </c>
      <c r="Q96">
        <f t="shared" si="29"/>
        <v>17</v>
      </c>
      <c r="R96">
        <f t="shared" si="29"/>
        <v>16</v>
      </c>
    </row>
    <row r="97" spans="1:18" x14ac:dyDescent="0.25">
      <c r="A97" s="1">
        <v>44746</v>
      </c>
      <c r="B97">
        <f t="shared" si="15"/>
        <v>1</v>
      </c>
      <c r="C97">
        <f t="shared" si="20"/>
        <v>17</v>
      </c>
      <c r="D97">
        <f t="shared" si="20"/>
        <v>16</v>
      </c>
      <c r="E97">
        <f t="shared" si="21"/>
        <v>1</v>
      </c>
      <c r="F97">
        <f t="shared" si="16"/>
        <v>1</v>
      </c>
      <c r="G97">
        <f t="shared" si="22"/>
        <v>0</v>
      </c>
      <c r="H97">
        <f t="shared" si="23"/>
        <v>0</v>
      </c>
      <c r="I97">
        <f t="shared" si="24"/>
        <v>0</v>
      </c>
      <c r="J97">
        <f t="shared" si="17"/>
        <v>0</v>
      </c>
      <c r="K97">
        <f t="shared" si="18"/>
        <v>0</v>
      </c>
      <c r="L97">
        <f t="shared" si="25"/>
        <v>16</v>
      </c>
      <c r="M97">
        <f t="shared" si="26"/>
        <v>16</v>
      </c>
      <c r="N97">
        <f t="shared" si="27"/>
        <v>1</v>
      </c>
      <c r="O97">
        <f t="shared" si="28"/>
        <v>5</v>
      </c>
      <c r="P97">
        <f t="shared" si="19"/>
        <v>4</v>
      </c>
      <c r="Q97">
        <f t="shared" si="29"/>
        <v>11</v>
      </c>
      <c r="R97">
        <f t="shared" si="29"/>
        <v>12</v>
      </c>
    </row>
    <row r="98" spans="1:18" x14ac:dyDescent="0.25">
      <c r="A98" s="1">
        <v>44747</v>
      </c>
      <c r="B98">
        <f t="shared" si="15"/>
        <v>2</v>
      </c>
      <c r="C98">
        <f t="shared" si="20"/>
        <v>11</v>
      </c>
      <c r="D98">
        <f t="shared" si="20"/>
        <v>12</v>
      </c>
      <c r="E98">
        <f t="shared" si="21"/>
        <v>0</v>
      </c>
      <c r="F98">
        <f t="shared" si="16"/>
        <v>0</v>
      </c>
      <c r="G98">
        <f t="shared" si="22"/>
        <v>0</v>
      </c>
      <c r="H98">
        <f t="shared" si="23"/>
        <v>0</v>
      </c>
      <c r="I98">
        <f t="shared" si="24"/>
        <v>0</v>
      </c>
      <c r="J98">
        <f t="shared" si="17"/>
        <v>0</v>
      </c>
      <c r="K98">
        <f t="shared" si="18"/>
        <v>0</v>
      </c>
      <c r="L98">
        <f t="shared" si="25"/>
        <v>11</v>
      </c>
      <c r="M98">
        <f t="shared" si="26"/>
        <v>12</v>
      </c>
      <c r="N98">
        <f t="shared" si="27"/>
        <v>1</v>
      </c>
      <c r="O98">
        <f t="shared" si="28"/>
        <v>4</v>
      </c>
      <c r="P98">
        <f t="shared" si="19"/>
        <v>3</v>
      </c>
      <c r="Q98">
        <f t="shared" si="29"/>
        <v>7</v>
      </c>
      <c r="R98">
        <f t="shared" si="29"/>
        <v>9</v>
      </c>
    </row>
    <row r="99" spans="1:18" x14ac:dyDescent="0.25">
      <c r="A99" s="1">
        <v>44748</v>
      </c>
      <c r="B99">
        <f t="shared" si="15"/>
        <v>3</v>
      </c>
      <c r="C99">
        <f t="shared" si="20"/>
        <v>7</v>
      </c>
      <c r="D99">
        <f t="shared" si="20"/>
        <v>9</v>
      </c>
      <c r="E99">
        <f t="shared" si="21"/>
        <v>0</v>
      </c>
      <c r="F99">
        <f t="shared" si="16"/>
        <v>0</v>
      </c>
      <c r="G99">
        <f t="shared" si="22"/>
        <v>0</v>
      </c>
      <c r="H99">
        <f t="shared" si="23"/>
        <v>0</v>
      </c>
      <c r="I99">
        <f t="shared" si="24"/>
        <v>0</v>
      </c>
      <c r="J99">
        <f t="shared" si="17"/>
        <v>0</v>
      </c>
      <c r="K99">
        <f t="shared" si="18"/>
        <v>0</v>
      </c>
      <c r="L99">
        <f t="shared" si="25"/>
        <v>7</v>
      </c>
      <c r="M99">
        <f t="shared" si="26"/>
        <v>9</v>
      </c>
      <c r="N99">
        <f t="shared" si="27"/>
        <v>1</v>
      </c>
      <c r="O99">
        <f t="shared" si="28"/>
        <v>3</v>
      </c>
      <c r="P99">
        <f t="shared" si="19"/>
        <v>2</v>
      </c>
      <c r="Q99">
        <f t="shared" si="29"/>
        <v>4</v>
      </c>
      <c r="R99">
        <f t="shared" si="29"/>
        <v>7</v>
      </c>
    </row>
    <row r="100" spans="1:18" x14ac:dyDescent="0.25">
      <c r="A100" s="1">
        <v>44749</v>
      </c>
      <c r="B100">
        <f t="shared" si="15"/>
        <v>4</v>
      </c>
      <c r="C100">
        <f t="shared" si="20"/>
        <v>4</v>
      </c>
      <c r="D100">
        <f t="shared" si="20"/>
        <v>7</v>
      </c>
      <c r="E100">
        <f t="shared" si="21"/>
        <v>0</v>
      </c>
      <c r="F100">
        <f t="shared" si="16"/>
        <v>0</v>
      </c>
      <c r="G100">
        <f t="shared" si="22"/>
        <v>1</v>
      </c>
      <c r="H100">
        <f t="shared" si="23"/>
        <v>50</v>
      </c>
      <c r="I100">
        <f t="shared" si="24"/>
        <v>25</v>
      </c>
      <c r="J100">
        <f t="shared" si="17"/>
        <v>0</v>
      </c>
      <c r="K100">
        <f t="shared" si="18"/>
        <v>0</v>
      </c>
      <c r="L100">
        <f t="shared" si="25"/>
        <v>54</v>
      </c>
      <c r="M100">
        <f t="shared" si="26"/>
        <v>32</v>
      </c>
      <c r="N100">
        <f t="shared" si="27"/>
        <v>1</v>
      </c>
      <c r="O100">
        <f t="shared" si="28"/>
        <v>17</v>
      </c>
      <c r="P100">
        <f t="shared" si="19"/>
        <v>7</v>
      </c>
      <c r="Q100">
        <f t="shared" si="29"/>
        <v>37</v>
      </c>
      <c r="R100">
        <f t="shared" si="29"/>
        <v>25</v>
      </c>
    </row>
    <row r="101" spans="1:18" x14ac:dyDescent="0.25">
      <c r="A101" s="1">
        <v>44750</v>
      </c>
      <c r="B101">
        <f t="shared" si="15"/>
        <v>5</v>
      </c>
      <c r="C101">
        <f t="shared" si="20"/>
        <v>37</v>
      </c>
      <c r="D101">
        <f t="shared" si="20"/>
        <v>25</v>
      </c>
      <c r="E101">
        <f t="shared" si="21"/>
        <v>0</v>
      </c>
      <c r="F101">
        <f t="shared" si="16"/>
        <v>0</v>
      </c>
      <c r="G101">
        <f t="shared" si="22"/>
        <v>0</v>
      </c>
      <c r="H101">
        <f t="shared" si="23"/>
        <v>0</v>
      </c>
      <c r="I101">
        <f t="shared" si="24"/>
        <v>0</v>
      </c>
      <c r="J101">
        <f t="shared" si="17"/>
        <v>0</v>
      </c>
      <c r="K101">
        <f t="shared" si="18"/>
        <v>0</v>
      </c>
      <c r="L101">
        <f t="shared" si="25"/>
        <v>37</v>
      </c>
      <c r="M101">
        <f t="shared" si="26"/>
        <v>25</v>
      </c>
      <c r="N101">
        <f t="shared" si="27"/>
        <v>1</v>
      </c>
      <c r="O101">
        <f t="shared" si="28"/>
        <v>12</v>
      </c>
      <c r="P101">
        <f t="shared" si="19"/>
        <v>5</v>
      </c>
      <c r="Q101">
        <f t="shared" si="29"/>
        <v>25</v>
      </c>
      <c r="R101">
        <f t="shared" si="29"/>
        <v>20</v>
      </c>
    </row>
    <row r="102" spans="1:18" x14ac:dyDescent="0.25">
      <c r="A102" s="1">
        <v>44751</v>
      </c>
      <c r="B102">
        <f t="shared" si="15"/>
        <v>6</v>
      </c>
      <c r="C102">
        <f t="shared" si="20"/>
        <v>25</v>
      </c>
      <c r="D102">
        <f t="shared" si="20"/>
        <v>20</v>
      </c>
      <c r="E102">
        <f t="shared" si="21"/>
        <v>0</v>
      </c>
      <c r="F102">
        <f t="shared" si="16"/>
        <v>0</v>
      </c>
      <c r="G102">
        <f t="shared" si="22"/>
        <v>0</v>
      </c>
      <c r="H102">
        <f t="shared" si="23"/>
        <v>0</v>
      </c>
      <c r="I102">
        <f t="shared" si="24"/>
        <v>0</v>
      </c>
      <c r="J102">
        <f t="shared" si="17"/>
        <v>0</v>
      </c>
      <c r="K102">
        <f t="shared" si="18"/>
        <v>0</v>
      </c>
      <c r="L102">
        <f t="shared" si="25"/>
        <v>25</v>
      </c>
      <c r="M102">
        <f t="shared" si="26"/>
        <v>20</v>
      </c>
      <c r="N102">
        <f t="shared" si="27"/>
        <v>1</v>
      </c>
      <c r="O102">
        <f t="shared" si="28"/>
        <v>8</v>
      </c>
      <c r="P102">
        <f t="shared" si="19"/>
        <v>4</v>
      </c>
      <c r="Q102">
        <f t="shared" si="29"/>
        <v>17</v>
      </c>
      <c r="R102">
        <f t="shared" si="29"/>
        <v>16</v>
      </c>
    </row>
    <row r="103" spans="1:18" x14ac:dyDescent="0.25">
      <c r="A103" s="1">
        <v>44752</v>
      </c>
      <c r="B103">
        <f t="shared" si="15"/>
        <v>7</v>
      </c>
      <c r="C103">
        <f t="shared" si="20"/>
        <v>17</v>
      </c>
      <c r="D103">
        <f t="shared" si="20"/>
        <v>16</v>
      </c>
      <c r="E103">
        <f t="shared" si="21"/>
        <v>0</v>
      </c>
      <c r="F103">
        <f t="shared" si="16"/>
        <v>0</v>
      </c>
      <c r="G103">
        <f t="shared" si="22"/>
        <v>0</v>
      </c>
      <c r="H103">
        <f t="shared" si="23"/>
        <v>0</v>
      </c>
      <c r="I103">
        <f t="shared" si="24"/>
        <v>0</v>
      </c>
      <c r="J103">
        <f t="shared" si="17"/>
        <v>0</v>
      </c>
      <c r="K103">
        <f t="shared" si="18"/>
        <v>0</v>
      </c>
      <c r="L103">
        <f t="shared" si="25"/>
        <v>17</v>
      </c>
      <c r="M103">
        <f t="shared" si="26"/>
        <v>16</v>
      </c>
      <c r="N103">
        <f t="shared" si="27"/>
        <v>0</v>
      </c>
      <c r="O103">
        <f t="shared" si="28"/>
        <v>0</v>
      </c>
      <c r="P103">
        <f t="shared" si="19"/>
        <v>0</v>
      </c>
      <c r="Q103">
        <f t="shared" si="29"/>
        <v>17</v>
      </c>
      <c r="R103">
        <f t="shared" si="29"/>
        <v>16</v>
      </c>
    </row>
    <row r="104" spans="1:18" x14ac:dyDescent="0.25">
      <c r="A104" s="1">
        <v>44753</v>
      </c>
      <c r="B104">
        <f t="shared" si="15"/>
        <v>1</v>
      </c>
      <c r="C104">
        <f t="shared" si="20"/>
        <v>17</v>
      </c>
      <c r="D104">
        <f t="shared" si="20"/>
        <v>16</v>
      </c>
      <c r="E104">
        <f t="shared" si="21"/>
        <v>1</v>
      </c>
      <c r="F104">
        <f t="shared" si="16"/>
        <v>1</v>
      </c>
      <c r="G104">
        <f t="shared" si="22"/>
        <v>0</v>
      </c>
      <c r="H104">
        <f t="shared" si="23"/>
        <v>0</v>
      </c>
      <c r="I104">
        <f t="shared" si="24"/>
        <v>0</v>
      </c>
      <c r="J104">
        <f t="shared" si="17"/>
        <v>0</v>
      </c>
      <c r="K104">
        <f t="shared" si="18"/>
        <v>0</v>
      </c>
      <c r="L104">
        <f t="shared" si="25"/>
        <v>16</v>
      </c>
      <c r="M104">
        <f t="shared" si="26"/>
        <v>16</v>
      </c>
      <c r="N104">
        <f t="shared" si="27"/>
        <v>1</v>
      </c>
      <c r="O104">
        <f t="shared" si="28"/>
        <v>5</v>
      </c>
      <c r="P104">
        <f t="shared" si="19"/>
        <v>4</v>
      </c>
      <c r="Q104">
        <f t="shared" si="29"/>
        <v>11</v>
      </c>
      <c r="R104">
        <f t="shared" si="29"/>
        <v>12</v>
      </c>
    </row>
    <row r="105" spans="1:18" x14ac:dyDescent="0.25">
      <c r="A105" s="1">
        <v>44754</v>
      </c>
      <c r="B105">
        <f t="shared" si="15"/>
        <v>2</v>
      </c>
      <c r="C105">
        <f t="shared" si="20"/>
        <v>11</v>
      </c>
      <c r="D105">
        <f t="shared" si="20"/>
        <v>12</v>
      </c>
      <c r="E105">
        <f t="shared" si="21"/>
        <v>0</v>
      </c>
      <c r="F105">
        <f t="shared" si="16"/>
        <v>0</v>
      </c>
      <c r="G105">
        <f t="shared" si="22"/>
        <v>0</v>
      </c>
      <c r="H105">
        <f t="shared" si="23"/>
        <v>0</v>
      </c>
      <c r="I105">
        <f t="shared" si="24"/>
        <v>0</v>
      </c>
      <c r="J105">
        <f t="shared" si="17"/>
        <v>0</v>
      </c>
      <c r="K105">
        <f t="shared" si="18"/>
        <v>0</v>
      </c>
      <c r="L105">
        <f t="shared" si="25"/>
        <v>11</v>
      </c>
      <c r="M105">
        <f t="shared" si="26"/>
        <v>12</v>
      </c>
      <c r="N105">
        <f t="shared" si="27"/>
        <v>1</v>
      </c>
      <c r="O105">
        <f t="shared" si="28"/>
        <v>4</v>
      </c>
      <c r="P105">
        <f t="shared" si="19"/>
        <v>3</v>
      </c>
      <c r="Q105">
        <f t="shared" si="29"/>
        <v>7</v>
      </c>
      <c r="R105">
        <f t="shared" si="29"/>
        <v>9</v>
      </c>
    </row>
    <row r="106" spans="1:18" x14ac:dyDescent="0.25">
      <c r="A106" s="1">
        <v>44755</v>
      </c>
      <c r="B106">
        <f t="shared" si="15"/>
        <v>3</v>
      </c>
      <c r="C106">
        <f t="shared" si="20"/>
        <v>7</v>
      </c>
      <c r="D106">
        <f t="shared" si="20"/>
        <v>9</v>
      </c>
      <c r="E106">
        <f t="shared" si="21"/>
        <v>0</v>
      </c>
      <c r="F106">
        <f t="shared" si="16"/>
        <v>0</v>
      </c>
      <c r="G106">
        <f t="shared" si="22"/>
        <v>0</v>
      </c>
      <c r="H106">
        <f t="shared" si="23"/>
        <v>0</v>
      </c>
      <c r="I106">
        <f t="shared" si="24"/>
        <v>0</v>
      </c>
      <c r="J106">
        <f t="shared" si="17"/>
        <v>0</v>
      </c>
      <c r="K106">
        <f t="shared" si="18"/>
        <v>0</v>
      </c>
      <c r="L106">
        <f t="shared" si="25"/>
        <v>7</v>
      </c>
      <c r="M106">
        <f t="shared" si="26"/>
        <v>9</v>
      </c>
      <c r="N106">
        <f t="shared" si="27"/>
        <v>1</v>
      </c>
      <c r="O106">
        <f t="shared" si="28"/>
        <v>3</v>
      </c>
      <c r="P106">
        <f t="shared" si="19"/>
        <v>2</v>
      </c>
      <c r="Q106">
        <f t="shared" si="29"/>
        <v>4</v>
      </c>
      <c r="R106">
        <f t="shared" si="29"/>
        <v>7</v>
      </c>
    </row>
    <row r="107" spans="1:18" x14ac:dyDescent="0.25">
      <c r="A107" s="1">
        <v>44756</v>
      </c>
      <c r="B107">
        <f t="shared" si="15"/>
        <v>4</v>
      </c>
      <c r="C107">
        <f t="shared" si="20"/>
        <v>4</v>
      </c>
      <c r="D107">
        <f t="shared" si="20"/>
        <v>7</v>
      </c>
      <c r="E107">
        <f t="shared" si="21"/>
        <v>0</v>
      </c>
      <c r="F107">
        <f t="shared" si="16"/>
        <v>0</v>
      </c>
      <c r="G107">
        <f t="shared" si="22"/>
        <v>1</v>
      </c>
      <c r="H107">
        <f t="shared" si="23"/>
        <v>50</v>
      </c>
      <c r="I107">
        <f t="shared" si="24"/>
        <v>25</v>
      </c>
      <c r="J107">
        <f t="shared" si="17"/>
        <v>0</v>
      </c>
      <c r="K107">
        <f t="shared" si="18"/>
        <v>0</v>
      </c>
      <c r="L107">
        <f t="shared" si="25"/>
        <v>54</v>
      </c>
      <c r="M107">
        <f t="shared" si="26"/>
        <v>32</v>
      </c>
      <c r="N107">
        <f t="shared" si="27"/>
        <v>1</v>
      </c>
      <c r="O107">
        <f t="shared" si="28"/>
        <v>17</v>
      </c>
      <c r="P107">
        <f t="shared" si="19"/>
        <v>7</v>
      </c>
      <c r="Q107">
        <f t="shared" si="29"/>
        <v>37</v>
      </c>
      <c r="R107">
        <f t="shared" si="29"/>
        <v>25</v>
      </c>
    </row>
    <row r="108" spans="1:18" x14ac:dyDescent="0.25">
      <c r="A108" s="1">
        <v>44757</v>
      </c>
      <c r="B108">
        <f t="shared" si="15"/>
        <v>5</v>
      </c>
      <c r="C108">
        <f t="shared" si="20"/>
        <v>37</v>
      </c>
      <c r="D108">
        <f t="shared" si="20"/>
        <v>25</v>
      </c>
      <c r="E108">
        <f t="shared" si="21"/>
        <v>0</v>
      </c>
      <c r="F108">
        <f t="shared" si="16"/>
        <v>0</v>
      </c>
      <c r="G108">
        <f t="shared" si="22"/>
        <v>0</v>
      </c>
      <c r="H108">
        <f t="shared" si="23"/>
        <v>0</v>
      </c>
      <c r="I108">
        <f t="shared" si="24"/>
        <v>0</v>
      </c>
      <c r="J108">
        <f t="shared" si="17"/>
        <v>0</v>
      </c>
      <c r="K108">
        <f t="shared" si="18"/>
        <v>0</v>
      </c>
      <c r="L108">
        <f t="shared" si="25"/>
        <v>37</v>
      </c>
      <c r="M108">
        <f t="shared" si="26"/>
        <v>25</v>
      </c>
      <c r="N108">
        <f t="shared" si="27"/>
        <v>1</v>
      </c>
      <c r="O108">
        <f t="shared" si="28"/>
        <v>12</v>
      </c>
      <c r="P108">
        <f t="shared" si="19"/>
        <v>5</v>
      </c>
      <c r="Q108">
        <f t="shared" si="29"/>
        <v>25</v>
      </c>
      <c r="R108">
        <f t="shared" si="29"/>
        <v>20</v>
      </c>
    </row>
    <row r="109" spans="1:18" x14ac:dyDescent="0.25">
      <c r="A109" s="1">
        <v>44758</v>
      </c>
      <c r="B109">
        <f t="shared" si="15"/>
        <v>6</v>
      </c>
      <c r="C109">
        <f t="shared" si="20"/>
        <v>25</v>
      </c>
      <c r="D109">
        <f t="shared" si="20"/>
        <v>20</v>
      </c>
      <c r="E109">
        <f t="shared" si="21"/>
        <v>0</v>
      </c>
      <c r="F109">
        <f t="shared" si="16"/>
        <v>0</v>
      </c>
      <c r="G109">
        <f t="shared" si="22"/>
        <v>0</v>
      </c>
      <c r="H109">
        <f t="shared" si="23"/>
        <v>0</v>
      </c>
      <c r="I109">
        <f t="shared" si="24"/>
        <v>0</v>
      </c>
      <c r="J109">
        <f t="shared" si="17"/>
        <v>0</v>
      </c>
      <c r="K109">
        <f t="shared" si="18"/>
        <v>0</v>
      </c>
      <c r="L109">
        <f t="shared" si="25"/>
        <v>25</v>
      </c>
      <c r="M109">
        <f t="shared" si="26"/>
        <v>20</v>
      </c>
      <c r="N109">
        <f t="shared" si="27"/>
        <v>1</v>
      </c>
      <c r="O109">
        <f t="shared" si="28"/>
        <v>8</v>
      </c>
      <c r="P109">
        <f t="shared" si="19"/>
        <v>4</v>
      </c>
      <c r="Q109">
        <f t="shared" si="29"/>
        <v>17</v>
      </c>
      <c r="R109">
        <f t="shared" si="29"/>
        <v>16</v>
      </c>
    </row>
    <row r="110" spans="1:18" x14ac:dyDescent="0.25">
      <c r="A110" s="1">
        <v>44759</v>
      </c>
      <c r="B110">
        <f t="shared" si="15"/>
        <v>7</v>
      </c>
      <c r="C110">
        <f t="shared" si="20"/>
        <v>17</v>
      </c>
      <c r="D110">
        <f t="shared" si="20"/>
        <v>16</v>
      </c>
      <c r="E110">
        <f t="shared" si="21"/>
        <v>0</v>
      </c>
      <c r="F110">
        <f t="shared" si="16"/>
        <v>0</v>
      </c>
      <c r="G110">
        <f t="shared" si="22"/>
        <v>0</v>
      </c>
      <c r="H110">
        <f t="shared" si="23"/>
        <v>0</v>
      </c>
      <c r="I110">
        <f t="shared" si="24"/>
        <v>0</v>
      </c>
      <c r="J110">
        <f t="shared" si="17"/>
        <v>0</v>
      </c>
      <c r="K110">
        <f t="shared" si="18"/>
        <v>0</v>
      </c>
      <c r="L110">
        <f t="shared" si="25"/>
        <v>17</v>
      </c>
      <c r="M110">
        <f t="shared" si="26"/>
        <v>16</v>
      </c>
      <c r="N110">
        <f t="shared" si="27"/>
        <v>0</v>
      </c>
      <c r="O110">
        <f t="shared" si="28"/>
        <v>0</v>
      </c>
      <c r="P110">
        <f t="shared" si="19"/>
        <v>0</v>
      </c>
      <c r="Q110">
        <f t="shared" si="29"/>
        <v>17</v>
      </c>
      <c r="R110">
        <f t="shared" si="29"/>
        <v>16</v>
      </c>
    </row>
    <row r="111" spans="1:18" x14ac:dyDescent="0.25">
      <c r="A111" s="1">
        <v>44760</v>
      </c>
      <c r="B111">
        <f t="shared" si="15"/>
        <v>1</v>
      </c>
      <c r="C111">
        <f t="shared" si="20"/>
        <v>17</v>
      </c>
      <c r="D111">
        <f t="shared" si="20"/>
        <v>16</v>
      </c>
      <c r="E111">
        <f t="shared" si="21"/>
        <v>1</v>
      </c>
      <c r="F111">
        <f t="shared" si="16"/>
        <v>1</v>
      </c>
      <c r="G111">
        <f t="shared" si="22"/>
        <v>0</v>
      </c>
      <c r="H111">
        <f t="shared" si="23"/>
        <v>0</v>
      </c>
      <c r="I111">
        <f t="shared" si="24"/>
        <v>0</v>
      </c>
      <c r="J111">
        <f t="shared" si="17"/>
        <v>0</v>
      </c>
      <c r="K111">
        <f t="shared" si="18"/>
        <v>0</v>
      </c>
      <c r="L111">
        <f t="shared" si="25"/>
        <v>16</v>
      </c>
      <c r="M111">
        <f t="shared" si="26"/>
        <v>16</v>
      </c>
      <c r="N111">
        <f t="shared" si="27"/>
        <v>1</v>
      </c>
      <c r="O111">
        <f t="shared" si="28"/>
        <v>5</v>
      </c>
      <c r="P111">
        <f t="shared" si="19"/>
        <v>4</v>
      </c>
      <c r="Q111">
        <f t="shared" si="29"/>
        <v>11</v>
      </c>
      <c r="R111">
        <f t="shared" si="29"/>
        <v>12</v>
      </c>
    </row>
    <row r="112" spans="1:18" x14ac:dyDescent="0.25">
      <c r="A112" s="1">
        <v>44761</v>
      </c>
      <c r="B112">
        <f t="shared" si="15"/>
        <v>2</v>
      </c>
      <c r="C112">
        <f t="shared" si="20"/>
        <v>11</v>
      </c>
      <c r="D112">
        <f t="shared" si="20"/>
        <v>12</v>
      </c>
      <c r="E112">
        <f t="shared" si="21"/>
        <v>0</v>
      </c>
      <c r="F112">
        <f t="shared" si="16"/>
        <v>0</v>
      </c>
      <c r="G112">
        <f t="shared" si="22"/>
        <v>0</v>
      </c>
      <c r="H112">
        <f t="shared" si="23"/>
        <v>0</v>
      </c>
      <c r="I112">
        <f t="shared" si="24"/>
        <v>0</v>
      </c>
      <c r="J112">
        <f t="shared" si="17"/>
        <v>0</v>
      </c>
      <c r="K112">
        <f t="shared" si="18"/>
        <v>0</v>
      </c>
      <c r="L112">
        <f t="shared" si="25"/>
        <v>11</v>
      </c>
      <c r="M112">
        <f t="shared" si="26"/>
        <v>12</v>
      </c>
      <c r="N112">
        <f t="shared" si="27"/>
        <v>1</v>
      </c>
      <c r="O112">
        <f t="shared" si="28"/>
        <v>4</v>
      </c>
      <c r="P112">
        <f t="shared" si="19"/>
        <v>3</v>
      </c>
      <c r="Q112">
        <f t="shared" si="29"/>
        <v>7</v>
      </c>
      <c r="R112">
        <f t="shared" si="29"/>
        <v>9</v>
      </c>
    </row>
    <row r="113" spans="1:18" x14ac:dyDescent="0.25">
      <c r="A113" s="1">
        <v>44762</v>
      </c>
      <c r="B113">
        <f t="shared" si="15"/>
        <v>3</v>
      </c>
      <c r="C113">
        <f t="shared" si="20"/>
        <v>7</v>
      </c>
      <c r="D113">
        <f t="shared" si="20"/>
        <v>9</v>
      </c>
      <c r="E113">
        <f t="shared" si="21"/>
        <v>0</v>
      </c>
      <c r="F113">
        <f t="shared" si="16"/>
        <v>0</v>
      </c>
      <c r="G113">
        <f t="shared" si="22"/>
        <v>0</v>
      </c>
      <c r="H113">
        <f t="shared" si="23"/>
        <v>0</v>
      </c>
      <c r="I113">
        <f t="shared" si="24"/>
        <v>0</v>
      </c>
      <c r="J113">
        <f t="shared" si="17"/>
        <v>0</v>
      </c>
      <c r="K113">
        <f t="shared" si="18"/>
        <v>0</v>
      </c>
      <c r="L113">
        <f t="shared" si="25"/>
        <v>7</v>
      </c>
      <c r="M113">
        <f t="shared" si="26"/>
        <v>9</v>
      </c>
      <c r="N113">
        <f t="shared" si="27"/>
        <v>1</v>
      </c>
      <c r="O113">
        <f t="shared" si="28"/>
        <v>3</v>
      </c>
      <c r="P113">
        <f t="shared" si="19"/>
        <v>2</v>
      </c>
      <c r="Q113">
        <f t="shared" si="29"/>
        <v>4</v>
      </c>
      <c r="R113">
        <f t="shared" si="29"/>
        <v>7</v>
      </c>
    </row>
    <row r="114" spans="1:18" x14ac:dyDescent="0.25">
      <c r="A114" s="1">
        <v>44763</v>
      </c>
      <c r="B114">
        <f t="shared" si="15"/>
        <v>4</v>
      </c>
      <c r="C114">
        <f t="shared" si="20"/>
        <v>4</v>
      </c>
      <c r="D114">
        <f t="shared" si="20"/>
        <v>7</v>
      </c>
      <c r="E114">
        <f t="shared" si="21"/>
        <v>0</v>
      </c>
      <c r="F114">
        <f t="shared" si="16"/>
        <v>0</v>
      </c>
      <c r="G114">
        <f t="shared" si="22"/>
        <v>1</v>
      </c>
      <c r="H114">
        <f t="shared" si="23"/>
        <v>50</v>
      </c>
      <c r="I114">
        <f t="shared" si="24"/>
        <v>25</v>
      </c>
      <c r="J114">
        <f t="shared" si="17"/>
        <v>0</v>
      </c>
      <c r="K114">
        <f t="shared" si="18"/>
        <v>0</v>
      </c>
      <c r="L114">
        <f t="shared" si="25"/>
        <v>54</v>
      </c>
      <c r="M114">
        <f t="shared" si="26"/>
        <v>32</v>
      </c>
      <c r="N114">
        <f t="shared" si="27"/>
        <v>1</v>
      </c>
      <c r="O114">
        <f t="shared" si="28"/>
        <v>17</v>
      </c>
      <c r="P114">
        <f t="shared" si="19"/>
        <v>7</v>
      </c>
      <c r="Q114">
        <f t="shared" si="29"/>
        <v>37</v>
      </c>
      <c r="R114">
        <f t="shared" si="29"/>
        <v>25</v>
      </c>
    </row>
    <row r="115" spans="1:18" x14ac:dyDescent="0.25">
      <c r="A115" s="1">
        <v>44764</v>
      </c>
      <c r="B115">
        <f t="shared" si="15"/>
        <v>5</v>
      </c>
      <c r="C115">
        <f t="shared" si="20"/>
        <v>37</v>
      </c>
      <c r="D115">
        <f t="shared" si="20"/>
        <v>25</v>
      </c>
      <c r="E115">
        <f t="shared" si="21"/>
        <v>0</v>
      </c>
      <c r="F115">
        <f t="shared" si="16"/>
        <v>0</v>
      </c>
      <c r="G115">
        <f t="shared" si="22"/>
        <v>0</v>
      </c>
      <c r="H115">
        <f t="shared" si="23"/>
        <v>0</v>
      </c>
      <c r="I115">
        <f t="shared" si="24"/>
        <v>0</v>
      </c>
      <c r="J115">
        <f t="shared" si="17"/>
        <v>0</v>
      </c>
      <c r="K115">
        <f t="shared" si="18"/>
        <v>0</v>
      </c>
      <c r="L115">
        <f t="shared" si="25"/>
        <v>37</v>
      </c>
      <c r="M115">
        <f t="shared" si="26"/>
        <v>25</v>
      </c>
      <c r="N115">
        <f t="shared" si="27"/>
        <v>1</v>
      </c>
      <c r="O115">
        <f t="shared" si="28"/>
        <v>12</v>
      </c>
      <c r="P115">
        <f t="shared" si="19"/>
        <v>5</v>
      </c>
      <c r="Q115">
        <f t="shared" si="29"/>
        <v>25</v>
      </c>
      <c r="R115">
        <f t="shared" si="29"/>
        <v>20</v>
      </c>
    </row>
    <row r="116" spans="1:18" x14ac:dyDescent="0.25">
      <c r="A116" s="1">
        <v>44765</v>
      </c>
      <c r="B116">
        <f t="shared" si="15"/>
        <v>6</v>
      </c>
      <c r="C116">
        <f t="shared" si="20"/>
        <v>25</v>
      </c>
      <c r="D116">
        <f t="shared" si="20"/>
        <v>20</v>
      </c>
      <c r="E116">
        <f t="shared" si="21"/>
        <v>0</v>
      </c>
      <c r="F116">
        <f t="shared" si="16"/>
        <v>0</v>
      </c>
      <c r="G116">
        <f t="shared" si="22"/>
        <v>0</v>
      </c>
      <c r="H116">
        <f t="shared" si="23"/>
        <v>0</v>
      </c>
      <c r="I116">
        <f t="shared" si="24"/>
        <v>0</v>
      </c>
      <c r="J116">
        <f t="shared" si="17"/>
        <v>0</v>
      </c>
      <c r="K116">
        <f t="shared" si="18"/>
        <v>0</v>
      </c>
      <c r="L116">
        <f t="shared" si="25"/>
        <v>25</v>
      </c>
      <c r="M116">
        <f t="shared" si="26"/>
        <v>20</v>
      </c>
      <c r="N116">
        <f t="shared" si="27"/>
        <v>1</v>
      </c>
      <c r="O116">
        <f t="shared" si="28"/>
        <v>8</v>
      </c>
      <c r="P116">
        <f t="shared" si="19"/>
        <v>4</v>
      </c>
      <c r="Q116">
        <f t="shared" si="29"/>
        <v>17</v>
      </c>
      <c r="R116">
        <f t="shared" si="29"/>
        <v>16</v>
      </c>
    </row>
    <row r="117" spans="1:18" x14ac:dyDescent="0.25">
      <c r="A117" s="1">
        <v>44766</v>
      </c>
      <c r="B117">
        <f t="shared" si="15"/>
        <v>7</v>
      </c>
      <c r="C117">
        <f t="shared" si="20"/>
        <v>17</v>
      </c>
      <c r="D117">
        <f t="shared" si="20"/>
        <v>16</v>
      </c>
      <c r="E117">
        <f t="shared" si="21"/>
        <v>0</v>
      </c>
      <c r="F117">
        <f t="shared" si="16"/>
        <v>0</v>
      </c>
      <c r="G117">
        <f t="shared" si="22"/>
        <v>0</v>
      </c>
      <c r="H117">
        <f t="shared" si="23"/>
        <v>0</v>
      </c>
      <c r="I117">
        <f t="shared" si="24"/>
        <v>0</v>
      </c>
      <c r="J117">
        <f t="shared" si="17"/>
        <v>0</v>
      </c>
      <c r="K117">
        <f t="shared" si="18"/>
        <v>0</v>
      </c>
      <c r="L117">
        <f t="shared" si="25"/>
        <v>17</v>
      </c>
      <c r="M117">
        <f t="shared" si="26"/>
        <v>16</v>
      </c>
      <c r="N117">
        <f t="shared" si="27"/>
        <v>0</v>
      </c>
      <c r="O117">
        <f t="shared" si="28"/>
        <v>0</v>
      </c>
      <c r="P117">
        <f t="shared" si="19"/>
        <v>0</v>
      </c>
      <c r="Q117">
        <f t="shared" si="29"/>
        <v>17</v>
      </c>
      <c r="R117">
        <f t="shared" si="29"/>
        <v>16</v>
      </c>
    </row>
    <row r="118" spans="1:18" x14ac:dyDescent="0.25">
      <c r="A118" s="1">
        <v>44767</v>
      </c>
      <c r="B118">
        <f t="shared" si="15"/>
        <v>1</v>
      </c>
      <c r="C118">
        <f t="shared" si="20"/>
        <v>17</v>
      </c>
      <c r="D118">
        <f t="shared" si="20"/>
        <v>16</v>
      </c>
      <c r="E118">
        <f t="shared" si="21"/>
        <v>1</v>
      </c>
      <c r="F118">
        <f t="shared" si="16"/>
        <v>1</v>
      </c>
      <c r="G118">
        <f t="shared" si="22"/>
        <v>0</v>
      </c>
      <c r="H118">
        <f t="shared" si="23"/>
        <v>0</v>
      </c>
      <c r="I118">
        <f t="shared" si="24"/>
        <v>0</v>
      </c>
      <c r="J118">
        <f t="shared" si="17"/>
        <v>0</v>
      </c>
      <c r="K118">
        <f t="shared" si="18"/>
        <v>0</v>
      </c>
      <c r="L118">
        <f t="shared" si="25"/>
        <v>16</v>
      </c>
      <c r="M118">
        <f t="shared" si="26"/>
        <v>16</v>
      </c>
      <c r="N118">
        <f t="shared" si="27"/>
        <v>1</v>
      </c>
      <c r="O118">
        <f t="shared" si="28"/>
        <v>5</v>
      </c>
      <c r="P118">
        <f t="shared" si="19"/>
        <v>4</v>
      </c>
      <c r="Q118">
        <f t="shared" si="29"/>
        <v>11</v>
      </c>
      <c r="R118">
        <f t="shared" si="29"/>
        <v>12</v>
      </c>
    </row>
    <row r="119" spans="1:18" x14ac:dyDescent="0.25">
      <c r="A119" s="1">
        <v>44768</v>
      </c>
      <c r="B119">
        <f t="shared" si="15"/>
        <v>2</v>
      </c>
      <c r="C119">
        <f t="shared" si="20"/>
        <v>11</v>
      </c>
      <c r="D119">
        <f t="shared" si="20"/>
        <v>12</v>
      </c>
      <c r="E119">
        <f t="shared" si="21"/>
        <v>0</v>
      </c>
      <c r="F119">
        <f t="shared" si="16"/>
        <v>0</v>
      </c>
      <c r="G119">
        <f t="shared" si="22"/>
        <v>0</v>
      </c>
      <c r="H119">
        <f t="shared" si="23"/>
        <v>0</v>
      </c>
      <c r="I119">
        <f t="shared" si="24"/>
        <v>0</v>
      </c>
      <c r="J119">
        <f t="shared" si="17"/>
        <v>0</v>
      </c>
      <c r="K119">
        <f t="shared" si="18"/>
        <v>0</v>
      </c>
      <c r="L119">
        <f t="shared" si="25"/>
        <v>11</v>
      </c>
      <c r="M119">
        <f t="shared" si="26"/>
        <v>12</v>
      </c>
      <c r="N119">
        <f t="shared" si="27"/>
        <v>1</v>
      </c>
      <c r="O119">
        <f t="shared" si="28"/>
        <v>4</v>
      </c>
      <c r="P119">
        <f t="shared" si="19"/>
        <v>3</v>
      </c>
      <c r="Q119">
        <f t="shared" si="29"/>
        <v>7</v>
      </c>
      <c r="R119">
        <f t="shared" si="29"/>
        <v>9</v>
      </c>
    </row>
    <row r="120" spans="1:18" x14ac:dyDescent="0.25">
      <c r="A120" s="1">
        <v>44769</v>
      </c>
      <c r="B120">
        <f t="shared" si="15"/>
        <v>3</v>
      </c>
      <c r="C120">
        <f t="shared" si="20"/>
        <v>7</v>
      </c>
      <c r="D120">
        <f t="shared" si="20"/>
        <v>9</v>
      </c>
      <c r="E120">
        <f t="shared" si="21"/>
        <v>0</v>
      </c>
      <c r="F120">
        <f t="shared" si="16"/>
        <v>0</v>
      </c>
      <c r="G120">
        <f t="shared" si="22"/>
        <v>0</v>
      </c>
      <c r="H120">
        <f t="shared" si="23"/>
        <v>0</v>
      </c>
      <c r="I120">
        <f t="shared" si="24"/>
        <v>0</v>
      </c>
      <c r="J120">
        <f t="shared" si="17"/>
        <v>0</v>
      </c>
      <c r="K120">
        <f t="shared" si="18"/>
        <v>0</v>
      </c>
      <c r="L120">
        <f t="shared" si="25"/>
        <v>7</v>
      </c>
      <c r="M120">
        <f t="shared" si="26"/>
        <v>9</v>
      </c>
      <c r="N120">
        <f t="shared" si="27"/>
        <v>1</v>
      </c>
      <c r="O120">
        <f t="shared" si="28"/>
        <v>3</v>
      </c>
      <c r="P120">
        <f t="shared" si="19"/>
        <v>2</v>
      </c>
      <c r="Q120">
        <f t="shared" si="29"/>
        <v>4</v>
      </c>
      <c r="R120">
        <f t="shared" si="29"/>
        <v>7</v>
      </c>
    </row>
    <row r="121" spans="1:18" x14ac:dyDescent="0.25">
      <c r="A121" s="1">
        <v>44770</v>
      </c>
      <c r="B121">
        <f t="shared" si="15"/>
        <v>4</v>
      </c>
      <c r="C121">
        <f t="shared" si="20"/>
        <v>4</v>
      </c>
      <c r="D121">
        <f t="shared" si="20"/>
        <v>7</v>
      </c>
      <c r="E121">
        <f t="shared" si="21"/>
        <v>0</v>
      </c>
      <c r="F121">
        <f t="shared" si="16"/>
        <v>0</v>
      </c>
      <c r="G121">
        <f t="shared" si="22"/>
        <v>1</v>
      </c>
      <c r="H121">
        <f t="shared" si="23"/>
        <v>50</v>
      </c>
      <c r="I121">
        <f t="shared" si="24"/>
        <v>25</v>
      </c>
      <c r="J121">
        <f t="shared" si="17"/>
        <v>0</v>
      </c>
      <c r="K121">
        <f t="shared" si="18"/>
        <v>0</v>
      </c>
      <c r="L121">
        <f t="shared" si="25"/>
        <v>54</v>
      </c>
      <c r="M121">
        <f t="shared" si="26"/>
        <v>32</v>
      </c>
      <c r="N121">
        <f t="shared" si="27"/>
        <v>1</v>
      </c>
      <c r="O121">
        <f t="shared" si="28"/>
        <v>17</v>
      </c>
      <c r="P121">
        <f t="shared" si="19"/>
        <v>7</v>
      </c>
      <c r="Q121">
        <f t="shared" si="29"/>
        <v>37</v>
      </c>
      <c r="R121">
        <f t="shared" si="29"/>
        <v>25</v>
      </c>
    </row>
    <row r="122" spans="1:18" x14ac:dyDescent="0.25">
      <c r="A122" s="1">
        <v>44771</v>
      </c>
      <c r="B122">
        <f t="shared" si="15"/>
        <v>5</v>
      </c>
      <c r="C122">
        <f t="shared" si="20"/>
        <v>37</v>
      </c>
      <c r="D122">
        <f t="shared" si="20"/>
        <v>25</v>
      </c>
      <c r="E122">
        <f t="shared" si="21"/>
        <v>0</v>
      </c>
      <c r="F122">
        <f t="shared" si="16"/>
        <v>0</v>
      </c>
      <c r="G122">
        <f t="shared" si="22"/>
        <v>0</v>
      </c>
      <c r="H122">
        <f t="shared" si="23"/>
        <v>0</v>
      </c>
      <c r="I122">
        <f t="shared" si="24"/>
        <v>0</v>
      </c>
      <c r="J122">
        <f t="shared" si="17"/>
        <v>0</v>
      </c>
      <c r="K122">
        <f t="shared" si="18"/>
        <v>0</v>
      </c>
      <c r="L122">
        <f t="shared" si="25"/>
        <v>37</v>
      </c>
      <c r="M122">
        <f t="shared" si="26"/>
        <v>25</v>
      </c>
      <c r="N122">
        <f t="shared" si="27"/>
        <v>1</v>
      </c>
      <c r="O122">
        <f t="shared" si="28"/>
        <v>12</v>
      </c>
      <c r="P122">
        <f t="shared" si="19"/>
        <v>5</v>
      </c>
      <c r="Q122">
        <f t="shared" si="29"/>
        <v>25</v>
      </c>
      <c r="R122">
        <f t="shared" si="29"/>
        <v>20</v>
      </c>
    </row>
    <row r="123" spans="1:18" x14ac:dyDescent="0.25">
      <c r="A123" s="1">
        <v>44772</v>
      </c>
      <c r="B123">
        <f t="shared" si="15"/>
        <v>6</v>
      </c>
      <c r="C123">
        <f t="shared" si="20"/>
        <v>25</v>
      </c>
      <c r="D123">
        <f t="shared" si="20"/>
        <v>20</v>
      </c>
      <c r="E123">
        <f t="shared" si="21"/>
        <v>0</v>
      </c>
      <c r="F123">
        <f t="shared" si="16"/>
        <v>0</v>
      </c>
      <c r="G123">
        <f t="shared" si="22"/>
        <v>0</v>
      </c>
      <c r="H123">
        <f t="shared" si="23"/>
        <v>0</v>
      </c>
      <c r="I123">
        <f t="shared" si="24"/>
        <v>0</v>
      </c>
      <c r="J123">
        <f t="shared" si="17"/>
        <v>0</v>
      </c>
      <c r="K123">
        <f t="shared" si="18"/>
        <v>0</v>
      </c>
      <c r="L123">
        <f t="shared" si="25"/>
        <v>25</v>
      </c>
      <c r="M123">
        <f t="shared" si="26"/>
        <v>20</v>
      </c>
      <c r="N123">
        <f t="shared" si="27"/>
        <v>1</v>
      </c>
      <c r="O123">
        <f t="shared" si="28"/>
        <v>8</v>
      </c>
      <c r="P123">
        <f t="shared" si="19"/>
        <v>4</v>
      </c>
      <c r="Q123">
        <f t="shared" si="29"/>
        <v>17</v>
      </c>
      <c r="R123">
        <f t="shared" si="29"/>
        <v>16</v>
      </c>
    </row>
    <row r="124" spans="1:18" x14ac:dyDescent="0.25">
      <c r="A124" s="1">
        <v>44773</v>
      </c>
      <c r="B124">
        <f t="shared" si="15"/>
        <v>7</v>
      </c>
      <c r="C124">
        <f t="shared" si="20"/>
        <v>17</v>
      </c>
      <c r="D124">
        <f t="shared" si="20"/>
        <v>16</v>
      </c>
      <c r="E124">
        <f t="shared" si="21"/>
        <v>0</v>
      </c>
      <c r="F124">
        <f t="shared" si="16"/>
        <v>0</v>
      </c>
      <c r="G124">
        <f t="shared" si="22"/>
        <v>0</v>
      </c>
      <c r="H124">
        <f t="shared" si="23"/>
        <v>0</v>
      </c>
      <c r="I124">
        <f t="shared" si="24"/>
        <v>0</v>
      </c>
      <c r="J124">
        <f t="shared" si="17"/>
        <v>0</v>
      </c>
      <c r="K124">
        <f t="shared" si="18"/>
        <v>0</v>
      </c>
      <c r="L124">
        <f t="shared" si="25"/>
        <v>17</v>
      </c>
      <c r="M124">
        <f t="shared" si="26"/>
        <v>16</v>
      </c>
      <c r="N124">
        <f t="shared" si="27"/>
        <v>0</v>
      </c>
      <c r="O124">
        <f t="shared" si="28"/>
        <v>0</v>
      </c>
      <c r="P124">
        <f t="shared" si="19"/>
        <v>0</v>
      </c>
      <c r="Q124">
        <f t="shared" si="29"/>
        <v>17</v>
      </c>
      <c r="R124">
        <f t="shared" si="29"/>
        <v>16</v>
      </c>
    </row>
    <row r="125" spans="1:18" x14ac:dyDescent="0.25">
      <c r="A125" s="1">
        <v>44774</v>
      </c>
      <c r="B125">
        <f t="shared" si="15"/>
        <v>1</v>
      </c>
      <c r="C125">
        <f t="shared" si="20"/>
        <v>17</v>
      </c>
      <c r="D125">
        <f t="shared" si="20"/>
        <v>16</v>
      </c>
      <c r="E125">
        <f t="shared" si="21"/>
        <v>1</v>
      </c>
      <c r="F125">
        <f t="shared" si="16"/>
        <v>1</v>
      </c>
      <c r="G125">
        <f t="shared" si="22"/>
        <v>0</v>
      </c>
      <c r="H125">
        <f t="shared" si="23"/>
        <v>0</v>
      </c>
      <c r="I125">
        <f t="shared" si="24"/>
        <v>0</v>
      </c>
      <c r="J125">
        <f t="shared" si="17"/>
        <v>0</v>
      </c>
      <c r="K125">
        <f t="shared" si="18"/>
        <v>0</v>
      </c>
      <c r="L125">
        <f t="shared" si="25"/>
        <v>16</v>
      </c>
      <c r="M125">
        <f t="shared" si="26"/>
        <v>16</v>
      </c>
      <c r="N125">
        <f t="shared" si="27"/>
        <v>1</v>
      </c>
      <c r="O125">
        <f t="shared" si="28"/>
        <v>5</v>
      </c>
      <c r="P125">
        <f t="shared" si="19"/>
        <v>4</v>
      </c>
      <c r="Q125">
        <f t="shared" si="29"/>
        <v>11</v>
      </c>
      <c r="R125">
        <f t="shared" si="29"/>
        <v>12</v>
      </c>
    </row>
    <row r="126" spans="1:18" x14ac:dyDescent="0.25">
      <c r="A126" s="1">
        <v>44775</v>
      </c>
      <c r="B126">
        <f t="shared" si="15"/>
        <v>2</v>
      </c>
      <c r="C126">
        <f t="shared" si="20"/>
        <v>11</v>
      </c>
      <c r="D126">
        <f t="shared" si="20"/>
        <v>12</v>
      </c>
      <c r="E126">
        <f t="shared" si="21"/>
        <v>0</v>
      </c>
      <c r="F126">
        <f t="shared" si="16"/>
        <v>0</v>
      </c>
      <c r="G126">
        <f t="shared" si="22"/>
        <v>0</v>
      </c>
      <c r="H126">
        <f t="shared" si="23"/>
        <v>0</v>
      </c>
      <c r="I126">
        <f t="shared" si="24"/>
        <v>0</v>
      </c>
      <c r="J126">
        <f t="shared" si="17"/>
        <v>0</v>
      </c>
      <c r="K126">
        <f t="shared" si="18"/>
        <v>0</v>
      </c>
      <c r="L126">
        <f t="shared" si="25"/>
        <v>11</v>
      </c>
      <c r="M126">
        <f t="shared" si="26"/>
        <v>12</v>
      </c>
      <c r="N126">
        <f t="shared" si="27"/>
        <v>1</v>
      </c>
      <c r="O126">
        <f t="shared" si="28"/>
        <v>4</v>
      </c>
      <c r="P126">
        <f t="shared" si="19"/>
        <v>3</v>
      </c>
      <c r="Q126">
        <f t="shared" si="29"/>
        <v>7</v>
      </c>
      <c r="R126">
        <f t="shared" si="29"/>
        <v>9</v>
      </c>
    </row>
    <row r="127" spans="1:18" x14ac:dyDescent="0.25">
      <c r="A127" s="1">
        <v>44776</v>
      </c>
      <c r="B127">
        <f t="shared" si="15"/>
        <v>3</v>
      </c>
      <c r="C127">
        <f t="shared" si="20"/>
        <v>7</v>
      </c>
      <c r="D127">
        <f t="shared" si="20"/>
        <v>9</v>
      </c>
      <c r="E127">
        <f t="shared" si="21"/>
        <v>0</v>
      </c>
      <c r="F127">
        <f t="shared" si="16"/>
        <v>0</v>
      </c>
      <c r="G127">
        <f t="shared" si="22"/>
        <v>0</v>
      </c>
      <c r="H127">
        <f t="shared" si="23"/>
        <v>0</v>
      </c>
      <c r="I127">
        <f t="shared" si="24"/>
        <v>0</v>
      </c>
      <c r="J127">
        <f t="shared" si="17"/>
        <v>0</v>
      </c>
      <c r="K127">
        <f t="shared" si="18"/>
        <v>0</v>
      </c>
      <c r="L127">
        <f t="shared" si="25"/>
        <v>7</v>
      </c>
      <c r="M127">
        <f t="shared" si="26"/>
        <v>9</v>
      </c>
      <c r="N127">
        <f t="shared" si="27"/>
        <v>1</v>
      </c>
      <c r="O127">
        <f t="shared" si="28"/>
        <v>3</v>
      </c>
      <c r="P127">
        <f t="shared" si="19"/>
        <v>2</v>
      </c>
      <c r="Q127">
        <f t="shared" si="29"/>
        <v>4</v>
      </c>
      <c r="R127">
        <f t="shared" si="29"/>
        <v>7</v>
      </c>
    </row>
    <row r="128" spans="1:18" x14ac:dyDescent="0.25">
      <c r="A128" s="1">
        <v>44777</v>
      </c>
      <c r="B128">
        <f t="shared" si="15"/>
        <v>4</v>
      </c>
      <c r="C128">
        <f t="shared" si="20"/>
        <v>4</v>
      </c>
      <c r="D128">
        <f t="shared" si="20"/>
        <v>7</v>
      </c>
      <c r="E128">
        <f t="shared" si="21"/>
        <v>0</v>
      </c>
      <c r="F128">
        <f t="shared" si="16"/>
        <v>0</v>
      </c>
      <c r="G128">
        <f t="shared" si="22"/>
        <v>1</v>
      </c>
      <c r="H128">
        <f t="shared" si="23"/>
        <v>50</v>
      </c>
      <c r="I128">
        <f t="shared" si="24"/>
        <v>25</v>
      </c>
      <c r="J128">
        <f t="shared" si="17"/>
        <v>0</v>
      </c>
      <c r="K128">
        <f t="shared" si="18"/>
        <v>0</v>
      </c>
      <c r="L128">
        <f t="shared" si="25"/>
        <v>54</v>
      </c>
      <c r="M128">
        <f t="shared" si="26"/>
        <v>32</v>
      </c>
      <c r="N128">
        <f t="shared" si="27"/>
        <v>1</v>
      </c>
      <c r="O128">
        <f t="shared" si="28"/>
        <v>17</v>
      </c>
      <c r="P128">
        <f t="shared" si="19"/>
        <v>7</v>
      </c>
      <c r="Q128">
        <f t="shared" si="29"/>
        <v>37</v>
      </c>
      <c r="R128">
        <f t="shared" si="29"/>
        <v>25</v>
      </c>
    </row>
    <row r="129" spans="1:18" x14ac:dyDescent="0.25">
      <c r="A129" s="1">
        <v>44778</v>
      </c>
      <c r="B129">
        <f t="shared" si="15"/>
        <v>5</v>
      </c>
      <c r="C129">
        <f t="shared" si="20"/>
        <v>37</v>
      </c>
      <c r="D129">
        <f t="shared" si="20"/>
        <v>25</v>
      </c>
      <c r="E129">
        <f t="shared" si="21"/>
        <v>0</v>
      </c>
      <c r="F129">
        <f t="shared" si="16"/>
        <v>0</v>
      </c>
      <c r="G129">
        <f t="shared" si="22"/>
        <v>0</v>
      </c>
      <c r="H129">
        <f t="shared" si="23"/>
        <v>0</v>
      </c>
      <c r="I129">
        <f t="shared" si="24"/>
        <v>0</v>
      </c>
      <c r="J129">
        <f t="shared" si="17"/>
        <v>0</v>
      </c>
      <c r="K129">
        <f t="shared" si="18"/>
        <v>0</v>
      </c>
      <c r="L129">
        <f t="shared" si="25"/>
        <v>37</v>
      </c>
      <c r="M129">
        <f t="shared" si="26"/>
        <v>25</v>
      </c>
      <c r="N129">
        <f t="shared" si="27"/>
        <v>1</v>
      </c>
      <c r="O129">
        <f t="shared" si="28"/>
        <v>12</v>
      </c>
      <c r="P129">
        <f t="shared" si="19"/>
        <v>5</v>
      </c>
      <c r="Q129">
        <f t="shared" si="29"/>
        <v>25</v>
      </c>
      <c r="R129">
        <f t="shared" si="29"/>
        <v>20</v>
      </c>
    </row>
    <row r="130" spans="1:18" x14ac:dyDescent="0.25">
      <c r="A130" s="1">
        <v>44779</v>
      </c>
      <c r="B130">
        <f t="shared" si="15"/>
        <v>6</v>
      </c>
      <c r="C130">
        <f t="shared" si="20"/>
        <v>25</v>
      </c>
      <c r="D130">
        <f t="shared" si="20"/>
        <v>20</v>
      </c>
      <c r="E130">
        <f t="shared" si="21"/>
        <v>0</v>
      </c>
      <c r="F130">
        <f t="shared" si="16"/>
        <v>0</v>
      </c>
      <c r="G130">
        <f t="shared" si="22"/>
        <v>0</v>
      </c>
      <c r="H130">
        <f t="shared" si="23"/>
        <v>0</v>
      </c>
      <c r="I130">
        <f t="shared" si="24"/>
        <v>0</v>
      </c>
      <c r="J130">
        <f t="shared" si="17"/>
        <v>0</v>
      </c>
      <c r="K130">
        <f t="shared" si="18"/>
        <v>0</v>
      </c>
      <c r="L130">
        <f t="shared" si="25"/>
        <v>25</v>
      </c>
      <c r="M130">
        <f t="shared" si="26"/>
        <v>20</v>
      </c>
      <c r="N130">
        <f t="shared" si="27"/>
        <v>1</v>
      </c>
      <c r="O130">
        <f t="shared" si="28"/>
        <v>8</v>
      </c>
      <c r="P130">
        <f t="shared" si="19"/>
        <v>4</v>
      </c>
      <c r="Q130">
        <f t="shared" si="29"/>
        <v>17</v>
      </c>
      <c r="R130">
        <f t="shared" si="29"/>
        <v>16</v>
      </c>
    </row>
    <row r="131" spans="1:18" x14ac:dyDescent="0.25">
      <c r="A131" s="1">
        <v>44780</v>
      </c>
      <c r="B131">
        <f t="shared" si="15"/>
        <v>7</v>
      </c>
      <c r="C131">
        <f t="shared" si="20"/>
        <v>17</v>
      </c>
      <c r="D131">
        <f t="shared" si="20"/>
        <v>16</v>
      </c>
      <c r="E131">
        <f t="shared" si="21"/>
        <v>0</v>
      </c>
      <c r="F131">
        <f t="shared" si="16"/>
        <v>0</v>
      </c>
      <c r="G131">
        <f t="shared" si="22"/>
        <v>0</v>
      </c>
      <c r="H131">
        <f t="shared" si="23"/>
        <v>0</v>
      </c>
      <c r="I131">
        <f t="shared" si="24"/>
        <v>0</v>
      </c>
      <c r="J131">
        <f t="shared" si="17"/>
        <v>0</v>
      </c>
      <c r="K131">
        <f t="shared" si="18"/>
        <v>0</v>
      </c>
      <c r="L131">
        <f t="shared" si="25"/>
        <v>17</v>
      </c>
      <c r="M131">
        <f t="shared" si="26"/>
        <v>16</v>
      </c>
      <c r="N131">
        <f t="shared" si="27"/>
        <v>0</v>
      </c>
      <c r="O131">
        <f t="shared" si="28"/>
        <v>0</v>
      </c>
      <c r="P131">
        <f t="shared" si="19"/>
        <v>0</v>
      </c>
      <c r="Q131">
        <f t="shared" si="29"/>
        <v>17</v>
      </c>
      <c r="R131">
        <f t="shared" si="29"/>
        <v>16</v>
      </c>
    </row>
    <row r="132" spans="1:18" x14ac:dyDescent="0.25">
      <c r="A132" s="1">
        <v>44781</v>
      </c>
      <c r="B132">
        <f t="shared" ref="B132:B195" si="30">WEEKDAY(A132, 2)</f>
        <v>1</v>
      </c>
      <c r="C132">
        <f t="shared" si="20"/>
        <v>17</v>
      </c>
      <c r="D132">
        <f t="shared" si="20"/>
        <v>16</v>
      </c>
      <c r="E132">
        <f t="shared" si="21"/>
        <v>1</v>
      </c>
      <c r="F132">
        <f t="shared" ref="F132:F195" si="31">IF(E132=1,ROUNDUP(5% * C132,0),0)</f>
        <v>1</v>
      </c>
      <c r="G132">
        <f t="shared" si="22"/>
        <v>0</v>
      </c>
      <c r="H132">
        <f t="shared" si="23"/>
        <v>0</v>
      </c>
      <c r="I132">
        <f t="shared" si="24"/>
        <v>0</v>
      </c>
      <c r="J132">
        <f t="shared" ref="J132:J195" si="32">IF(AND(B132=1,SUM(O129:O130)&gt;25),1,0)</f>
        <v>0</v>
      </c>
      <c r="K132">
        <f t="shared" ref="K132:K195" si="33">IF(J132=1,15,0)</f>
        <v>0</v>
      </c>
      <c r="L132">
        <f t="shared" si="25"/>
        <v>16</v>
      </c>
      <c r="M132">
        <f t="shared" si="26"/>
        <v>16</v>
      </c>
      <c r="N132">
        <f t="shared" si="27"/>
        <v>1</v>
      </c>
      <c r="O132">
        <f t="shared" si="28"/>
        <v>5</v>
      </c>
      <c r="P132">
        <f t="shared" ref="P132:P195" si="34">IF(N132=1,ROUNDUP(20% * M132,0),0)</f>
        <v>4</v>
      </c>
      <c r="Q132">
        <f t="shared" si="29"/>
        <v>11</v>
      </c>
      <c r="R132">
        <f t="shared" si="29"/>
        <v>12</v>
      </c>
    </row>
    <row r="133" spans="1:18" x14ac:dyDescent="0.25">
      <c r="A133" s="1">
        <v>44782</v>
      </c>
      <c r="B133">
        <f t="shared" si="30"/>
        <v>2</v>
      </c>
      <c r="C133">
        <f t="shared" ref="C133:D196" si="35">Q132</f>
        <v>11</v>
      </c>
      <c r="D133">
        <f t="shared" si="35"/>
        <v>12</v>
      </c>
      <c r="E133">
        <f t="shared" ref="E133:E196" si="36">IF(B133=1,1,0)</f>
        <v>0</v>
      </c>
      <c r="F133">
        <f t="shared" si="31"/>
        <v>0</v>
      </c>
      <c r="G133">
        <f t="shared" ref="G133:G196" si="37">IF(B133=4,1,0)</f>
        <v>0</v>
      </c>
      <c r="H133">
        <f t="shared" ref="H133:H196" si="38">IF(G133=1,50,0)</f>
        <v>0</v>
      </c>
      <c r="I133">
        <f t="shared" ref="I133:I196" si="39">IF(G133=1,25,0)</f>
        <v>0</v>
      </c>
      <c r="J133">
        <f t="shared" si="32"/>
        <v>0</v>
      </c>
      <c r="K133">
        <f t="shared" si="33"/>
        <v>0</v>
      </c>
      <c r="L133">
        <f t="shared" ref="L133:L196" si="40">K133+H133+C133-F133</f>
        <v>11</v>
      </c>
      <c r="M133">
        <f t="shared" ref="M133:M196" si="41">I133+D133</f>
        <v>12</v>
      </c>
      <c r="N133">
        <f t="shared" ref="N133:N196" si="42">IF(B133&lt;&gt;7,1,0)</f>
        <v>1</v>
      </c>
      <c r="O133">
        <f t="shared" ref="O133:O196" si="43">IF(N133=1,ROUNDUP(30% * L133,0),0)</f>
        <v>4</v>
      </c>
      <c r="P133">
        <f t="shared" si="34"/>
        <v>3</v>
      </c>
      <c r="Q133">
        <f t="shared" ref="Q133:R196" si="44">L133-O133</f>
        <v>7</v>
      </c>
      <c r="R133">
        <f t="shared" si="44"/>
        <v>9</v>
      </c>
    </row>
    <row r="134" spans="1:18" x14ac:dyDescent="0.25">
      <c r="A134" s="1">
        <v>44783</v>
      </c>
      <c r="B134">
        <f t="shared" si="30"/>
        <v>3</v>
      </c>
      <c r="C134">
        <f t="shared" si="35"/>
        <v>7</v>
      </c>
      <c r="D134">
        <f t="shared" si="35"/>
        <v>9</v>
      </c>
      <c r="E134">
        <f t="shared" si="36"/>
        <v>0</v>
      </c>
      <c r="F134">
        <f t="shared" si="31"/>
        <v>0</v>
      </c>
      <c r="G134">
        <f t="shared" si="37"/>
        <v>0</v>
      </c>
      <c r="H134">
        <f t="shared" si="38"/>
        <v>0</v>
      </c>
      <c r="I134">
        <f t="shared" si="39"/>
        <v>0</v>
      </c>
      <c r="J134">
        <f t="shared" si="32"/>
        <v>0</v>
      </c>
      <c r="K134">
        <f t="shared" si="33"/>
        <v>0</v>
      </c>
      <c r="L134">
        <f t="shared" si="40"/>
        <v>7</v>
      </c>
      <c r="M134">
        <f t="shared" si="41"/>
        <v>9</v>
      </c>
      <c r="N134">
        <f t="shared" si="42"/>
        <v>1</v>
      </c>
      <c r="O134">
        <f t="shared" si="43"/>
        <v>3</v>
      </c>
      <c r="P134">
        <f t="shared" si="34"/>
        <v>2</v>
      </c>
      <c r="Q134">
        <f t="shared" si="44"/>
        <v>4</v>
      </c>
      <c r="R134">
        <f t="shared" si="44"/>
        <v>7</v>
      </c>
    </row>
    <row r="135" spans="1:18" x14ac:dyDescent="0.25">
      <c r="A135" s="1">
        <v>44784</v>
      </c>
      <c r="B135">
        <f t="shared" si="30"/>
        <v>4</v>
      </c>
      <c r="C135">
        <f t="shared" si="35"/>
        <v>4</v>
      </c>
      <c r="D135">
        <f t="shared" si="35"/>
        <v>7</v>
      </c>
      <c r="E135">
        <f t="shared" si="36"/>
        <v>0</v>
      </c>
      <c r="F135">
        <f t="shared" si="31"/>
        <v>0</v>
      </c>
      <c r="G135">
        <f t="shared" si="37"/>
        <v>1</v>
      </c>
      <c r="H135">
        <f t="shared" si="38"/>
        <v>50</v>
      </c>
      <c r="I135">
        <f t="shared" si="39"/>
        <v>25</v>
      </c>
      <c r="J135">
        <f t="shared" si="32"/>
        <v>0</v>
      </c>
      <c r="K135">
        <f t="shared" si="33"/>
        <v>0</v>
      </c>
      <c r="L135">
        <f t="shared" si="40"/>
        <v>54</v>
      </c>
      <c r="M135">
        <f t="shared" si="41"/>
        <v>32</v>
      </c>
      <c r="N135">
        <f t="shared" si="42"/>
        <v>1</v>
      </c>
      <c r="O135">
        <f t="shared" si="43"/>
        <v>17</v>
      </c>
      <c r="P135">
        <f t="shared" si="34"/>
        <v>7</v>
      </c>
      <c r="Q135">
        <f t="shared" si="44"/>
        <v>37</v>
      </c>
      <c r="R135">
        <f t="shared" si="44"/>
        <v>25</v>
      </c>
    </row>
    <row r="136" spans="1:18" x14ac:dyDescent="0.25">
      <c r="A136" s="1">
        <v>44785</v>
      </c>
      <c r="B136">
        <f t="shared" si="30"/>
        <v>5</v>
      </c>
      <c r="C136">
        <f t="shared" si="35"/>
        <v>37</v>
      </c>
      <c r="D136">
        <f t="shared" si="35"/>
        <v>25</v>
      </c>
      <c r="E136">
        <f t="shared" si="36"/>
        <v>0</v>
      </c>
      <c r="F136">
        <f t="shared" si="31"/>
        <v>0</v>
      </c>
      <c r="G136">
        <f t="shared" si="37"/>
        <v>0</v>
      </c>
      <c r="H136">
        <f t="shared" si="38"/>
        <v>0</v>
      </c>
      <c r="I136">
        <f t="shared" si="39"/>
        <v>0</v>
      </c>
      <c r="J136">
        <f t="shared" si="32"/>
        <v>0</v>
      </c>
      <c r="K136">
        <f t="shared" si="33"/>
        <v>0</v>
      </c>
      <c r="L136">
        <f t="shared" si="40"/>
        <v>37</v>
      </c>
      <c r="M136">
        <f t="shared" si="41"/>
        <v>25</v>
      </c>
      <c r="N136">
        <f t="shared" si="42"/>
        <v>1</v>
      </c>
      <c r="O136">
        <f t="shared" si="43"/>
        <v>12</v>
      </c>
      <c r="P136">
        <f t="shared" si="34"/>
        <v>5</v>
      </c>
      <c r="Q136">
        <f t="shared" si="44"/>
        <v>25</v>
      </c>
      <c r="R136">
        <f t="shared" si="44"/>
        <v>20</v>
      </c>
    </row>
    <row r="137" spans="1:18" x14ac:dyDescent="0.25">
      <c r="A137" s="1">
        <v>44786</v>
      </c>
      <c r="B137">
        <f t="shared" si="30"/>
        <v>6</v>
      </c>
      <c r="C137">
        <f t="shared" si="35"/>
        <v>25</v>
      </c>
      <c r="D137">
        <f t="shared" si="35"/>
        <v>20</v>
      </c>
      <c r="E137">
        <f t="shared" si="36"/>
        <v>0</v>
      </c>
      <c r="F137">
        <f t="shared" si="31"/>
        <v>0</v>
      </c>
      <c r="G137">
        <f t="shared" si="37"/>
        <v>0</v>
      </c>
      <c r="H137">
        <f t="shared" si="38"/>
        <v>0</v>
      </c>
      <c r="I137">
        <f t="shared" si="39"/>
        <v>0</v>
      </c>
      <c r="J137">
        <f t="shared" si="32"/>
        <v>0</v>
      </c>
      <c r="K137">
        <f t="shared" si="33"/>
        <v>0</v>
      </c>
      <c r="L137">
        <f t="shared" si="40"/>
        <v>25</v>
      </c>
      <c r="M137">
        <f t="shared" si="41"/>
        <v>20</v>
      </c>
      <c r="N137">
        <f t="shared" si="42"/>
        <v>1</v>
      </c>
      <c r="O137">
        <f t="shared" si="43"/>
        <v>8</v>
      </c>
      <c r="P137">
        <f t="shared" si="34"/>
        <v>4</v>
      </c>
      <c r="Q137">
        <f t="shared" si="44"/>
        <v>17</v>
      </c>
      <c r="R137">
        <f t="shared" si="44"/>
        <v>16</v>
      </c>
    </row>
    <row r="138" spans="1:18" x14ac:dyDescent="0.25">
      <c r="A138" s="1">
        <v>44787</v>
      </c>
      <c r="B138">
        <f t="shared" si="30"/>
        <v>7</v>
      </c>
      <c r="C138">
        <f t="shared" si="35"/>
        <v>17</v>
      </c>
      <c r="D138">
        <f t="shared" si="35"/>
        <v>16</v>
      </c>
      <c r="E138">
        <f t="shared" si="36"/>
        <v>0</v>
      </c>
      <c r="F138">
        <f t="shared" si="31"/>
        <v>0</v>
      </c>
      <c r="G138">
        <f t="shared" si="37"/>
        <v>0</v>
      </c>
      <c r="H138">
        <f t="shared" si="38"/>
        <v>0</v>
      </c>
      <c r="I138">
        <f t="shared" si="39"/>
        <v>0</v>
      </c>
      <c r="J138">
        <f t="shared" si="32"/>
        <v>0</v>
      </c>
      <c r="K138">
        <f t="shared" si="33"/>
        <v>0</v>
      </c>
      <c r="L138">
        <f t="shared" si="40"/>
        <v>17</v>
      </c>
      <c r="M138">
        <f t="shared" si="41"/>
        <v>16</v>
      </c>
      <c r="N138">
        <f t="shared" si="42"/>
        <v>0</v>
      </c>
      <c r="O138">
        <f t="shared" si="43"/>
        <v>0</v>
      </c>
      <c r="P138">
        <f t="shared" si="34"/>
        <v>0</v>
      </c>
      <c r="Q138">
        <f t="shared" si="44"/>
        <v>17</v>
      </c>
      <c r="R138">
        <f t="shared" si="44"/>
        <v>16</v>
      </c>
    </row>
    <row r="139" spans="1:18" x14ac:dyDescent="0.25">
      <c r="A139" s="1">
        <v>44788</v>
      </c>
      <c r="B139">
        <f t="shared" si="30"/>
        <v>1</v>
      </c>
      <c r="C139">
        <f t="shared" si="35"/>
        <v>17</v>
      </c>
      <c r="D139">
        <f t="shared" si="35"/>
        <v>16</v>
      </c>
      <c r="E139">
        <f t="shared" si="36"/>
        <v>1</v>
      </c>
      <c r="F139">
        <f t="shared" si="31"/>
        <v>1</v>
      </c>
      <c r="G139">
        <f t="shared" si="37"/>
        <v>0</v>
      </c>
      <c r="H139">
        <f t="shared" si="38"/>
        <v>0</v>
      </c>
      <c r="I139">
        <f t="shared" si="39"/>
        <v>0</v>
      </c>
      <c r="J139">
        <f t="shared" si="32"/>
        <v>0</v>
      </c>
      <c r="K139">
        <f t="shared" si="33"/>
        <v>0</v>
      </c>
      <c r="L139">
        <f t="shared" si="40"/>
        <v>16</v>
      </c>
      <c r="M139">
        <f t="shared" si="41"/>
        <v>16</v>
      </c>
      <c r="N139">
        <f t="shared" si="42"/>
        <v>1</v>
      </c>
      <c r="O139">
        <f t="shared" si="43"/>
        <v>5</v>
      </c>
      <c r="P139">
        <f t="shared" si="34"/>
        <v>4</v>
      </c>
      <c r="Q139">
        <f t="shared" si="44"/>
        <v>11</v>
      </c>
      <c r="R139">
        <f t="shared" si="44"/>
        <v>12</v>
      </c>
    </row>
    <row r="140" spans="1:18" x14ac:dyDescent="0.25">
      <c r="A140" s="1">
        <v>44789</v>
      </c>
      <c r="B140">
        <f t="shared" si="30"/>
        <v>2</v>
      </c>
      <c r="C140">
        <f t="shared" si="35"/>
        <v>11</v>
      </c>
      <c r="D140">
        <f t="shared" si="35"/>
        <v>12</v>
      </c>
      <c r="E140">
        <f t="shared" si="36"/>
        <v>0</v>
      </c>
      <c r="F140">
        <f t="shared" si="31"/>
        <v>0</v>
      </c>
      <c r="G140">
        <f t="shared" si="37"/>
        <v>0</v>
      </c>
      <c r="H140">
        <f t="shared" si="38"/>
        <v>0</v>
      </c>
      <c r="I140">
        <f t="shared" si="39"/>
        <v>0</v>
      </c>
      <c r="J140">
        <f t="shared" si="32"/>
        <v>0</v>
      </c>
      <c r="K140">
        <f t="shared" si="33"/>
        <v>0</v>
      </c>
      <c r="L140">
        <f t="shared" si="40"/>
        <v>11</v>
      </c>
      <c r="M140">
        <f t="shared" si="41"/>
        <v>12</v>
      </c>
      <c r="N140">
        <f t="shared" si="42"/>
        <v>1</v>
      </c>
      <c r="O140">
        <f t="shared" si="43"/>
        <v>4</v>
      </c>
      <c r="P140">
        <f t="shared" si="34"/>
        <v>3</v>
      </c>
      <c r="Q140">
        <f t="shared" si="44"/>
        <v>7</v>
      </c>
      <c r="R140">
        <f t="shared" si="44"/>
        <v>9</v>
      </c>
    </row>
    <row r="141" spans="1:18" x14ac:dyDescent="0.25">
      <c r="A141" s="1">
        <v>44790</v>
      </c>
      <c r="B141">
        <f t="shared" si="30"/>
        <v>3</v>
      </c>
      <c r="C141">
        <f t="shared" si="35"/>
        <v>7</v>
      </c>
      <c r="D141">
        <f t="shared" si="35"/>
        <v>9</v>
      </c>
      <c r="E141">
        <f t="shared" si="36"/>
        <v>0</v>
      </c>
      <c r="F141">
        <f t="shared" si="31"/>
        <v>0</v>
      </c>
      <c r="G141">
        <f t="shared" si="37"/>
        <v>0</v>
      </c>
      <c r="H141">
        <f t="shared" si="38"/>
        <v>0</v>
      </c>
      <c r="I141">
        <f t="shared" si="39"/>
        <v>0</v>
      </c>
      <c r="J141">
        <f t="shared" si="32"/>
        <v>0</v>
      </c>
      <c r="K141">
        <f t="shared" si="33"/>
        <v>0</v>
      </c>
      <c r="L141">
        <f t="shared" si="40"/>
        <v>7</v>
      </c>
      <c r="M141">
        <f t="shared" si="41"/>
        <v>9</v>
      </c>
      <c r="N141">
        <f t="shared" si="42"/>
        <v>1</v>
      </c>
      <c r="O141">
        <f t="shared" si="43"/>
        <v>3</v>
      </c>
      <c r="P141">
        <f t="shared" si="34"/>
        <v>2</v>
      </c>
      <c r="Q141">
        <f t="shared" si="44"/>
        <v>4</v>
      </c>
      <c r="R141">
        <f t="shared" si="44"/>
        <v>7</v>
      </c>
    </row>
    <row r="142" spans="1:18" x14ac:dyDescent="0.25">
      <c r="A142" s="1">
        <v>44791</v>
      </c>
      <c r="B142">
        <f t="shared" si="30"/>
        <v>4</v>
      </c>
      <c r="C142">
        <f t="shared" si="35"/>
        <v>4</v>
      </c>
      <c r="D142">
        <f t="shared" si="35"/>
        <v>7</v>
      </c>
      <c r="E142">
        <f t="shared" si="36"/>
        <v>0</v>
      </c>
      <c r="F142">
        <f t="shared" si="31"/>
        <v>0</v>
      </c>
      <c r="G142">
        <f t="shared" si="37"/>
        <v>1</v>
      </c>
      <c r="H142">
        <f t="shared" si="38"/>
        <v>50</v>
      </c>
      <c r="I142">
        <f t="shared" si="39"/>
        <v>25</v>
      </c>
      <c r="J142">
        <f t="shared" si="32"/>
        <v>0</v>
      </c>
      <c r="K142">
        <f t="shared" si="33"/>
        <v>0</v>
      </c>
      <c r="L142">
        <f t="shared" si="40"/>
        <v>54</v>
      </c>
      <c r="M142">
        <f t="shared" si="41"/>
        <v>32</v>
      </c>
      <c r="N142">
        <f t="shared" si="42"/>
        <v>1</v>
      </c>
      <c r="O142">
        <f t="shared" si="43"/>
        <v>17</v>
      </c>
      <c r="P142">
        <f t="shared" si="34"/>
        <v>7</v>
      </c>
      <c r="Q142">
        <f t="shared" si="44"/>
        <v>37</v>
      </c>
      <c r="R142">
        <f t="shared" si="44"/>
        <v>25</v>
      </c>
    </row>
    <row r="143" spans="1:18" x14ac:dyDescent="0.25">
      <c r="A143" s="1">
        <v>44792</v>
      </c>
      <c r="B143">
        <f t="shared" si="30"/>
        <v>5</v>
      </c>
      <c r="C143">
        <f t="shared" si="35"/>
        <v>37</v>
      </c>
      <c r="D143">
        <f t="shared" si="35"/>
        <v>25</v>
      </c>
      <c r="E143">
        <f t="shared" si="36"/>
        <v>0</v>
      </c>
      <c r="F143">
        <f t="shared" si="31"/>
        <v>0</v>
      </c>
      <c r="G143">
        <f t="shared" si="37"/>
        <v>0</v>
      </c>
      <c r="H143">
        <f t="shared" si="38"/>
        <v>0</v>
      </c>
      <c r="I143">
        <f t="shared" si="39"/>
        <v>0</v>
      </c>
      <c r="J143">
        <f t="shared" si="32"/>
        <v>0</v>
      </c>
      <c r="K143">
        <f t="shared" si="33"/>
        <v>0</v>
      </c>
      <c r="L143">
        <f t="shared" si="40"/>
        <v>37</v>
      </c>
      <c r="M143">
        <f t="shared" si="41"/>
        <v>25</v>
      </c>
      <c r="N143">
        <f t="shared" si="42"/>
        <v>1</v>
      </c>
      <c r="O143">
        <f t="shared" si="43"/>
        <v>12</v>
      </c>
      <c r="P143">
        <f t="shared" si="34"/>
        <v>5</v>
      </c>
      <c r="Q143">
        <f t="shared" si="44"/>
        <v>25</v>
      </c>
      <c r="R143">
        <f t="shared" si="44"/>
        <v>20</v>
      </c>
    </row>
    <row r="144" spans="1:18" x14ac:dyDescent="0.25">
      <c r="A144" s="1">
        <v>44793</v>
      </c>
      <c r="B144">
        <f t="shared" si="30"/>
        <v>6</v>
      </c>
      <c r="C144">
        <f t="shared" si="35"/>
        <v>25</v>
      </c>
      <c r="D144">
        <f t="shared" si="35"/>
        <v>20</v>
      </c>
      <c r="E144">
        <f t="shared" si="36"/>
        <v>0</v>
      </c>
      <c r="F144">
        <f t="shared" si="31"/>
        <v>0</v>
      </c>
      <c r="G144">
        <f t="shared" si="37"/>
        <v>0</v>
      </c>
      <c r="H144">
        <f t="shared" si="38"/>
        <v>0</v>
      </c>
      <c r="I144">
        <f t="shared" si="39"/>
        <v>0</v>
      </c>
      <c r="J144">
        <f t="shared" si="32"/>
        <v>0</v>
      </c>
      <c r="K144">
        <f t="shared" si="33"/>
        <v>0</v>
      </c>
      <c r="L144">
        <f t="shared" si="40"/>
        <v>25</v>
      </c>
      <c r="M144">
        <f t="shared" si="41"/>
        <v>20</v>
      </c>
      <c r="N144">
        <f t="shared" si="42"/>
        <v>1</v>
      </c>
      <c r="O144">
        <f t="shared" si="43"/>
        <v>8</v>
      </c>
      <c r="P144">
        <f t="shared" si="34"/>
        <v>4</v>
      </c>
      <c r="Q144">
        <f t="shared" si="44"/>
        <v>17</v>
      </c>
      <c r="R144">
        <f t="shared" si="44"/>
        <v>16</v>
      </c>
    </row>
    <row r="145" spans="1:18" x14ac:dyDescent="0.25">
      <c r="A145" s="1">
        <v>44794</v>
      </c>
      <c r="B145">
        <f t="shared" si="30"/>
        <v>7</v>
      </c>
      <c r="C145">
        <f t="shared" si="35"/>
        <v>17</v>
      </c>
      <c r="D145">
        <f t="shared" si="35"/>
        <v>16</v>
      </c>
      <c r="E145">
        <f t="shared" si="36"/>
        <v>0</v>
      </c>
      <c r="F145">
        <f t="shared" si="31"/>
        <v>0</v>
      </c>
      <c r="G145">
        <f t="shared" si="37"/>
        <v>0</v>
      </c>
      <c r="H145">
        <f t="shared" si="38"/>
        <v>0</v>
      </c>
      <c r="I145">
        <f t="shared" si="39"/>
        <v>0</v>
      </c>
      <c r="J145">
        <f t="shared" si="32"/>
        <v>0</v>
      </c>
      <c r="K145">
        <f t="shared" si="33"/>
        <v>0</v>
      </c>
      <c r="L145">
        <f t="shared" si="40"/>
        <v>17</v>
      </c>
      <c r="M145">
        <f t="shared" si="41"/>
        <v>16</v>
      </c>
      <c r="N145">
        <f t="shared" si="42"/>
        <v>0</v>
      </c>
      <c r="O145">
        <f t="shared" si="43"/>
        <v>0</v>
      </c>
      <c r="P145">
        <f t="shared" si="34"/>
        <v>0</v>
      </c>
      <c r="Q145">
        <f t="shared" si="44"/>
        <v>17</v>
      </c>
      <c r="R145">
        <f t="shared" si="44"/>
        <v>16</v>
      </c>
    </row>
    <row r="146" spans="1:18" x14ac:dyDescent="0.25">
      <c r="A146" s="1">
        <v>44795</v>
      </c>
      <c r="B146">
        <f t="shared" si="30"/>
        <v>1</v>
      </c>
      <c r="C146">
        <f t="shared" si="35"/>
        <v>17</v>
      </c>
      <c r="D146">
        <f t="shared" si="35"/>
        <v>16</v>
      </c>
      <c r="E146">
        <f t="shared" si="36"/>
        <v>1</v>
      </c>
      <c r="F146">
        <f t="shared" si="31"/>
        <v>1</v>
      </c>
      <c r="G146">
        <f t="shared" si="37"/>
        <v>0</v>
      </c>
      <c r="H146">
        <f t="shared" si="38"/>
        <v>0</v>
      </c>
      <c r="I146">
        <f t="shared" si="39"/>
        <v>0</v>
      </c>
      <c r="J146">
        <f t="shared" si="32"/>
        <v>0</v>
      </c>
      <c r="K146">
        <f t="shared" si="33"/>
        <v>0</v>
      </c>
      <c r="L146">
        <f t="shared" si="40"/>
        <v>16</v>
      </c>
      <c r="M146">
        <f t="shared" si="41"/>
        <v>16</v>
      </c>
      <c r="N146">
        <f t="shared" si="42"/>
        <v>1</v>
      </c>
      <c r="O146">
        <f t="shared" si="43"/>
        <v>5</v>
      </c>
      <c r="P146">
        <f t="shared" si="34"/>
        <v>4</v>
      </c>
      <c r="Q146">
        <f t="shared" si="44"/>
        <v>11</v>
      </c>
      <c r="R146">
        <f t="shared" si="44"/>
        <v>12</v>
      </c>
    </row>
    <row r="147" spans="1:18" x14ac:dyDescent="0.25">
      <c r="A147" s="1">
        <v>44796</v>
      </c>
      <c r="B147">
        <f t="shared" si="30"/>
        <v>2</v>
      </c>
      <c r="C147">
        <f t="shared" si="35"/>
        <v>11</v>
      </c>
      <c r="D147">
        <f t="shared" si="35"/>
        <v>12</v>
      </c>
      <c r="E147">
        <f t="shared" si="36"/>
        <v>0</v>
      </c>
      <c r="F147">
        <f t="shared" si="31"/>
        <v>0</v>
      </c>
      <c r="G147">
        <f t="shared" si="37"/>
        <v>0</v>
      </c>
      <c r="H147">
        <f t="shared" si="38"/>
        <v>0</v>
      </c>
      <c r="I147">
        <f t="shared" si="39"/>
        <v>0</v>
      </c>
      <c r="J147">
        <f t="shared" si="32"/>
        <v>0</v>
      </c>
      <c r="K147">
        <f t="shared" si="33"/>
        <v>0</v>
      </c>
      <c r="L147">
        <f t="shared" si="40"/>
        <v>11</v>
      </c>
      <c r="M147">
        <f t="shared" si="41"/>
        <v>12</v>
      </c>
      <c r="N147">
        <f t="shared" si="42"/>
        <v>1</v>
      </c>
      <c r="O147">
        <f t="shared" si="43"/>
        <v>4</v>
      </c>
      <c r="P147">
        <f t="shared" si="34"/>
        <v>3</v>
      </c>
      <c r="Q147">
        <f t="shared" si="44"/>
        <v>7</v>
      </c>
      <c r="R147">
        <f t="shared" si="44"/>
        <v>9</v>
      </c>
    </row>
    <row r="148" spans="1:18" x14ac:dyDescent="0.25">
      <c r="A148" s="1">
        <v>44797</v>
      </c>
      <c r="B148">
        <f t="shared" si="30"/>
        <v>3</v>
      </c>
      <c r="C148">
        <f t="shared" si="35"/>
        <v>7</v>
      </c>
      <c r="D148">
        <f t="shared" si="35"/>
        <v>9</v>
      </c>
      <c r="E148">
        <f t="shared" si="36"/>
        <v>0</v>
      </c>
      <c r="F148">
        <f t="shared" si="31"/>
        <v>0</v>
      </c>
      <c r="G148">
        <f t="shared" si="37"/>
        <v>0</v>
      </c>
      <c r="H148">
        <f t="shared" si="38"/>
        <v>0</v>
      </c>
      <c r="I148">
        <f t="shared" si="39"/>
        <v>0</v>
      </c>
      <c r="J148">
        <f t="shared" si="32"/>
        <v>0</v>
      </c>
      <c r="K148">
        <f t="shared" si="33"/>
        <v>0</v>
      </c>
      <c r="L148">
        <f t="shared" si="40"/>
        <v>7</v>
      </c>
      <c r="M148">
        <f t="shared" si="41"/>
        <v>9</v>
      </c>
      <c r="N148">
        <f t="shared" si="42"/>
        <v>1</v>
      </c>
      <c r="O148">
        <f t="shared" si="43"/>
        <v>3</v>
      </c>
      <c r="P148">
        <f t="shared" si="34"/>
        <v>2</v>
      </c>
      <c r="Q148">
        <f t="shared" si="44"/>
        <v>4</v>
      </c>
      <c r="R148">
        <f t="shared" si="44"/>
        <v>7</v>
      </c>
    </row>
    <row r="149" spans="1:18" x14ac:dyDescent="0.25">
      <c r="A149" s="1">
        <v>44798</v>
      </c>
      <c r="B149">
        <f t="shared" si="30"/>
        <v>4</v>
      </c>
      <c r="C149">
        <f t="shared" si="35"/>
        <v>4</v>
      </c>
      <c r="D149">
        <f t="shared" si="35"/>
        <v>7</v>
      </c>
      <c r="E149">
        <f t="shared" si="36"/>
        <v>0</v>
      </c>
      <c r="F149">
        <f t="shared" si="31"/>
        <v>0</v>
      </c>
      <c r="G149">
        <f t="shared" si="37"/>
        <v>1</v>
      </c>
      <c r="H149">
        <f t="shared" si="38"/>
        <v>50</v>
      </c>
      <c r="I149">
        <f t="shared" si="39"/>
        <v>25</v>
      </c>
      <c r="J149">
        <f t="shared" si="32"/>
        <v>0</v>
      </c>
      <c r="K149">
        <f t="shared" si="33"/>
        <v>0</v>
      </c>
      <c r="L149">
        <f t="shared" si="40"/>
        <v>54</v>
      </c>
      <c r="M149">
        <f t="shared" si="41"/>
        <v>32</v>
      </c>
      <c r="N149">
        <f t="shared" si="42"/>
        <v>1</v>
      </c>
      <c r="O149">
        <f t="shared" si="43"/>
        <v>17</v>
      </c>
      <c r="P149">
        <f t="shared" si="34"/>
        <v>7</v>
      </c>
      <c r="Q149">
        <f t="shared" si="44"/>
        <v>37</v>
      </c>
      <c r="R149">
        <f t="shared" si="44"/>
        <v>25</v>
      </c>
    </row>
    <row r="150" spans="1:18" x14ac:dyDescent="0.25">
      <c r="A150" s="1">
        <v>44799</v>
      </c>
      <c r="B150">
        <f t="shared" si="30"/>
        <v>5</v>
      </c>
      <c r="C150">
        <f t="shared" si="35"/>
        <v>37</v>
      </c>
      <c r="D150">
        <f t="shared" si="35"/>
        <v>25</v>
      </c>
      <c r="E150">
        <f t="shared" si="36"/>
        <v>0</v>
      </c>
      <c r="F150">
        <f t="shared" si="31"/>
        <v>0</v>
      </c>
      <c r="G150">
        <f t="shared" si="37"/>
        <v>0</v>
      </c>
      <c r="H150">
        <f t="shared" si="38"/>
        <v>0</v>
      </c>
      <c r="I150">
        <f t="shared" si="39"/>
        <v>0</v>
      </c>
      <c r="J150">
        <f t="shared" si="32"/>
        <v>0</v>
      </c>
      <c r="K150">
        <f t="shared" si="33"/>
        <v>0</v>
      </c>
      <c r="L150">
        <f t="shared" si="40"/>
        <v>37</v>
      </c>
      <c r="M150">
        <f t="shared" si="41"/>
        <v>25</v>
      </c>
      <c r="N150">
        <f t="shared" si="42"/>
        <v>1</v>
      </c>
      <c r="O150">
        <f t="shared" si="43"/>
        <v>12</v>
      </c>
      <c r="P150">
        <f t="shared" si="34"/>
        <v>5</v>
      </c>
      <c r="Q150">
        <f t="shared" si="44"/>
        <v>25</v>
      </c>
      <c r="R150">
        <f t="shared" si="44"/>
        <v>20</v>
      </c>
    </row>
    <row r="151" spans="1:18" x14ac:dyDescent="0.25">
      <c r="A151" s="1">
        <v>44800</v>
      </c>
      <c r="B151">
        <f t="shared" si="30"/>
        <v>6</v>
      </c>
      <c r="C151">
        <f t="shared" si="35"/>
        <v>25</v>
      </c>
      <c r="D151">
        <f t="shared" si="35"/>
        <v>20</v>
      </c>
      <c r="E151">
        <f t="shared" si="36"/>
        <v>0</v>
      </c>
      <c r="F151">
        <f t="shared" si="31"/>
        <v>0</v>
      </c>
      <c r="G151">
        <f t="shared" si="37"/>
        <v>0</v>
      </c>
      <c r="H151">
        <f t="shared" si="38"/>
        <v>0</v>
      </c>
      <c r="I151">
        <f t="shared" si="39"/>
        <v>0</v>
      </c>
      <c r="J151">
        <f t="shared" si="32"/>
        <v>0</v>
      </c>
      <c r="K151">
        <f t="shared" si="33"/>
        <v>0</v>
      </c>
      <c r="L151">
        <f t="shared" si="40"/>
        <v>25</v>
      </c>
      <c r="M151">
        <f t="shared" si="41"/>
        <v>20</v>
      </c>
      <c r="N151">
        <f t="shared" si="42"/>
        <v>1</v>
      </c>
      <c r="O151">
        <f t="shared" si="43"/>
        <v>8</v>
      </c>
      <c r="P151">
        <f t="shared" si="34"/>
        <v>4</v>
      </c>
      <c r="Q151">
        <f t="shared" si="44"/>
        <v>17</v>
      </c>
      <c r="R151">
        <f t="shared" si="44"/>
        <v>16</v>
      </c>
    </row>
    <row r="152" spans="1:18" x14ac:dyDescent="0.25">
      <c r="A152" s="1">
        <v>44801</v>
      </c>
      <c r="B152">
        <f t="shared" si="30"/>
        <v>7</v>
      </c>
      <c r="C152">
        <f t="shared" si="35"/>
        <v>17</v>
      </c>
      <c r="D152">
        <f t="shared" si="35"/>
        <v>16</v>
      </c>
      <c r="E152">
        <f t="shared" si="36"/>
        <v>0</v>
      </c>
      <c r="F152">
        <f t="shared" si="31"/>
        <v>0</v>
      </c>
      <c r="G152">
        <f t="shared" si="37"/>
        <v>0</v>
      </c>
      <c r="H152">
        <f t="shared" si="38"/>
        <v>0</v>
      </c>
      <c r="I152">
        <f t="shared" si="39"/>
        <v>0</v>
      </c>
      <c r="J152">
        <f t="shared" si="32"/>
        <v>0</v>
      </c>
      <c r="K152">
        <f t="shared" si="33"/>
        <v>0</v>
      </c>
      <c r="L152">
        <f t="shared" si="40"/>
        <v>17</v>
      </c>
      <c r="M152">
        <f t="shared" si="41"/>
        <v>16</v>
      </c>
      <c r="N152">
        <f t="shared" si="42"/>
        <v>0</v>
      </c>
      <c r="O152">
        <f t="shared" si="43"/>
        <v>0</v>
      </c>
      <c r="P152">
        <f t="shared" si="34"/>
        <v>0</v>
      </c>
      <c r="Q152">
        <f t="shared" si="44"/>
        <v>17</v>
      </c>
      <c r="R152">
        <f t="shared" si="44"/>
        <v>16</v>
      </c>
    </row>
    <row r="153" spans="1:18" x14ac:dyDescent="0.25">
      <c r="A153" s="1">
        <v>44802</v>
      </c>
      <c r="B153">
        <f t="shared" si="30"/>
        <v>1</v>
      </c>
      <c r="C153">
        <f t="shared" si="35"/>
        <v>17</v>
      </c>
      <c r="D153">
        <f t="shared" si="35"/>
        <v>16</v>
      </c>
      <c r="E153">
        <f t="shared" si="36"/>
        <v>1</v>
      </c>
      <c r="F153">
        <f t="shared" si="31"/>
        <v>1</v>
      </c>
      <c r="G153">
        <f t="shared" si="37"/>
        <v>0</v>
      </c>
      <c r="H153">
        <f t="shared" si="38"/>
        <v>0</v>
      </c>
      <c r="I153">
        <f t="shared" si="39"/>
        <v>0</v>
      </c>
      <c r="J153">
        <f t="shared" si="32"/>
        <v>0</v>
      </c>
      <c r="K153">
        <f t="shared" si="33"/>
        <v>0</v>
      </c>
      <c r="L153">
        <f t="shared" si="40"/>
        <v>16</v>
      </c>
      <c r="M153">
        <f t="shared" si="41"/>
        <v>16</v>
      </c>
      <c r="N153">
        <f t="shared" si="42"/>
        <v>1</v>
      </c>
      <c r="O153">
        <f t="shared" si="43"/>
        <v>5</v>
      </c>
      <c r="P153">
        <f t="shared" si="34"/>
        <v>4</v>
      </c>
      <c r="Q153">
        <f t="shared" si="44"/>
        <v>11</v>
      </c>
      <c r="R153">
        <f t="shared" si="44"/>
        <v>12</v>
      </c>
    </row>
    <row r="154" spans="1:18" x14ac:dyDescent="0.25">
      <c r="A154" s="1">
        <v>44803</v>
      </c>
      <c r="B154">
        <f t="shared" si="30"/>
        <v>2</v>
      </c>
      <c r="C154">
        <f t="shared" si="35"/>
        <v>11</v>
      </c>
      <c r="D154">
        <f t="shared" si="35"/>
        <v>12</v>
      </c>
      <c r="E154">
        <f t="shared" si="36"/>
        <v>0</v>
      </c>
      <c r="F154">
        <f t="shared" si="31"/>
        <v>0</v>
      </c>
      <c r="G154">
        <f t="shared" si="37"/>
        <v>0</v>
      </c>
      <c r="H154">
        <f t="shared" si="38"/>
        <v>0</v>
      </c>
      <c r="I154">
        <f t="shared" si="39"/>
        <v>0</v>
      </c>
      <c r="J154">
        <f t="shared" si="32"/>
        <v>0</v>
      </c>
      <c r="K154">
        <f t="shared" si="33"/>
        <v>0</v>
      </c>
      <c r="L154">
        <f t="shared" si="40"/>
        <v>11</v>
      </c>
      <c r="M154">
        <f t="shared" si="41"/>
        <v>12</v>
      </c>
      <c r="N154">
        <f t="shared" si="42"/>
        <v>1</v>
      </c>
      <c r="O154">
        <f t="shared" si="43"/>
        <v>4</v>
      </c>
      <c r="P154">
        <f t="shared" si="34"/>
        <v>3</v>
      </c>
      <c r="Q154">
        <f t="shared" si="44"/>
        <v>7</v>
      </c>
      <c r="R154">
        <f t="shared" si="44"/>
        <v>9</v>
      </c>
    </row>
    <row r="155" spans="1:18" x14ac:dyDescent="0.25">
      <c r="A155" s="1">
        <v>44804</v>
      </c>
      <c r="B155">
        <f t="shared" si="30"/>
        <v>3</v>
      </c>
      <c r="C155">
        <f t="shared" si="35"/>
        <v>7</v>
      </c>
      <c r="D155">
        <f t="shared" si="35"/>
        <v>9</v>
      </c>
      <c r="E155">
        <f t="shared" si="36"/>
        <v>0</v>
      </c>
      <c r="F155">
        <f t="shared" si="31"/>
        <v>0</v>
      </c>
      <c r="G155">
        <f t="shared" si="37"/>
        <v>0</v>
      </c>
      <c r="H155">
        <f t="shared" si="38"/>
        <v>0</v>
      </c>
      <c r="I155">
        <f t="shared" si="39"/>
        <v>0</v>
      </c>
      <c r="J155">
        <f t="shared" si="32"/>
        <v>0</v>
      </c>
      <c r="K155">
        <f t="shared" si="33"/>
        <v>0</v>
      </c>
      <c r="L155">
        <f t="shared" si="40"/>
        <v>7</v>
      </c>
      <c r="M155">
        <f t="shared" si="41"/>
        <v>9</v>
      </c>
      <c r="N155">
        <f t="shared" si="42"/>
        <v>1</v>
      </c>
      <c r="O155">
        <f t="shared" si="43"/>
        <v>3</v>
      </c>
      <c r="P155">
        <f t="shared" si="34"/>
        <v>2</v>
      </c>
      <c r="Q155">
        <f t="shared" si="44"/>
        <v>4</v>
      </c>
      <c r="R155">
        <f t="shared" si="44"/>
        <v>7</v>
      </c>
    </row>
    <row r="156" spans="1:18" x14ac:dyDescent="0.25">
      <c r="A156" s="1">
        <v>44805</v>
      </c>
      <c r="B156">
        <f t="shared" si="30"/>
        <v>4</v>
      </c>
      <c r="C156">
        <f t="shared" si="35"/>
        <v>4</v>
      </c>
      <c r="D156">
        <f t="shared" si="35"/>
        <v>7</v>
      </c>
      <c r="E156">
        <f t="shared" si="36"/>
        <v>0</v>
      </c>
      <c r="F156">
        <f t="shared" si="31"/>
        <v>0</v>
      </c>
      <c r="G156">
        <f t="shared" si="37"/>
        <v>1</v>
      </c>
      <c r="H156">
        <f t="shared" si="38"/>
        <v>50</v>
      </c>
      <c r="I156">
        <f t="shared" si="39"/>
        <v>25</v>
      </c>
      <c r="J156">
        <f t="shared" si="32"/>
        <v>0</v>
      </c>
      <c r="K156">
        <f t="shared" si="33"/>
        <v>0</v>
      </c>
      <c r="L156">
        <f t="shared" si="40"/>
        <v>54</v>
      </c>
      <c r="M156">
        <f t="shared" si="41"/>
        <v>32</v>
      </c>
      <c r="N156">
        <f t="shared" si="42"/>
        <v>1</v>
      </c>
      <c r="O156">
        <f t="shared" si="43"/>
        <v>17</v>
      </c>
      <c r="P156">
        <f t="shared" si="34"/>
        <v>7</v>
      </c>
      <c r="Q156">
        <f t="shared" si="44"/>
        <v>37</v>
      </c>
      <c r="R156">
        <f t="shared" si="44"/>
        <v>25</v>
      </c>
    </row>
    <row r="157" spans="1:18" x14ac:dyDescent="0.25">
      <c r="A157" s="1">
        <v>44806</v>
      </c>
      <c r="B157">
        <f t="shared" si="30"/>
        <v>5</v>
      </c>
      <c r="C157">
        <f t="shared" si="35"/>
        <v>37</v>
      </c>
      <c r="D157">
        <f t="shared" si="35"/>
        <v>25</v>
      </c>
      <c r="E157">
        <f t="shared" si="36"/>
        <v>0</v>
      </c>
      <c r="F157">
        <f t="shared" si="31"/>
        <v>0</v>
      </c>
      <c r="G157">
        <f t="shared" si="37"/>
        <v>0</v>
      </c>
      <c r="H157">
        <f t="shared" si="38"/>
        <v>0</v>
      </c>
      <c r="I157">
        <f t="shared" si="39"/>
        <v>0</v>
      </c>
      <c r="J157">
        <f t="shared" si="32"/>
        <v>0</v>
      </c>
      <c r="K157">
        <f t="shared" si="33"/>
        <v>0</v>
      </c>
      <c r="L157">
        <f t="shared" si="40"/>
        <v>37</v>
      </c>
      <c r="M157">
        <f t="shared" si="41"/>
        <v>25</v>
      </c>
      <c r="N157">
        <f t="shared" si="42"/>
        <v>1</v>
      </c>
      <c r="O157">
        <f t="shared" si="43"/>
        <v>12</v>
      </c>
      <c r="P157">
        <f t="shared" si="34"/>
        <v>5</v>
      </c>
      <c r="Q157">
        <f t="shared" si="44"/>
        <v>25</v>
      </c>
      <c r="R157">
        <f t="shared" si="44"/>
        <v>20</v>
      </c>
    </row>
    <row r="158" spans="1:18" x14ac:dyDescent="0.25">
      <c r="A158" s="1">
        <v>44807</v>
      </c>
      <c r="B158">
        <f t="shared" si="30"/>
        <v>6</v>
      </c>
      <c r="C158">
        <f t="shared" si="35"/>
        <v>25</v>
      </c>
      <c r="D158">
        <f t="shared" si="35"/>
        <v>20</v>
      </c>
      <c r="E158">
        <f t="shared" si="36"/>
        <v>0</v>
      </c>
      <c r="F158">
        <f t="shared" si="31"/>
        <v>0</v>
      </c>
      <c r="G158">
        <f t="shared" si="37"/>
        <v>0</v>
      </c>
      <c r="H158">
        <f t="shared" si="38"/>
        <v>0</v>
      </c>
      <c r="I158">
        <f t="shared" si="39"/>
        <v>0</v>
      </c>
      <c r="J158">
        <f t="shared" si="32"/>
        <v>0</v>
      </c>
      <c r="K158">
        <f t="shared" si="33"/>
        <v>0</v>
      </c>
      <c r="L158">
        <f t="shared" si="40"/>
        <v>25</v>
      </c>
      <c r="M158">
        <f t="shared" si="41"/>
        <v>20</v>
      </c>
      <c r="N158">
        <f t="shared" si="42"/>
        <v>1</v>
      </c>
      <c r="O158">
        <f t="shared" si="43"/>
        <v>8</v>
      </c>
      <c r="P158">
        <f t="shared" si="34"/>
        <v>4</v>
      </c>
      <c r="Q158">
        <f t="shared" si="44"/>
        <v>17</v>
      </c>
      <c r="R158">
        <f t="shared" si="44"/>
        <v>16</v>
      </c>
    </row>
    <row r="159" spans="1:18" x14ac:dyDescent="0.25">
      <c r="A159" s="1">
        <v>44808</v>
      </c>
      <c r="B159">
        <f t="shared" si="30"/>
        <v>7</v>
      </c>
      <c r="C159">
        <f t="shared" si="35"/>
        <v>17</v>
      </c>
      <c r="D159">
        <f t="shared" si="35"/>
        <v>16</v>
      </c>
      <c r="E159">
        <f t="shared" si="36"/>
        <v>0</v>
      </c>
      <c r="F159">
        <f t="shared" si="31"/>
        <v>0</v>
      </c>
      <c r="G159">
        <f t="shared" si="37"/>
        <v>0</v>
      </c>
      <c r="H159">
        <f t="shared" si="38"/>
        <v>0</v>
      </c>
      <c r="I159">
        <f t="shared" si="39"/>
        <v>0</v>
      </c>
      <c r="J159">
        <f t="shared" si="32"/>
        <v>0</v>
      </c>
      <c r="K159">
        <f t="shared" si="33"/>
        <v>0</v>
      </c>
      <c r="L159">
        <f t="shared" si="40"/>
        <v>17</v>
      </c>
      <c r="M159">
        <f t="shared" si="41"/>
        <v>16</v>
      </c>
      <c r="N159">
        <f t="shared" si="42"/>
        <v>0</v>
      </c>
      <c r="O159">
        <f t="shared" si="43"/>
        <v>0</v>
      </c>
      <c r="P159">
        <f t="shared" si="34"/>
        <v>0</v>
      </c>
      <c r="Q159">
        <f t="shared" si="44"/>
        <v>17</v>
      </c>
      <c r="R159">
        <f t="shared" si="44"/>
        <v>16</v>
      </c>
    </row>
    <row r="160" spans="1:18" x14ac:dyDescent="0.25">
      <c r="A160" s="1">
        <v>44809</v>
      </c>
      <c r="B160">
        <f t="shared" si="30"/>
        <v>1</v>
      </c>
      <c r="C160">
        <f t="shared" si="35"/>
        <v>17</v>
      </c>
      <c r="D160">
        <f t="shared" si="35"/>
        <v>16</v>
      </c>
      <c r="E160">
        <f t="shared" si="36"/>
        <v>1</v>
      </c>
      <c r="F160">
        <f t="shared" si="31"/>
        <v>1</v>
      </c>
      <c r="G160">
        <f t="shared" si="37"/>
        <v>0</v>
      </c>
      <c r="H160">
        <f t="shared" si="38"/>
        <v>0</v>
      </c>
      <c r="I160">
        <f t="shared" si="39"/>
        <v>0</v>
      </c>
      <c r="J160">
        <f t="shared" si="32"/>
        <v>0</v>
      </c>
      <c r="K160">
        <f t="shared" si="33"/>
        <v>0</v>
      </c>
      <c r="L160">
        <f t="shared" si="40"/>
        <v>16</v>
      </c>
      <c r="M160">
        <f t="shared" si="41"/>
        <v>16</v>
      </c>
      <c r="N160">
        <f t="shared" si="42"/>
        <v>1</v>
      </c>
      <c r="O160">
        <f t="shared" si="43"/>
        <v>5</v>
      </c>
      <c r="P160">
        <f t="shared" si="34"/>
        <v>4</v>
      </c>
      <c r="Q160">
        <f t="shared" si="44"/>
        <v>11</v>
      </c>
      <c r="R160">
        <f t="shared" si="44"/>
        <v>12</v>
      </c>
    </row>
    <row r="161" spans="1:18" x14ac:dyDescent="0.25">
      <c r="A161" s="1">
        <v>44810</v>
      </c>
      <c r="B161">
        <f t="shared" si="30"/>
        <v>2</v>
      </c>
      <c r="C161">
        <f t="shared" si="35"/>
        <v>11</v>
      </c>
      <c r="D161">
        <f t="shared" si="35"/>
        <v>12</v>
      </c>
      <c r="E161">
        <f t="shared" si="36"/>
        <v>0</v>
      </c>
      <c r="F161">
        <f t="shared" si="31"/>
        <v>0</v>
      </c>
      <c r="G161">
        <f t="shared" si="37"/>
        <v>0</v>
      </c>
      <c r="H161">
        <f t="shared" si="38"/>
        <v>0</v>
      </c>
      <c r="I161">
        <f t="shared" si="39"/>
        <v>0</v>
      </c>
      <c r="J161">
        <f t="shared" si="32"/>
        <v>0</v>
      </c>
      <c r="K161">
        <f t="shared" si="33"/>
        <v>0</v>
      </c>
      <c r="L161">
        <f t="shared" si="40"/>
        <v>11</v>
      </c>
      <c r="M161">
        <f t="shared" si="41"/>
        <v>12</v>
      </c>
      <c r="N161">
        <f t="shared" si="42"/>
        <v>1</v>
      </c>
      <c r="O161">
        <f t="shared" si="43"/>
        <v>4</v>
      </c>
      <c r="P161">
        <f t="shared" si="34"/>
        <v>3</v>
      </c>
      <c r="Q161">
        <f t="shared" si="44"/>
        <v>7</v>
      </c>
      <c r="R161">
        <f t="shared" si="44"/>
        <v>9</v>
      </c>
    </row>
    <row r="162" spans="1:18" x14ac:dyDescent="0.25">
      <c r="A162" s="1">
        <v>44811</v>
      </c>
      <c r="B162">
        <f t="shared" si="30"/>
        <v>3</v>
      </c>
      <c r="C162">
        <f t="shared" si="35"/>
        <v>7</v>
      </c>
      <c r="D162">
        <f t="shared" si="35"/>
        <v>9</v>
      </c>
      <c r="E162">
        <f t="shared" si="36"/>
        <v>0</v>
      </c>
      <c r="F162">
        <f t="shared" si="31"/>
        <v>0</v>
      </c>
      <c r="G162">
        <f t="shared" si="37"/>
        <v>0</v>
      </c>
      <c r="H162">
        <f t="shared" si="38"/>
        <v>0</v>
      </c>
      <c r="I162">
        <f t="shared" si="39"/>
        <v>0</v>
      </c>
      <c r="J162">
        <f t="shared" si="32"/>
        <v>0</v>
      </c>
      <c r="K162">
        <f t="shared" si="33"/>
        <v>0</v>
      </c>
      <c r="L162">
        <f t="shared" si="40"/>
        <v>7</v>
      </c>
      <c r="M162">
        <f t="shared" si="41"/>
        <v>9</v>
      </c>
      <c r="N162">
        <f t="shared" si="42"/>
        <v>1</v>
      </c>
      <c r="O162">
        <f t="shared" si="43"/>
        <v>3</v>
      </c>
      <c r="P162">
        <f t="shared" si="34"/>
        <v>2</v>
      </c>
      <c r="Q162">
        <f t="shared" si="44"/>
        <v>4</v>
      </c>
      <c r="R162">
        <f t="shared" si="44"/>
        <v>7</v>
      </c>
    </row>
    <row r="163" spans="1:18" x14ac:dyDescent="0.25">
      <c r="A163" s="1">
        <v>44812</v>
      </c>
      <c r="B163">
        <f t="shared" si="30"/>
        <v>4</v>
      </c>
      <c r="C163">
        <f t="shared" si="35"/>
        <v>4</v>
      </c>
      <c r="D163">
        <f t="shared" si="35"/>
        <v>7</v>
      </c>
      <c r="E163">
        <f t="shared" si="36"/>
        <v>0</v>
      </c>
      <c r="F163">
        <f t="shared" si="31"/>
        <v>0</v>
      </c>
      <c r="G163">
        <f t="shared" si="37"/>
        <v>1</v>
      </c>
      <c r="H163">
        <f t="shared" si="38"/>
        <v>50</v>
      </c>
      <c r="I163">
        <f t="shared" si="39"/>
        <v>25</v>
      </c>
      <c r="J163">
        <f t="shared" si="32"/>
        <v>0</v>
      </c>
      <c r="K163">
        <f t="shared" si="33"/>
        <v>0</v>
      </c>
      <c r="L163">
        <f t="shared" si="40"/>
        <v>54</v>
      </c>
      <c r="M163">
        <f t="shared" si="41"/>
        <v>32</v>
      </c>
      <c r="N163">
        <f t="shared" si="42"/>
        <v>1</v>
      </c>
      <c r="O163">
        <f t="shared" si="43"/>
        <v>17</v>
      </c>
      <c r="P163">
        <f t="shared" si="34"/>
        <v>7</v>
      </c>
      <c r="Q163">
        <f t="shared" si="44"/>
        <v>37</v>
      </c>
      <c r="R163">
        <f t="shared" si="44"/>
        <v>25</v>
      </c>
    </row>
    <row r="164" spans="1:18" x14ac:dyDescent="0.25">
      <c r="A164" s="1">
        <v>44813</v>
      </c>
      <c r="B164">
        <f t="shared" si="30"/>
        <v>5</v>
      </c>
      <c r="C164">
        <f t="shared" si="35"/>
        <v>37</v>
      </c>
      <c r="D164">
        <f t="shared" si="35"/>
        <v>25</v>
      </c>
      <c r="E164">
        <f t="shared" si="36"/>
        <v>0</v>
      </c>
      <c r="F164">
        <f t="shared" si="31"/>
        <v>0</v>
      </c>
      <c r="G164">
        <f t="shared" si="37"/>
        <v>0</v>
      </c>
      <c r="H164">
        <f t="shared" si="38"/>
        <v>0</v>
      </c>
      <c r="I164">
        <f t="shared" si="39"/>
        <v>0</v>
      </c>
      <c r="J164">
        <f t="shared" si="32"/>
        <v>0</v>
      </c>
      <c r="K164">
        <f t="shared" si="33"/>
        <v>0</v>
      </c>
      <c r="L164">
        <f t="shared" si="40"/>
        <v>37</v>
      </c>
      <c r="M164">
        <f t="shared" si="41"/>
        <v>25</v>
      </c>
      <c r="N164">
        <f t="shared" si="42"/>
        <v>1</v>
      </c>
      <c r="O164">
        <f t="shared" si="43"/>
        <v>12</v>
      </c>
      <c r="P164">
        <f t="shared" si="34"/>
        <v>5</v>
      </c>
      <c r="Q164">
        <f t="shared" si="44"/>
        <v>25</v>
      </c>
      <c r="R164">
        <f t="shared" si="44"/>
        <v>20</v>
      </c>
    </row>
    <row r="165" spans="1:18" x14ac:dyDescent="0.25">
      <c r="A165" s="1">
        <v>44814</v>
      </c>
      <c r="B165">
        <f t="shared" si="30"/>
        <v>6</v>
      </c>
      <c r="C165">
        <f t="shared" si="35"/>
        <v>25</v>
      </c>
      <c r="D165">
        <f t="shared" si="35"/>
        <v>20</v>
      </c>
      <c r="E165">
        <f t="shared" si="36"/>
        <v>0</v>
      </c>
      <c r="F165">
        <f t="shared" si="31"/>
        <v>0</v>
      </c>
      <c r="G165">
        <f t="shared" si="37"/>
        <v>0</v>
      </c>
      <c r="H165">
        <f t="shared" si="38"/>
        <v>0</v>
      </c>
      <c r="I165">
        <f t="shared" si="39"/>
        <v>0</v>
      </c>
      <c r="J165">
        <f t="shared" si="32"/>
        <v>0</v>
      </c>
      <c r="K165">
        <f t="shared" si="33"/>
        <v>0</v>
      </c>
      <c r="L165">
        <f t="shared" si="40"/>
        <v>25</v>
      </c>
      <c r="M165">
        <f t="shared" si="41"/>
        <v>20</v>
      </c>
      <c r="N165">
        <f t="shared" si="42"/>
        <v>1</v>
      </c>
      <c r="O165">
        <f t="shared" si="43"/>
        <v>8</v>
      </c>
      <c r="P165">
        <f t="shared" si="34"/>
        <v>4</v>
      </c>
      <c r="Q165">
        <f t="shared" si="44"/>
        <v>17</v>
      </c>
      <c r="R165">
        <f t="shared" si="44"/>
        <v>16</v>
      </c>
    </row>
    <row r="166" spans="1:18" x14ac:dyDescent="0.25">
      <c r="A166" s="1">
        <v>44815</v>
      </c>
      <c r="B166">
        <f t="shared" si="30"/>
        <v>7</v>
      </c>
      <c r="C166">
        <f t="shared" si="35"/>
        <v>17</v>
      </c>
      <c r="D166">
        <f t="shared" si="35"/>
        <v>16</v>
      </c>
      <c r="E166">
        <f t="shared" si="36"/>
        <v>0</v>
      </c>
      <c r="F166">
        <f t="shared" si="31"/>
        <v>0</v>
      </c>
      <c r="G166">
        <f t="shared" si="37"/>
        <v>0</v>
      </c>
      <c r="H166">
        <f t="shared" si="38"/>
        <v>0</v>
      </c>
      <c r="I166">
        <f t="shared" si="39"/>
        <v>0</v>
      </c>
      <c r="J166">
        <f t="shared" si="32"/>
        <v>0</v>
      </c>
      <c r="K166">
        <f t="shared" si="33"/>
        <v>0</v>
      </c>
      <c r="L166">
        <f t="shared" si="40"/>
        <v>17</v>
      </c>
      <c r="M166">
        <f t="shared" si="41"/>
        <v>16</v>
      </c>
      <c r="N166">
        <f t="shared" si="42"/>
        <v>0</v>
      </c>
      <c r="O166">
        <f t="shared" si="43"/>
        <v>0</v>
      </c>
      <c r="P166">
        <f t="shared" si="34"/>
        <v>0</v>
      </c>
      <c r="Q166">
        <f t="shared" si="44"/>
        <v>17</v>
      </c>
      <c r="R166">
        <f t="shared" si="44"/>
        <v>16</v>
      </c>
    </row>
    <row r="167" spans="1:18" x14ac:dyDescent="0.25">
      <c r="A167" s="1">
        <v>44816</v>
      </c>
      <c r="B167">
        <f t="shared" si="30"/>
        <v>1</v>
      </c>
      <c r="C167">
        <f t="shared" si="35"/>
        <v>17</v>
      </c>
      <c r="D167">
        <f t="shared" si="35"/>
        <v>16</v>
      </c>
      <c r="E167">
        <f t="shared" si="36"/>
        <v>1</v>
      </c>
      <c r="F167">
        <f t="shared" si="31"/>
        <v>1</v>
      </c>
      <c r="G167">
        <f t="shared" si="37"/>
        <v>0</v>
      </c>
      <c r="H167">
        <f t="shared" si="38"/>
        <v>0</v>
      </c>
      <c r="I167">
        <f t="shared" si="39"/>
        <v>0</v>
      </c>
      <c r="J167">
        <f t="shared" si="32"/>
        <v>0</v>
      </c>
      <c r="K167">
        <f t="shared" si="33"/>
        <v>0</v>
      </c>
      <c r="L167">
        <f t="shared" si="40"/>
        <v>16</v>
      </c>
      <c r="M167">
        <f t="shared" si="41"/>
        <v>16</v>
      </c>
      <c r="N167">
        <f t="shared" si="42"/>
        <v>1</v>
      </c>
      <c r="O167">
        <f t="shared" si="43"/>
        <v>5</v>
      </c>
      <c r="P167">
        <f t="shared" si="34"/>
        <v>4</v>
      </c>
      <c r="Q167">
        <f t="shared" si="44"/>
        <v>11</v>
      </c>
      <c r="R167">
        <f t="shared" si="44"/>
        <v>12</v>
      </c>
    </row>
    <row r="168" spans="1:18" x14ac:dyDescent="0.25">
      <c r="A168" s="1">
        <v>44817</v>
      </c>
      <c r="B168">
        <f t="shared" si="30"/>
        <v>2</v>
      </c>
      <c r="C168">
        <f t="shared" si="35"/>
        <v>11</v>
      </c>
      <c r="D168">
        <f t="shared" si="35"/>
        <v>12</v>
      </c>
      <c r="E168">
        <f t="shared" si="36"/>
        <v>0</v>
      </c>
      <c r="F168">
        <f t="shared" si="31"/>
        <v>0</v>
      </c>
      <c r="G168">
        <f t="shared" si="37"/>
        <v>0</v>
      </c>
      <c r="H168">
        <f t="shared" si="38"/>
        <v>0</v>
      </c>
      <c r="I168">
        <f t="shared" si="39"/>
        <v>0</v>
      </c>
      <c r="J168">
        <f t="shared" si="32"/>
        <v>0</v>
      </c>
      <c r="K168">
        <f t="shared" si="33"/>
        <v>0</v>
      </c>
      <c r="L168">
        <f t="shared" si="40"/>
        <v>11</v>
      </c>
      <c r="M168">
        <f t="shared" si="41"/>
        <v>12</v>
      </c>
      <c r="N168">
        <f t="shared" si="42"/>
        <v>1</v>
      </c>
      <c r="O168">
        <f t="shared" si="43"/>
        <v>4</v>
      </c>
      <c r="P168">
        <f t="shared" si="34"/>
        <v>3</v>
      </c>
      <c r="Q168">
        <f t="shared" si="44"/>
        <v>7</v>
      </c>
      <c r="R168">
        <f t="shared" si="44"/>
        <v>9</v>
      </c>
    </row>
    <row r="169" spans="1:18" x14ac:dyDescent="0.25">
      <c r="A169" s="1">
        <v>44818</v>
      </c>
      <c r="B169">
        <f t="shared" si="30"/>
        <v>3</v>
      </c>
      <c r="C169">
        <f t="shared" si="35"/>
        <v>7</v>
      </c>
      <c r="D169">
        <f t="shared" si="35"/>
        <v>9</v>
      </c>
      <c r="E169">
        <f t="shared" si="36"/>
        <v>0</v>
      </c>
      <c r="F169">
        <f t="shared" si="31"/>
        <v>0</v>
      </c>
      <c r="G169">
        <f t="shared" si="37"/>
        <v>0</v>
      </c>
      <c r="H169">
        <f t="shared" si="38"/>
        <v>0</v>
      </c>
      <c r="I169">
        <f t="shared" si="39"/>
        <v>0</v>
      </c>
      <c r="J169">
        <f t="shared" si="32"/>
        <v>0</v>
      </c>
      <c r="K169">
        <f t="shared" si="33"/>
        <v>0</v>
      </c>
      <c r="L169">
        <f t="shared" si="40"/>
        <v>7</v>
      </c>
      <c r="M169">
        <f t="shared" si="41"/>
        <v>9</v>
      </c>
      <c r="N169">
        <f t="shared" si="42"/>
        <v>1</v>
      </c>
      <c r="O169">
        <f t="shared" si="43"/>
        <v>3</v>
      </c>
      <c r="P169">
        <f t="shared" si="34"/>
        <v>2</v>
      </c>
      <c r="Q169">
        <f t="shared" si="44"/>
        <v>4</v>
      </c>
      <c r="R169">
        <f t="shared" si="44"/>
        <v>7</v>
      </c>
    </row>
    <row r="170" spans="1:18" x14ac:dyDescent="0.25">
      <c r="A170" s="1">
        <v>44819</v>
      </c>
      <c r="B170">
        <f t="shared" si="30"/>
        <v>4</v>
      </c>
      <c r="C170">
        <f t="shared" si="35"/>
        <v>4</v>
      </c>
      <c r="D170">
        <f t="shared" si="35"/>
        <v>7</v>
      </c>
      <c r="E170">
        <f t="shared" si="36"/>
        <v>0</v>
      </c>
      <c r="F170">
        <f t="shared" si="31"/>
        <v>0</v>
      </c>
      <c r="G170">
        <f t="shared" si="37"/>
        <v>1</v>
      </c>
      <c r="H170">
        <f t="shared" si="38"/>
        <v>50</v>
      </c>
      <c r="I170">
        <f t="shared" si="39"/>
        <v>25</v>
      </c>
      <c r="J170">
        <f t="shared" si="32"/>
        <v>0</v>
      </c>
      <c r="K170">
        <f t="shared" si="33"/>
        <v>0</v>
      </c>
      <c r="L170">
        <f t="shared" si="40"/>
        <v>54</v>
      </c>
      <c r="M170">
        <f t="shared" si="41"/>
        <v>32</v>
      </c>
      <c r="N170">
        <f t="shared" si="42"/>
        <v>1</v>
      </c>
      <c r="O170">
        <f t="shared" si="43"/>
        <v>17</v>
      </c>
      <c r="P170">
        <f t="shared" si="34"/>
        <v>7</v>
      </c>
      <c r="Q170">
        <f t="shared" si="44"/>
        <v>37</v>
      </c>
      <c r="R170">
        <f t="shared" si="44"/>
        <v>25</v>
      </c>
    </row>
    <row r="171" spans="1:18" x14ac:dyDescent="0.25">
      <c r="A171" s="1">
        <v>44820</v>
      </c>
      <c r="B171">
        <f t="shared" si="30"/>
        <v>5</v>
      </c>
      <c r="C171">
        <f t="shared" si="35"/>
        <v>37</v>
      </c>
      <c r="D171">
        <f t="shared" si="35"/>
        <v>25</v>
      </c>
      <c r="E171">
        <f t="shared" si="36"/>
        <v>0</v>
      </c>
      <c r="F171">
        <f t="shared" si="31"/>
        <v>0</v>
      </c>
      <c r="G171">
        <f t="shared" si="37"/>
        <v>0</v>
      </c>
      <c r="H171">
        <f t="shared" si="38"/>
        <v>0</v>
      </c>
      <c r="I171">
        <f t="shared" si="39"/>
        <v>0</v>
      </c>
      <c r="J171">
        <f t="shared" si="32"/>
        <v>0</v>
      </c>
      <c r="K171">
        <f t="shared" si="33"/>
        <v>0</v>
      </c>
      <c r="L171">
        <f t="shared" si="40"/>
        <v>37</v>
      </c>
      <c r="M171">
        <f t="shared" si="41"/>
        <v>25</v>
      </c>
      <c r="N171">
        <f t="shared" si="42"/>
        <v>1</v>
      </c>
      <c r="O171">
        <f t="shared" si="43"/>
        <v>12</v>
      </c>
      <c r="P171">
        <f t="shared" si="34"/>
        <v>5</v>
      </c>
      <c r="Q171">
        <f t="shared" si="44"/>
        <v>25</v>
      </c>
      <c r="R171">
        <f t="shared" si="44"/>
        <v>20</v>
      </c>
    </row>
    <row r="172" spans="1:18" x14ac:dyDescent="0.25">
      <c r="A172" s="1">
        <v>44821</v>
      </c>
      <c r="B172">
        <f t="shared" si="30"/>
        <v>6</v>
      </c>
      <c r="C172">
        <f t="shared" si="35"/>
        <v>25</v>
      </c>
      <c r="D172">
        <f t="shared" si="35"/>
        <v>20</v>
      </c>
      <c r="E172">
        <f t="shared" si="36"/>
        <v>0</v>
      </c>
      <c r="F172">
        <f t="shared" si="31"/>
        <v>0</v>
      </c>
      <c r="G172">
        <f t="shared" si="37"/>
        <v>0</v>
      </c>
      <c r="H172">
        <f t="shared" si="38"/>
        <v>0</v>
      </c>
      <c r="I172">
        <f t="shared" si="39"/>
        <v>0</v>
      </c>
      <c r="J172">
        <f t="shared" si="32"/>
        <v>0</v>
      </c>
      <c r="K172">
        <f t="shared" si="33"/>
        <v>0</v>
      </c>
      <c r="L172">
        <f t="shared" si="40"/>
        <v>25</v>
      </c>
      <c r="M172">
        <f t="shared" si="41"/>
        <v>20</v>
      </c>
      <c r="N172">
        <f t="shared" si="42"/>
        <v>1</v>
      </c>
      <c r="O172">
        <f t="shared" si="43"/>
        <v>8</v>
      </c>
      <c r="P172">
        <f t="shared" si="34"/>
        <v>4</v>
      </c>
      <c r="Q172">
        <f t="shared" si="44"/>
        <v>17</v>
      </c>
      <c r="R172">
        <f t="shared" si="44"/>
        <v>16</v>
      </c>
    </row>
    <row r="173" spans="1:18" x14ac:dyDescent="0.25">
      <c r="A173" s="1">
        <v>44822</v>
      </c>
      <c r="B173">
        <f t="shared" si="30"/>
        <v>7</v>
      </c>
      <c r="C173">
        <f t="shared" si="35"/>
        <v>17</v>
      </c>
      <c r="D173">
        <f t="shared" si="35"/>
        <v>16</v>
      </c>
      <c r="E173">
        <f t="shared" si="36"/>
        <v>0</v>
      </c>
      <c r="F173">
        <f t="shared" si="31"/>
        <v>0</v>
      </c>
      <c r="G173">
        <f t="shared" si="37"/>
        <v>0</v>
      </c>
      <c r="H173">
        <f t="shared" si="38"/>
        <v>0</v>
      </c>
      <c r="I173">
        <f t="shared" si="39"/>
        <v>0</v>
      </c>
      <c r="J173">
        <f t="shared" si="32"/>
        <v>0</v>
      </c>
      <c r="K173">
        <f t="shared" si="33"/>
        <v>0</v>
      </c>
      <c r="L173">
        <f t="shared" si="40"/>
        <v>17</v>
      </c>
      <c r="M173">
        <f t="shared" si="41"/>
        <v>16</v>
      </c>
      <c r="N173">
        <f t="shared" si="42"/>
        <v>0</v>
      </c>
      <c r="O173">
        <f t="shared" si="43"/>
        <v>0</v>
      </c>
      <c r="P173">
        <f t="shared" si="34"/>
        <v>0</v>
      </c>
      <c r="Q173">
        <f t="shared" si="44"/>
        <v>17</v>
      </c>
      <c r="R173">
        <f t="shared" si="44"/>
        <v>16</v>
      </c>
    </row>
    <row r="174" spans="1:18" x14ac:dyDescent="0.25">
      <c r="A174" s="1">
        <v>44823</v>
      </c>
      <c r="B174">
        <f t="shared" si="30"/>
        <v>1</v>
      </c>
      <c r="C174">
        <f t="shared" si="35"/>
        <v>17</v>
      </c>
      <c r="D174">
        <f t="shared" si="35"/>
        <v>16</v>
      </c>
      <c r="E174">
        <f t="shared" si="36"/>
        <v>1</v>
      </c>
      <c r="F174">
        <f t="shared" si="31"/>
        <v>1</v>
      </c>
      <c r="G174">
        <f t="shared" si="37"/>
        <v>0</v>
      </c>
      <c r="H174">
        <f t="shared" si="38"/>
        <v>0</v>
      </c>
      <c r="I174">
        <f t="shared" si="39"/>
        <v>0</v>
      </c>
      <c r="J174">
        <f t="shared" si="32"/>
        <v>0</v>
      </c>
      <c r="K174">
        <f t="shared" si="33"/>
        <v>0</v>
      </c>
      <c r="L174">
        <f t="shared" si="40"/>
        <v>16</v>
      </c>
      <c r="M174">
        <f t="shared" si="41"/>
        <v>16</v>
      </c>
      <c r="N174">
        <f t="shared" si="42"/>
        <v>1</v>
      </c>
      <c r="O174">
        <f t="shared" si="43"/>
        <v>5</v>
      </c>
      <c r="P174">
        <f t="shared" si="34"/>
        <v>4</v>
      </c>
      <c r="Q174">
        <f t="shared" si="44"/>
        <v>11</v>
      </c>
      <c r="R174">
        <f t="shared" si="44"/>
        <v>12</v>
      </c>
    </row>
    <row r="175" spans="1:18" x14ac:dyDescent="0.25">
      <c r="A175" s="1">
        <v>44824</v>
      </c>
      <c r="B175">
        <f t="shared" si="30"/>
        <v>2</v>
      </c>
      <c r="C175">
        <f t="shared" si="35"/>
        <v>11</v>
      </c>
      <c r="D175">
        <f t="shared" si="35"/>
        <v>12</v>
      </c>
      <c r="E175">
        <f t="shared" si="36"/>
        <v>0</v>
      </c>
      <c r="F175">
        <f t="shared" si="31"/>
        <v>0</v>
      </c>
      <c r="G175">
        <f t="shared" si="37"/>
        <v>0</v>
      </c>
      <c r="H175">
        <f t="shared" si="38"/>
        <v>0</v>
      </c>
      <c r="I175">
        <f t="shared" si="39"/>
        <v>0</v>
      </c>
      <c r="J175">
        <f t="shared" si="32"/>
        <v>0</v>
      </c>
      <c r="K175">
        <f t="shared" si="33"/>
        <v>0</v>
      </c>
      <c r="L175">
        <f t="shared" si="40"/>
        <v>11</v>
      </c>
      <c r="M175">
        <f t="shared" si="41"/>
        <v>12</v>
      </c>
      <c r="N175">
        <f t="shared" si="42"/>
        <v>1</v>
      </c>
      <c r="O175">
        <f t="shared" si="43"/>
        <v>4</v>
      </c>
      <c r="P175">
        <f t="shared" si="34"/>
        <v>3</v>
      </c>
      <c r="Q175">
        <f t="shared" si="44"/>
        <v>7</v>
      </c>
      <c r="R175">
        <f t="shared" si="44"/>
        <v>9</v>
      </c>
    </row>
    <row r="176" spans="1:18" x14ac:dyDescent="0.25">
      <c r="A176" s="1">
        <v>44825</v>
      </c>
      <c r="B176">
        <f t="shared" si="30"/>
        <v>3</v>
      </c>
      <c r="C176">
        <f t="shared" si="35"/>
        <v>7</v>
      </c>
      <c r="D176">
        <f t="shared" si="35"/>
        <v>9</v>
      </c>
      <c r="E176">
        <f t="shared" si="36"/>
        <v>0</v>
      </c>
      <c r="F176">
        <f t="shared" si="31"/>
        <v>0</v>
      </c>
      <c r="G176">
        <f t="shared" si="37"/>
        <v>0</v>
      </c>
      <c r="H176">
        <f t="shared" si="38"/>
        <v>0</v>
      </c>
      <c r="I176">
        <f t="shared" si="39"/>
        <v>0</v>
      </c>
      <c r="J176">
        <f t="shared" si="32"/>
        <v>0</v>
      </c>
      <c r="K176">
        <f t="shared" si="33"/>
        <v>0</v>
      </c>
      <c r="L176">
        <f t="shared" si="40"/>
        <v>7</v>
      </c>
      <c r="M176">
        <f t="shared" si="41"/>
        <v>9</v>
      </c>
      <c r="N176">
        <f t="shared" si="42"/>
        <v>1</v>
      </c>
      <c r="O176">
        <f t="shared" si="43"/>
        <v>3</v>
      </c>
      <c r="P176">
        <f t="shared" si="34"/>
        <v>2</v>
      </c>
      <c r="Q176">
        <f t="shared" si="44"/>
        <v>4</v>
      </c>
      <c r="R176">
        <f t="shared" si="44"/>
        <v>7</v>
      </c>
    </row>
    <row r="177" spans="1:18" x14ac:dyDescent="0.25">
      <c r="A177" s="1">
        <v>44826</v>
      </c>
      <c r="B177">
        <f t="shared" si="30"/>
        <v>4</v>
      </c>
      <c r="C177">
        <f t="shared" si="35"/>
        <v>4</v>
      </c>
      <c r="D177">
        <f t="shared" si="35"/>
        <v>7</v>
      </c>
      <c r="E177">
        <f t="shared" si="36"/>
        <v>0</v>
      </c>
      <c r="F177">
        <f t="shared" si="31"/>
        <v>0</v>
      </c>
      <c r="G177">
        <f t="shared" si="37"/>
        <v>1</v>
      </c>
      <c r="H177">
        <f t="shared" si="38"/>
        <v>50</v>
      </c>
      <c r="I177">
        <f t="shared" si="39"/>
        <v>25</v>
      </c>
      <c r="J177">
        <f t="shared" si="32"/>
        <v>0</v>
      </c>
      <c r="K177">
        <f t="shared" si="33"/>
        <v>0</v>
      </c>
      <c r="L177">
        <f t="shared" si="40"/>
        <v>54</v>
      </c>
      <c r="M177">
        <f t="shared" si="41"/>
        <v>32</v>
      </c>
      <c r="N177">
        <f t="shared" si="42"/>
        <v>1</v>
      </c>
      <c r="O177">
        <f t="shared" si="43"/>
        <v>17</v>
      </c>
      <c r="P177">
        <f t="shared" si="34"/>
        <v>7</v>
      </c>
      <c r="Q177">
        <f t="shared" si="44"/>
        <v>37</v>
      </c>
      <c r="R177">
        <f t="shared" si="44"/>
        <v>25</v>
      </c>
    </row>
    <row r="178" spans="1:18" x14ac:dyDescent="0.25">
      <c r="A178" s="1">
        <v>44827</v>
      </c>
      <c r="B178">
        <f t="shared" si="30"/>
        <v>5</v>
      </c>
      <c r="C178">
        <f t="shared" si="35"/>
        <v>37</v>
      </c>
      <c r="D178">
        <f t="shared" si="35"/>
        <v>25</v>
      </c>
      <c r="E178">
        <f t="shared" si="36"/>
        <v>0</v>
      </c>
      <c r="F178">
        <f t="shared" si="31"/>
        <v>0</v>
      </c>
      <c r="G178">
        <f t="shared" si="37"/>
        <v>0</v>
      </c>
      <c r="H178">
        <f t="shared" si="38"/>
        <v>0</v>
      </c>
      <c r="I178">
        <f t="shared" si="39"/>
        <v>0</v>
      </c>
      <c r="J178">
        <f t="shared" si="32"/>
        <v>0</v>
      </c>
      <c r="K178">
        <f t="shared" si="33"/>
        <v>0</v>
      </c>
      <c r="L178">
        <f t="shared" si="40"/>
        <v>37</v>
      </c>
      <c r="M178">
        <f t="shared" si="41"/>
        <v>25</v>
      </c>
      <c r="N178">
        <f t="shared" si="42"/>
        <v>1</v>
      </c>
      <c r="O178">
        <f t="shared" si="43"/>
        <v>12</v>
      </c>
      <c r="P178">
        <f t="shared" si="34"/>
        <v>5</v>
      </c>
      <c r="Q178">
        <f t="shared" si="44"/>
        <v>25</v>
      </c>
      <c r="R178">
        <f t="shared" si="44"/>
        <v>20</v>
      </c>
    </row>
    <row r="179" spans="1:18" x14ac:dyDescent="0.25">
      <c r="A179" s="1">
        <v>44828</v>
      </c>
      <c r="B179">
        <f t="shared" si="30"/>
        <v>6</v>
      </c>
      <c r="C179">
        <f t="shared" si="35"/>
        <v>25</v>
      </c>
      <c r="D179">
        <f t="shared" si="35"/>
        <v>20</v>
      </c>
      <c r="E179">
        <f t="shared" si="36"/>
        <v>0</v>
      </c>
      <c r="F179">
        <f t="shared" si="31"/>
        <v>0</v>
      </c>
      <c r="G179">
        <f t="shared" si="37"/>
        <v>0</v>
      </c>
      <c r="H179">
        <f t="shared" si="38"/>
        <v>0</v>
      </c>
      <c r="I179">
        <f t="shared" si="39"/>
        <v>0</v>
      </c>
      <c r="J179">
        <f t="shared" si="32"/>
        <v>0</v>
      </c>
      <c r="K179">
        <f t="shared" si="33"/>
        <v>0</v>
      </c>
      <c r="L179">
        <f t="shared" si="40"/>
        <v>25</v>
      </c>
      <c r="M179">
        <f t="shared" si="41"/>
        <v>20</v>
      </c>
      <c r="N179">
        <f t="shared" si="42"/>
        <v>1</v>
      </c>
      <c r="O179">
        <f t="shared" si="43"/>
        <v>8</v>
      </c>
      <c r="P179">
        <f t="shared" si="34"/>
        <v>4</v>
      </c>
      <c r="Q179">
        <f t="shared" si="44"/>
        <v>17</v>
      </c>
      <c r="R179">
        <f t="shared" si="44"/>
        <v>16</v>
      </c>
    </row>
    <row r="180" spans="1:18" x14ac:dyDescent="0.25">
      <c r="A180" s="1">
        <v>44829</v>
      </c>
      <c r="B180">
        <f t="shared" si="30"/>
        <v>7</v>
      </c>
      <c r="C180">
        <f t="shared" si="35"/>
        <v>17</v>
      </c>
      <c r="D180">
        <f t="shared" si="35"/>
        <v>16</v>
      </c>
      <c r="E180">
        <f t="shared" si="36"/>
        <v>0</v>
      </c>
      <c r="F180">
        <f t="shared" si="31"/>
        <v>0</v>
      </c>
      <c r="G180">
        <f t="shared" si="37"/>
        <v>0</v>
      </c>
      <c r="H180">
        <f t="shared" si="38"/>
        <v>0</v>
      </c>
      <c r="I180">
        <f t="shared" si="39"/>
        <v>0</v>
      </c>
      <c r="J180">
        <f t="shared" si="32"/>
        <v>0</v>
      </c>
      <c r="K180">
        <f t="shared" si="33"/>
        <v>0</v>
      </c>
      <c r="L180">
        <f t="shared" si="40"/>
        <v>17</v>
      </c>
      <c r="M180">
        <f t="shared" si="41"/>
        <v>16</v>
      </c>
      <c r="N180">
        <f t="shared" si="42"/>
        <v>0</v>
      </c>
      <c r="O180">
        <f t="shared" si="43"/>
        <v>0</v>
      </c>
      <c r="P180">
        <f t="shared" si="34"/>
        <v>0</v>
      </c>
      <c r="Q180">
        <f t="shared" si="44"/>
        <v>17</v>
      </c>
      <c r="R180">
        <f t="shared" si="44"/>
        <v>16</v>
      </c>
    </row>
    <row r="181" spans="1:18" x14ac:dyDescent="0.25">
      <c r="A181" s="1">
        <v>44830</v>
      </c>
      <c r="B181">
        <f t="shared" si="30"/>
        <v>1</v>
      </c>
      <c r="C181">
        <f t="shared" si="35"/>
        <v>17</v>
      </c>
      <c r="D181">
        <f t="shared" si="35"/>
        <v>16</v>
      </c>
      <c r="E181">
        <f t="shared" si="36"/>
        <v>1</v>
      </c>
      <c r="F181">
        <f t="shared" si="31"/>
        <v>1</v>
      </c>
      <c r="G181">
        <f t="shared" si="37"/>
        <v>0</v>
      </c>
      <c r="H181">
        <f t="shared" si="38"/>
        <v>0</v>
      </c>
      <c r="I181">
        <f t="shared" si="39"/>
        <v>0</v>
      </c>
      <c r="J181">
        <f t="shared" si="32"/>
        <v>0</v>
      </c>
      <c r="K181">
        <f t="shared" si="33"/>
        <v>0</v>
      </c>
      <c r="L181">
        <f t="shared" si="40"/>
        <v>16</v>
      </c>
      <c r="M181">
        <f t="shared" si="41"/>
        <v>16</v>
      </c>
      <c r="N181">
        <f t="shared" si="42"/>
        <v>1</v>
      </c>
      <c r="O181">
        <f t="shared" si="43"/>
        <v>5</v>
      </c>
      <c r="P181">
        <f t="shared" si="34"/>
        <v>4</v>
      </c>
      <c r="Q181">
        <f t="shared" si="44"/>
        <v>11</v>
      </c>
      <c r="R181">
        <f t="shared" si="44"/>
        <v>12</v>
      </c>
    </row>
    <row r="182" spans="1:18" x14ac:dyDescent="0.25">
      <c r="A182" s="1">
        <v>44831</v>
      </c>
      <c r="B182">
        <f t="shared" si="30"/>
        <v>2</v>
      </c>
      <c r="C182">
        <f t="shared" si="35"/>
        <v>11</v>
      </c>
      <c r="D182">
        <f t="shared" si="35"/>
        <v>12</v>
      </c>
      <c r="E182">
        <f t="shared" si="36"/>
        <v>0</v>
      </c>
      <c r="F182">
        <f t="shared" si="31"/>
        <v>0</v>
      </c>
      <c r="G182">
        <f t="shared" si="37"/>
        <v>0</v>
      </c>
      <c r="H182">
        <f t="shared" si="38"/>
        <v>0</v>
      </c>
      <c r="I182">
        <f t="shared" si="39"/>
        <v>0</v>
      </c>
      <c r="J182">
        <f t="shared" si="32"/>
        <v>0</v>
      </c>
      <c r="K182">
        <f t="shared" si="33"/>
        <v>0</v>
      </c>
      <c r="L182">
        <f t="shared" si="40"/>
        <v>11</v>
      </c>
      <c r="M182">
        <f t="shared" si="41"/>
        <v>12</v>
      </c>
      <c r="N182">
        <f t="shared" si="42"/>
        <v>1</v>
      </c>
      <c r="O182">
        <f t="shared" si="43"/>
        <v>4</v>
      </c>
      <c r="P182">
        <f t="shared" si="34"/>
        <v>3</v>
      </c>
      <c r="Q182">
        <f t="shared" si="44"/>
        <v>7</v>
      </c>
      <c r="R182">
        <f t="shared" si="44"/>
        <v>9</v>
      </c>
    </row>
    <row r="183" spans="1:18" x14ac:dyDescent="0.25">
      <c r="A183" s="1">
        <v>44832</v>
      </c>
      <c r="B183">
        <f t="shared" si="30"/>
        <v>3</v>
      </c>
      <c r="C183">
        <f t="shared" si="35"/>
        <v>7</v>
      </c>
      <c r="D183">
        <f t="shared" si="35"/>
        <v>9</v>
      </c>
      <c r="E183">
        <f t="shared" si="36"/>
        <v>0</v>
      </c>
      <c r="F183">
        <f t="shared" si="31"/>
        <v>0</v>
      </c>
      <c r="G183">
        <f t="shared" si="37"/>
        <v>0</v>
      </c>
      <c r="H183">
        <f t="shared" si="38"/>
        <v>0</v>
      </c>
      <c r="I183">
        <f t="shared" si="39"/>
        <v>0</v>
      </c>
      <c r="J183">
        <f t="shared" si="32"/>
        <v>0</v>
      </c>
      <c r="K183">
        <f t="shared" si="33"/>
        <v>0</v>
      </c>
      <c r="L183">
        <f t="shared" si="40"/>
        <v>7</v>
      </c>
      <c r="M183">
        <f t="shared" si="41"/>
        <v>9</v>
      </c>
      <c r="N183">
        <f t="shared" si="42"/>
        <v>1</v>
      </c>
      <c r="O183">
        <f t="shared" si="43"/>
        <v>3</v>
      </c>
      <c r="P183">
        <f t="shared" si="34"/>
        <v>2</v>
      </c>
      <c r="Q183">
        <f t="shared" si="44"/>
        <v>4</v>
      </c>
      <c r="R183">
        <f t="shared" si="44"/>
        <v>7</v>
      </c>
    </row>
    <row r="184" spans="1:18" x14ac:dyDescent="0.25">
      <c r="A184" s="1">
        <v>44833</v>
      </c>
      <c r="B184">
        <f t="shared" si="30"/>
        <v>4</v>
      </c>
      <c r="C184">
        <f t="shared" si="35"/>
        <v>4</v>
      </c>
      <c r="D184">
        <f t="shared" si="35"/>
        <v>7</v>
      </c>
      <c r="E184">
        <f t="shared" si="36"/>
        <v>0</v>
      </c>
      <c r="F184">
        <f t="shared" si="31"/>
        <v>0</v>
      </c>
      <c r="G184">
        <f t="shared" si="37"/>
        <v>1</v>
      </c>
      <c r="H184">
        <f t="shared" si="38"/>
        <v>50</v>
      </c>
      <c r="I184">
        <f t="shared" si="39"/>
        <v>25</v>
      </c>
      <c r="J184">
        <f t="shared" si="32"/>
        <v>0</v>
      </c>
      <c r="K184">
        <f t="shared" si="33"/>
        <v>0</v>
      </c>
      <c r="L184">
        <f t="shared" si="40"/>
        <v>54</v>
      </c>
      <c r="M184">
        <f t="shared" si="41"/>
        <v>32</v>
      </c>
      <c r="N184">
        <f t="shared" si="42"/>
        <v>1</v>
      </c>
      <c r="O184">
        <f t="shared" si="43"/>
        <v>17</v>
      </c>
      <c r="P184">
        <f t="shared" si="34"/>
        <v>7</v>
      </c>
      <c r="Q184">
        <f t="shared" si="44"/>
        <v>37</v>
      </c>
      <c r="R184">
        <f t="shared" si="44"/>
        <v>25</v>
      </c>
    </row>
    <row r="185" spans="1:18" x14ac:dyDescent="0.25">
      <c r="A185" s="1">
        <v>44834</v>
      </c>
      <c r="B185">
        <f t="shared" si="30"/>
        <v>5</v>
      </c>
      <c r="C185">
        <f t="shared" si="35"/>
        <v>37</v>
      </c>
      <c r="D185">
        <f t="shared" si="35"/>
        <v>25</v>
      </c>
      <c r="E185">
        <f t="shared" si="36"/>
        <v>0</v>
      </c>
      <c r="F185">
        <f t="shared" si="31"/>
        <v>0</v>
      </c>
      <c r="G185">
        <f t="shared" si="37"/>
        <v>0</v>
      </c>
      <c r="H185">
        <f t="shared" si="38"/>
        <v>0</v>
      </c>
      <c r="I185">
        <f t="shared" si="39"/>
        <v>0</v>
      </c>
      <c r="J185">
        <f t="shared" si="32"/>
        <v>0</v>
      </c>
      <c r="K185">
        <f t="shared" si="33"/>
        <v>0</v>
      </c>
      <c r="L185">
        <f t="shared" si="40"/>
        <v>37</v>
      </c>
      <c r="M185">
        <f t="shared" si="41"/>
        <v>25</v>
      </c>
      <c r="N185">
        <f t="shared" si="42"/>
        <v>1</v>
      </c>
      <c r="O185">
        <f t="shared" si="43"/>
        <v>12</v>
      </c>
      <c r="P185">
        <f t="shared" si="34"/>
        <v>5</v>
      </c>
      <c r="Q185">
        <f t="shared" si="44"/>
        <v>25</v>
      </c>
      <c r="R185">
        <f t="shared" si="44"/>
        <v>20</v>
      </c>
    </row>
    <row r="186" spans="1:18" x14ac:dyDescent="0.25">
      <c r="A186" s="1">
        <v>44835</v>
      </c>
      <c r="B186">
        <f t="shared" si="30"/>
        <v>6</v>
      </c>
      <c r="C186">
        <f t="shared" si="35"/>
        <v>25</v>
      </c>
      <c r="D186">
        <f t="shared" si="35"/>
        <v>20</v>
      </c>
      <c r="E186">
        <f t="shared" si="36"/>
        <v>0</v>
      </c>
      <c r="F186">
        <f t="shared" si="31"/>
        <v>0</v>
      </c>
      <c r="G186">
        <f t="shared" si="37"/>
        <v>0</v>
      </c>
      <c r="H186">
        <f t="shared" si="38"/>
        <v>0</v>
      </c>
      <c r="I186">
        <f t="shared" si="39"/>
        <v>0</v>
      </c>
      <c r="J186">
        <f t="shared" si="32"/>
        <v>0</v>
      </c>
      <c r="K186">
        <f t="shared" si="33"/>
        <v>0</v>
      </c>
      <c r="L186">
        <f t="shared" si="40"/>
        <v>25</v>
      </c>
      <c r="M186">
        <f t="shared" si="41"/>
        <v>20</v>
      </c>
      <c r="N186">
        <f t="shared" si="42"/>
        <v>1</v>
      </c>
      <c r="O186">
        <f t="shared" si="43"/>
        <v>8</v>
      </c>
      <c r="P186">
        <f t="shared" si="34"/>
        <v>4</v>
      </c>
      <c r="Q186">
        <f t="shared" si="44"/>
        <v>17</v>
      </c>
      <c r="R186">
        <f t="shared" si="44"/>
        <v>16</v>
      </c>
    </row>
    <row r="187" spans="1:18" x14ac:dyDescent="0.25">
      <c r="A187" s="1">
        <v>44836</v>
      </c>
      <c r="B187">
        <f t="shared" si="30"/>
        <v>7</v>
      </c>
      <c r="C187">
        <f t="shared" si="35"/>
        <v>17</v>
      </c>
      <c r="D187">
        <f t="shared" si="35"/>
        <v>16</v>
      </c>
      <c r="E187">
        <f t="shared" si="36"/>
        <v>0</v>
      </c>
      <c r="F187">
        <f t="shared" si="31"/>
        <v>0</v>
      </c>
      <c r="G187">
        <f t="shared" si="37"/>
        <v>0</v>
      </c>
      <c r="H187">
        <f t="shared" si="38"/>
        <v>0</v>
      </c>
      <c r="I187">
        <f t="shared" si="39"/>
        <v>0</v>
      </c>
      <c r="J187">
        <f t="shared" si="32"/>
        <v>0</v>
      </c>
      <c r="K187">
        <f t="shared" si="33"/>
        <v>0</v>
      </c>
      <c r="L187">
        <f t="shared" si="40"/>
        <v>17</v>
      </c>
      <c r="M187">
        <f t="shared" si="41"/>
        <v>16</v>
      </c>
      <c r="N187">
        <f t="shared" si="42"/>
        <v>0</v>
      </c>
      <c r="O187">
        <f t="shared" si="43"/>
        <v>0</v>
      </c>
      <c r="P187">
        <f t="shared" si="34"/>
        <v>0</v>
      </c>
      <c r="Q187">
        <f t="shared" si="44"/>
        <v>17</v>
      </c>
      <c r="R187">
        <f t="shared" si="44"/>
        <v>16</v>
      </c>
    </row>
    <row r="188" spans="1:18" x14ac:dyDescent="0.25">
      <c r="A188" s="1">
        <v>44837</v>
      </c>
      <c r="B188">
        <f t="shared" si="30"/>
        <v>1</v>
      </c>
      <c r="C188">
        <f t="shared" si="35"/>
        <v>17</v>
      </c>
      <c r="D188">
        <f t="shared" si="35"/>
        <v>16</v>
      </c>
      <c r="E188">
        <f t="shared" si="36"/>
        <v>1</v>
      </c>
      <c r="F188">
        <f t="shared" si="31"/>
        <v>1</v>
      </c>
      <c r="G188">
        <f t="shared" si="37"/>
        <v>0</v>
      </c>
      <c r="H188">
        <f t="shared" si="38"/>
        <v>0</v>
      </c>
      <c r="I188">
        <f t="shared" si="39"/>
        <v>0</v>
      </c>
      <c r="J188">
        <f t="shared" si="32"/>
        <v>0</v>
      </c>
      <c r="K188">
        <f t="shared" si="33"/>
        <v>0</v>
      </c>
      <c r="L188">
        <f t="shared" si="40"/>
        <v>16</v>
      </c>
      <c r="M188">
        <f t="shared" si="41"/>
        <v>16</v>
      </c>
      <c r="N188">
        <f t="shared" si="42"/>
        <v>1</v>
      </c>
      <c r="O188">
        <f t="shared" si="43"/>
        <v>5</v>
      </c>
      <c r="P188">
        <f t="shared" si="34"/>
        <v>4</v>
      </c>
      <c r="Q188">
        <f t="shared" si="44"/>
        <v>11</v>
      </c>
      <c r="R188">
        <f t="shared" si="44"/>
        <v>12</v>
      </c>
    </row>
    <row r="189" spans="1:18" x14ac:dyDescent="0.25">
      <c r="A189" s="1">
        <v>44838</v>
      </c>
      <c r="B189">
        <f t="shared" si="30"/>
        <v>2</v>
      </c>
      <c r="C189">
        <f t="shared" si="35"/>
        <v>11</v>
      </c>
      <c r="D189">
        <f t="shared" si="35"/>
        <v>12</v>
      </c>
      <c r="E189">
        <f t="shared" si="36"/>
        <v>0</v>
      </c>
      <c r="F189">
        <f t="shared" si="31"/>
        <v>0</v>
      </c>
      <c r="G189">
        <f t="shared" si="37"/>
        <v>0</v>
      </c>
      <c r="H189">
        <f t="shared" si="38"/>
        <v>0</v>
      </c>
      <c r="I189">
        <f t="shared" si="39"/>
        <v>0</v>
      </c>
      <c r="J189">
        <f t="shared" si="32"/>
        <v>0</v>
      </c>
      <c r="K189">
        <f t="shared" si="33"/>
        <v>0</v>
      </c>
      <c r="L189">
        <f t="shared" si="40"/>
        <v>11</v>
      </c>
      <c r="M189">
        <f t="shared" si="41"/>
        <v>12</v>
      </c>
      <c r="N189">
        <f t="shared" si="42"/>
        <v>1</v>
      </c>
      <c r="O189">
        <f t="shared" si="43"/>
        <v>4</v>
      </c>
      <c r="P189">
        <f t="shared" si="34"/>
        <v>3</v>
      </c>
      <c r="Q189">
        <f t="shared" si="44"/>
        <v>7</v>
      </c>
      <c r="R189">
        <f t="shared" si="44"/>
        <v>9</v>
      </c>
    </row>
    <row r="190" spans="1:18" x14ac:dyDescent="0.25">
      <c r="A190" s="1">
        <v>44839</v>
      </c>
      <c r="B190">
        <f t="shared" si="30"/>
        <v>3</v>
      </c>
      <c r="C190">
        <f t="shared" si="35"/>
        <v>7</v>
      </c>
      <c r="D190">
        <f t="shared" si="35"/>
        <v>9</v>
      </c>
      <c r="E190">
        <f t="shared" si="36"/>
        <v>0</v>
      </c>
      <c r="F190">
        <f t="shared" si="31"/>
        <v>0</v>
      </c>
      <c r="G190">
        <f t="shared" si="37"/>
        <v>0</v>
      </c>
      <c r="H190">
        <f t="shared" si="38"/>
        <v>0</v>
      </c>
      <c r="I190">
        <f t="shared" si="39"/>
        <v>0</v>
      </c>
      <c r="J190">
        <f t="shared" si="32"/>
        <v>0</v>
      </c>
      <c r="K190">
        <f t="shared" si="33"/>
        <v>0</v>
      </c>
      <c r="L190">
        <f t="shared" si="40"/>
        <v>7</v>
      </c>
      <c r="M190">
        <f t="shared" si="41"/>
        <v>9</v>
      </c>
      <c r="N190">
        <f t="shared" si="42"/>
        <v>1</v>
      </c>
      <c r="O190">
        <f t="shared" si="43"/>
        <v>3</v>
      </c>
      <c r="P190">
        <f t="shared" si="34"/>
        <v>2</v>
      </c>
      <c r="Q190">
        <f t="shared" si="44"/>
        <v>4</v>
      </c>
      <c r="R190">
        <f t="shared" si="44"/>
        <v>7</v>
      </c>
    </row>
    <row r="191" spans="1:18" x14ac:dyDescent="0.25">
      <c r="A191" s="1">
        <v>44840</v>
      </c>
      <c r="B191">
        <f t="shared" si="30"/>
        <v>4</v>
      </c>
      <c r="C191">
        <f t="shared" si="35"/>
        <v>4</v>
      </c>
      <c r="D191">
        <f t="shared" si="35"/>
        <v>7</v>
      </c>
      <c r="E191">
        <f t="shared" si="36"/>
        <v>0</v>
      </c>
      <c r="F191">
        <f t="shared" si="31"/>
        <v>0</v>
      </c>
      <c r="G191">
        <f t="shared" si="37"/>
        <v>1</v>
      </c>
      <c r="H191">
        <f t="shared" si="38"/>
        <v>50</v>
      </c>
      <c r="I191">
        <f t="shared" si="39"/>
        <v>25</v>
      </c>
      <c r="J191">
        <f t="shared" si="32"/>
        <v>0</v>
      </c>
      <c r="K191">
        <f t="shared" si="33"/>
        <v>0</v>
      </c>
      <c r="L191">
        <f t="shared" si="40"/>
        <v>54</v>
      </c>
      <c r="M191">
        <f t="shared" si="41"/>
        <v>32</v>
      </c>
      <c r="N191">
        <f t="shared" si="42"/>
        <v>1</v>
      </c>
      <c r="O191">
        <f t="shared" si="43"/>
        <v>17</v>
      </c>
      <c r="P191">
        <f t="shared" si="34"/>
        <v>7</v>
      </c>
      <c r="Q191">
        <f t="shared" si="44"/>
        <v>37</v>
      </c>
      <c r="R191">
        <f t="shared" si="44"/>
        <v>25</v>
      </c>
    </row>
    <row r="192" spans="1:18" x14ac:dyDescent="0.25">
      <c r="A192" s="1">
        <v>44841</v>
      </c>
      <c r="B192">
        <f t="shared" si="30"/>
        <v>5</v>
      </c>
      <c r="C192">
        <f t="shared" si="35"/>
        <v>37</v>
      </c>
      <c r="D192">
        <f t="shared" si="35"/>
        <v>25</v>
      </c>
      <c r="E192">
        <f t="shared" si="36"/>
        <v>0</v>
      </c>
      <c r="F192">
        <f t="shared" si="31"/>
        <v>0</v>
      </c>
      <c r="G192">
        <f t="shared" si="37"/>
        <v>0</v>
      </c>
      <c r="H192">
        <f t="shared" si="38"/>
        <v>0</v>
      </c>
      <c r="I192">
        <f t="shared" si="39"/>
        <v>0</v>
      </c>
      <c r="J192">
        <f t="shared" si="32"/>
        <v>0</v>
      </c>
      <c r="K192">
        <f t="shared" si="33"/>
        <v>0</v>
      </c>
      <c r="L192">
        <f t="shared" si="40"/>
        <v>37</v>
      </c>
      <c r="M192">
        <f t="shared" si="41"/>
        <v>25</v>
      </c>
      <c r="N192">
        <f t="shared" si="42"/>
        <v>1</v>
      </c>
      <c r="O192">
        <f t="shared" si="43"/>
        <v>12</v>
      </c>
      <c r="P192">
        <f t="shared" si="34"/>
        <v>5</v>
      </c>
      <c r="Q192">
        <f t="shared" si="44"/>
        <v>25</v>
      </c>
      <c r="R192">
        <f t="shared" si="44"/>
        <v>20</v>
      </c>
    </row>
    <row r="193" spans="1:18" x14ac:dyDescent="0.25">
      <c r="A193" s="1">
        <v>44842</v>
      </c>
      <c r="B193">
        <f t="shared" si="30"/>
        <v>6</v>
      </c>
      <c r="C193">
        <f t="shared" si="35"/>
        <v>25</v>
      </c>
      <c r="D193">
        <f t="shared" si="35"/>
        <v>20</v>
      </c>
      <c r="E193">
        <f t="shared" si="36"/>
        <v>0</v>
      </c>
      <c r="F193">
        <f t="shared" si="31"/>
        <v>0</v>
      </c>
      <c r="G193">
        <f t="shared" si="37"/>
        <v>0</v>
      </c>
      <c r="H193">
        <f t="shared" si="38"/>
        <v>0</v>
      </c>
      <c r="I193">
        <f t="shared" si="39"/>
        <v>0</v>
      </c>
      <c r="J193">
        <f t="shared" si="32"/>
        <v>0</v>
      </c>
      <c r="K193">
        <f t="shared" si="33"/>
        <v>0</v>
      </c>
      <c r="L193">
        <f t="shared" si="40"/>
        <v>25</v>
      </c>
      <c r="M193">
        <f t="shared" si="41"/>
        <v>20</v>
      </c>
      <c r="N193">
        <f t="shared" si="42"/>
        <v>1</v>
      </c>
      <c r="O193">
        <f t="shared" si="43"/>
        <v>8</v>
      </c>
      <c r="P193">
        <f t="shared" si="34"/>
        <v>4</v>
      </c>
      <c r="Q193">
        <f t="shared" si="44"/>
        <v>17</v>
      </c>
      <c r="R193">
        <f t="shared" si="44"/>
        <v>16</v>
      </c>
    </row>
    <row r="194" spans="1:18" x14ac:dyDescent="0.25">
      <c r="A194" s="1">
        <v>44843</v>
      </c>
      <c r="B194">
        <f t="shared" si="30"/>
        <v>7</v>
      </c>
      <c r="C194">
        <f t="shared" si="35"/>
        <v>17</v>
      </c>
      <c r="D194">
        <f t="shared" si="35"/>
        <v>16</v>
      </c>
      <c r="E194">
        <f t="shared" si="36"/>
        <v>0</v>
      </c>
      <c r="F194">
        <f t="shared" si="31"/>
        <v>0</v>
      </c>
      <c r="G194">
        <f t="shared" si="37"/>
        <v>0</v>
      </c>
      <c r="H194">
        <f t="shared" si="38"/>
        <v>0</v>
      </c>
      <c r="I194">
        <f t="shared" si="39"/>
        <v>0</v>
      </c>
      <c r="J194">
        <f t="shared" si="32"/>
        <v>0</v>
      </c>
      <c r="K194">
        <f t="shared" si="33"/>
        <v>0</v>
      </c>
      <c r="L194">
        <f t="shared" si="40"/>
        <v>17</v>
      </c>
      <c r="M194">
        <f t="shared" si="41"/>
        <v>16</v>
      </c>
      <c r="N194">
        <f t="shared" si="42"/>
        <v>0</v>
      </c>
      <c r="O194">
        <f t="shared" si="43"/>
        <v>0</v>
      </c>
      <c r="P194">
        <f t="shared" si="34"/>
        <v>0</v>
      </c>
      <c r="Q194">
        <f t="shared" si="44"/>
        <v>17</v>
      </c>
      <c r="R194">
        <f t="shared" si="44"/>
        <v>16</v>
      </c>
    </row>
    <row r="195" spans="1:18" x14ac:dyDescent="0.25">
      <c r="A195" s="1">
        <v>44844</v>
      </c>
      <c r="B195">
        <f t="shared" si="30"/>
        <v>1</v>
      </c>
      <c r="C195">
        <f t="shared" si="35"/>
        <v>17</v>
      </c>
      <c r="D195">
        <f t="shared" si="35"/>
        <v>16</v>
      </c>
      <c r="E195">
        <f t="shared" si="36"/>
        <v>1</v>
      </c>
      <c r="F195">
        <f t="shared" si="31"/>
        <v>1</v>
      </c>
      <c r="G195">
        <f t="shared" si="37"/>
        <v>0</v>
      </c>
      <c r="H195">
        <f t="shared" si="38"/>
        <v>0</v>
      </c>
      <c r="I195">
        <f t="shared" si="39"/>
        <v>0</v>
      </c>
      <c r="J195">
        <f t="shared" si="32"/>
        <v>0</v>
      </c>
      <c r="K195">
        <f t="shared" si="33"/>
        <v>0</v>
      </c>
      <c r="L195">
        <f t="shared" si="40"/>
        <v>16</v>
      </c>
      <c r="M195">
        <f t="shared" si="41"/>
        <v>16</v>
      </c>
      <c r="N195">
        <f t="shared" si="42"/>
        <v>1</v>
      </c>
      <c r="O195">
        <f t="shared" si="43"/>
        <v>5</v>
      </c>
      <c r="P195">
        <f t="shared" si="34"/>
        <v>4</v>
      </c>
      <c r="Q195">
        <f t="shared" si="44"/>
        <v>11</v>
      </c>
      <c r="R195">
        <f t="shared" si="44"/>
        <v>12</v>
      </c>
    </row>
    <row r="196" spans="1:18" x14ac:dyDescent="0.25">
      <c r="A196" s="1">
        <v>44845</v>
      </c>
      <c r="B196">
        <f t="shared" ref="B196:B216" si="45">WEEKDAY(A196, 2)</f>
        <v>2</v>
      </c>
      <c r="C196">
        <f t="shared" si="35"/>
        <v>11</v>
      </c>
      <c r="D196">
        <f t="shared" si="35"/>
        <v>12</v>
      </c>
      <c r="E196">
        <f t="shared" si="36"/>
        <v>0</v>
      </c>
      <c r="F196">
        <f t="shared" ref="F196:F216" si="46">IF(E196=1,ROUNDUP(5% * C196,0),0)</f>
        <v>0</v>
      </c>
      <c r="G196">
        <f t="shared" si="37"/>
        <v>0</v>
      </c>
      <c r="H196">
        <f t="shared" si="38"/>
        <v>0</v>
      </c>
      <c r="I196">
        <f t="shared" si="39"/>
        <v>0</v>
      </c>
      <c r="J196">
        <f t="shared" ref="J196:J216" si="47">IF(AND(B196=1,SUM(O193:O194)&gt;25),1,0)</f>
        <v>0</v>
      </c>
      <c r="K196">
        <f t="shared" ref="K196:K216" si="48">IF(J196=1,15,0)</f>
        <v>0</v>
      </c>
      <c r="L196">
        <f t="shared" si="40"/>
        <v>11</v>
      </c>
      <c r="M196">
        <f t="shared" si="41"/>
        <v>12</v>
      </c>
      <c r="N196">
        <f t="shared" si="42"/>
        <v>1</v>
      </c>
      <c r="O196">
        <f t="shared" si="43"/>
        <v>4</v>
      </c>
      <c r="P196">
        <f t="shared" ref="P196:P216" si="49">IF(N196=1,ROUNDUP(20% * M196,0),0)</f>
        <v>3</v>
      </c>
      <c r="Q196">
        <f t="shared" si="44"/>
        <v>7</v>
      </c>
      <c r="R196">
        <f t="shared" si="44"/>
        <v>9</v>
      </c>
    </row>
    <row r="197" spans="1:18" x14ac:dyDescent="0.25">
      <c r="A197" s="1">
        <v>44846</v>
      </c>
      <c r="B197">
        <f t="shared" si="45"/>
        <v>3</v>
      </c>
      <c r="C197">
        <f t="shared" ref="C197:D216" si="50">Q196</f>
        <v>7</v>
      </c>
      <c r="D197">
        <f t="shared" si="50"/>
        <v>9</v>
      </c>
      <c r="E197">
        <f t="shared" ref="E197:E216" si="51">IF(B197=1,1,0)</f>
        <v>0</v>
      </c>
      <c r="F197">
        <f t="shared" si="46"/>
        <v>0</v>
      </c>
      <c r="G197">
        <f t="shared" ref="G197:G216" si="52">IF(B197=4,1,0)</f>
        <v>0</v>
      </c>
      <c r="H197">
        <f t="shared" ref="H197:H216" si="53">IF(G197=1,50,0)</f>
        <v>0</v>
      </c>
      <c r="I197">
        <f t="shared" ref="I197:I216" si="54">IF(G197=1,25,0)</f>
        <v>0</v>
      </c>
      <c r="J197">
        <f t="shared" si="47"/>
        <v>0</v>
      </c>
      <c r="K197">
        <f t="shared" si="48"/>
        <v>0</v>
      </c>
      <c r="L197">
        <f t="shared" ref="L197:L216" si="55">K197+H197+C197-F197</f>
        <v>7</v>
      </c>
      <c r="M197">
        <f t="shared" ref="M197:M216" si="56">I197+D197</f>
        <v>9</v>
      </c>
      <c r="N197">
        <f t="shared" ref="N197:N216" si="57">IF(B197&lt;&gt;7,1,0)</f>
        <v>1</v>
      </c>
      <c r="O197">
        <f t="shared" ref="O197:O216" si="58">IF(N197=1,ROUNDUP(30% * L197,0),0)</f>
        <v>3</v>
      </c>
      <c r="P197">
        <f t="shared" si="49"/>
        <v>2</v>
      </c>
      <c r="Q197">
        <f t="shared" ref="Q197:R216" si="59">L197-O197</f>
        <v>4</v>
      </c>
      <c r="R197">
        <f t="shared" si="59"/>
        <v>7</v>
      </c>
    </row>
    <row r="198" spans="1:18" x14ac:dyDescent="0.25">
      <c r="A198" s="1">
        <v>44847</v>
      </c>
      <c r="B198">
        <f t="shared" si="45"/>
        <v>4</v>
      </c>
      <c r="C198">
        <f t="shared" si="50"/>
        <v>4</v>
      </c>
      <c r="D198">
        <f t="shared" si="50"/>
        <v>7</v>
      </c>
      <c r="E198">
        <f t="shared" si="51"/>
        <v>0</v>
      </c>
      <c r="F198">
        <f t="shared" si="46"/>
        <v>0</v>
      </c>
      <c r="G198">
        <f t="shared" si="52"/>
        <v>1</v>
      </c>
      <c r="H198">
        <f t="shared" si="53"/>
        <v>50</v>
      </c>
      <c r="I198">
        <f t="shared" si="54"/>
        <v>25</v>
      </c>
      <c r="J198">
        <f t="shared" si="47"/>
        <v>0</v>
      </c>
      <c r="K198">
        <f t="shared" si="48"/>
        <v>0</v>
      </c>
      <c r="L198">
        <f t="shared" si="55"/>
        <v>54</v>
      </c>
      <c r="M198">
        <f t="shared" si="56"/>
        <v>32</v>
      </c>
      <c r="N198">
        <f t="shared" si="57"/>
        <v>1</v>
      </c>
      <c r="O198">
        <f t="shared" si="58"/>
        <v>17</v>
      </c>
      <c r="P198">
        <f t="shared" si="49"/>
        <v>7</v>
      </c>
      <c r="Q198">
        <f t="shared" si="59"/>
        <v>37</v>
      </c>
      <c r="R198">
        <f t="shared" si="59"/>
        <v>25</v>
      </c>
    </row>
    <row r="199" spans="1:18" x14ac:dyDescent="0.25">
      <c r="A199" s="1">
        <v>44848</v>
      </c>
      <c r="B199">
        <f t="shared" si="45"/>
        <v>5</v>
      </c>
      <c r="C199">
        <f t="shared" si="50"/>
        <v>37</v>
      </c>
      <c r="D199">
        <f t="shared" si="50"/>
        <v>25</v>
      </c>
      <c r="E199">
        <f t="shared" si="51"/>
        <v>0</v>
      </c>
      <c r="F199">
        <f t="shared" si="46"/>
        <v>0</v>
      </c>
      <c r="G199">
        <f t="shared" si="52"/>
        <v>0</v>
      </c>
      <c r="H199">
        <f t="shared" si="53"/>
        <v>0</v>
      </c>
      <c r="I199">
        <f t="shared" si="54"/>
        <v>0</v>
      </c>
      <c r="J199">
        <f t="shared" si="47"/>
        <v>0</v>
      </c>
      <c r="K199">
        <f t="shared" si="48"/>
        <v>0</v>
      </c>
      <c r="L199">
        <f t="shared" si="55"/>
        <v>37</v>
      </c>
      <c r="M199">
        <f t="shared" si="56"/>
        <v>25</v>
      </c>
      <c r="N199">
        <f t="shared" si="57"/>
        <v>1</v>
      </c>
      <c r="O199">
        <f t="shared" si="58"/>
        <v>12</v>
      </c>
      <c r="P199">
        <f t="shared" si="49"/>
        <v>5</v>
      </c>
      <c r="Q199">
        <f t="shared" si="59"/>
        <v>25</v>
      </c>
      <c r="R199">
        <f t="shared" si="59"/>
        <v>20</v>
      </c>
    </row>
    <row r="200" spans="1:18" x14ac:dyDescent="0.25">
      <c r="A200" s="1">
        <v>44849</v>
      </c>
      <c r="B200">
        <f t="shared" si="45"/>
        <v>6</v>
      </c>
      <c r="C200">
        <f t="shared" si="50"/>
        <v>25</v>
      </c>
      <c r="D200">
        <f t="shared" si="50"/>
        <v>20</v>
      </c>
      <c r="E200">
        <f t="shared" si="51"/>
        <v>0</v>
      </c>
      <c r="F200">
        <f t="shared" si="46"/>
        <v>0</v>
      </c>
      <c r="G200">
        <f t="shared" si="52"/>
        <v>0</v>
      </c>
      <c r="H200">
        <f t="shared" si="53"/>
        <v>0</v>
      </c>
      <c r="I200">
        <f t="shared" si="54"/>
        <v>0</v>
      </c>
      <c r="J200">
        <f t="shared" si="47"/>
        <v>0</v>
      </c>
      <c r="K200">
        <f t="shared" si="48"/>
        <v>0</v>
      </c>
      <c r="L200">
        <f t="shared" si="55"/>
        <v>25</v>
      </c>
      <c r="M200">
        <f t="shared" si="56"/>
        <v>20</v>
      </c>
      <c r="N200">
        <f t="shared" si="57"/>
        <v>1</v>
      </c>
      <c r="O200">
        <f t="shared" si="58"/>
        <v>8</v>
      </c>
      <c r="P200">
        <f t="shared" si="49"/>
        <v>4</v>
      </c>
      <c r="Q200">
        <f t="shared" si="59"/>
        <v>17</v>
      </c>
      <c r="R200">
        <f t="shared" si="59"/>
        <v>16</v>
      </c>
    </row>
    <row r="201" spans="1:18" x14ac:dyDescent="0.25">
      <c r="A201" s="1">
        <v>44850</v>
      </c>
      <c r="B201">
        <f t="shared" si="45"/>
        <v>7</v>
      </c>
      <c r="C201">
        <f t="shared" si="50"/>
        <v>17</v>
      </c>
      <c r="D201">
        <f t="shared" si="50"/>
        <v>16</v>
      </c>
      <c r="E201">
        <f t="shared" si="51"/>
        <v>0</v>
      </c>
      <c r="F201">
        <f t="shared" si="46"/>
        <v>0</v>
      </c>
      <c r="G201">
        <f t="shared" si="52"/>
        <v>0</v>
      </c>
      <c r="H201">
        <f t="shared" si="53"/>
        <v>0</v>
      </c>
      <c r="I201">
        <f t="shared" si="54"/>
        <v>0</v>
      </c>
      <c r="J201">
        <f t="shared" si="47"/>
        <v>0</v>
      </c>
      <c r="K201">
        <f t="shared" si="48"/>
        <v>0</v>
      </c>
      <c r="L201">
        <f t="shared" si="55"/>
        <v>17</v>
      </c>
      <c r="M201">
        <f t="shared" si="56"/>
        <v>16</v>
      </c>
      <c r="N201">
        <f t="shared" si="57"/>
        <v>0</v>
      </c>
      <c r="O201">
        <f t="shared" si="58"/>
        <v>0</v>
      </c>
      <c r="P201">
        <f t="shared" si="49"/>
        <v>0</v>
      </c>
      <c r="Q201">
        <f t="shared" si="59"/>
        <v>17</v>
      </c>
      <c r="R201">
        <f t="shared" si="59"/>
        <v>16</v>
      </c>
    </row>
    <row r="202" spans="1:18" x14ac:dyDescent="0.25">
      <c r="A202" s="1">
        <v>44851</v>
      </c>
      <c r="B202">
        <f t="shared" si="45"/>
        <v>1</v>
      </c>
      <c r="C202">
        <f t="shared" si="50"/>
        <v>17</v>
      </c>
      <c r="D202">
        <f t="shared" si="50"/>
        <v>16</v>
      </c>
      <c r="E202">
        <f t="shared" si="51"/>
        <v>1</v>
      </c>
      <c r="F202">
        <f t="shared" si="46"/>
        <v>1</v>
      </c>
      <c r="G202">
        <f t="shared" si="52"/>
        <v>0</v>
      </c>
      <c r="H202">
        <f t="shared" si="53"/>
        <v>0</v>
      </c>
      <c r="I202">
        <f t="shared" si="54"/>
        <v>0</v>
      </c>
      <c r="J202">
        <f t="shared" si="47"/>
        <v>0</v>
      </c>
      <c r="K202">
        <f t="shared" si="48"/>
        <v>0</v>
      </c>
      <c r="L202">
        <f t="shared" si="55"/>
        <v>16</v>
      </c>
      <c r="M202">
        <f t="shared" si="56"/>
        <v>16</v>
      </c>
      <c r="N202">
        <f t="shared" si="57"/>
        <v>1</v>
      </c>
      <c r="O202">
        <f t="shared" si="58"/>
        <v>5</v>
      </c>
      <c r="P202">
        <f t="shared" si="49"/>
        <v>4</v>
      </c>
      <c r="Q202">
        <f t="shared" si="59"/>
        <v>11</v>
      </c>
      <c r="R202">
        <f t="shared" si="59"/>
        <v>12</v>
      </c>
    </row>
    <row r="203" spans="1:18" x14ac:dyDescent="0.25">
      <c r="A203" s="1">
        <v>44852</v>
      </c>
      <c r="B203">
        <f t="shared" si="45"/>
        <v>2</v>
      </c>
      <c r="C203">
        <f t="shared" si="50"/>
        <v>11</v>
      </c>
      <c r="D203">
        <f t="shared" si="50"/>
        <v>12</v>
      </c>
      <c r="E203">
        <f t="shared" si="51"/>
        <v>0</v>
      </c>
      <c r="F203">
        <f t="shared" si="46"/>
        <v>0</v>
      </c>
      <c r="G203">
        <f t="shared" si="52"/>
        <v>0</v>
      </c>
      <c r="H203">
        <f t="shared" si="53"/>
        <v>0</v>
      </c>
      <c r="I203">
        <f t="shared" si="54"/>
        <v>0</v>
      </c>
      <c r="J203">
        <f t="shared" si="47"/>
        <v>0</v>
      </c>
      <c r="K203">
        <f t="shared" si="48"/>
        <v>0</v>
      </c>
      <c r="L203">
        <f t="shared" si="55"/>
        <v>11</v>
      </c>
      <c r="M203">
        <f t="shared" si="56"/>
        <v>12</v>
      </c>
      <c r="N203">
        <f t="shared" si="57"/>
        <v>1</v>
      </c>
      <c r="O203">
        <f t="shared" si="58"/>
        <v>4</v>
      </c>
      <c r="P203">
        <f t="shared" si="49"/>
        <v>3</v>
      </c>
      <c r="Q203">
        <f t="shared" si="59"/>
        <v>7</v>
      </c>
      <c r="R203">
        <f t="shared" si="59"/>
        <v>9</v>
      </c>
    </row>
    <row r="204" spans="1:18" x14ac:dyDescent="0.25">
      <c r="A204" s="1">
        <v>44853</v>
      </c>
      <c r="B204">
        <f t="shared" si="45"/>
        <v>3</v>
      </c>
      <c r="C204">
        <f t="shared" si="50"/>
        <v>7</v>
      </c>
      <c r="D204">
        <f t="shared" si="50"/>
        <v>9</v>
      </c>
      <c r="E204">
        <f t="shared" si="51"/>
        <v>0</v>
      </c>
      <c r="F204">
        <f t="shared" si="46"/>
        <v>0</v>
      </c>
      <c r="G204">
        <f t="shared" si="52"/>
        <v>0</v>
      </c>
      <c r="H204">
        <f t="shared" si="53"/>
        <v>0</v>
      </c>
      <c r="I204">
        <f t="shared" si="54"/>
        <v>0</v>
      </c>
      <c r="J204">
        <f t="shared" si="47"/>
        <v>0</v>
      </c>
      <c r="K204">
        <f t="shared" si="48"/>
        <v>0</v>
      </c>
      <c r="L204">
        <f t="shared" si="55"/>
        <v>7</v>
      </c>
      <c r="M204">
        <f t="shared" si="56"/>
        <v>9</v>
      </c>
      <c r="N204">
        <f t="shared" si="57"/>
        <v>1</v>
      </c>
      <c r="O204">
        <f t="shared" si="58"/>
        <v>3</v>
      </c>
      <c r="P204">
        <f t="shared" si="49"/>
        <v>2</v>
      </c>
      <c r="Q204">
        <f t="shared" si="59"/>
        <v>4</v>
      </c>
      <c r="R204">
        <f t="shared" si="59"/>
        <v>7</v>
      </c>
    </row>
    <row r="205" spans="1:18" x14ac:dyDescent="0.25">
      <c r="A205" s="1">
        <v>44854</v>
      </c>
      <c r="B205">
        <f t="shared" si="45"/>
        <v>4</v>
      </c>
      <c r="C205">
        <f t="shared" si="50"/>
        <v>4</v>
      </c>
      <c r="D205">
        <f t="shared" si="50"/>
        <v>7</v>
      </c>
      <c r="E205">
        <f t="shared" si="51"/>
        <v>0</v>
      </c>
      <c r="F205">
        <f t="shared" si="46"/>
        <v>0</v>
      </c>
      <c r="G205">
        <f t="shared" si="52"/>
        <v>1</v>
      </c>
      <c r="H205">
        <f t="shared" si="53"/>
        <v>50</v>
      </c>
      <c r="I205">
        <f t="shared" si="54"/>
        <v>25</v>
      </c>
      <c r="J205">
        <f t="shared" si="47"/>
        <v>0</v>
      </c>
      <c r="K205">
        <f t="shared" si="48"/>
        <v>0</v>
      </c>
      <c r="L205">
        <f t="shared" si="55"/>
        <v>54</v>
      </c>
      <c r="M205">
        <f t="shared" si="56"/>
        <v>32</v>
      </c>
      <c r="N205">
        <f t="shared" si="57"/>
        <v>1</v>
      </c>
      <c r="O205">
        <f t="shared" si="58"/>
        <v>17</v>
      </c>
      <c r="P205">
        <f t="shared" si="49"/>
        <v>7</v>
      </c>
      <c r="Q205">
        <f t="shared" si="59"/>
        <v>37</v>
      </c>
      <c r="R205">
        <f t="shared" si="59"/>
        <v>25</v>
      </c>
    </row>
    <row r="206" spans="1:18" x14ac:dyDescent="0.25">
      <c r="A206" s="1">
        <v>44855</v>
      </c>
      <c r="B206">
        <f t="shared" si="45"/>
        <v>5</v>
      </c>
      <c r="C206">
        <f t="shared" si="50"/>
        <v>37</v>
      </c>
      <c r="D206">
        <f t="shared" si="50"/>
        <v>25</v>
      </c>
      <c r="E206">
        <f t="shared" si="51"/>
        <v>0</v>
      </c>
      <c r="F206">
        <f t="shared" si="46"/>
        <v>0</v>
      </c>
      <c r="G206">
        <f t="shared" si="52"/>
        <v>0</v>
      </c>
      <c r="H206">
        <f t="shared" si="53"/>
        <v>0</v>
      </c>
      <c r="I206">
        <f t="shared" si="54"/>
        <v>0</v>
      </c>
      <c r="J206">
        <f t="shared" si="47"/>
        <v>0</v>
      </c>
      <c r="K206">
        <f t="shared" si="48"/>
        <v>0</v>
      </c>
      <c r="L206">
        <f t="shared" si="55"/>
        <v>37</v>
      </c>
      <c r="M206">
        <f t="shared" si="56"/>
        <v>25</v>
      </c>
      <c r="N206">
        <f t="shared" si="57"/>
        <v>1</v>
      </c>
      <c r="O206">
        <f t="shared" si="58"/>
        <v>12</v>
      </c>
      <c r="P206">
        <f t="shared" si="49"/>
        <v>5</v>
      </c>
      <c r="Q206">
        <f t="shared" si="59"/>
        <v>25</v>
      </c>
      <c r="R206">
        <f t="shared" si="59"/>
        <v>20</v>
      </c>
    </row>
    <row r="207" spans="1:18" x14ac:dyDescent="0.25">
      <c r="A207" s="1">
        <v>44856</v>
      </c>
      <c r="B207">
        <f t="shared" si="45"/>
        <v>6</v>
      </c>
      <c r="C207">
        <f t="shared" si="50"/>
        <v>25</v>
      </c>
      <c r="D207">
        <f t="shared" si="50"/>
        <v>20</v>
      </c>
      <c r="E207">
        <f t="shared" si="51"/>
        <v>0</v>
      </c>
      <c r="F207">
        <f t="shared" si="46"/>
        <v>0</v>
      </c>
      <c r="G207">
        <f t="shared" si="52"/>
        <v>0</v>
      </c>
      <c r="H207">
        <f t="shared" si="53"/>
        <v>0</v>
      </c>
      <c r="I207">
        <f t="shared" si="54"/>
        <v>0</v>
      </c>
      <c r="J207">
        <f t="shared" si="47"/>
        <v>0</v>
      </c>
      <c r="K207">
        <f t="shared" si="48"/>
        <v>0</v>
      </c>
      <c r="L207">
        <f t="shared" si="55"/>
        <v>25</v>
      </c>
      <c r="M207">
        <f t="shared" si="56"/>
        <v>20</v>
      </c>
      <c r="N207">
        <f t="shared" si="57"/>
        <v>1</v>
      </c>
      <c r="O207">
        <f t="shared" si="58"/>
        <v>8</v>
      </c>
      <c r="P207">
        <f t="shared" si="49"/>
        <v>4</v>
      </c>
      <c r="Q207">
        <f t="shared" si="59"/>
        <v>17</v>
      </c>
      <c r="R207">
        <f t="shared" si="59"/>
        <v>16</v>
      </c>
    </row>
    <row r="208" spans="1:18" x14ac:dyDescent="0.25">
      <c r="A208" s="1">
        <v>44857</v>
      </c>
      <c r="B208">
        <f t="shared" si="45"/>
        <v>7</v>
      </c>
      <c r="C208">
        <f t="shared" si="50"/>
        <v>17</v>
      </c>
      <c r="D208">
        <f t="shared" si="50"/>
        <v>16</v>
      </c>
      <c r="E208">
        <f t="shared" si="51"/>
        <v>0</v>
      </c>
      <c r="F208">
        <f t="shared" si="46"/>
        <v>0</v>
      </c>
      <c r="G208">
        <f t="shared" si="52"/>
        <v>0</v>
      </c>
      <c r="H208">
        <f t="shared" si="53"/>
        <v>0</v>
      </c>
      <c r="I208">
        <f t="shared" si="54"/>
        <v>0</v>
      </c>
      <c r="J208">
        <f t="shared" si="47"/>
        <v>0</v>
      </c>
      <c r="K208">
        <f t="shared" si="48"/>
        <v>0</v>
      </c>
      <c r="L208">
        <f t="shared" si="55"/>
        <v>17</v>
      </c>
      <c r="M208">
        <f t="shared" si="56"/>
        <v>16</v>
      </c>
      <c r="N208">
        <f t="shared" si="57"/>
        <v>0</v>
      </c>
      <c r="O208">
        <f t="shared" si="58"/>
        <v>0</v>
      </c>
      <c r="P208">
        <f t="shared" si="49"/>
        <v>0</v>
      </c>
      <c r="Q208">
        <f t="shared" si="59"/>
        <v>17</v>
      </c>
      <c r="R208">
        <f t="shared" si="59"/>
        <v>16</v>
      </c>
    </row>
    <row r="209" spans="1:18" x14ac:dyDescent="0.25">
      <c r="A209" s="1">
        <v>44858</v>
      </c>
      <c r="B209">
        <f t="shared" si="45"/>
        <v>1</v>
      </c>
      <c r="C209">
        <f t="shared" si="50"/>
        <v>17</v>
      </c>
      <c r="D209">
        <f t="shared" si="50"/>
        <v>16</v>
      </c>
      <c r="E209">
        <f t="shared" si="51"/>
        <v>1</v>
      </c>
      <c r="F209">
        <f t="shared" si="46"/>
        <v>1</v>
      </c>
      <c r="G209">
        <f t="shared" si="52"/>
        <v>0</v>
      </c>
      <c r="H209">
        <f t="shared" si="53"/>
        <v>0</v>
      </c>
      <c r="I209">
        <f t="shared" si="54"/>
        <v>0</v>
      </c>
      <c r="J209">
        <f t="shared" si="47"/>
        <v>0</v>
      </c>
      <c r="K209">
        <f t="shared" si="48"/>
        <v>0</v>
      </c>
      <c r="L209">
        <f t="shared" si="55"/>
        <v>16</v>
      </c>
      <c r="M209">
        <f t="shared" si="56"/>
        <v>16</v>
      </c>
      <c r="N209">
        <f t="shared" si="57"/>
        <v>1</v>
      </c>
      <c r="O209">
        <f t="shared" si="58"/>
        <v>5</v>
      </c>
      <c r="P209">
        <f t="shared" si="49"/>
        <v>4</v>
      </c>
      <c r="Q209">
        <f t="shared" si="59"/>
        <v>11</v>
      </c>
      <c r="R209">
        <f t="shared" si="59"/>
        <v>12</v>
      </c>
    </row>
    <row r="210" spans="1:18" x14ac:dyDescent="0.25">
      <c r="A210" s="1">
        <v>44859</v>
      </c>
      <c r="B210">
        <f t="shared" si="45"/>
        <v>2</v>
      </c>
      <c r="C210">
        <f t="shared" si="50"/>
        <v>11</v>
      </c>
      <c r="D210">
        <f t="shared" si="50"/>
        <v>12</v>
      </c>
      <c r="E210">
        <f t="shared" si="51"/>
        <v>0</v>
      </c>
      <c r="F210">
        <f t="shared" si="46"/>
        <v>0</v>
      </c>
      <c r="G210">
        <f t="shared" si="52"/>
        <v>0</v>
      </c>
      <c r="H210">
        <f t="shared" si="53"/>
        <v>0</v>
      </c>
      <c r="I210">
        <f t="shared" si="54"/>
        <v>0</v>
      </c>
      <c r="J210">
        <f t="shared" si="47"/>
        <v>0</v>
      </c>
      <c r="K210">
        <f t="shared" si="48"/>
        <v>0</v>
      </c>
      <c r="L210">
        <f t="shared" si="55"/>
        <v>11</v>
      </c>
      <c r="M210">
        <f t="shared" si="56"/>
        <v>12</v>
      </c>
      <c r="N210">
        <f t="shared" si="57"/>
        <v>1</v>
      </c>
      <c r="O210">
        <f t="shared" si="58"/>
        <v>4</v>
      </c>
      <c r="P210">
        <f t="shared" si="49"/>
        <v>3</v>
      </c>
      <c r="Q210">
        <f t="shared" si="59"/>
        <v>7</v>
      </c>
      <c r="R210">
        <f t="shared" si="59"/>
        <v>9</v>
      </c>
    </row>
    <row r="211" spans="1:18" x14ac:dyDescent="0.25">
      <c r="A211" s="1">
        <v>44860</v>
      </c>
      <c r="B211">
        <f t="shared" si="45"/>
        <v>3</v>
      </c>
      <c r="C211">
        <f t="shared" si="50"/>
        <v>7</v>
      </c>
      <c r="D211">
        <f t="shared" si="50"/>
        <v>9</v>
      </c>
      <c r="E211">
        <f t="shared" si="51"/>
        <v>0</v>
      </c>
      <c r="F211">
        <f t="shared" si="46"/>
        <v>0</v>
      </c>
      <c r="G211">
        <f t="shared" si="52"/>
        <v>0</v>
      </c>
      <c r="H211">
        <f t="shared" si="53"/>
        <v>0</v>
      </c>
      <c r="I211">
        <f t="shared" si="54"/>
        <v>0</v>
      </c>
      <c r="J211">
        <f t="shared" si="47"/>
        <v>0</v>
      </c>
      <c r="K211">
        <f t="shared" si="48"/>
        <v>0</v>
      </c>
      <c r="L211">
        <f t="shared" si="55"/>
        <v>7</v>
      </c>
      <c r="M211">
        <f t="shared" si="56"/>
        <v>9</v>
      </c>
      <c r="N211">
        <f t="shared" si="57"/>
        <v>1</v>
      </c>
      <c r="O211">
        <f t="shared" si="58"/>
        <v>3</v>
      </c>
      <c r="P211">
        <f t="shared" si="49"/>
        <v>2</v>
      </c>
      <c r="Q211">
        <f t="shared" si="59"/>
        <v>4</v>
      </c>
      <c r="R211">
        <f t="shared" si="59"/>
        <v>7</v>
      </c>
    </row>
    <row r="212" spans="1:18" x14ac:dyDescent="0.25">
      <c r="A212" s="1">
        <v>44861</v>
      </c>
      <c r="B212">
        <f t="shared" si="45"/>
        <v>4</v>
      </c>
      <c r="C212">
        <f t="shared" si="50"/>
        <v>4</v>
      </c>
      <c r="D212">
        <f t="shared" si="50"/>
        <v>7</v>
      </c>
      <c r="E212">
        <f t="shared" si="51"/>
        <v>0</v>
      </c>
      <c r="F212">
        <f t="shared" si="46"/>
        <v>0</v>
      </c>
      <c r="G212">
        <f t="shared" si="52"/>
        <v>1</v>
      </c>
      <c r="H212">
        <f t="shared" si="53"/>
        <v>50</v>
      </c>
      <c r="I212">
        <f t="shared" si="54"/>
        <v>25</v>
      </c>
      <c r="J212">
        <f t="shared" si="47"/>
        <v>0</v>
      </c>
      <c r="K212">
        <f t="shared" si="48"/>
        <v>0</v>
      </c>
      <c r="L212">
        <f t="shared" si="55"/>
        <v>54</v>
      </c>
      <c r="M212">
        <f t="shared" si="56"/>
        <v>32</v>
      </c>
      <c r="N212">
        <f t="shared" si="57"/>
        <v>1</v>
      </c>
      <c r="O212">
        <f t="shared" si="58"/>
        <v>17</v>
      </c>
      <c r="P212">
        <f t="shared" si="49"/>
        <v>7</v>
      </c>
      <c r="Q212">
        <f t="shared" si="59"/>
        <v>37</v>
      </c>
      <c r="R212">
        <f t="shared" si="59"/>
        <v>25</v>
      </c>
    </row>
    <row r="213" spans="1:18" x14ac:dyDescent="0.25">
      <c r="A213" s="1">
        <v>44862</v>
      </c>
      <c r="B213">
        <f t="shared" si="45"/>
        <v>5</v>
      </c>
      <c r="C213">
        <f t="shared" si="50"/>
        <v>37</v>
      </c>
      <c r="D213">
        <f t="shared" si="50"/>
        <v>25</v>
      </c>
      <c r="E213">
        <f t="shared" si="51"/>
        <v>0</v>
      </c>
      <c r="F213">
        <f t="shared" si="46"/>
        <v>0</v>
      </c>
      <c r="G213">
        <f t="shared" si="52"/>
        <v>0</v>
      </c>
      <c r="H213">
        <f t="shared" si="53"/>
        <v>0</v>
      </c>
      <c r="I213">
        <f t="shared" si="54"/>
        <v>0</v>
      </c>
      <c r="J213">
        <f t="shared" si="47"/>
        <v>0</v>
      </c>
      <c r="K213">
        <f t="shared" si="48"/>
        <v>0</v>
      </c>
      <c r="L213">
        <f t="shared" si="55"/>
        <v>37</v>
      </c>
      <c r="M213">
        <f t="shared" si="56"/>
        <v>25</v>
      </c>
      <c r="N213">
        <f t="shared" si="57"/>
        <v>1</v>
      </c>
      <c r="O213">
        <f t="shared" si="58"/>
        <v>12</v>
      </c>
      <c r="P213">
        <f t="shared" si="49"/>
        <v>5</v>
      </c>
      <c r="Q213">
        <f t="shared" si="59"/>
        <v>25</v>
      </c>
      <c r="R213">
        <f t="shared" si="59"/>
        <v>20</v>
      </c>
    </row>
    <row r="214" spans="1:18" x14ac:dyDescent="0.25">
      <c r="A214" s="1">
        <v>44863</v>
      </c>
      <c r="B214">
        <f t="shared" si="45"/>
        <v>6</v>
      </c>
      <c r="C214">
        <f t="shared" si="50"/>
        <v>25</v>
      </c>
      <c r="D214">
        <f t="shared" si="50"/>
        <v>20</v>
      </c>
      <c r="E214">
        <f t="shared" si="51"/>
        <v>0</v>
      </c>
      <c r="F214">
        <f t="shared" si="46"/>
        <v>0</v>
      </c>
      <c r="G214">
        <f t="shared" si="52"/>
        <v>0</v>
      </c>
      <c r="H214">
        <f t="shared" si="53"/>
        <v>0</v>
      </c>
      <c r="I214">
        <f t="shared" si="54"/>
        <v>0</v>
      </c>
      <c r="J214">
        <f t="shared" si="47"/>
        <v>0</v>
      </c>
      <c r="K214">
        <f t="shared" si="48"/>
        <v>0</v>
      </c>
      <c r="L214">
        <f t="shared" si="55"/>
        <v>25</v>
      </c>
      <c r="M214">
        <f t="shared" si="56"/>
        <v>20</v>
      </c>
      <c r="N214">
        <f t="shared" si="57"/>
        <v>1</v>
      </c>
      <c r="O214">
        <f t="shared" si="58"/>
        <v>8</v>
      </c>
      <c r="P214">
        <f t="shared" si="49"/>
        <v>4</v>
      </c>
      <c r="Q214">
        <f t="shared" si="59"/>
        <v>17</v>
      </c>
      <c r="R214">
        <f t="shared" si="59"/>
        <v>16</v>
      </c>
    </row>
    <row r="215" spans="1:18" x14ac:dyDescent="0.25">
      <c r="A215" s="1">
        <v>44864</v>
      </c>
      <c r="B215">
        <f t="shared" si="45"/>
        <v>7</v>
      </c>
      <c r="C215">
        <f t="shared" si="50"/>
        <v>17</v>
      </c>
      <c r="D215">
        <f t="shared" si="50"/>
        <v>16</v>
      </c>
      <c r="E215">
        <f t="shared" si="51"/>
        <v>0</v>
      </c>
      <c r="F215">
        <f t="shared" si="46"/>
        <v>0</v>
      </c>
      <c r="G215">
        <f t="shared" si="52"/>
        <v>0</v>
      </c>
      <c r="H215">
        <f t="shared" si="53"/>
        <v>0</v>
      </c>
      <c r="I215">
        <f t="shared" si="54"/>
        <v>0</v>
      </c>
      <c r="J215">
        <f t="shared" si="47"/>
        <v>0</v>
      </c>
      <c r="K215">
        <f t="shared" si="48"/>
        <v>0</v>
      </c>
      <c r="L215">
        <f t="shared" si="55"/>
        <v>17</v>
      </c>
      <c r="M215">
        <f t="shared" si="56"/>
        <v>16</v>
      </c>
      <c r="N215">
        <f t="shared" si="57"/>
        <v>0</v>
      </c>
      <c r="O215">
        <f t="shared" si="58"/>
        <v>0</v>
      </c>
      <c r="P215">
        <f t="shared" si="49"/>
        <v>0</v>
      </c>
      <c r="Q215">
        <f t="shared" si="59"/>
        <v>17</v>
      </c>
      <c r="R215">
        <f t="shared" si="59"/>
        <v>16</v>
      </c>
    </row>
    <row r="216" spans="1:18" x14ac:dyDescent="0.25">
      <c r="A216" s="1">
        <v>44865</v>
      </c>
      <c r="B216">
        <f t="shared" si="45"/>
        <v>1</v>
      </c>
      <c r="C216">
        <f t="shared" si="50"/>
        <v>17</v>
      </c>
      <c r="D216">
        <f t="shared" si="50"/>
        <v>16</v>
      </c>
      <c r="E216">
        <f t="shared" si="51"/>
        <v>1</v>
      </c>
      <c r="F216">
        <f t="shared" si="46"/>
        <v>1</v>
      </c>
      <c r="G216">
        <f t="shared" si="52"/>
        <v>0</v>
      </c>
      <c r="H216">
        <f t="shared" si="53"/>
        <v>0</v>
      </c>
      <c r="I216">
        <f t="shared" si="54"/>
        <v>0</v>
      </c>
      <c r="J216">
        <f t="shared" si="47"/>
        <v>0</v>
      </c>
      <c r="K216">
        <f t="shared" si="48"/>
        <v>0</v>
      </c>
      <c r="L216">
        <f t="shared" si="55"/>
        <v>16</v>
      </c>
      <c r="M216">
        <f t="shared" si="56"/>
        <v>16</v>
      </c>
      <c r="N216">
        <f t="shared" si="57"/>
        <v>1</v>
      </c>
      <c r="O216">
        <f t="shared" si="58"/>
        <v>5</v>
      </c>
      <c r="P216">
        <f t="shared" si="49"/>
        <v>4</v>
      </c>
      <c r="Q216">
        <f t="shared" si="59"/>
        <v>11</v>
      </c>
      <c r="R216">
        <f t="shared" si="59"/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Symulka</vt:lpstr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Domański</dc:creator>
  <cp:lastModifiedBy>Adam Domański</cp:lastModifiedBy>
  <dcterms:created xsi:type="dcterms:W3CDTF">2015-06-05T18:19:34Z</dcterms:created>
  <dcterms:modified xsi:type="dcterms:W3CDTF">2024-04-30T20:21:34Z</dcterms:modified>
</cp:coreProperties>
</file>